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 8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3" i="1"/>
  <c r="O4" i="1"/>
  <c r="O5" i="1"/>
  <c r="O2" i="1"/>
  <c r="L3" i="1"/>
  <c r="L4" i="1"/>
  <c r="L5" i="1"/>
  <c r="L6" i="1"/>
  <c r="L7" i="1"/>
  <c r="L8" i="1"/>
  <c r="L9" i="1"/>
  <c r="L2" i="1"/>
  <c r="M15" i="1" l="1"/>
  <c r="M17" i="1" s="1"/>
  <c r="N13" i="1"/>
  <c r="N11" i="1"/>
  <c r="N9" i="1"/>
  <c r="N8" i="1"/>
  <c r="N7" i="1"/>
  <c r="N5" i="1"/>
  <c r="N4" i="1"/>
  <c r="N3" i="1"/>
  <c r="N2" i="1"/>
  <c r="N18" i="1" l="1"/>
  <c r="N20" i="1" s="1"/>
  <c r="N15" i="1"/>
  <c r="K13" i="1" l="1"/>
  <c r="K11" i="1"/>
  <c r="K9" i="1"/>
  <c r="K8" i="1"/>
  <c r="K7" i="1"/>
  <c r="K5" i="1"/>
  <c r="K4" i="1"/>
  <c r="K3" i="1"/>
  <c r="K2" i="1"/>
  <c r="D17" i="1"/>
  <c r="K18" i="1"/>
  <c r="K20" i="1" s="1"/>
  <c r="J15" i="1"/>
  <c r="J17" i="1" s="1"/>
  <c r="K15" i="1" l="1"/>
  <c r="L15" i="2"/>
  <c r="G20" i="2"/>
  <c r="D23" i="2"/>
  <c r="A24" i="2"/>
  <c r="B22" i="2"/>
  <c r="A22" i="2"/>
  <c r="A15" i="2"/>
  <c r="B13" i="2"/>
  <c r="A13" i="2"/>
  <c r="R18" i="1" l="1"/>
  <c r="H18" i="1"/>
  <c r="H20" i="1"/>
  <c r="E18" i="1"/>
  <c r="E20" i="1" s="1"/>
  <c r="H3" i="1"/>
  <c r="H4" i="1"/>
  <c r="H5" i="1"/>
  <c r="H7" i="1"/>
  <c r="H8" i="1"/>
  <c r="H9" i="1"/>
  <c r="H13" i="1"/>
  <c r="H2" i="1"/>
  <c r="E3" i="1"/>
  <c r="E4" i="1"/>
  <c r="E5" i="1"/>
  <c r="E7" i="1"/>
  <c r="E8" i="1"/>
  <c r="E9" i="1"/>
  <c r="E11" i="1"/>
  <c r="E13" i="1"/>
  <c r="E15" i="1"/>
  <c r="E2" i="1"/>
  <c r="G15" i="1"/>
  <c r="G17" i="1" s="1"/>
  <c r="G11" i="1"/>
  <c r="H11" i="1" s="1"/>
  <c r="D15" i="1"/>
  <c r="D11" i="1"/>
  <c r="H15" i="1" l="1"/>
</calcChain>
</file>

<file path=xl/sharedStrings.xml><?xml version="1.0" encoding="utf-8"?>
<sst xmlns="http://schemas.openxmlformats.org/spreadsheetml/2006/main" count="22" uniqueCount="16">
  <si>
    <t>basic</t>
  </si>
  <si>
    <t>HRA</t>
  </si>
  <si>
    <t>other allowances</t>
  </si>
  <si>
    <t>personal</t>
  </si>
  <si>
    <t>CCPF</t>
  </si>
  <si>
    <t>Gratuity</t>
  </si>
  <si>
    <t>ASB</t>
  </si>
  <si>
    <t>total fixed</t>
  </si>
  <si>
    <t>Medical</t>
  </si>
  <si>
    <t>yearly</t>
  </si>
  <si>
    <t>Monthly</t>
  </si>
  <si>
    <t>Increment</t>
  </si>
  <si>
    <t>basic+HRA+OA+P+ASB-CCPF</t>
  </si>
  <si>
    <t>Professinal tax</t>
  </si>
  <si>
    <t>Details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</si>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</sst>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/>
    <xf numFmtId="0" fontId="0" fillId="2" borderId="1" xfId="0" applyFill="1" applyBorder="1"/>
    <xf numFmtId="0" fontId="0" fillId="2" borderId="0" xfId="0" applyFill="1" applyBorder="1"/>
    <xf numFmtId="1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R8" sqref="R8"/>
    </sheetView>
  </sheetViews>
  <sheetFormatPr defaultRowHeight="15" x14ac:dyDescent="0.25"/>
  <cols>
    <col min="3" max="3" width="26.140625" bestFit="1" customWidth="1"/>
    <col min="5" max="5" width="10.42578125" customWidth="1"/>
    <col min="15" max="15" width="10.5703125" bestFit="1" customWidth="1"/>
  </cols>
  <sheetData>
    <row r="1" spans="1:15" x14ac:dyDescent="0.25">
      <c r="C1" s="5" t="s">
        <v>14</v>
      </c>
      <c r="D1" s="5" t="s">
        <v>9</v>
      </c>
      <c r="E1" s="5" t="s">
        <v>10</v>
      </c>
      <c r="F1" s="5"/>
      <c r="G1" s="5" t="s">
        <v>9</v>
      </c>
      <c r="H1" s="5" t="s">
        <v>10</v>
      </c>
      <c r="I1" s="5"/>
      <c r="J1" s="5" t="s">
        <v>9</v>
      </c>
      <c r="K1" s="5" t="s">
        <v>10</v>
      </c>
      <c r="L1" s="6"/>
      <c r="M1" s="5" t="s">
        <v>9</v>
      </c>
      <c r="N1" s="5" t="s">
        <v>10</v>
      </c>
    </row>
    <row r="2" spans="1:15" x14ac:dyDescent="0.25">
      <c r="A2">
        <v>484372</v>
      </c>
      <c r="C2" s="2" t="s">
        <v>0</v>
      </c>
      <c r="D2" s="2">
        <v>167000</v>
      </c>
      <c r="E2" s="3">
        <f>D2/12</f>
        <v>13916.666666666666</v>
      </c>
      <c r="F2" s="2"/>
      <c r="G2" s="2">
        <v>187050</v>
      </c>
      <c r="H2" s="4">
        <f>G2/12</f>
        <v>15587.5</v>
      </c>
      <c r="I2" s="4"/>
      <c r="J2" s="4">
        <v>202010</v>
      </c>
      <c r="K2" s="4">
        <f>J2/12</f>
        <v>16834.166666666668</v>
      </c>
      <c r="L2" s="7">
        <f>K2/31</f>
        <v>543.03763440860223</v>
      </c>
      <c r="M2" s="4">
        <v>239170</v>
      </c>
      <c r="N2" s="4">
        <f>M2/12</f>
        <v>19930.833333333332</v>
      </c>
      <c r="O2" s="1">
        <f>N2/31</f>
        <v>642.93010752688167</v>
      </c>
    </row>
    <row r="3" spans="1:15" x14ac:dyDescent="0.25">
      <c r="C3" s="2" t="s">
        <v>1</v>
      </c>
      <c r="D3" s="2">
        <v>83500</v>
      </c>
      <c r="E3" s="3">
        <f t="shared" ref="E3:E15" si="0">D3/12</f>
        <v>6958.333333333333</v>
      </c>
      <c r="F3" s="2"/>
      <c r="G3" s="2">
        <v>93525</v>
      </c>
      <c r="H3" s="4">
        <f t="shared" ref="H3:H15" si="1">G3/12</f>
        <v>7793.75</v>
      </c>
      <c r="I3" s="4"/>
      <c r="J3" s="4">
        <v>101005</v>
      </c>
      <c r="K3" s="4">
        <f t="shared" ref="K3:K13" si="2">J3/12</f>
        <v>8417.0833333333339</v>
      </c>
      <c r="L3" s="7">
        <f t="shared" ref="L3:L9" si="3">K3/31</f>
        <v>271.51881720430111</v>
      </c>
      <c r="M3" s="4">
        <v>143502</v>
      </c>
      <c r="N3" s="4">
        <f t="shared" ref="N3:N5" si="4">M3/12</f>
        <v>11958.5</v>
      </c>
      <c r="O3" s="1">
        <f t="shared" ref="O3:O9" si="5">N3/31</f>
        <v>385.75806451612902</v>
      </c>
    </row>
    <row r="4" spans="1:15" x14ac:dyDescent="0.25">
      <c r="C4" s="2" t="s">
        <v>2</v>
      </c>
      <c r="D4" s="2">
        <v>125400</v>
      </c>
      <c r="E4" s="3">
        <f t="shared" si="0"/>
        <v>10450</v>
      </c>
      <c r="F4" s="2"/>
      <c r="G4" s="2">
        <v>159600</v>
      </c>
      <c r="H4" s="4">
        <f t="shared" si="1"/>
        <v>13300</v>
      </c>
      <c r="I4" s="4"/>
      <c r="J4" s="4">
        <v>159600</v>
      </c>
      <c r="K4" s="4">
        <f t="shared" si="2"/>
        <v>13300</v>
      </c>
      <c r="L4" s="7">
        <f t="shared" si="3"/>
        <v>429.03225806451616</v>
      </c>
      <c r="M4" s="4">
        <v>125930</v>
      </c>
      <c r="N4" s="4">
        <f t="shared" si="4"/>
        <v>10494.166666666666</v>
      </c>
      <c r="O4" s="1">
        <f t="shared" si="5"/>
        <v>338.52150537634407</v>
      </c>
    </row>
    <row r="5" spans="1:15" x14ac:dyDescent="0.25">
      <c r="C5" s="2" t="s">
        <v>3</v>
      </c>
      <c r="D5" s="2">
        <v>35864</v>
      </c>
      <c r="E5" s="3">
        <f t="shared" si="0"/>
        <v>2988.6666666666665</v>
      </c>
      <c r="F5" s="2"/>
      <c r="G5" s="2">
        <v>27038</v>
      </c>
      <c r="H5" s="4">
        <f t="shared" si="1"/>
        <v>2253.1666666666665</v>
      </c>
      <c r="I5" s="4"/>
      <c r="J5" s="4">
        <v>43835</v>
      </c>
      <c r="K5" s="4">
        <f t="shared" si="2"/>
        <v>3652.9166666666665</v>
      </c>
      <c r="L5" s="7">
        <f t="shared" si="3"/>
        <v>117.83602150537634</v>
      </c>
      <c r="M5" s="4">
        <v>96749</v>
      </c>
      <c r="N5" s="4">
        <f t="shared" si="4"/>
        <v>8062.416666666667</v>
      </c>
      <c r="O5" s="1">
        <f t="shared" si="5"/>
        <v>260.0779569892473</v>
      </c>
    </row>
    <row r="6" spans="1:15" x14ac:dyDescent="0.25">
      <c r="C6" s="2"/>
      <c r="D6" s="2"/>
      <c r="E6" s="3"/>
      <c r="F6" s="2"/>
      <c r="G6" s="2"/>
      <c r="H6" s="4"/>
      <c r="I6" s="4"/>
      <c r="J6" s="4"/>
      <c r="K6" s="4"/>
      <c r="L6" s="7">
        <f t="shared" si="3"/>
        <v>0</v>
      </c>
      <c r="M6" s="4"/>
      <c r="N6" s="4"/>
      <c r="O6" s="1">
        <f t="shared" si="5"/>
        <v>0</v>
      </c>
    </row>
    <row r="7" spans="1:15" x14ac:dyDescent="0.25">
      <c r="C7" s="2" t="s">
        <v>4</v>
      </c>
      <c r="D7" s="2">
        <v>21600</v>
      </c>
      <c r="E7" s="3">
        <f t="shared" si="0"/>
        <v>1800</v>
      </c>
      <c r="F7" s="2"/>
      <c r="G7" s="2">
        <v>22446</v>
      </c>
      <c r="H7" s="4">
        <f t="shared" si="1"/>
        <v>1870.5</v>
      </c>
      <c r="I7" s="4"/>
      <c r="J7" s="4">
        <v>24241</v>
      </c>
      <c r="K7" s="4">
        <f t="shared" si="2"/>
        <v>2020.0833333333333</v>
      </c>
      <c r="L7" s="7">
        <f t="shared" si="3"/>
        <v>65.163978494623649</v>
      </c>
      <c r="M7" s="4">
        <v>28700</v>
      </c>
      <c r="N7" s="4">
        <f t="shared" ref="N7:N9" si="6">M7/12</f>
        <v>2391.6666666666665</v>
      </c>
      <c r="O7" s="1">
        <f t="shared" si="5"/>
        <v>77.150537634408593</v>
      </c>
    </row>
    <row r="8" spans="1:15" x14ac:dyDescent="0.25">
      <c r="C8" s="2" t="s">
        <v>5</v>
      </c>
      <c r="D8" s="2">
        <v>8033</v>
      </c>
      <c r="E8" s="3">
        <f t="shared" si="0"/>
        <v>669.41666666666663</v>
      </c>
      <c r="F8" s="2"/>
      <c r="G8" s="2">
        <v>8997</v>
      </c>
      <c r="H8" s="4">
        <f t="shared" si="1"/>
        <v>749.75</v>
      </c>
      <c r="I8" s="4"/>
      <c r="J8" s="4">
        <v>9717</v>
      </c>
      <c r="K8" s="4">
        <f t="shared" si="2"/>
        <v>809.75</v>
      </c>
      <c r="L8" s="7">
        <f t="shared" si="3"/>
        <v>26.120967741935484</v>
      </c>
      <c r="M8" s="4">
        <v>11504</v>
      </c>
      <c r="N8" s="4">
        <f t="shared" si="6"/>
        <v>958.66666666666663</v>
      </c>
      <c r="O8" s="1">
        <f t="shared" si="5"/>
        <v>30.924731182795696</v>
      </c>
    </row>
    <row r="9" spans="1:15" x14ac:dyDescent="0.25">
      <c r="C9" s="2" t="s">
        <v>6</v>
      </c>
      <c r="D9" s="2">
        <v>35760</v>
      </c>
      <c r="E9" s="3">
        <f t="shared" si="0"/>
        <v>2980</v>
      </c>
      <c r="F9" s="2"/>
      <c r="G9" s="2">
        <v>35760</v>
      </c>
      <c r="H9" s="4">
        <f t="shared" si="1"/>
        <v>2980</v>
      </c>
      <c r="I9" s="4"/>
      <c r="J9" s="4">
        <v>36761</v>
      </c>
      <c r="K9" s="4">
        <f t="shared" si="2"/>
        <v>3063.4166666666665</v>
      </c>
      <c r="L9" s="7">
        <f t="shared" si="3"/>
        <v>98.819892473118273</v>
      </c>
      <c r="M9" s="4">
        <v>37788</v>
      </c>
      <c r="N9" s="4">
        <f t="shared" si="6"/>
        <v>3149</v>
      </c>
      <c r="O9" s="1">
        <f t="shared" si="5"/>
        <v>101.58064516129032</v>
      </c>
    </row>
    <row r="10" spans="1:15" x14ac:dyDescent="0.25">
      <c r="C10" s="2"/>
      <c r="D10" s="2"/>
      <c r="E10" s="3"/>
      <c r="F10" s="2"/>
      <c r="G10" s="2"/>
      <c r="H10" s="4"/>
      <c r="I10" s="4"/>
      <c r="J10" s="4"/>
      <c r="K10" s="4"/>
      <c r="L10" s="7"/>
      <c r="M10" s="4"/>
      <c r="N10" s="4"/>
    </row>
    <row r="11" spans="1:15" x14ac:dyDescent="0.25">
      <c r="C11" s="2" t="s">
        <v>7</v>
      </c>
      <c r="D11" s="2">
        <f>SUM(D2:D9)</f>
        <v>477157</v>
      </c>
      <c r="E11" s="3">
        <f t="shared" si="0"/>
        <v>39763.083333333336</v>
      </c>
      <c r="F11" s="2"/>
      <c r="G11" s="2">
        <f>SUM(G2:G9)</f>
        <v>534416</v>
      </c>
      <c r="H11" s="4">
        <f t="shared" si="1"/>
        <v>44534.666666666664</v>
      </c>
      <c r="I11" s="4"/>
      <c r="J11" s="4">
        <v>577169</v>
      </c>
      <c r="K11" s="4">
        <f t="shared" si="2"/>
        <v>48097.416666666664</v>
      </c>
      <c r="L11" s="7"/>
      <c r="M11" s="4">
        <v>683343</v>
      </c>
      <c r="N11" s="4">
        <f t="shared" ref="N11" si="7">M11/12</f>
        <v>56945.25</v>
      </c>
    </row>
    <row r="12" spans="1:15" x14ac:dyDescent="0.25">
      <c r="C12" s="2"/>
      <c r="D12" s="2"/>
      <c r="E12" s="3"/>
      <c r="F12" s="2"/>
      <c r="G12" s="2"/>
      <c r="H12" s="4"/>
      <c r="I12" s="4"/>
      <c r="J12" s="4"/>
      <c r="K12" s="4"/>
      <c r="L12" s="7"/>
      <c r="M12" s="4"/>
      <c r="N12" s="4"/>
    </row>
    <row r="13" spans="1:15" x14ac:dyDescent="0.25">
      <c r="C13" s="2" t="s">
        <v>8</v>
      </c>
      <c r="D13" s="2">
        <v>7215</v>
      </c>
      <c r="E13" s="3">
        <f t="shared" si="0"/>
        <v>601.25</v>
      </c>
      <c r="F13" s="2"/>
      <c r="G13" s="2">
        <v>7215</v>
      </c>
      <c r="H13" s="4">
        <f t="shared" si="1"/>
        <v>601.25</v>
      </c>
      <c r="I13" s="4"/>
      <c r="J13" s="4">
        <v>7802</v>
      </c>
      <c r="K13" s="4">
        <f t="shared" si="2"/>
        <v>650.16666666666663</v>
      </c>
      <c r="L13" s="7"/>
      <c r="M13" s="4">
        <v>7802</v>
      </c>
      <c r="N13" s="4">
        <f t="shared" ref="N13" si="8">M13/12</f>
        <v>650.16666666666663</v>
      </c>
    </row>
    <row r="14" spans="1:15" x14ac:dyDescent="0.25">
      <c r="C14" s="2"/>
      <c r="D14" s="2"/>
      <c r="E14" s="3"/>
      <c r="F14" s="2"/>
      <c r="G14" s="2"/>
      <c r="H14" s="4"/>
      <c r="I14" s="4"/>
      <c r="J14" s="4"/>
      <c r="K14" s="4"/>
      <c r="L14" s="7"/>
      <c r="M14" s="4"/>
      <c r="N14" s="4"/>
    </row>
    <row r="15" spans="1:15" x14ac:dyDescent="0.25">
      <c r="C15" s="2" t="s">
        <v>15</v>
      </c>
      <c r="D15" s="2">
        <f>SUM(D11:D13)</f>
        <v>484372</v>
      </c>
      <c r="E15" s="3">
        <f t="shared" si="0"/>
        <v>40364.333333333336</v>
      </c>
      <c r="F15" s="2"/>
      <c r="G15" s="2">
        <f>SUM(G11:G13)</f>
        <v>541631</v>
      </c>
      <c r="H15" s="4">
        <f t="shared" si="1"/>
        <v>45135.916666666664</v>
      </c>
      <c r="I15" s="4"/>
      <c r="J15" s="2">
        <f>SUM(J11:J13)</f>
        <v>584971</v>
      </c>
      <c r="K15" s="4">
        <f t="shared" ref="K15" si="9">J15/12</f>
        <v>48747.583333333336</v>
      </c>
      <c r="L15" s="7"/>
      <c r="M15" s="2">
        <f>SUM(M11:M13)</f>
        <v>691145</v>
      </c>
      <c r="N15" s="4">
        <f t="shared" ref="N15" si="10">M15/12</f>
        <v>57595.416666666664</v>
      </c>
    </row>
    <row r="16" spans="1:15" x14ac:dyDescent="0.25">
      <c r="C16" s="2"/>
      <c r="D16" s="2"/>
      <c r="E16" s="2"/>
      <c r="F16" s="2"/>
      <c r="G16" s="2"/>
      <c r="H16" s="2"/>
      <c r="I16" s="2"/>
      <c r="J16" s="2"/>
      <c r="K16" s="2"/>
      <c r="L16" s="8"/>
      <c r="M16" s="2"/>
      <c r="N16" s="2"/>
    </row>
    <row r="17" spans="3:18" x14ac:dyDescent="0.25">
      <c r="C17" s="2" t="s">
        <v>11</v>
      </c>
      <c r="D17" s="2" t="e">
        <f>(D15-A15)/A15*100</f>
        <v>#DIV/0!</v>
      </c>
      <c r="E17" s="2"/>
      <c r="F17" s="2"/>
      <c r="G17" s="2">
        <f>(G15-D15)/D15*100</f>
        <v>11.821286118933381</v>
      </c>
      <c r="H17" s="2"/>
      <c r="I17" s="2"/>
      <c r="J17" s="2">
        <f>(J15-G15)/G15*100</f>
        <v>8.0017576541963074</v>
      </c>
      <c r="K17" s="2"/>
      <c r="L17" s="8"/>
      <c r="M17" s="2">
        <f>(M15-J15)/J15*100</f>
        <v>18.150301467936018</v>
      </c>
      <c r="N17" s="2"/>
    </row>
    <row r="18" spans="3:18" x14ac:dyDescent="0.25">
      <c r="C18" s="2" t="s">
        <v>12</v>
      </c>
      <c r="D18" s="2"/>
      <c r="E18" s="4">
        <f>E2+E3+E4+E5+E9-E7</f>
        <v>35493.666666666664</v>
      </c>
      <c r="F18" s="2"/>
      <c r="G18" s="2"/>
      <c r="H18" s="4">
        <f>H2+H3+H4+H5+H9-H7</f>
        <v>40043.916666666664</v>
      </c>
      <c r="I18" s="4"/>
      <c r="J18" s="2"/>
      <c r="K18" s="4">
        <f>K2+K3+K4+K5+K9-K7</f>
        <v>43247.499999999993</v>
      </c>
      <c r="L18" s="7"/>
      <c r="M18" s="2"/>
      <c r="N18" s="4">
        <f>N2+N3+N4+N5+N9-N7</f>
        <v>51203.25</v>
      </c>
      <c r="R18">
        <f>48043-8200</f>
        <v>39843</v>
      </c>
    </row>
    <row r="19" spans="3:18" x14ac:dyDescent="0.25">
      <c r="C19" s="2" t="s">
        <v>13</v>
      </c>
      <c r="D19" s="2"/>
      <c r="E19" s="2">
        <v>200</v>
      </c>
      <c r="F19" s="2"/>
      <c r="G19" s="2"/>
      <c r="H19" s="2">
        <v>200</v>
      </c>
      <c r="I19" s="2"/>
      <c r="J19" s="2"/>
      <c r="K19" s="2">
        <v>200</v>
      </c>
      <c r="L19" s="8"/>
      <c r="M19" s="2"/>
      <c r="N19" s="2">
        <v>200</v>
      </c>
    </row>
    <row r="20" spans="3:18" x14ac:dyDescent="0.25">
      <c r="C20" s="2"/>
      <c r="D20" s="2"/>
      <c r="E20" s="4">
        <f>E18-E19</f>
        <v>35293.666666666664</v>
      </c>
      <c r="F20" s="2"/>
      <c r="G20" s="2"/>
      <c r="H20" s="4">
        <f>H18-H19-1</f>
        <v>39842.916666666664</v>
      </c>
      <c r="I20" s="4"/>
      <c r="J20" s="2"/>
      <c r="K20" s="4">
        <f>K18-K19-1</f>
        <v>43046.499999999993</v>
      </c>
      <c r="L20" s="7"/>
      <c r="M20" s="2"/>
      <c r="N20" s="4">
        <f>N18-N19-1</f>
        <v>51002.25</v>
      </c>
      <c r="Q20" s="1"/>
    </row>
    <row r="22" spans="3:18" x14ac:dyDescent="0.25">
      <c r="G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3" workbookViewId="0">
      <selection activeCell="M17" sqref="M17"/>
    </sheetView>
  </sheetViews>
  <sheetFormatPr defaultRowHeight="15" x14ac:dyDescent="0.25"/>
  <sheetData>
    <row r="1" spans="1:12" x14ac:dyDescent="0.25">
      <c r="A1">
        <v>1802</v>
      </c>
      <c r="B1">
        <v>654</v>
      </c>
    </row>
    <row r="2" spans="1:12" x14ac:dyDescent="0.25">
      <c r="A2">
        <v>12.52</v>
      </c>
      <c r="B2">
        <v>654</v>
      </c>
    </row>
    <row r="3" spans="1:12" x14ac:dyDescent="0.25">
      <c r="A3">
        <v>2969</v>
      </c>
      <c r="B3">
        <v>24.78</v>
      </c>
    </row>
    <row r="4" spans="1:12" x14ac:dyDescent="0.25">
      <c r="A4">
        <v>5656</v>
      </c>
      <c r="B4">
        <v>5.07</v>
      </c>
    </row>
    <row r="5" spans="1:12" x14ac:dyDescent="0.25">
      <c r="A5">
        <v>658</v>
      </c>
    </row>
    <row r="6" spans="1:12" x14ac:dyDescent="0.25">
      <c r="A6">
        <v>2124</v>
      </c>
    </row>
    <row r="7" spans="1:12" x14ac:dyDescent="0.25">
      <c r="A7">
        <v>1900</v>
      </c>
    </row>
    <row r="8" spans="1:12" x14ac:dyDescent="0.25">
      <c r="A8">
        <v>1900</v>
      </c>
    </row>
    <row r="9" spans="1:12" x14ac:dyDescent="0.25">
      <c r="A9">
        <v>100</v>
      </c>
    </row>
    <row r="10" spans="1:12" x14ac:dyDescent="0.25">
      <c r="A10">
        <v>2010</v>
      </c>
    </row>
    <row r="11" spans="1:12" x14ac:dyDescent="0.25">
      <c r="A11">
        <v>2200</v>
      </c>
      <c r="L11">
        <v>20506.25</v>
      </c>
    </row>
    <row r="12" spans="1:12" x14ac:dyDescent="0.25">
      <c r="A12">
        <v>511.8</v>
      </c>
      <c r="L12">
        <v>6369</v>
      </c>
    </row>
    <row r="13" spans="1:12" x14ac:dyDescent="0.25">
      <c r="A13">
        <f>SUM(A1:A12)</f>
        <v>21843.32</v>
      </c>
      <c r="B13">
        <f>SUM(B1:B12)</f>
        <v>1337.85</v>
      </c>
      <c r="L13">
        <v>1002</v>
      </c>
    </row>
    <row r="14" spans="1:12" x14ac:dyDescent="0.25">
      <c r="L14">
        <v>4496</v>
      </c>
    </row>
    <row r="15" spans="1:12" x14ac:dyDescent="0.25">
      <c r="A15">
        <f>A13-B13</f>
        <v>20505.47</v>
      </c>
      <c r="B15">
        <v>472</v>
      </c>
      <c r="L15">
        <f>SUM(L11:L14)</f>
        <v>32373.25</v>
      </c>
    </row>
    <row r="16" spans="1:12" x14ac:dyDescent="0.25">
      <c r="B16">
        <v>911</v>
      </c>
    </row>
    <row r="17" spans="1:7" x14ac:dyDescent="0.25">
      <c r="A17">
        <v>1335</v>
      </c>
    </row>
    <row r="18" spans="1:7" x14ac:dyDescent="0.25">
      <c r="A18">
        <v>5585</v>
      </c>
    </row>
    <row r="19" spans="1:7" x14ac:dyDescent="0.25">
      <c r="A19">
        <v>2500</v>
      </c>
    </row>
    <row r="20" spans="1:7" x14ac:dyDescent="0.25">
      <c r="A20">
        <v>252</v>
      </c>
      <c r="G20">
        <f>28795.25-20506.25</f>
        <v>8289</v>
      </c>
    </row>
    <row r="22" spans="1:7" x14ac:dyDescent="0.25">
      <c r="A22">
        <f>SUM(A17:A20)</f>
        <v>9672</v>
      </c>
      <c r="B22">
        <f>SUM(B15:B16)</f>
        <v>1383</v>
      </c>
    </row>
    <row r="23" spans="1:7" x14ac:dyDescent="0.25">
      <c r="D23">
        <f>A15-B22</f>
        <v>19122.47</v>
      </c>
    </row>
    <row r="24" spans="1:7" x14ac:dyDescent="0.25">
      <c r="A24">
        <f>A22+A15-B22</f>
        <v>28794.47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8</dc:creator>
  <cp:lastModifiedBy>Win 8</cp:lastModifiedBy>
  <dcterms:created xsi:type="dcterms:W3CDTF">2019-08-01T10:43:25Z</dcterms:created>
  <dcterms:modified xsi:type="dcterms:W3CDTF">2021-04-21T02:00:35Z</dcterms:modified>
</cp:coreProperties>
</file>