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fileSharing readOnlyRecommended="1" userName="R, Rakesh" algorithmName="SHA-512" hashValue="4pLqmEU5RxWht2/SpDsb7zwnsADH2y0nv90LGIssQBS3AjZ/Cvaj2Ezv3MIFOosOPp37aJeN7+OtOlOy8tnEJg==" saltValue="2pTNS+4fKvcCFa+NRDekTg==" spinCount="100000"/>
  <workbookPr/>
  <mc:AlternateContent xmlns:mc="http://schemas.openxmlformats.org/markup-compatibility/2006">
    <mc:Choice Requires="x15">
      <x15ac:absPath xmlns:x15ac="http://schemas.microsoft.com/office/spreadsheetml/2010/11/ac" url="\\punnfil02\Discover Project$\DFS DOMESTIC\Project execution - 2008\AMS\Payment\Shift Roaster\eWallet\"/>
    </mc:Choice>
  </mc:AlternateContent>
  <xr:revisionPtr revIDLastSave="0" documentId="13_ncr:10001_{FB88834A-A40D-4F1A-B309-5805909CAE8E}" xr6:coauthVersionLast="47" xr6:coauthVersionMax="47" xr10:uidLastSave="{00000000-0000-0000-0000-000000000000}"/>
  <bookViews>
    <workbookView xWindow="-110" yWindow="-110" windowWidth="19420" windowHeight="10300" tabRatio="770" firstSheet="28" activeTab="37" xr2:uid="{00000000-000D-0000-FFFF-FFFF00000000}"/>
  </bookViews>
  <sheets>
    <sheet name="NOV'21" sheetId="2" state="hidden" r:id="rId1"/>
    <sheet name="DEC'21" sheetId="9" state="hidden" r:id="rId2"/>
    <sheet name="Jan'22" sheetId="11" state="hidden" r:id="rId3"/>
    <sheet name="Feb'22" sheetId="12" state="hidden" r:id="rId4"/>
    <sheet name="March'22" sheetId="13" state="hidden" r:id="rId5"/>
    <sheet name="April'22" sheetId="15" state="hidden" r:id="rId6"/>
    <sheet name="May'22" sheetId="17" state="hidden" r:id="rId7"/>
    <sheet name="May_Hybrid" sheetId="19" state="hidden" r:id="rId8"/>
    <sheet name="Jun'22 " sheetId="18" state="hidden" r:id="rId9"/>
    <sheet name="July'22" sheetId="21" state="hidden" r:id="rId10"/>
    <sheet name="July'22 New" sheetId="25" state="hidden" r:id="rId11"/>
    <sheet name="Aug'22" sheetId="22" state="hidden" r:id="rId12"/>
    <sheet name="Aug'22 New" sheetId="26" state="hidden" r:id="rId13"/>
    <sheet name="Aug'22_Dipak_format" sheetId="34" state="hidden" r:id="rId14"/>
    <sheet name="Sept'22_old" sheetId="35" state="hidden" r:id="rId15"/>
    <sheet name="Sept'22" sheetId="36" state="hidden" r:id="rId16"/>
    <sheet name="Oct'22" sheetId="37" state="hidden" r:id="rId17"/>
    <sheet name="Oct'22_updated" sheetId="38" state="hidden" r:id="rId18"/>
    <sheet name="Nov'22" sheetId="39" state="hidden" r:id="rId19"/>
    <sheet name="Dec'22" sheetId="42" state="hidden" r:id="rId20"/>
    <sheet name="Jan'23" sheetId="43" state="hidden" r:id="rId21"/>
    <sheet name="Feb'23 _bkp" sheetId="45" state="hidden" r:id="rId22"/>
    <sheet name="Feb'23" sheetId="44" state="hidden" r:id="rId23"/>
    <sheet name="Mar'23" sheetId="46" state="hidden" r:id="rId24"/>
    <sheet name="Apr'23" sheetId="47" state="hidden" r:id="rId25"/>
    <sheet name="May'23" sheetId="48" state="hidden" r:id="rId26"/>
    <sheet name="Jun'23" sheetId="49" state="hidden" r:id="rId27"/>
    <sheet name="July'23" sheetId="50" r:id="rId28"/>
    <sheet name="Aug'23" sheetId="51" r:id="rId29"/>
    <sheet name="Sept'23" sheetId="53" r:id="rId30"/>
    <sheet name="Oct'23" sheetId="54" r:id="rId31"/>
    <sheet name="Nov'23" sheetId="55" r:id="rId32"/>
    <sheet name="Dec'23" sheetId="57" r:id="rId33"/>
    <sheet name="Jan'24" sheetId="58" r:id="rId34"/>
    <sheet name="Feb'24" sheetId="59" r:id="rId35"/>
    <sheet name="Optional_Holidays_2024" sheetId="14" r:id="rId36"/>
    <sheet name="compoff_data" sheetId="24" r:id="rId37"/>
    <sheet name="peakon details" sheetId="40" r:id="rId38"/>
    <sheet name="60 hours" sheetId="56" r:id="rId39"/>
    <sheet name="shift group" sheetId="32" r:id="rId40"/>
    <sheet name="Associate_details" sheetId="10" r:id="rId41"/>
    <sheet name="Current location" sheetId="16" r:id="rId42"/>
    <sheet name="May 1st" sheetId="20" r:id="rId43"/>
  </sheets>
  <definedNames>
    <definedName name="_xlnm._FilterDatabase" localSheetId="38" hidden="1">'60 hours'!$A$1:$G$58</definedName>
    <definedName name="_xlnm._FilterDatabase" localSheetId="40" hidden="1">Associate_details!$A$1:$K$17</definedName>
    <definedName name="_xlnm._FilterDatabase" localSheetId="41" hidden="1">'Current location'!$H$1:$L$17</definedName>
    <definedName name="_xlnm._FilterDatabase" localSheetId="16" hidden="1">'Oct''22'!$A$1:$A$20</definedName>
  </definedName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1" i="58" l="1"/>
  <c r="AM20" i="58"/>
  <c r="AM19" i="58"/>
  <c r="AM18" i="58"/>
  <c r="AM17" i="58"/>
  <c r="AM15" i="58"/>
  <c r="AM14" i="58"/>
  <c r="AM13" i="58"/>
  <c r="AM12" i="58"/>
  <c r="AM11" i="58"/>
  <c r="AM10" i="58"/>
  <c r="AM5" i="58"/>
  <c r="AM6" i="58"/>
  <c r="AM7" i="58"/>
  <c r="AM8" i="58"/>
  <c r="AM4" i="58"/>
  <c r="AL5" i="58"/>
  <c r="AL6" i="58"/>
  <c r="AL7" i="58"/>
  <c r="AL8" i="58"/>
  <c r="AL10" i="58"/>
  <c r="AL11" i="58"/>
  <c r="AL12" i="58"/>
  <c r="AL13" i="58"/>
  <c r="AL14" i="58"/>
  <c r="AL15" i="58"/>
  <c r="AL17" i="58"/>
  <c r="AL18" i="58"/>
  <c r="AL19" i="58"/>
  <c r="AL20" i="58"/>
  <c r="AL21" i="58"/>
  <c r="AL4" i="58"/>
  <c r="AJ23" i="58"/>
  <c r="AJ24" i="58"/>
  <c r="AJ25" i="58"/>
  <c r="AJ26" i="58"/>
  <c r="AJ27" i="58"/>
  <c r="AJ28" i="58"/>
  <c r="AJ29" i="58"/>
  <c r="AJ30" i="58"/>
  <c r="AJ31" i="58"/>
  <c r="AI23" i="58"/>
  <c r="AI24" i="58"/>
  <c r="AI25" i="58"/>
  <c r="AI26" i="58"/>
  <c r="AI27" i="58"/>
  <c r="AI28" i="58"/>
  <c r="AI29" i="58"/>
  <c r="AI30" i="58"/>
  <c r="AI31" i="58"/>
  <c r="AH23" i="58"/>
  <c r="AH24" i="58"/>
  <c r="AH25" i="58"/>
  <c r="AH26" i="58"/>
  <c r="AH27" i="58"/>
  <c r="AH28" i="58"/>
  <c r="AH29" i="58"/>
  <c r="AH30" i="58"/>
  <c r="AH31" i="58"/>
  <c r="AG23" i="58"/>
  <c r="AG24" i="58"/>
  <c r="AG25" i="58"/>
  <c r="AG26" i="58"/>
  <c r="AG27" i="58"/>
  <c r="AG28" i="58"/>
  <c r="AG29" i="58"/>
  <c r="AG30" i="58"/>
  <c r="AG31" i="58"/>
  <c r="AF23" i="58"/>
  <c r="AF24" i="58"/>
  <c r="AF25" i="58"/>
  <c r="AF26" i="58"/>
  <c r="AF27" i="58"/>
  <c r="AF28" i="58"/>
  <c r="AF29" i="58"/>
  <c r="AF30" i="58"/>
  <c r="AF31" i="58"/>
  <c r="AE23" i="58"/>
  <c r="AE24" i="58"/>
  <c r="AE25" i="58"/>
  <c r="AE26" i="58"/>
  <c r="AE27" i="58"/>
  <c r="AE28" i="58"/>
  <c r="AE29" i="58"/>
  <c r="AE30" i="58"/>
  <c r="AE31" i="58"/>
  <c r="AD23" i="58"/>
  <c r="AD24" i="58"/>
  <c r="AD25" i="58"/>
  <c r="AD26" i="58"/>
  <c r="AD27" i="58"/>
  <c r="AD28" i="58"/>
  <c r="AD29" i="58"/>
  <c r="AD30" i="58"/>
  <c r="AD31" i="58"/>
  <c r="AC23" i="58"/>
  <c r="AC24" i="58"/>
  <c r="AC25" i="58"/>
  <c r="AC26" i="58"/>
  <c r="AC27" i="58"/>
  <c r="AC28" i="58"/>
  <c r="AC29" i="58"/>
  <c r="AC30" i="58"/>
  <c r="AC31" i="58"/>
  <c r="AB23" i="58"/>
  <c r="AB24" i="58"/>
  <c r="AB25" i="58"/>
  <c r="AB26" i="58"/>
  <c r="AB27" i="58"/>
  <c r="AB28" i="58"/>
  <c r="AB29" i="58"/>
  <c r="AB30" i="58"/>
  <c r="AB31" i="58"/>
  <c r="AA23" i="58"/>
  <c r="AA24" i="58"/>
  <c r="AA25" i="58"/>
  <c r="AA26" i="58"/>
  <c r="AA27" i="58"/>
  <c r="AA28" i="58"/>
  <c r="AA29" i="58"/>
  <c r="AA30" i="58"/>
  <c r="AA31" i="58"/>
  <c r="Z23" i="58"/>
  <c r="Z24" i="58"/>
  <c r="Z25" i="58"/>
  <c r="Z26" i="58"/>
  <c r="Z27" i="58"/>
  <c r="Z28" i="58"/>
  <c r="Z29" i="58"/>
  <c r="Z30" i="58"/>
  <c r="Z31" i="58"/>
  <c r="Y23" i="58"/>
  <c r="Y24" i="58"/>
  <c r="Y25" i="58"/>
  <c r="Y26" i="58"/>
  <c r="Y27" i="58"/>
  <c r="Y28" i="58"/>
  <c r="Y29" i="58"/>
  <c r="Y30" i="58"/>
  <c r="Y31" i="58"/>
  <c r="X23" i="58"/>
  <c r="X24" i="58"/>
  <c r="X25" i="58"/>
  <c r="X26" i="58"/>
  <c r="X27" i="58"/>
  <c r="X28" i="58"/>
  <c r="X29" i="58"/>
  <c r="X30" i="58"/>
  <c r="X31" i="58"/>
  <c r="W23" i="58"/>
  <c r="W24" i="58"/>
  <c r="W25" i="58"/>
  <c r="W26" i="58"/>
  <c r="W27" i="58"/>
  <c r="W28" i="58"/>
  <c r="W29" i="58"/>
  <c r="W30" i="58"/>
  <c r="W31" i="58"/>
  <c r="V23" i="58"/>
  <c r="V24" i="58"/>
  <c r="V25" i="58"/>
  <c r="V26" i="58"/>
  <c r="V27" i="58"/>
  <c r="V28" i="58"/>
  <c r="V29" i="58"/>
  <c r="V30" i="58"/>
  <c r="V31" i="58"/>
  <c r="U23" i="58"/>
  <c r="U24" i="58"/>
  <c r="U25" i="58"/>
  <c r="U26" i="58"/>
  <c r="U27" i="58"/>
  <c r="U28" i="58"/>
  <c r="U29" i="58"/>
  <c r="U30" i="58"/>
  <c r="U31" i="58"/>
  <c r="T23" i="58"/>
  <c r="T24" i="58"/>
  <c r="T25" i="58"/>
  <c r="T26" i="58"/>
  <c r="T27" i="58"/>
  <c r="T28" i="58"/>
  <c r="T29" i="58"/>
  <c r="T30" i="58"/>
  <c r="T31" i="58"/>
  <c r="S23" i="58"/>
  <c r="S24" i="58"/>
  <c r="S25" i="58"/>
  <c r="S26" i="58"/>
  <c r="S27" i="58"/>
  <c r="S28" i="58"/>
  <c r="S29" i="58"/>
  <c r="S30" i="58"/>
  <c r="S31" i="58"/>
  <c r="R23" i="58"/>
  <c r="R24" i="58"/>
  <c r="R25" i="58"/>
  <c r="R26" i="58"/>
  <c r="R27" i="58"/>
  <c r="R28" i="58"/>
  <c r="R29" i="58"/>
  <c r="R30" i="58"/>
  <c r="R31" i="58"/>
  <c r="Q23" i="58"/>
  <c r="Q24" i="58"/>
  <c r="Q25" i="58"/>
  <c r="Q26" i="58"/>
  <c r="Q27" i="58"/>
  <c r="Q28" i="58"/>
  <c r="Q29" i="58"/>
  <c r="Q30" i="58"/>
  <c r="Q31" i="58"/>
  <c r="P23" i="58"/>
  <c r="P24" i="58"/>
  <c r="P25" i="58"/>
  <c r="P26" i="58"/>
  <c r="P27" i="58"/>
  <c r="P28" i="58"/>
  <c r="P29" i="58"/>
  <c r="P30" i="58"/>
  <c r="P31" i="58"/>
  <c r="O23" i="58"/>
  <c r="O24" i="58"/>
  <c r="O25" i="58"/>
  <c r="O26" i="58"/>
  <c r="O27" i="58"/>
  <c r="O28" i="58"/>
  <c r="O29" i="58"/>
  <c r="O30" i="58"/>
  <c r="O31" i="58"/>
  <c r="N23" i="58"/>
  <c r="N24" i="58"/>
  <c r="N25" i="58"/>
  <c r="N26" i="58"/>
  <c r="N27" i="58"/>
  <c r="N28" i="58"/>
  <c r="N29" i="58"/>
  <c r="N30" i="58"/>
  <c r="N31" i="58"/>
  <c r="M23" i="58"/>
  <c r="M24" i="58"/>
  <c r="M25" i="58"/>
  <c r="M26" i="58"/>
  <c r="M27" i="58"/>
  <c r="M28" i="58"/>
  <c r="M29" i="58"/>
  <c r="M30" i="58"/>
  <c r="M31" i="58"/>
  <c r="L23" i="58"/>
  <c r="L24" i="58"/>
  <c r="L25" i="58"/>
  <c r="L26" i="58"/>
  <c r="L27" i="58"/>
  <c r="L28" i="58"/>
  <c r="L29" i="58"/>
  <c r="L30" i="58"/>
  <c r="L31" i="58"/>
  <c r="K23" i="58"/>
  <c r="K24" i="58"/>
  <c r="K25" i="58"/>
  <c r="K26" i="58"/>
  <c r="K27" i="58"/>
  <c r="K28" i="58"/>
  <c r="K29" i="58"/>
  <c r="K30" i="58"/>
  <c r="K31" i="58"/>
  <c r="J23" i="58"/>
  <c r="J24" i="58"/>
  <c r="J25" i="58"/>
  <c r="J26" i="58"/>
  <c r="J27" i="58"/>
  <c r="J28" i="58"/>
  <c r="J29" i="58"/>
  <c r="J30" i="58"/>
  <c r="J31" i="58"/>
  <c r="I23" i="58"/>
  <c r="I24" i="58"/>
  <c r="I25" i="58"/>
  <c r="I26" i="58"/>
  <c r="I27" i="58"/>
  <c r="I28" i="58"/>
  <c r="I29" i="58"/>
  <c r="I30" i="58"/>
  <c r="I31" i="58"/>
  <c r="H23" i="58"/>
  <c r="H24" i="58"/>
  <c r="H25" i="58"/>
  <c r="H26" i="58"/>
  <c r="H27" i="58"/>
  <c r="H28" i="58"/>
  <c r="H29" i="58"/>
  <c r="H30" i="58"/>
  <c r="H31" i="58"/>
  <c r="G23" i="58"/>
  <c r="G24" i="58"/>
  <c r="G25" i="58"/>
  <c r="G26" i="58"/>
  <c r="G27" i="58"/>
  <c r="G28" i="58"/>
  <c r="G29" i="58"/>
  <c r="G30" i="58"/>
  <c r="G31" i="58"/>
  <c r="F23" i="58"/>
  <c r="F24" i="58"/>
  <c r="F25" i="58"/>
  <c r="F26" i="58"/>
  <c r="F27" i="58"/>
  <c r="F28" i="58"/>
  <c r="F29" i="58"/>
  <c r="F30" i="58"/>
  <c r="F31" i="58"/>
  <c r="L1" i="57"/>
  <c r="AH5" i="57"/>
  <c r="AH6" i="57"/>
  <c r="AH7" i="57"/>
  <c r="AH8" i="57"/>
  <c r="AH9" i="57"/>
  <c r="AH11" i="57"/>
  <c r="AH12" i="57"/>
  <c r="AH13" i="57"/>
  <c r="AH14" i="57"/>
  <c r="AH15" i="57"/>
  <c r="AH17" i="57"/>
  <c r="AH18" i="57"/>
  <c r="AH19" i="57"/>
  <c r="AH20" i="57"/>
  <c r="AH21" i="57"/>
  <c r="AH4" i="57"/>
  <c r="AI4" i="57"/>
  <c r="G1" i="59"/>
  <c r="H1" i="59"/>
  <c r="I1" i="59"/>
  <c r="J1" i="59"/>
  <c r="K1" i="59"/>
  <c r="L1" i="59"/>
  <c r="M1" i="59"/>
  <c r="N1" i="59"/>
  <c r="O1" i="59"/>
  <c r="P1" i="59"/>
  <c r="Q1" i="59"/>
  <c r="R1" i="59"/>
  <c r="S1" i="59"/>
  <c r="T1" i="59"/>
  <c r="U1" i="59"/>
  <c r="V1" i="59"/>
  <c r="W1" i="59"/>
  <c r="X1" i="59"/>
  <c r="Y1" i="59"/>
  <c r="Z1" i="59"/>
  <c r="AA1" i="59"/>
  <c r="AB1" i="59"/>
  <c r="AC1" i="59"/>
  <c r="AD1" i="59"/>
  <c r="AE1" i="59"/>
  <c r="AF1" i="59"/>
  <c r="AG1" i="59"/>
  <c r="AH1" i="59"/>
  <c r="F1" i="59"/>
  <c r="E1" i="59"/>
  <c r="D1" i="59"/>
  <c r="C1" i="59"/>
  <c r="B1" i="59"/>
  <c r="AJ1" i="58"/>
  <c r="F1" i="58"/>
  <c r="G1" i="58"/>
  <c r="H1" i="58"/>
  <c r="I1" i="58"/>
  <c r="J1" i="58"/>
  <c r="K1" i="58"/>
  <c r="L1" i="58"/>
  <c r="M1" i="58"/>
  <c r="N1" i="58"/>
  <c r="O1" i="58"/>
  <c r="P1" i="58"/>
  <c r="Q1" i="58"/>
  <c r="R1" i="58"/>
  <c r="S1" i="58"/>
  <c r="T1" i="58"/>
  <c r="U1" i="58"/>
  <c r="V1" i="58"/>
  <c r="W1" i="58"/>
  <c r="X1" i="58"/>
  <c r="Y1" i="58"/>
  <c r="Z1" i="58"/>
  <c r="AA1" i="58"/>
  <c r="AB1" i="58"/>
  <c r="AC1" i="58"/>
  <c r="AD1" i="58"/>
  <c r="AE1" i="58"/>
  <c r="AF1" i="58"/>
  <c r="AG1" i="58"/>
  <c r="AH1" i="58"/>
  <c r="AI1" i="58"/>
  <c r="E23" i="58"/>
  <c r="E24" i="58"/>
  <c r="E25" i="58"/>
  <c r="E26" i="58"/>
  <c r="E27" i="58"/>
  <c r="E28" i="58"/>
  <c r="E29" i="58"/>
  <c r="E30" i="58"/>
  <c r="E31" i="58"/>
  <c r="D23" i="58"/>
  <c r="D24" i="58"/>
  <c r="D25" i="58"/>
  <c r="D26" i="58"/>
  <c r="D27" i="58"/>
  <c r="D28" i="58"/>
  <c r="D29" i="58"/>
  <c r="D30" i="58"/>
  <c r="D31" i="58"/>
  <c r="C23" i="58"/>
  <c r="C24" i="58"/>
  <c r="C25" i="58"/>
  <c r="C26" i="58"/>
  <c r="C27" i="58"/>
  <c r="C28" i="58"/>
  <c r="C29" i="58"/>
  <c r="C30" i="58"/>
  <c r="C31" i="58"/>
  <c r="B23" i="58"/>
  <c r="B24" i="58"/>
  <c r="B25" i="58"/>
  <c r="B26" i="58"/>
  <c r="B27" i="58"/>
  <c r="B28" i="58"/>
  <c r="B29" i="58"/>
  <c r="B30" i="58"/>
  <c r="B31" i="58"/>
  <c r="E1" i="58"/>
  <c r="D1" i="58"/>
  <c r="C1" i="58"/>
  <c r="B1" i="58"/>
  <c r="AF30" i="57"/>
  <c r="AE30" i="57"/>
  <c r="AD30" i="57"/>
  <c r="AC30" i="57"/>
  <c r="AB30" i="57"/>
  <c r="AA30" i="57"/>
  <c r="Z30" i="57"/>
  <c r="AF29" i="57"/>
  <c r="AE29" i="57"/>
  <c r="AD29" i="57"/>
  <c r="AC29" i="57"/>
  <c r="AB29" i="57"/>
  <c r="AA29" i="57"/>
  <c r="Z29" i="57"/>
  <c r="AF28" i="57"/>
  <c r="AE28" i="57"/>
  <c r="AD28" i="57"/>
  <c r="AC28" i="57"/>
  <c r="AB28" i="57"/>
  <c r="AA28" i="57"/>
  <c r="Z28" i="57"/>
  <c r="AF27" i="57"/>
  <c r="AE27" i="57"/>
  <c r="AD27" i="57"/>
  <c r="AC27" i="57"/>
  <c r="AB27" i="57"/>
  <c r="AA27" i="57"/>
  <c r="Z27" i="57"/>
  <c r="AF26" i="57"/>
  <c r="AE26" i="57"/>
  <c r="AD26" i="57"/>
  <c r="AC26" i="57"/>
  <c r="AB26" i="57"/>
  <c r="AA26" i="57"/>
  <c r="Z26" i="57"/>
  <c r="AF25" i="57"/>
  <c r="AE25" i="57"/>
  <c r="AD25" i="57"/>
  <c r="AC25" i="57"/>
  <c r="AB25" i="57"/>
  <c r="AA25" i="57"/>
  <c r="Z25" i="57"/>
  <c r="AF24" i="57"/>
  <c r="AE24" i="57"/>
  <c r="AD24" i="57"/>
  <c r="AC24" i="57"/>
  <c r="AB24" i="57"/>
  <c r="AA24" i="57"/>
  <c r="Z24" i="57"/>
  <c r="AF23" i="57"/>
  <c r="AE23" i="57"/>
  <c r="AD23" i="57"/>
  <c r="AC23" i="57"/>
  <c r="AB23" i="57"/>
  <c r="AA23" i="57"/>
  <c r="Z23" i="57"/>
  <c r="Y30" i="57"/>
  <c r="X30" i="57"/>
  <c r="W30" i="57"/>
  <c r="V30" i="57"/>
  <c r="U30" i="57"/>
  <c r="T30" i="57"/>
  <c r="S30" i="57"/>
  <c r="Y29" i="57"/>
  <c r="X29" i="57"/>
  <c r="W29" i="57"/>
  <c r="V29" i="57"/>
  <c r="U29" i="57"/>
  <c r="T29" i="57"/>
  <c r="S29" i="57"/>
  <c r="Y28" i="57"/>
  <c r="X28" i="57"/>
  <c r="W28" i="57"/>
  <c r="V28" i="57"/>
  <c r="U28" i="57"/>
  <c r="T28" i="57"/>
  <c r="S28" i="57"/>
  <c r="Y27" i="57"/>
  <c r="X27" i="57"/>
  <c r="W27" i="57"/>
  <c r="V27" i="57"/>
  <c r="U27" i="57"/>
  <c r="T27" i="57"/>
  <c r="S27" i="57"/>
  <c r="Y26" i="57"/>
  <c r="X26" i="57"/>
  <c r="W26" i="57"/>
  <c r="V26" i="57"/>
  <c r="U26" i="57"/>
  <c r="T26" i="57"/>
  <c r="S26" i="57"/>
  <c r="Y25" i="57"/>
  <c r="X25" i="57"/>
  <c r="W25" i="57"/>
  <c r="V25" i="57"/>
  <c r="U25" i="57"/>
  <c r="T25" i="57"/>
  <c r="S25" i="57"/>
  <c r="Y24" i="57"/>
  <c r="X24" i="57"/>
  <c r="W24" i="57"/>
  <c r="V24" i="57"/>
  <c r="U24" i="57"/>
  <c r="T24" i="57"/>
  <c r="S24" i="57"/>
  <c r="Y23" i="57"/>
  <c r="X23" i="57"/>
  <c r="W23" i="57"/>
  <c r="V23" i="57"/>
  <c r="U23" i="57"/>
  <c r="T23" i="57"/>
  <c r="S23" i="57"/>
  <c r="R30" i="57"/>
  <c r="Q30" i="57"/>
  <c r="P30" i="57"/>
  <c r="O30" i="57"/>
  <c r="N30" i="57"/>
  <c r="M30" i="57"/>
  <c r="L30" i="57"/>
  <c r="R29" i="57"/>
  <c r="Q29" i="57"/>
  <c r="P29" i="57"/>
  <c r="O29" i="57"/>
  <c r="N29" i="57"/>
  <c r="M29" i="57"/>
  <c r="L29" i="57"/>
  <c r="R28" i="57"/>
  <c r="Q28" i="57"/>
  <c r="P28" i="57"/>
  <c r="O28" i="57"/>
  <c r="N28" i="57"/>
  <c r="M28" i="57"/>
  <c r="L28" i="57"/>
  <c r="R27" i="57"/>
  <c r="Q27" i="57"/>
  <c r="P27" i="57"/>
  <c r="O27" i="57"/>
  <c r="N27" i="57"/>
  <c r="M27" i="57"/>
  <c r="L27" i="57"/>
  <c r="R26" i="57"/>
  <c r="Q26" i="57"/>
  <c r="P26" i="57"/>
  <c r="O26" i="57"/>
  <c r="N26" i="57"/>
  <c r="M26" i="57"/>
  <c r="L26" i="57"/>
  <c r="R25" i="57"/>
  <c r="Q25" i="57"/>
  <c r="P25" i="57"/>
  <c r="O25" i="57"/>
  <c r="N25" i="57"/>
  <c r="M25" i="57"/>
  <c r="L25" i="57"/>
  <c r="R24" i="57"/>
  <c r="Q24" i="57"/>
  <c r="P24" i="57"/>
  <c r="O24" i="57"/>
  <c r="N24" i="57"/>
  <c r="M24" i="57"/>
  <c r="L24" i="57"/>
  <c r="R23" i="57"/>
  <c r="Q23" i="57"/>
  <c r="P23" i="57"/>
  <c r="O23" i="57"/>
  <c r="N23" i="57"/>
  <c r="M23" i="57"/>
  <c r="L23" i="57"/>
  <c r="K30" i="57"/>
  <c r="J30" i="57"/>
  <c r="K29" i="57"/>
  <c r="J29" i="57"/>
  <c r="K28" i="57"/>
  <c r="J28" i="57"/>
  <c r="K27" i="57"/>
  <c r="J27" i="57"/>
  <c r="K26" i="57"/>
  <c r="J26" i="57"/>
  <c r="K25" i="57"/>
  <c r="J25" i="57"/>
  <c r="K24" i="57"/>
  <c r="J24" i="57"/>
  <c r="K23" i="57"/>
  <c r="J23" i="57"/>
  <c r="I30" i="57"/>
  <c r="H30" i="57"/>
  <c r="G30" i="57"/>
  <c r="F30" i="57"/>
  <c r="E30" i="57"/>
  <c r="I29" i="57"/>
  <c r="H29" i="57"/>
  <c r="G29" i="57"/>
  <c r="F29" i="57"/>
  <c r="E29" i="57"/>
  <c r="I28" i="57"/>
  <c r="H28" i="57"/>
  <c r="G28" i="57"/>
  <c r="F28" i="57"/>
  <c r="E28" i="57"/>
  <c r="I27" i="57"/>
  <c r="H27" i="57"/>
  <c r="G27" i="57"/>
  <c r="F27" i="57"/>
  <c r="E27" i="57"/>
  <c r="I26" i="57"/>
  <c r="H26" i="57"/>
  <c r="G26" i="57"/>
  <c r="F26" i="57"/>
  <c r="E26" i="57"/>
  <c r="I25" i="57"/>
  <c r="H25" i="57"/>
  <c r="G25" i="57"/>
  <c r="F25" i="57"/>
  <c r="E25" i="57"/>
  <c r="I24" i="57"/>
  <c r="H24" i="57"/>
  <c r="G24" i="57"/>
  <c r="F24" i="57"/>
  <c r="E24" i="57"/>
  <c r="I23" i="57"/>
  <c r="H23" i="57"/>
  <c r="G23" i="57"/>
  <c r="F23" i="57"/>
  <c r="E23" i="57"/>
  <c r="D30" i="57"/>
  <c r="C30" i="57"/>
  <c r="B30" i="57"/>
  <c r="D29" i="57"/>
  <c r="C29" i="57"/>
  <c r="B29" i="57"/>
  <c r="D28" i="57"/>
  <c r="C28" i="57"/>
  <c r="B28" i="57"/>
  <c r="D27" i="57"/>
  <c r="C27" i="57"/>
  <c r="B27" i="57"/>
  <c r="D26" i="57"/>
  <c r="C26" i="57"/>
  <c r="B26" i="57"/>
  <c r="D25" i="57"/>
  <c r="C25" i="57"/>
  <c r="B25" i="57"/>
  <c r="D24" i="57"/>
  <c r="C24" i="57"/>
  <c r="B24" i="57"/>
  <c r="D23" i="57"/>
  <c r="C23" i="57"/>
  <c r="B23" i="57"/>
  <c r="AF1" i="57"/>
  <c r="AE1" i="57"/>
  <c r="AD1" i="57"/>
  <c r="AC1" i="57"/>
  <c r="AB1" i="57"/>
  <c r="AA1" i="57"/>
  <c r="Z1" i="57"/>
  <c r="Y1" i="57"/>
  <c r="X1" i="57"/>
  <c r="W1" i="57"/>
  <c r="V1" i="57"/>
  <c r="U1" i="57"/>
  <c r="T1" i="57"/>
  <c r="S1" i="57"/>
  <c r="R1" i="57"/>
  <c r="Q1" i="57"/>
  <c r="P1" i="57"/>
  <c r="O1" i="57"/>
  <c r="N1" i="57"/>
  <c r="M1" i="57"/>
  <c r="K1" i="57"/>
  <c r="J1" i="57"/>
  <c r="I1" i="57"/>
  <c r="H1" i="57"/>
  <c r="G1" i="57"/>
  <c r="F1" i="57"/>
  <c r="E1" i="57"/>
  <c r="D1" i="57"/>
  <c r="C1" i="57"/>
  <c r="B1" i="57"/>
  <c r="AH30" i="55"/>
  <c r="AG30" i="55"/>
  <c r="AF30" i="55"/>
  <c r="AE30" i="55"/>
  <c r="AD30" i="55"/>
  <c r="AC30" i="55"/>
  <c r="AB30" i="55"/>
  <c r="AH29" i="55"/>
  <c r="AG29" i="55"/>
  <c r="AF29" i="55"/>
  <c r="AE29" i="55"/>
  <c r="AD29" i="55"/>
  <c r="AC29" i="55"/>
  <c r="AB29" i="55"/>
  <c r="AH28" i="55"/>
  <c r="AG28" i="55"/>
  <c r="AF28" i="55"/>
  <c r="AE28" i="55"/>
  <c r="AD28" i="55"/>
  <c r="AC28" i="55"/>
  <c r="AB28" i="55"/>
  <c r="AH27" i="55"/>
  <c r="AG27" i="55"/>
  <c r="AF27" i="55"/>
  <c r="AE27" i="55"/>
  <c r="AD27" i="55"/>
  <c r="AC27" i="55"/>
  <c r="AB27" i="55"/>
  <c r="AH26" i="55"/>
  <c r="AG26" i="55"/>
  <c r="AF26" i="55"/>
  <c r="AE26" i="55"/>
  <c r="AD26" i="55"/>
  <c r="AC26" i="55"/>
  <c r="AB26" i="55"/>
  <c r="AH25" i="55"/>
  <c r="AG25" i="55"/>
  <c r="AF25" i="55"/>
  <c r="AE25" i="55"/>
  <c r="AD25" i="55"/>
  <c r="AC25" i="55"/>
  <c r="AB25" i="55"/>
  <c r="AH24" i="55"/>
  <c r="AG24" i="55"/>
  <c r="AF24" i="55"/>
  <c r="AE24" i="55"/>
  <c r="AD24" i="55"/>
  <c r="AC24" i="55"/>
  <c r="AB24" i="55"/>
  <c r="AH23" i="55"/>
  <c r="AG23" i="55"/>
  <c r="AF23" i="55"/>
  <c r="AE23" i="55"/>
  <c r="AD23" i="55"/>
  <c r="AC23" i="55"/>
  <c r="AB23" i="55"/>
  <c r="AA30" i="55"/>
  <c r="Z30" i="55"/>
  <c r="Y30" i="55"/>
  <c r="X30" i="55"/>
  <c r="W30" i="55"/>
  <c r="V30" i="55"/>
  <c r="U30" i="55"/>
  <c r="AA29" i="55"/>
  <c r="Z29" i="55"/>
  <c r="Y29" i="55"/>
  <c r="X29" i="55"/>
  <c r="W29" i="55"/>
  <c r="V29" i="55"/>
  <c r="U29" i="55"/>
  <c r="AA28" i="55"/>
  <c r="Z28" i="55"/>
  <c r="Y28" i="55"/>
  <c r="X28" i="55"/>
  <c r="W28" i="55"/>
  <c r="V28" i="55"/>
  <c r="U28" i="55"/>
  <c r="AA27" i="55"/>
  <c r="Z27" i="55"/>
  <c r="Y27" i="55"/>
  <c r="X27" i="55"/>
  <c r="W27" i="55"/>
  <c r="V27" i="55"/>
  <c r="U27" i="55"/>
  <c r="AA26" i="55"/>
  <c r="Z26" i="55"/>
  <c r="Y26" i="55"/>
  <c r="X26" i="55"/>
  <c r="W26" i="55"/>
  <c r="V26" i="55"/>
  <c r="U26" i="55"/>
  <c r="AA25" i="55"/>
  <c r="Z25" i="55"/>
  <c r="Y25" i="55"/>
  <c r="X25" i="55"/>
  <c r="W25" i="55"/>
  <c r="V25" i="55"/>
  <c r="U25" i="55"/>
  <c r="AA24" i="55"/>
  <c r="Z24" i="55"/>
  <c r="Y24" i="55"/>
  <c r="X24" i="55"/>
  <c r="W24" i="55"/>
  <c r="V24" i="55"/>
  <c r="U24" i="55"/>
  <c r="AA23" i="55"/>
  <c r="Z23" i="55"/>
  <c r="Y23" i="55"/>
  <c r="X23" i="55"/>
  <c r="W23" i="55"/>
  <c r="V23" i="55"/>
  <c r="U23" i="55"/>
  <c r="T30" i="55"/>
  <c r="S30" i="55"/>
  <c r="R30" i="55"/>
  <c r="Q30" i="55"/>
  <c r="P30" i="55"/>
  <c r="O30" i="55"/>
  <c r="N30" i="55"/>
  <c r="T29" i="55"/>
  <c r="S29" i="55"/>
  <c r="R29" i="55"/>
  <c r="Q29" i="55"/>
  <c r="P29" i="55"/>
  <c r="O29" i="55"/>
  <c r="N29" i="55"/>
  <c r="T28" i="55"/>
  <c r="S28" i="55"/>
  <c r="R28" i="55"/>
  <c r="Q28" i="55"/>
  <c r="P28" i="55"/>
  <c r="O28" i="55"/>
  <c r="N28" i="55"/>
  <c r="T27" i="55"/>
  <c r="S27" i="55"/>
  <c r="R27" i="55"/>
  <c r="Q27" i="55"/>
  <c r="P27" i="55"/>
  <c r="O27" i="55"/>
  <c r="N27" i="55"/>
  <c r="T26" i="55"/>
  <c r="S26" i="55"/>
  <c r="R26" i="55"/>
  <c r="Q26" i="55"/>
  <c r="P26" i="55"/>
  <c r="O26" i="55"/>
  <c r="N26" i="55"/>
  <c r="T25" i="55"/>
  <c r="S25" i="55"/>
  <c r="R25" i="55"/>
  <c r="Q25" i="55"/>
  <c r="P25" i="55"/>
  <c r="O25" i="55"/>
  <c r="N25" i="55"/>
  <c r="T24" i="55"/>
  <c r="S24" i="55"/>
  <c r="R24" i="55"/>
  <c r="Q24" i="55"/>
  <c r="P24" i="55"/>
  <c r="O24" i="55"/>
  <c r="N24" i="55"/>
  <c r="T23" i="55"/>
  <c r="S23" i="55"/>
  <c r="R23" i="55"/>
  <c r="Q23" i="55"/>
  <c r="P23" i="55"/>
  <c r="O23" i="55"/>
  <c r="N23" i="55"/>
  <c r="M30" i="55"/>
  <c r="L30" i="55"/>
  <c r="K30" i="55"/>
  <c r="J30" i="55"/>
  <c r="I30" i="55"/>
  <c r="H30" i="55"/>
  <c r="G30" i="55"/>
  <c r="M29" i="55"/>
  <c r="L29" i="55"/>
  <c r="K29" i="55"/>
  <c r="J29" i="55"/>
  <c r="I29" i="55"/>
  <c r="H29" i="55"/>
  <c r="G29" i="55"/>
  <c r="M28" i="55"/>
  <c r="L28" i="55"/>
  <c r="K28" i="55"/>
  <c r="J28" i="55"/>
  <c r="I28" i="55"/>
  <c r="H28" i="55"/>
  <c r="G28" i="55"/>
  <c r="M27" i="55"/>
  <c r="L27" i="55"/>
  <c r="K27" i="55"/>
  <c r="J27" i="55"/>
  <c r="I27" i="55"/>
  <c r="H27" i="55"/>
  <c r="G27" i="55"/>
  <c r="M26" i="55"/>
  <c r="L26" i="55"/>
  <c r="K26" i="55"/>
  <c r="J26" i="55"/>
  <c r="I26" i="55"/>
  <c r="H26" i="55"/>
  <c r="G26" i="55"/>
  <c r="M25" i="55"/>
  <c r="L25" i="55"/>
  <c r="K25" i="55"/>
  <c r="J25" i="55"/>
  <c r="I25" i="55"/>
  <c r="H25" i="55"/>
  <c r="G25" i="55"/>
  <c r="M24" i="55"/>
  <c r="L24" i="55"/>
  <c r="K24" i="55"/>
  <c r="J24" i="55"/>
  <c r="I24" i="55"/>
  <c r="H24" i="55"/>
  <c r="G24" i="55"/>
  <c r="M23" i="55"/>
  <c r="L23" i="55"/>
  <c r="K23" i="55"/>
  <c r="J23" i="55"/>
  <c r="I23" i="55"/>
  <c r="H23" i="55"/>
  <c r="G23" i="55"/>
  <c r="F30" i="55"/>
  <c r="E30" i="55"/>
  <c r="F29" i="55"/>
  <c r="E29" i="55"/>
  <c r="F28" i="55"/>
  <c r="E28" i="55"/>
  <c r="F27" i="55"/>
  <c r="E27" i="55"/>
  <c r="F26" i="55"/>
  <c r="E26" i="55"/>
  <c r="F25" i="55"/>
  <c r="E25" i="55"/>
  <c r="F24" i="55"/>
  <c r="E24" i="55"/>
  <c r="F23" i="55"/>
  <c r="E23" i="55"/>
  <c r="D30" i="55"/>
  <c r="C30" i="55"/>
  <c r="B30" i="55"/>
  <c r="D29" i="55"/>
  <c r="C29" i="55"/>
  <c r="B29" i="55"/>
  <c r="D28" i="55"/>
  <c r="C28" i="55"/>
  <c r="B28" i="55"/>
  <c r="D27" i="55"/>
  <c r="C27" i="55"/>
  <c r="B27" i="55"/>
  <c r="D26" i="55"/>
  <c r="C26" i="55"/>
  <c r="B26" i="55"/>
  <c r="D25" i="55"/>
  <c r="C25" i="55"/>
  <c r="B25" i="55"/>
  <c r="D24" i="55"/>
  <c r="C24" i="55"/>
  <c r="B24" i="55"/>
  <c r="D23" i="55"/>
  <c r="C23" i="55"/>
  <c r="B23" i="55"/>
  <c r="S23" i="54"/>
  <c r="T23" i="54"/>
  <c r="S24" i="54"/>
  <c r="T24" i="54"/>
  <c r="S25" i="54"/>
  <c r="T25" i="54"/>
  <c r="S26" i="54"/>
  <c r="T26" i="54"/>
  <c r="S27" i="54"/>
  <c r="T27" i="54"/>
  <c r="S28" i="54"/>
  <c r="T28" i="54"/>
  <c r="S29" i="54"/>
  <c r="T29" i="54"/>
  <c r="S30" i="54"/>
  <c r="T30" i="54"/>
  <c r="AH1" i="55"/>
  <c r="AI1" i="55"/>
  <c r="AJ1" i="55"/>
  <c r="AK1" i="55"/>
  <c r="AL1" i="55"/>
  <c r="AM1" i="55"/>
  <c r="AN1" i="55"/>
  <c r="AO1" i="55"/>
  <c r="AP1" i="55"/>
  <c r="AQ1" i="55"/>
  <c r="AR1" i="55"/>
  <c r="AS1" i="55"/>
  <c r="AT1" i="55"/>
  <c r="AU1" i="55"/>
  <c r="AV1" i="55"/>
  <c r="AW1" i="55"/>
  <c r="AX1" i="55"/>
  <c r="AY1" i="55"/>
  <c r="AZ1" i="55"/>
  <c r="BA1" i="55"/>
  <c r="BB1" i="55"/>
  <c r="BC1" i="55"/>
  <c r="BD1" i="55"/>
  <c r="BE1" i="55"/>
  <c r="BF1" i="55"/>
  <c r="BG1" i="55"/>
  <c r="BH1" i="55"/>
  <c r="BI1" i="55"/>
  <c r="BJ1" i="55"/>
  <c r="W31" i="57"/>
  <c r="Y31" i="57"/>
  <c r="AB31" i="57"/>
  <c r="AC31" i="57"/>
  <c r="AD31" i="57"/>
  <c r="T31" i="57"/>
  <c r="X31" i="57"/>
  <c r="N31" i="57"/>
  <c r="P31" i="57"/>
  <c r="O31" i="57"/>
  <c r="I31" i="57"/>
  <c r="G31" i="57"/>
  <c r="H31" i="57"/>
  <c r="AA31" i="57"/>
  <c r="Z31" i="57"/>
  <c r="V31" i="57"/>
  <c r="U31" i="57"/>
  <c r="S31" i="57"/>
  <c r="Q31" i="57"/>
  <c r="R31" i="57"/>
  <c r="L31" i="57"/>
  <c r="M31" i="57"/>
  <c r="K31" i="57"/>
  <c r="J31" i="57"/>
  <c r="F31" i="57"/>
  <c r="E31" i="57"/>
  <c r="AF31" i="57"/>
  <c r="AE31" i="57"/>
  <c r="B31" i="57"/>
  <c r="C31" i="57"/>
  <c r="D31" i="57"/>
  <c r="D31" i="55"/>
  <c r="C31" i="55"/>
  <c r="F31" i="55"/>
  <c r="P31" i="55"/>
  <c r="J31" i="55"/>
  <c r="N31" i="55"/>
  <c r="AE31" i="55"/>
  <c r="AC31" i="55"/>
  <c r="K31" i="55"/>
  <c r="O31" i="55"/>
  <c r="AF31" i="55"/>
  <c r="AA31" i="55"/>
  <c r="AD31" i="55"/>
  <c r="L31" i="55"/>
  <c r="AG31" i="55"/>
  <c r="M31" i="55"/>
  <c r="AH31" i="55"/>
  <c r="Z31" i="55"/>
  <c r="AB31" i="55"/>
  <c r="X31" i="55"/>
  <c r="E31" i="55"/>
  <c r="Y31" i="55"/>
  <c r="U31" i="55"/>
  <c r="R31" i="55"/>
  <c r="S31" i="55"/>
  <c r="W31" i="55"/>
  <c r="Q31" i="55"/>
  <c r="V31" i="55"/>
  <c r="T31" i="55"/>
  <c r="I31" i="55"/>
  <c r="B31" i="55"/>
  <c r="H31" i="55"/>
  <c r="G31" i="55"/>
  <c r="T31" i="54"/>
  <c r="S31" i="54"/>
  <c r="AF30" i="54"/>
  <c r="AE30" i="54"/>
  <c r="AF29" i="54"/>
  <c r="AE29" i="54"/>
  <c r="AF28" i="54"/>
  <c r="AE28" i="54"/>
  <c r="AF27" i="54"/>
  <c r="AE27" i="54"/>
  <c r="AF26" i="54"/>
  <c r="AE26" i="54"/>
  <c r="AF25" i="54"/>
  <c r="AE25" i="54"/>
  <c r="AF24" i="54"/>
  <c r="AE24" i="54"/>
  <c r="AF23" i="54"/>
  <c r="AE23" i="54"/>
  <c r="AD30" i="54"/>
  <c r="AC30" i="54"/>
  <c r="AB30" i="54"/>
  <c r="AA30" i="54"/>
  <c r="Z30" i="54"/>
  <c r="Y30" i="54"/>
  <c r="X30" i="54"/>
  <c r="AD29" i="54"/>
  <c r="AC29" i="54"/>
  <c r="AB29" i="54"/>
  <c r="AA29" i="54"/>
  <c r="Z29" i="54"/>
  <c r="Y29" i="54"/>
  <c r="X29" i="54"/>
  <c r="AD28" i="54"/>
  <c r="AC28" i="54"/>
  <c r="AB28" i="54"/>
  <c r="AA28" i="54"/>
  <c r="Z28" i="54"/>
  <c r="Y28" i="54"/>
  <c r="X28" i="54"/>
  <c r="AD27" i="54"/>
  <c r="AC27" i="54"/>
  <c r="AB27" i="54"/>
  <c r="AA27" i="54"/>
  <c r="Z27" i="54"/>
  <c r="Y27" i="54"/>
  <c r="X27" i="54"/>
  <c r="AD26" i="54"/>
  <c r="AC26" i="54"/>
  <c r="AB26" i="54"/>
  <c r="AA26" i="54"/>
  <c r="Z26" i="54"/>
  <c r="Y26" i="54"/>
  <c r="X26" i="54"/>
  <c r="AD25" i="54"/>
  <c r="AC25" i="54"/>
  <c r="AB25" i="54"/>
  <c r="AA25" i="54"/>
  <c r="Z25" i="54"/>
  <c r="Y25" i="54"/>
  <c r="X25" i="54"/>
  <c r="AD24" i="54"/>
  <c r="AC24" i="54"/>
  <c r="AB24" i="54"/>
  <c r="AA24" i="54"/>
  <c r="Z24" i="54"/>
  <c r="Y24" i="54"/>
  <c r="X24" i="54"/>
  <c r="AD23" i="54"/>
  <c r="AC23" i="54"/>
  <c r="AB23" i="54"/>
  <c r="AA23" i="54"/>
  <c r="Z23" i="54"/>
  <c r="Y23" i="54"/>
  <c r="X23" i="54"/>
  <c r="W30" i="54"/>
  <c r="V30" i="54"/>
  <c r="U30" i="54"/>
  <c r="R30" i="54"/>
  <c r="Q30" i="54"/>
  <c r="W29" i="54"/>
  <c r="V29" i="54"/>
  <c r="U29" i="54"/>
  <c r="R29" i="54"/>
  <c r="Q29" i="54"/>
  <c r="W28" i="54"/>
  <c r="V28" i="54"/>
  <c r="U28" i="54"/>
  <c r="R28" i="54"/>
  <c r="Q28" i="54"/>
  <c r="W27" i="54"/>
  <c r="V27" i="54"/>
  <c r="U27" i="54"/>
  <c r="R27" i="54"/>
  <c r="Q27" i="54"/>
  <c r="W26" i="54"/>
  <c r="V26" i="54"/>
  <c r="U26" i="54"/>
  <c r="R26" i="54"/>
  <c r="Q26" i="54"/>
  <c r="W25" i="54"/>
  <c r="V25" i="54"/>
  <c r="U25" i="54"/>
  <c r="R25" i="54"/>
  <c r="Q25" i="54"/>
  <c r="W24" i="54"/>
  <c r="V24" i="54"/>
  <c r="U24" i="54"/>
  <c r="R24" i="54"/>
  <c r="Q24" i="54"/>
  <c r="W23" i="54"/>
  <c r="V23" i="54"/>
  <c r="U23" i="54"/>
  <c r="R23" i="54"/>
  <c r="Q23" i="54"/>
  <c r="P30" i="54"/>
  <c r="O30" i="54"/>
  <c r="N30" i="54"/>
  <c r="M30" i="54"/>
  <c r="L30" i="54"/>
  <c r="K30" i="54"/>
  <c r="J30" i="54"/>
  <c r="P29" i="54"/>
  <c r="O29" i="54"/>
  <c r="N29" i="54"/>
  <c r="M29" i="54"/>
  <c r="L29" i="54"/>
  <c r="K29" i="54"/>
  <c r="J29" i="54"/>
  <c r="P28" i="54"/>
  <c r="O28" i="54"/>
  <c r="N28" i="54"/>
  <c r="M28" i="54"/>
  <c r="L28" i="54"/>
  <c r="K28" i="54"/>
  <c r="J28" i="54"/>
  <c r="P27" i="54"/>
  <c r="O27" i="54"/>
  <c r="N27" i="54"/>
  <c r="M27" i="54"/>
  <c r="L27" i="54"/>
  <c r="K27" i="54"/>
  <c r="J27" i="54"/>
  <c r="P26" i="54"/>
  <c r="O26" i="54"/>
  <c r="N26" i="54"/>
  <c r="M26" i="54"/>
  <c r="L26" i="54"/>
  <c r="K26" i="54"/>
  <c r="J26" i="54"/>
  <c r="P25" i="54"/>
  <c r="O25" i="54"/>
  <c r="N25" i="54"/>
  <c r="M25" i="54"/>
  <c r="L25" i="54"/>
  <c r="K25" i="54"/>
  <c r="J25" i="54"/>
  <c r="P24" i="54"/>
  <c r="O24" i="54"/>
  <c r="N24" i="54"/>
  <c r="M24" i="54"/>
  <c r="L24" i="54"/>
  <c r="K24" i="54"/>
  <c r="J24" i="54"/>
  <c r="P23" i="54"/>
  <c r="O23" i="54"/>
  <c r="N23" i="54"/>
  <c r="M23" i="54"/>
  <c r="L23" i="54"/>
  <c r="K23" i="54"/>
  <c r="J23" i="54"/>
  <c r="I30" i="54"/>
  <c r="H30" i="54"/>
  <c r="G30" i="54"/>
  <c r="F30" i="54"/>
  <c r="E30" i="54"/>
  <c r="D30" i="54"/>
  <c r="C30" i="54"/>
  <c r="I29" i="54"/>
  <c r="H29" i="54"/>
  <c r="G29" i="54"/>
  <c r="F29" i="54"/>
  <c r="E29" i="54"/>
  <c r="D29" i="54"/>
  <c r="C29" i="54"/>
  <c r="I28" i="54"/>
  <c r="H28" i="54"/>
  <c r="G28" i="54"/>
  <c r="F28" i="54"/>
  <c r="E28" i="54"/>
  <c r="D28" i="54"/>
  <c r="C28" i="54"/>
  <c r="I27" i="54"/>
  <c r="H27" i="54"/>
  <c r="G27" i="54"/>
  <c r="F27" i="54"/>
  <c r="E27" i="54"/>
  <c r="D27" i="54"/>
  <c r="C27" i="54"/>
  <c r="I26" i="54"/>
  <c r="H26" i="54"/>
  <c r="G26" i="54"/>
  <c r="F26" i="54"/>
  <c r="E26" i="54"/>
  <c r="D26" i="54"/>
  <c r="C26" i="54"/>
  <c r="I25" i="54"/>
  <c r="H25" i="54"/>
  <c r="G25" i="54"/>
  <c r="F25" i="54"/>
  <c r="E25" i="54"/>
  <c r="D25" i="54"/>
  <c r="C25" i="54"/>
  <c r="I24" i="54"/>
  <c r="H24" i="54"/>
  <c r="G24" i="54"/>
  <c r="F24" i="54"/>
  <c r="E24" i="54"/>
  <c r="D24" i="54"/>
  <c r="C24" i="54"/>
  <c r="I23" i="54"/>
  <c r="H23" i="54"/>
  <c r="G23" i="54"/>
  <c r="F23" i="54"/>
  <c r="E23" i="54"/>
  <c r="D23" i="54"/>
  <c r="C23" i="54"/>
  <c r="B30" i="54"/>
  <c r="B29" i="54"/>
  <c r="B28" i="54"/>
  <c r="B27" i="54"/>
  <c r="B26" i="54"/>
  <c r="B25" i="54"/>
  <c r="B24" i="54"/>
  <c r="B23" i="54"/>
  <c r="AF1" i="55"/>
  <c r="AG1" i="55"/>
  <c r="N1" i="55"/>
  <c r="O1" i="55"/>
  <c r="P1" i="55"/>
  <c r="Q1" i="55"/>
  <c r="R1" i="55"/>
  <c r="S1" i="55"/>
  <c r="T1" i="55"/>
  <c r="U1" i="55"/>
  <c r="V1" i="55"/>
  <c r="W1" i="55"/>
  <c r="X1" i="55"/>
  <c r="Y1" i="55"/>
  <c r="Z1" i="55"/>
  <c r="AA1" i="55"/>
  <c r="AB1" i="55"/>
  <c r="AC1" i="55"/>
  <c r="AD1" i="55"/>
  <c r="AE1" i="55"/>
  <c r="M1" i="55"/>
  <c r="L1" i="55"/>
  <c r="K1" i="55"/>
  <c r="J1" i="55"/>
  <c r="I1" i="55"/>
  <c r="H1" i="55"/>
  <c r="G1" i="55"/>
  <c r="F1" i="55"/>
  <c r="E1" i="55"/>
  <c r="D1" i="55"/>
  <c r="C1" i="55"/>
  <c r="B1" i="55"/>
  <c r="AL31" i="51"/>
  <c r="AK31" i="51"/>
  <c r="AL30" i="51"/>
  <c r="AK30" i="51"/>
  <c r="AL29" i="51"/>
  <c r="AK29" i="51"/>
  <c r="AL28" i="51"/>
  <c r="AK28" i="51"/>
  <c r="AL27" i="51"/>
  <c r="AK27" i="51"/>
  <c r="AL26" i="51"/>
  <c r="AK26" i="51"/>
  <c r="AL25" i="51"/>
  <c r="AK25" i="51"/>
  <c r="AL24" i="51"/>
  <c r="AK24" i="51"/>
  <c r="I31" i="54"/>
  <c r="B31" i="54"/>
  <c r="C31" i="54"/>
  <c r="AC31" i="54"/>
  <c r="W31" i="54"/>
  <c r="P31" i="54"/>
  <c r="H31" i="54"/>
  <c r="D31" i="54"/>
  <c r="E31" i="54"/>
  <c r="AB31" i="54"/>
  <c r="U31" i="54"/>
  <c r="M31" i="54"/>
  <c r="N31" i="54"/>
  <c r="F31" i="54"/>
  <c r="G31" i="54"/>
  <c r="R31" i="54"/>
  <c r="Q31" i="54"/>
  <c r="J31" i="54"/>
  <c r="K31" i="54"/>
  <c r="AD31" i="54"/>
  <c r="AE31" i="54"/>
  <c r="AF31" i="54"/>
  <c r="L31" i="54"/>
  <c r="O31" i="54"/>
  <c r="Y31" i="54"/>
  <c r="AA31" i="54"/>
  <c r="Z31" i="54"/>
  <c r="X31" i="54"/>
  <c r="V31" i="54"/>
  <c r="AL32" i="51"/>
  <c r="AK32" i="51"/>
  <c r="AG1" i="54"/>
  <c r="AH1" i="54"/>
  <c r="AI1" i="54"/>
  <c r="AJ1" i="54"/>
  <c r="AK1" i="54"/>
  <c r="C1" i="54"/>
  <c r="D1" i="54"/>
  <c r="E1" i="54"/>
  <c r="F1" i="54"/>
  <c r="G1" i="54"/>
  <c r="H1" i="54"/>
  <c r="I1" i="54"/>
  <c r="J1" i="54"/>
  <c r="K1" i="54"/>
  <c r="L1" i="54"/>
  <c r="M1" i="54"/>
  <c r="N1" i="54"/>
  <c r="O1" i="54"/>
  <c r="P1" i="54"/>
  <c r="Q1" i="54"/>
  <c r="R1" i="54"/>
  <c r="S1" i="54"/>
  <c r="T1" i="54"/>
  <c r="U1" i="54"/>
  <c r="V1" i="54"/>
  <c r="W1" i="54"/>
  <c r="X1" i="54"/>
  <c r="Y1" i="54"/>
  <c r="Z1" i="54"/>
  <c r="AA1" i="54"/>
  <c r="AB1" i="54"/>
  <c r="AC1" i="54"/>
  <c r="AD1" i="54"/>
  <c r="AE1" i="54"/>
  <c r="AF1" i="54"/>
  <c r="B1" i="54"/>
  <c r="AD27" i="53"/>
  <c r="AC27" i="53"/>
  <c r="AB27" i="53"/>
  <c r="AA27" i="53"/>
  <c r="Z27" i="53"/>
  <c r="W27" i="53"/>
  <c r="V27" i="53"/>
  <c r="U27" i="53"/>
  <c r="T27" i="53"/>
  <c r="S27" i="53"/>
  <c r="P27" i="53"/>
  <c r="O27" i="53"/>
  <c r="N27" i="53"/>
  <c r="M27" i="53"/>
  <c r="L27" i="53"/>
  <c r="I27" i="53"/>
  <c r="H27" i="53"/>
  <c r="G27" i="53"/>
  <c r="F27" i="53"/>
  <c r="E27" i="53"/>
  <c r="B27" i="53"/>
  <c r="AF30" i="53"/>
  <c r="AE30" i="53"/>
  <c r="AD30" i="53"/>
  <c r="AC30" i="53"/>
  <c r="AB30" i="53"/>
  <c r="AA30" i="53"/>
  <c r="Z30" i="53"/>
  <c r="AF29" i="53"/>
  <c r="AE29" i="53"/>
  <c r="AD29" i="53"/>
  <c r="AC29" i="53"/>
  <c r="AB29" i="53"/>
  <c r="AA29" i="53"/>
  <c r="Z29" i="53"/>
  <c r="AF28" i="53"/>
  <c r="AE28" i="53"/>
  <c r="AD28" i="53"/>
  <c r="AC28" i="53"/>
  <c r="AB28" i="53"/>
  <c r="AA28" i="53"/>
  <c r="Z28" i="53"/>
  <c r="AF27" i="53"/>
  <c r="AE27" i="53"/>
  <c r="AF26" i="53"/>
  <c r="AE26" i="53"/>
  <c r="AD26" i="53"/>
  <c r="AC26" i="53"/>
  <c r="AB26" i="53"/>
  <c r="AA26" i="53"/>
  <c r="Z26" i="53"/>
  <c r="AF25" i="53"/>
  <c r="AE25" i="53"/>
  <c r="AD25" i="53"/>
  <c r="AC25" i="53"/>
  <c r="AB25" i="53"/>
  <c r="AA25" i="53"/>
  <c r="Z25" i="53"/>
  <c r="AF24" i="53"/>
  <c r="AE24" i="53"/>
  <c r="AD24" i="53"/>
  <c r="AC24" i="53"/>
  <c r="AB24" i="53"/>
  <c r="AA24" i="53"/>
  <c r="Z24" i="53"/>
  <c r="AF23" i="53"/>
  <c r="AE23" i="53"/>
  <c r="AD23" i="53"/>
  <c r="AC23" i="53"/>
  <c r="AB23" i="53"/>
  <c r="AA23" i="53"/>
  <c r="Z23" i="53"/>
  <c r="Y30" i="53"/>
  <c r="X30" i="53"/>
  <c r="W30" i="53"/>
  <c r="V30" i="53"/>
  <c r="U30" i="53"/>
  <c r="T30" i="53"/>
  <c r="S30" i="53"/>
  <c r="Y29" i="53"/>
  <c r="X29" i="53"/>
  <c r="W29" i="53"/>
  <c r="V29" i="53"/>
  <c r="U29" i="53"/>
  <c r="T29" i="53"/>
  <c r="S29" i="53"/>
  <c r="Y28" i="53"/>
  <c r="X28" i="53"/>
  <c r="W28" i="53"/>
  <c r="V28" i="53"/>
  <c r="U28" i="53"/>
  <c r="T28" i="53"/>
  <c r="S28" i="53"/>
  <c r="Y27" i="53"/>
  <c r="X27" i="53"/>
  <c r="Y26" i="53"/>
  <c r="X26" i="53"/>
  <c r="W26" i="53"/>
  <c r="V26" i="53"/>
  <c r="U26" i="53"/>
  <c r="T26" i="53"/>
  <c r="S26" i="53"/>
  <c r="Y25" i="53"/>
  <c r="X25" i="53"/>
  <c r="W25" i="53"/>
  <c r="V25" i="53"/>
  <c r="U25" i="53"/>
  <c r="T25" i="53"/>
  <c r="S25" i="53"/>
  <c r="Y24" i="53"/>
  <c r="X24" i="53"/>
  <c r="W24" i="53"/>
  <c r="V24" i="53"/>
  <c r="U24" i="53"/>
  <c r="T24" i="53"/>
  <c r="S24" i="53"/>
  <c r="Y23" i="53"/>
  <c r="X23" i="53"/>
  <c r="W23" i="53"/>
  <c r="V23" i="53"/>
  <c r="U23" i="53"/>
  <c r="T23" i="53"/>
  <c r="S23" i="53"/>
  <c r="R30" i="53"/>
  <c r="Q30" i="53"/>
  <c r="P30" i="53"/>
  <c r="O30" i="53"/>
  <c r="N30" i="53"/>
  <c r="M30" i="53"/>
  <c r="L30" i="53"/>
  <c r="R29" i="53"/>
  <c r="Q29" i="53"/>
  <c r="P29" i="53"/>
  <c r="O29" i="53"/>
  <c r="N29" i="53"/>
  <c r="M29" i="53"/>
  <c r="L29" i="53"/>
  <c r="R28" i="53"/>
  <c r="Q28" i="53"/>
  <c r="P28" i="53"/>
  <c r="O28" i="53"/>
  <c r="N28" i="53"/>
  <c r="M28" i="53"/>
  <c r="L28" i="53"/>
  <c r="R27" i="53"/>
  <c r="Q27" i="53"/>
  <c r="R26" i="53"/>
  <c r="Q26" i="53"/>
  <c r="P26" i="53"/>
  <c r="O26" i="53"/>
  <c r="N26" i="53"/>
  <c r="M26" i="53"/>
  <c r="L26" i="53"/>
  <c r="R25" i="53"/>
  <c r="Q25" i="53"/>
  <c r="P25" i="53"/>
  <c r="O25" i="53"/>
  <c r="N25" i="53"/>
  <c r="M25" i="53"/>
  <c r="L25" i="53"/>
  <c r="R24" i="53"/>
  <c r="Q24" i="53"/>
  <c r="P24" i="53"/>
  <c r="O24" i="53"/>
  <c r="N24" i="53"/>
  <c r="M24" i="53"/>
  <c r="L24" i="53"/>
  <c r="R23" i="53"/>
  <c r="Q23" i="53"/>
  <c r="P23" i="53"/>
  <c r="O23" i="53"/>
  <c r="N23" i="53"/>
  <c r="M23" i="53"/>
  <c r="L23" i="53"/>
  <c r="K30" i="53"/>
  <c r="J30" i="53"/>
  <c r="K29" i="53"/>
  <c r="J29" i="53"/>
  <c r="K28" i="53"/>
  <c r="J28" i="53"/>
  <c r="K27" i="53"/>
  <c r="J27" i="53"/>
  <c r="K26" i="53"/>
  <c r="J26" i="53"/>
  <c r="K25" i="53"/>
  <c r="J25" i="53"/>
  <c r="K24" i="53"/>
  <c r="J24" i="53"/>
  <c r="K23" i="53"/>
  <c r="J23" i="53"/>
  <c r="I30" i="53"/>
  <c r="H30" i="53"/>
  <c r="G30" i="53"/>
  <c r="F30" i="53"/>
  <c r="E30" i="53"/>
  <c r="I29" i="53"/>
  <c r="H29" i="53"/>
  <c r="G29" i="53"/>
  <c r="F29" i="53"/>
  <c r="E29" i="53"/>
  <c r="I28" i="53"/>
  <c r="H28" i="53"/>
  <c r="G28" i="53"/>
  <c r="F28" i="53"/>
  <c r="E28" i="53"/>
  <c r="I26" i="53"/>
  <c r="H26" i="53"/>
  <c r="G26" i="53"/>
  <c r="F26" i="53"/>
  <c r="E26" i="53"/>
  <c r="I25" i="53"/>
  <c r="H25" i="53"/>
  <c r="G25" i="53"/>
  <c r="F25" i="53"/>
  <c r="E25" i="53"/>
  <c r="I24" i="53"/>
  <c r="H24" i="53"/>
  <c r="G24" i="53"/>
  <c r="F24" i="53"/>
  <c r="E24" i="53"/>
  <c r="I23" i="53"/>
  <c r="H23" i="53"/>
  <c r="G23" i="53"/>
  <c r="F23" i="53"/>
  <c r="E23" i="53"/>
  <c r="D30" i="53"/>
  <c r="C30" i="53"/>
  <c r="D29" i="53"/>
  <c r="C29" i="53"/>
  <c r="D28" i="53"/>
  <c r="C28" i="53"/>
  <c r="D27" i="53"/>
  <c r="C27" i="53"/>
  <c r="D26" i="53"/>
  <c r="C26" i="53"/>
  <c r="D25" i="53"/>
  <c r="C25" i="53"/>
  <c r="D24" i="53"/>
  <c r="C24" i="53"/>
  <c r="D23" i="53"/>
  <c r="C23" i="53"/>
  <c r="B30" i="53"/>
  <c r="B29" i="53"/>
  <c r="B28" i="53"/>
  <c r="B26" i="53"/>
  <c r="B25" i="53"/>
  <c r="B24" i="53"/>
  <c r="B23" i="53"/>
  <c r="AD27" i="51"/>
  <c r="AD31" i="51"/>
  <c r="AD30" i="51"/>
  <c r="AD29" i="51"/>
  <c r="AD28" i="51"/>
  <c r="AD26" i="51"/>
  <c r="AD25" i="51"/>
  <c r="AD24" i="51"/>
  <c r="AF1" i="53"/>
  <c r="E1" i="53"/>
  <c r="F1" i="53"/>
  <c r="G1" i="53"/>
  <c r="H1" i="53"/>
  <c r="I1" i="53"/>
  <c r="J1" i="53"/>
  <c r="K1" i="53"/>
  <c r="L1" i="53"/>
  <c r="M1" i="53"/>
  <c r="N1" i="53"/>
  <c r="O1" i="53"/>
  <c r="P1" i="53"/>
  <c r="Q1" i="53"/>
  <c r="R1" i="53"/>
  <c r="S1" i="53"/>
  <c r="T1" i="53"/>
  <c r="U1" i="53"/>
  <c r="V1" i="53"/>
  <c r="W1" i="53"/>
  <c r="X1" i="53"/>
  <c r="Y1" i="53"/>
  <c r="Z1" i="53"/>
  <c r="AA1" i="53"/>
  <c r="AB1" i="53"/>
  <c r="AC1" i="53"/>
  <c r="AD1" i="53"/>
  <c r="AE1" i="53"/>
  <c r="D1" i="53"/>
  <c r="C1" i="53"/>
  <c r="B1" i="53"/>
  <c r="AH1" i="51"/>
  <c r="AH24" i="51"/>
  <c r="AH25" i="51"/>
  <c r="AH26" i="51"/>
  <c r="AH27" i="51"/>
  <c r="AH28" i="51"/>
  <c r="AH29" i="51"/>
  <c r="AH30" i="51"/>
  <c r="AH31" i="51"/>
  <c r="AJ31" i="51"/>
  <c r="AJ30" i="51"/>
  <c r="AJ29" i="51"/>
  <c r="AJ28" i="51"/>
  <c r="AJ27" i="51"/>
  <c r="AJ26" i="51"/>
  <c r="AJ25" i="51"/>
  <c r="AJ24" i="51"/>
  <c r="AF31" i="53"/>
  <c r="L31" i="53"/>
  <c r="Q31" i="53"/>
  <c r="R31" i="53"/>
  <c r="O31" i="53"/>
  <c r="N31" i="53"/>
  <c r="M31" i="53"/>
  <c r="P31" i="53"/>
  <c r="Z31" i="53"/>
  <c r="AA31" i="53"/>
  <c r="AB31" i="53"/>
  <c r="AC31" i="53"/>
  <c r="AD31" i="53"/>
  <c r="AE31" i="53"/>
  <c r="W31" i="53"/>
  <c r="X31" i="53"/>
  <c r="Y31" i="53"/>
  <c r="S31" i="53"/>
  <c r="U31" i="53"/>
  <c r="V31" i="53"/>
  <c r="T31" i="53"/>
  <c r="F31" i="53"/>
  <c r="H31" i="53"/>
  <c r="I31" i="53"/>
  <c r="G31" i="53"/>
  <c r="E31" i="53"/>
  <c r="K31" i="53"/>
  <c r="J31" i="53"/>
  <c r="B31" i="53"/>
  <c r="C31" i="53"/>
  <c r="D31" i="53"/>
  <c r="AD32" i="51"/>
  <c r="AH32" i="51"/>
  <c r="AJ32" i="51"/>
  <c r="AJ1" i="51"/>
  <c r="AK1" i="51"/>
  <c r="AL1" i="51"/>
  <c r="AI31" i="51"/>
  <c r="AG31" i="51"/>
  <c r="AF31" i="51"/>
  <c r="AI30" i="51"/>
  <c r="AG30" i="51"/>
  <c r="AF30" i="51"/>
  <c r="AI29" i="51"/>
  <c r="AG29" i="51"/>
  <c r="AF29" i="51"/>
  <c r="AI28" i="51"/>
  <c r="AG28" i="51"/>
  <c r="AF28" i="51"/>
  <c r="AI27" i="51"/>
  <c r="AG27" i="51"/>
  <c r="AF27" i="51"/>
  <c r="AI26" i="51"/>
  <c r="AG26" i="51"/>
  <c r="AF26" i="51"/>
  <c r="AI25" i="51"/>
  <c r="AG25" i="51"/>
  <c r="AF25" i="51"/>
  <c r="AI24" i="51"/>
  <c r="AG24" i="51"/>
  <c r="AF24" i="51"/>
  <c r="AE31" i="51"/>
  <c r="AC31" i="51"/>
  <c r="AB31" i="51"/>
  <c r="AA31" i="51"/>
  <c r="Z31" i="51"/>
  <c r="Y31" i="51"/>
  <c r="AE30" i="51"/>
  <c r="AC30" i="51"/>
  <c r="AB30" i="51"/>
  <c r="AA30" i="51"/>
  <c r="Z30" i="51"/>
  <c r="Y30" i="51"/>
  <c r="AE29" i="51"/>
  <c r="AC29" i="51"/>
  <c r="AB29" i="51"/>
  <c r="AA29" i="51"/>
  <c r="Z29" i="51"/>
  <c r="Y29" i="51"/>
  <c r="AE28" i="51"/>
  <c r="AC28" i="51"/>
  <c r="AB28" i="51"/>
  <c r="AA28" i="51"/>
  <c r="Z28" i="51"/>
  <c r="Y28" i="51"/>
  <c r="AE27" i="51"/>
  <c r="AC27" i="51"/>
  <c r="AB27" i="51"/>
  <c r="AA27" i="51"/>
  <c r="Z27" i="51"/>
  <c r="Y27" i="51"/>
  <c r="AE26" i="51"/>
  <c r="AC26" i="51"/>
  <c r="AB26" i="51"/>
  <c r="AA26" i="51"/>
  <c r="Z26" i="51"/>
  <c r="Y26" i="51"/>
  <c r="AE25" i="51"/>
  <c r="AC25" i="51"/>
  <c r="AB25" i="51"/>
  <c r="AA25" i="51"/>
  <c r="Z25" i="51"/>
  <c r="Y25" i="51"/>
  <c r="AE24" i="51"/>
  <c r="AC24" i="51"/>
  <c r="AB24" i="51"/>
  <c r="AA24" i="51"/>
  <c r="Z24" i="51"/>
  <c r="Y24" i="51"/>
  <c r="X31" i="51"/>
  <c r="W31" i="51"/>
  <c r="V31" i="51"/>
  <c r="U31" i="51"/>
  <c r="T31" i="51"/>
  <c r="S31" i="51"/>
  <c r="R31" i="51"/>
  <c r="X30" i="51"/>
  <c r="W30" i="51"/>
  <c r="V30" i="51"/>
  <c r="U30" i="51"/>
  <c r="T30" i="51"/>
  <c r="S30" i="51"/>
  <c r="R30" i="51"/>
  <c r="X29" i="51"/>
  <c r="W29" i="51"/>
  <c r="V29" i="51"/>
  <c r="U29" i="51"/>
  <c r="T29" i="51"/>
  <c r="S29" i="51"/>
  <c r="R29" i="51"/>
  <c r="X28" i="51"/>
  <c r="W28" i="51"/>
  <c r="V28" i="51"/>
  <c r="U28" i="51"/>
  <c r="T28" i="51"/>
  <c r="S28" i="51"/>
  <c r="R28" i="51"/>
  <c r="X27" i="51"/>
  <c r="W27" i="51"/>
  <c r="V27" i="51"/>
  <c r="U27" i="51"/>
  <c r="T27" i="51"/>
  <c r="S27" i="51"/>
  <c r="R27" i="51"/>
  <c r="X26" i="51"/>
  <c r="W26" i="51"/>
  <c r="V26" i="51"/>
  <c r="U26" i="51"/>
  <c r="T26" i="51"/>
  <c r="S26" i="51"/>
  <c r="R26" i="51"/>
  <c r="X25" i="51"/>
  <c r="W25" i="51"/>
  <c r="V25" i="51"/>
  <c r="U25" i="51"/>
  <c r="T25" i="51"/>
  <c r="S25" i="51"/>
  <c r="R25" i="51"/>
  <c r="X24" i="51"/>
  <c r="W24" i="51"/>
  <c r="V24" i="51"/>
  <c r="U24" i="51"/>
  <c r="T24" i="51"/>
  <c r="S24" i="51"/>
  <c r="R24" i="51"/>
  <c r="Q31" i="51"/>
  <c r="P31" i="51"/>
  <c r="O31" i="51"/>
  <c r="N31" i="51"/>
  <c r="M31" i="51"/>
  <c r="L31" i="51"/>
  <c r="K31" i="51"/>
  <c r="Q30" i="51"/>
  <c r="P30" i="51"/>
  <c r="O30" i="51"/>
  <c r="N30" i="51"/>
  <c r="M30" i="51"/>
  <c r="L30" i="51"/>
  <c r="K30" i="51"/>
  <c r="Q29" i="51"/>
  <c r="P29" i="51"/>
  <c r="O29" i="51"/>
  <c r="N29" i="51"/>
  <c r="M29" i="51"/>
  <c r="L29" i="51"/>
  <c r="K29" i="51"/>
  <c r="Q28" i="51"/>
  <c r="P28" i="51"/>
  <c r="O28" i="51"/>
  <c r="N28" i="51"/>
  <c r="M28" i="51"/>
  <c r="L28" i="51"/>
  <c r="K28" i="51"/>
  <c r="Q27" i="51"/>
  <c r="P27" i="51"/>
  <c r="O27" i="51"/>
  <c r="N27" i="51"/>
  <c r="M27" i="51"/>
  <c r="L27" i="51"/>
  <c r="K27" i="51"/>
  <c r="Q26" i="51"/>
  <c r="P26" i="51"/>
  <c r="O26" i="51"/>
  <c r="N26" i="51"/>
  <c r="M26" i="51"/>
  <c r="L26" i="51"/>
  <c r="K26" i="51"/>
  <c r="Q25" i="51"/>
  <c r="P25" i="51"/>
  <c r="O25" i="51"/>
  <c r="N25" i="51"/>
  <c r="M25" i="51"/>
  <c r="L25" i="51"/>
  <c r="K25" i="51"/>
  <c r="Q24" i="51"/>
  <c r="P24" i="51"/>
  <c r="O24" i="51"/>
  <c r="N24" i="51"/>
  <c r="M24" i="51"/>
  <c r="L24" i="51"/>
  <c r="K24" i="51"/>
  <c r="J31" i="51"/>
  <c r="I31" i="51"/>
  <c r="J30" i="51"/>
  <c r="I30" i="51"/>
  <c r="J29" i="51"/>
  <c r="I29" i="51"/>
  <c r="J28" i="51"/>
  <c r="I28" i="51"/>
  <c r="J27" i="51"/>
  <c r="I27" i="51"/>
  <c r="J26" i="51"/>
  <c r="I26" i="51"/>
  <c r="J25" i="51"/>
  <c r="I25" i="51"/>
  <c r="J24" i="51"/>
  <c r="I24" i="51"/>
  <c r="H31" i="51"/>
  <c r="G31" i="51"/>
  <c r="F31" i="51"/>
  <c r="E31" i="51"/>
  <c r="H30" i="51"/>
  <c r="G30" i="51"/>
  <c r="F30" i="51"/>
  <c r="E30" i="51"/>
  <c r="H29" i="51"/>
  <c r="G29" i="51"/>
  <c r="F29" i="51"/>
  <c r="E29" i="51"/>
  <c r="H28" i="51"/>
  <c r="G28" i="51"/>
  <c r="F28" i="51"/>
  <c r="E28" i="51"/>
  <c r="H27" i="51"/>
  <c r="G27" i="51"/>
  <c r="F27" i="51"/>
  <c r="E27" i="51"/>
  <c r="H26" i="51"/>
  <c r="G26" i="51"/>
  <c r="F26" i="51"/>
  <c r="E26" i="51"/>
  <c r="H25" i="51"/>
  <c r="G25" i="51"/>
  <c r="F25" i="51"/>
  <c r="E25" i="51"/>
  <c r="H24" i="51"/>
  <c r="G24" i="51"/>
  <c r="F24" i="51"/>
  <c r="E24" i="51"/>
  <c r="D28" i="51"/>
  <c r="D25" i="51"/>
  <c r="D26" i="51"/>
  <c r="D27" i="51"/>
  <c r="D29" i="51"/>
  <c r="D30" i="51"/>
  <c r="D31" i="51"/>
  <c r="D24" i="51"/>
  <c r="C31" i="51"/>
  <c r="C30" i="51"/>
  <c r="C29" i="51"/>
  <c r="C28" i="51"/>
  <c r="C27" i="51"/>
  <c r="C26" i="51"/>
  <c r="C25" i="51"/>
  <c r="C24" i="51"/>
  <c r="B31" i="51"/>
  <c r="B30" i="51"/>
  <c r="B29" i="51"/>
  <c r="B28" i="51"/>
  <c r="B27" i="51"/>
  <c r="B26" i="51"/>
  <c r="B25" i="51"/>
  <c r="B24" i="51"/>
  <c r="AF29" i="50"/>
  <c r="AF28" i="50"/>
  <c r="AF27" i="50"/>
  <c r="AF26" i="50"/>
  <c r="AF25" i="50"/>
  <c r="AF24" i="50"/>
  <c r="AF23" i="50"/>
  <c r="AF22" i="50"/>
  <c r="D1" i="51"/>
  <c r="C1" i="51"/>
  <c r="B1" i="51"/>
  <c r="AL29" i="49"/>
  <c r="AK29" i="49"/>
  <c r="AL28" i="49"/>
  <c r="AK28" i="49"/>
  <c r="AL27" i="49"/>
  <c r="AK27" i="49"/>
  <c r="AL26" i="49"/>
  <c r="AK26" i="49"/>
  <c r="AL25" i="49"/>
  <c r="AK25" i="49"/>
  <c r="AL24" i="49"/>
  <c r="AK24" i="49"/>
  <c r="AL23" i="49"/>
  <c r="AK23" i="49"/>
  <c r="AL22" i="49"/>
  <c r="AK22" i="49"/>
  <c r="AL1" i="49"/>
  <c r="AK1" i="49"/>
  <c r="G1" i="51"/>
  <c r="H1" i="51"/>
  <c r="I1" i="51"/>
  <c r="J1" i="51"/>
  <c r="K1" i="51"/>
  <c r="L1" i="51"/>
  <c r="M1" i="51"/>
  <c r="N1" i="51"/>
  <c r="O1" i="51"/>
  <c r="P1" i="51"/>
  <c r="Q1" i="51"/>
  <c r="R1" i="51"/>
  <c r="S1" i="51"/>
  <c r="T1" i="51"/>
  <c r="U1" i="51"/>
  <c r="V1" i="51"/>
  <c r="W1" i="51"/>
  <c r="X1" i="51"/>
  <c r="Y1" i="51"/>
  <c r="Z1" i="51"/>
  <c r="AA1" i="51"/>
  <c r="AB1" i="51"/>
  <c r="AC1" i="51"/>
  <c r="AD1" i="51"/>
  <c r="AE1" i="51"/>
  <c r="AF1" i="51"/>
  <c r="AG1" i="51"/>
  <c r="AI1" i="51"/>
  <c r="F1" i="51"/>
  <c r="E1" i="51"/>
  <c r="Q29" i="50"/>
  <c r="P29" i="50"/>
  <c r="Q28" i="50"/>
  <c r="P28" i="50"/>
  <c r="Q27" i="50"/>
  <c r="P27" i="50"/>
  <c r="Q26" i="50"/>
  <c r="P26" i="50"/>
  <c r="Q25" i="50"/>
  <c r="P25" i="50"/>
  <c r="Q24" i="50"/>
  <c r="P24" i="50"/>
  <c r="Q23" i="50"/>
  <c r="P23" i="50"/>
  <c r="Q22" i="50"/>
  <c r="P22" i="50"/>
  <c r="AC29" i="50"/>
  <c r="AB29" i="50"/>
  <c r="AA29" i="50"/>
  <c r="Z29" i="50"/>
  <c r="Y29" i="50"/>
  <c r="AC28" i="50"/>
  <c r="AB28" i="50"/>
  <c r="AA28" i="50"/>
  <c r="Z28" i="50"/>
  <c r="Y28" i="50"/>
  <c r="AC27" i="50"/>
  <c r="AB27" i="50"/>
  <c r="AA27" i="50"/>
  <c r="Z27" i="50"/>
  <c r="Y27" i="50"/>
  <c r="AC26" i="50"/>
  <c r="AB26" i="50"/>
  <c r="AA26" i="50"/>
  <c r="Z26" i="50"/>
  <c r="Y26" i="50"/>
  <c r="AC25" i="50"/>
  <c r="AB25" i="50"/>
  <c r="AA25" i="50"/>
  <c r="Z25" i="50"/>
  <c r="Y25" i="50"/>
  <c r="AC24" i="50"/>
  <c r="AB24" i="50"/>
  <c r="AA24" i="50"/>
  <c r="Z24" i="50"/>
  <c r="Y24" i="50"/>
  <c r="AC23" i="50"/>
  <c r="AB23" i="50"/>
  <c r="AA23" i="50"/>
  <c r="Z23" i="50"/>
  <c r="Y23" i="50"/>
  <c r="AC22" i="50"/>
  <c r="AB22" i="50"/>
  <c r="AA22" i="50"/>
  <c r="Z22" i="50"/>
  <c r="Y22" i="50"/>
  <c r="V29" i="50"/>
  <c r="U29" i="50"/>
  <c r="T29" i="50"/>
  <c r="S29" i="50"/>
  <c r="R29" i="50"/>
  <c r="V28" i="50"/>
  <c r="U28" i="50"/>
  <c r="T28" i="50"/>
  <c r="S28" i="50"/>
  <c r="R28" i="50"/>
  <c r="V27" i="50"/>
  <c r="U27" i="50"/>
  <c r="T27" i="50"/>
  <c r="S27" i="50"/>
  <c r="R27" i="50"/>
  <c r="V26" i="50"/>
  <c r="U26" i="50"/>
  <c r="T26" i="50"/>
  <c r="S26" i="50"/>
  <c r="R26" i="50"/>
  <c r="V25" i="50"/>
  <c r="U25" i="50"/>
  <c r="T25" i="50"/>
  <c r="S25" i="50"/>
  <c r="R25" i="50"/>
  <c r="V24" i="50"/>
  <c r="U24" i="50"/>
  <c r="T24" i="50"/>
  <c r="S24" i="50"/>
  <c r="R24" i="50"/>
  <c r="V23" i="50"/>
  <c r="U23" i="50"/>
  <c r="T23" i="50"/>
  <c r="S23" i="50"/>
  <c r="R23" i="50"/>
  <c r="V22" i="50"/>
  <c r="U22" i="50"/>
  <c r="T22" i="50"/>
  <c r="S22" i="50"/>
  <c r="R22" i="50"/>
  <c r="O29" i="50"/>
  <c r="N29" i="50"/>
  <c r="M29" i="50"/>
  <c r="L29" i="50"/>
  <c r="O28" i="50"/>
  <c r="N28" i="50"/>
  <c r="M28" i="50"/>
  <c r="L28" i="50"/>
  <c r="O27" i="50"/>
  <c r="N27" i="50"/>
  <c r="M27" i="50"/>
  <c r="L27" i="50"/>
  <c r="O26" i="50"/>
  <c r="N26" i="50"/>
  <c r="M26" i="50"/>
  <c r="L26" i="50"/>
  <c r="O25" i="50"/>
  <c r="N25" i="50"/>
  <c r="M25" i="50"/>
  <c r="L25" i="50"/>
  <c r="O24" i="50"/>
  <c r="N24" i="50"/>
  <c r="M24" i="50"/>
  <c r="L24" i="50"/>
  <c r="O23" i="50"/>
  <c r="N23" i="50"/>
  <c r="M23" i="50"/>
  <c r="L23" i="50"/>
  <c r="O22" i="50"/>
  <c r="N22" i="50"/>
  <c r="M22" i="50"/>
  <c r="L22" i="50"/>
  <c r="K29" i="50"/>
  <c r="K28" i="50"/>
  <c r="K27" i="50"/>
  <c r="K26" i="50"/>
  <c r="K25" i="50"/>
  <c r="K24" i="50"/>
  <c r="K23" i="50"/>
  <c r="K22" i="50"/>
  <c r="H29" i="50"/>
  <c r="G29" i="50"/>
  <c r="F29" i="50"/>
  <c r="E29" i="50"/>
  <c r="D29" i="50"/>
  <c r="H28" i="50"/>
  <c r="G28" i="50"/>
  <c r="F28" i="50"/>
  <c r="E28" i="50"/>
  <c r="D28" i="50"/>
  <c r="H27" i="50"/>
  <c r="G27" i="50"/>
  <c r="F27" i="50"/>
  <c r="E27" i="50"/>
  <c r="D27" i="50"/>
  <c r="H26" i="50"/>
  <c r="G26" i="50"/>
  <c r="F26" i="50"/>
  <c r="E26" i="50"/>
  <c r="D26" i="50"/>
  <c r="H25" i="50"/>
  <c r="G25" i="50"/>
  <c r="F25" i="50"/>
  <c r="E25" i="50"/>
  <c r="D25" i="50"/>
  <c r="H24" i="50"/>
  <c r="G24" i="50"/>
  <c r="F24" i="50"/>
  <c r="E24" i="50"/>
  <c r="D24" i="50"/>
  <c r="H23" i="50"/>
  <c r="G23" i="50"/>
  <c r="F23" i="50"/>
  <c r="E23" i="50"/>
  <c r="D23" i="50"/>
  <c r="H22" i="50"/>
  <c r="G22" i="50"/>
  <c r="F22" i="50"/>
  <c r="E22" i="50"/>
  <c r="D22" i="50"/>
  <c r="AE29" i="50"/>
  <c r="AD29" i="50"/>
  <c r="AE28" i="50"/>
  <c r="AD28" i="50"/>
  <c r="AE27" i="50"/>
  <c r="AD27" i="50"/>
  <c r="AE26" i="50"/>
  <c r="AD26" i="50"/>
  <c r="AE25" i="50"/>
  <c r="AD25" i="50"/>
  <c r="AE24" i="50"/>
  <c r="AD24" i="50"/>
  <c r="AE23" i="50"/>
  <c r="AD23" i="50"/>
  <c r="AE22" i="50"/>
  <c r="AD22" i="50"/>
  <c r="X29" i="50"/>
  <c r="W29" i="50"/>
  <c r="X28" i="50"/>
  <c r="W28" i="50"/>
  <c r="X27" i="50"/>
  <c r="W27" i="50"/>
  <c r="X26" i="50"/>
  <c r="W26" i="50"/>
  <c r="X25" i="50"/>
  <c r="W25" i="50"/>
  <c r="X24" i="50"/>
  <c r="W24" i="50"/>
  <c r="X23" i="50"/>
  <c r="W23" i="50"/>
  <c r="X22" i="50"/>
  <c r="W22" i="50"/>
  <c r="J29" i="50"/>
  <c r="I29" i="50"/>
  <c r="J28" i="50"/>
  <c r="I28" i="50"/>
  <c r="J27" i="50"/>
  <c r="I27" i="50"/>
  <c r="J26" i="50"/>
  <c r="I26" i="50"/>
  <c r="J25" i="50"/>
  <c r="I25" i="50"/>
  <c r="J24" i="50"/>
  <c r="I24" i="50"/>
  <c r="J23" i="50"/>
  <c r="I23" i="50"/>
  <c r="J22" i="50"/>
  <c r="I22" i="50"/>
  <c r="C29" i="50"/>
  <c r="B29" i="50"/>
  <c r="C28" i="50"/>
  <c r="B28" i="50"/>
  <c r="C27" i="50"/>
  <c r="B27" i="50"/>
  <c r="C26" i="50"/>
  <c r="B26" i="50"/>
  <c r="C25" i="50"/>
  <c r="B25" i="50"/>
  <c r="C24" i="50"/>
  <c r="B24" i="50"/>
  <c r="C23" i="50"/>
  <c r="B23" i="50"/>
  <c r="C22" i="50"/>
  <c r="B22" i="50"/>
  <c r="D1" i="50"/>
  <c r="E1" i="50"/>
  <c r="F1" i="50"/>
  <c r="G1" i="50"/>
  <c r="H1" i="50"/>
  <c r="I1" i="50"/>
  <c r="J1" i="50"/>
  <c r="K1" i="50"/>
  <c r="L1" i="50"/>
  <c r="M1" i="50"/>
  <c r="N1" i="50"/>
  <c r="O1" i="50"/>
  <c r="P1" i="50"/>
  <c r="Q1" i="50"/>
  <c r="R1" i="50"/>
  <c r="S1" i="50"/>
  <c r="T1" i="50"/>
  <c r="U1" i="50"/>
  <c r="V1" i="50"/>
  <c r="W1" i="50"/>
  <c r="X1" i="50"/>
  <c r="Y1" i="50"/>
  <c r="Z1" i="50"/>
  <c r="AA1" i="50"/>
  <c r="AB1" i="50"/>
  <c r="AC1" i="50"/>
  <c r="AD1" i="50"/>
  <c r="AE1" i="50"/>
  <c r="AF1" i="50"/>
  <c r="C1" i="50"/>
  <c r="B1" i="50"/>
  <c r="E29" i="49"/>
  <c r="D29" i="49"/>
  <c r="E28" i="49"/>
  <c r="D28" i="49"/>
  <c r="E27" i="49"/>
  <c r="D27" i="49"/>
  <c r="E26" i="49"/>
  <c r="D26" i="49"/>
  <c r="E25" i="49"/>
  <c r="D25" i="49"/>
  <c r="E24" i="49"/>
  <c r="D24" i="49"/>
  <c r="E23" i="49"/>
  <c r="D23" i="49"/>
  <c r="E22" i="49"/>
  <c r="D22" i="49"/>
  <c r="C29" i="49"/>
  <c r="B29" i="49"/>
  <c r="C28" i="49"/>
  <c r="B28" i="49"/>
  <c r="C27" i="49"/>
  <c r="B27" i="49"/>
  <c r="C26" i="49"/>
  <c r="B26" i="49"/>
  <c r="C25" i="49"/>
  <c r="B25" i="49"/>
  <c r="C24" i="49"/>
  <c r="B24" i="49"/>
  <c r="C23" i="49"/>
  <c r="B23" i="49"/>
  <c r="C22" i="49"/>
  <c r="B22" i="49"/>
  <c r="D1" i="49"/>
  <c r="C1" i="49"/>
  <c r="B1" i="49"/>
  <c r="R29" i="49"/>
  <c r="R28" i="49"/>
  <c r="R27" i="49"/>
  <c r="R26" i="49"/>
  <c r="R25" i="49"/>
  <c r="R24" i="49"/>
  <c r="R23" i="49"/>
  <c r="R22" i="49"/>
  <c r="H29" i="49"/>
  <c r="G29" i="49"/>
  <c r="F29" i="49"/>
  <c r="H28" i="49"/>
  <c r="G28" i="49"/>
  <c r="F28" i="49"/>
  <c r="H27" i="49"/>
  <c r="G27" i="49"/>
  <c r="F27" i="49"/>
  <c r="H26" i="49"/>
  <c r="G26" i="49"/>
  <c r="F26" i="49"/>
  <c r="H25" i="49"/>
  <c r="G25" i="49"/>
  <c r="F25" i="49"/>
  <c r="H24" i="49"/>
  <c r="G24" i="49"/>
  <c r="F24" i="49"/>
  <c r="H23" i="49"/>
  <c r="G23" i="49"/>
  <c r="F23" i="49"/>
  <c r="H22" i="49"/>
  <c r="G22" i="49"/>
  <c r="F22" i="49"/>
  <c r="AJ29" i="49"/>
  <c r="AI29" i="49"/>
  <c r="AH29" i="49"/>
  <c r="AG29" i="49"/>
  <c r="AF29" i="49"/>
  <c r="AE29" i="49"/>
  <c r="AD29" i="49"/>
  <c r="AJ28" i="49"/>
  <c r="AI28" i="49"/>
  <c r="AH28" i="49"/>
  <c r="AG28" i="49"/>
  <c r="AF28" i="49"/>
  <c r="AE28" i="49"/>
  <c r="AD28" i="49"/>
  <c r="AJ27" i="49"/>
  <c r="AI27" i="49"/>
  <c r="AH27" i="49"/>
  <c r="AG27" i="49"/>
  <c r="AF27" i="49"/>
  <c r="AE27" i="49"/>
  <c r="AD27" i="49"/>
  <c r="AJ26" i="49"/>
  <c r="AI26" i="49"/>
  <c r="AH26" i="49"/>
  <c r="AG26" i="49"/>
  <c r="AF26" i="49"/>
  <c r="AE26" i="49"/>
  <c r="AD26" i="49"/>
  <c r="AJ25" i="49"/>
  <c r="AI25" i="49"/>
  <c r="AH25" i="49"/>
  <c r="AG25" i="49"/>
  <c r="AF25" i="49"/>
  <c r="AE25" i="49"/>
  <c r="AD25" i="49"/>
  <c r="AJ24" i="49"/>
  <c r="AI24" i="49"/>
  <c r="AH24" i="49"/>
  <c r="AG24" i="49"/>
  <c r="AF24" i="49"/>
  <c r="AE24" i="49"/>
  <c r="AD24" i="49"/>
  <c r="AJ23" i="49"/>
  <c r="AI23" i="49"/>
  <c r="AH23" i="49"/>
  <c r="AG23" i="49"/>
  <c r="AF23" i="49"/>
  <c r="AE23" i="49"/>
  <c r="AD23" i="49"/>
  <c r="AJ22" i="49"/>
  <c r="AI22" i="49"/>
  <c r="AH22" i="49"/>
  <c r="AG22" i="49"/>
  <c r="AF22" i="49"/>
  <c r="AE22" i="49"/>
  <c r="AD22" i="49"/>
  <c r="AC29" i="49"/>
  <c r="AB29" i="49"/>
  <c r="AA29" i="49"/>
  <c r="Z29" i="49"/>
  <c r="Y29" i="49"/>
  <c r="X29" i="49"/>
  <c r="W29" i="49"/>
  <c r="AC28" i="49"/>
  <c r="AB28" i="49"/>
  <c r="AA28" i="49"/>
  <c r="Z28" i="49"/>
  <c r="Y28" i="49"/>
  <c r="X28" i="49"/>
  <c r="W28" i="49"/>
  <c r="AC27" i="49"/>
  <c r="AB27" i="49"/>
  <c r="AA27" i="49"/>
  <c r="Z27" i="49"/>
  <c r="Y27" i="49"/>
  <c r="X27" i="49"/>
  <c r="W27" i="49"/>
  <c r="AC26" i="49"/>
  <c r="AB26" i="49"/>
  <c r="AA26" i="49"/>
  <c r="Z26" i="49"/>
  <c r="Y26" i="49"/>
  <c r="X26" i="49"/>
  <c r="W26" i="49"/>
  <c r="AC25" i="49"/>
  <c r="AB25" i="49"/>
  <c r="AA25" i="49"/>
  <c r="Z25" i="49"/>
  <c r="Y25" i="49"/>
  <c r="X25" i="49"/>
  <c r="W25" i="49"/>
  <c r="AC24" i="49"/>
  <c r="AB24" i="49"/>
  <c r="AA24" i="49"/>
  <c r="Z24" i="49"/>
  <c r="Y24" i="49"/>
  <c r="X24" i="49"/>
  <c r="W24" i="49"/>
  <c r="AC23" i="49"/>
  <c r="AB23" i="49"/>
  <c r="AA23" i="49"/>
  <c r="Z23" i="49"/>
  <c r="Y23" i="49"/>
  <c r="X23" i="49"/>
  <c r="W23" i="49"/>
  <c r="AC22" i="49"/>
  <c r="AB22" i="49"/>
  <c r="AA22" i="49"/>
  <c r="Z22" i="49"/>
  <c r="Y22" i="49"/>
  <c r="X22" i="49"/>
  <c r="W22" i="49"/>
  <c r="V29" i="49"/>
  <c r="U29" i="49"/>
  <c r="T29" i="49"/>
  <c r="S29" i="49"/>
  <c r="Q29" i="49"/>
  <c r="P29" i="49"/>
  <c r="V28" i="49"/>
  <c r="U28" i="49"/>
  <c r="T28" i="49"/>
  <c r="S28" i="49"/>
  <c r="Q28" i="49"/>
  <c r="P28" i="49"/>
  <c r="V27" i="49"/>
  <c r="U27" i="49"/>
  <c r="T27" i="49"/>
  <c r="S27" i="49"/>
  <c r="Q27" i="49"/>
  <c r="P27" i="49"/>
  <c r="V26" i="49"/>
  <c r="U26" i="49"/>
  <c r="T26" i="49"/>
  <c r="S26" i="49"/>
  <c r="Q26" i="49"/>
  <c r="P26" i="49"/>
  <c r="V25" i="49"/>
  <c r="U25" i="49"/>
  <c r="T25" i="49"/>
  <c r="S25" i="49"/>
  <c r="Q25" i="49"/>
  <c r="P25" i="49"/>
  <c r="V24" i="49"/>
  <c r="U24" i="49"/>
  <c r="T24" i="49"/>
  <c r="S24" i="49"/>
  <c r="Q24" i="49"/>
  <c r="P24" i="49"/>
  <c r="V23" i="49"/>
  <c r="U23" i="49"/>
  <c r="T23" i="49"/>
  <c r="S23" i="49"/>
  <c r="Q23" i="49"/>
  <c r="P23" i="49"/>
  <c r="V22" i="49"/>
  <c r="U22" i="49"/>
  <c r="T22" i="49"/>
  <c r="S22" i="49"/>
  <c r="Q22" i="49"/>
  <c r="P22" i="49"/>
  <c r="O29" i="49"/>
  <c r="N29" i="49"/>
  <c r="M29" i="49"/>
  <c r="L29" i="49"/>
  <c r="K29" i="49"/>
  <c r="J29" i="49"/>
  <c r="I29" i="49"/>
  <c r="O28" i="49"/>
  <c r="N28" i="49"/>
  <c r="M28" i="49"/>
  <c r="L28" i="49"/>
  <c r="K28" i="49"/>
  <c r="J28" i="49"/>
  <c r="I28" i="49"/>
  <c r="O27" i="49"/>
  <c r="N27" i="49"/>
  <c r="M27" i="49"/>
  <c r="L27" i="49"/>
  <c r="K27" i="49"/>
  <c r="J27" i="49"/>
  <c r="I27" i="49"/>
  <c r="O26" i="49"/>
  <c r="N26" i="49"/>
  <c r="M26" i="49"/>
  <c r="L26" i="49"/>
  <c r="K26" i="49"/>
  <c r="J26" i="49"/>
  <c r="I26" i="49"/>
  <c r="O25" i="49"/>
  <c r="N25" i="49"/>
  <c r="M25" i="49"/>
  <c r="L25" i="49"/>
  <c r="K25" i="49"/>
  <c r="J25" i="49"/>
  <c r="I25" i="49"/>
  <c r="O24" i="49"/>
  <c r="N24" i="49"/>
  <c r="M24" i="49"/>
  <c r="L24" i="49"/>
  <c r="K24" i="49"/>
  <c r="J24" i="49"/>
  <c r="I24" i="49"/>
  <c r="O23" i="49"/>
  <c r="N23" i="49"/>
  <c r="M23" i="49"/>
  <c r="L23" i="49"/>
  <c r="K23" i="49"/>
  <c r="J23" i="49"/>
  <c r="I23" i="49"/>
  <c r="O22" i="49"/>
  <c r="N22" i="49"/>
  <c r="M22" i="49"/>
  <c r="L22" i="49"/>
  <c r="K22" i="49"/>
  <c r="J22" i="49"/>
  <c r="I22" i="49"/>
  <c r="AI1" i="49"/>
  <c r="AJ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H1" i="49"/>
  <c r="G1" i="49"/>
  <c r="F1" i="49"/>
  <c r="E1" i="49"/>
  <c r="AM29" i="48"/>
  <c r="AL29" i="48"/>
  <c r="AK29" i="48"/>
  <c r="AJ29" i="48"/>
  <c r="AM28" i="48"/>
  <c r="AL28" i="48"/>
  <c r="AK28" i="48"/>
  <c r="AJ28" i="48"/>
  <c r="AM27" i="48"/>
  <c r="AL27" i="48"/>
  <c r="AK27" i="48"/>
  <c r="AJ27" i="48"/>
  <c r="AM26" i="48"/>
  <c r="AL26" i="48"/>
  <c r="AK26" i="48"/>
  <c r="AJ26" i="48"/>
  <c r="AM25" i="48"/>
  <c r="AL25" i="48"/>
  <c r="AK25" i="48"/>
  <c r="AJ25" i="48"/>
  <c r="AM24" i="48"/>
  <c r="AL24" i="48"/>
  <c r="AK24" i="48"/>
  <c r="AJ24" i="48"/>
  <c r="AM23" i="48"/>
  <c r="AL23" i="48"/>
  <c r="AK23" i="48"/>
  <c r="AJ23" i="48"/>
  <c r="AM22" i="48"/>
  <c r="AL22" i="48"/>
  <c r="AK22" i="48"/>
  <c r="AJ22" i="48"/>
  <c r="D1" i="48"/>
  <c r="C1" i="48"/>
  <c r="B1" i="48"/>
  <c r="AJ1" i="48"/>
  <c r="AK1" i="48"/>
  <c r="AL1" i="48"/>
  <c r="AM1" i="48"/>
  <c r="AI29" i="48"/>
  <c r="AH29" i="48"/>
  <c r="AG29" i="48"/>
  <c r="AI28" i="48"/>
  <c r="AH28" i="48"/>
  <c r="AG28" i="48"/>
  <c r="AI27" i="48"/>
  <c r="AH27" i="48"/>
  <c r="AG27" i="48"/>
  <c r="AI26" i="48"/>
  <c r="AH26" i="48"/>
  <c r="AG26" i="48"/>
  <c r="AI25" i="48"/>
  <c r="AH25" i="48"/>
  <c r="AG25" i="48"/>
  <c r="AI24" i="48"/>
  <c r="AH24" i="48"/>
  <c r="AG24" i="48"/>
  <c r="AI23" i="48"/>
  <c r="AH23" i="48"/>
  <c r="AG23" i="48"/>
  <c r="AI22" i="48"/>
  <c r="AH22" i="48"/>
  <c r="AG22" i="48"/>
  <c r="AF29" i="48"/>
  <c r="AE29" i="48"/>
  <c r="AD29" i="48"/>
  <c r="AC29" i="48"/>
  <c r="AB29" i="48"/>
  <c r="AA29" i="48"/>
  <c r="Z29" i="48"/>
  <c r="AF28" i="48"/>
  <c r="AE28" i="48"/>
  <c r="AD28" i="48"/>
  <c r="AC28" i="48"/>
  <c r="AB28" i="48"/>
  <c r="AA28" i="48"/>
  <c r="Z28" i="48"/>
  <c r="AF27" i="48"/>
  <c r="AE27" i="48"/>
  <c r="AD27" i="48"/>
  <c r="AC27" i="48"/>
  <c r="AB27" i="48"/>
  <c r="AA27" i="48"/>
  <c r="Z27" i="48"/>
  <c r="AF26" i="48"/>
  <c r="AE26" i="48"/>
  <c r="AD26" i="48"/>
  <c r="AC26" i="48"/>
  <c r="AB26" i="48"/>
  <c r="AA26" i="48"/>
  <c r="Z26" i="48"/>
  <c r="AF25" i="48"/>
  <c r="AE25" i="48"/>
  <c r="AD25" i="48"/>
  <c r="AC25" i="48"/>
  <c r="AB25" i="48"/>
  <c r="AA25" i="48"/>
  <c r="Z25" i="48"/>
  <c r="AF24" i="48"/>
  <c r="AE24" i="48"/>
  <c r="AD24" i="48"/>
  <c r="AC24" i="48"/>
  <c r="AB24" i="48"/>
  <c r="AA24" i="48"/>
  <c r="Z24" i="48"/>
  <c r="AF23" i="48"/>
  <c r="AE23" i="48"/>
  <c r="AD23" i="48"/>
  <c r="AC23" i="48"/>
  <c r="AB23" i="48"/>
  <c r="AA23" i="48"/>
  <c r="Z23" i="48"/>
  <c r="AF22" i="48"/>
  <c r="AE22" i="48"/>
  <c r="AD22" i="48"/>
  <c r="AC22" i="48"/>
  <c r="AB22" i="48"/>
  <c r="AA22" i="48"/>
  <c r="Z22" i="48"/>
  <c r="Y29" i="48"/>
  <c r="X29" i="48"/>
  <c r="W29" i="48"/>
  <c r="V29" i="48"/>
  <c r="U29" i="48"/>
  <c r="T29" i="48"/>
  <c r="S29" i="48"/>
  <c r="Y28" i="48"/>
  <c r="X28" i="48"/>
  <c r="W28" i="48"/>
  <c r="V28" i="48"/>
  <c r="U28" i="48"/>
  <c r="T28" i="48"/>
  <c r="S28" i="48"/>
  <c r="Y27" i="48"/>
  <c r="X27" i="48"/>
  <c r="W27" i="48"/>
  <c r="V27" i="48"/>
  <c r="U27" i="48"/>
  <c r="T27" i="48"/>
  <c r="S27" i="48"/>
  <c r="Y26" i="48"/>
  <c r="X26" i="48"/>
  <c r="W26" i="48"/>
  <c r="V26" i="48"/>
  <c r="U26" i="48"/>
  <c r="T26" i="48"/>
  <c r="S26" i="48"/>
  <c r="Y25" i="48"/>
  <c r="X25" i="48"/>
  <c r="W25" i="48"/>
  <c r="V25" i="48"/>
  <c r="U25" i="48"/>
  <c r="T25" i="48"/>
  <c r="S25" i="48"/>
  <c r="Y24" i="48"/>
  <c r="X24" i="48"/>
  <c r="W24" i="48"/>
  <c r="V24" i="48"/>
  <c r="U24" i="48"/>
  <c r="T24" i="48"/>
  <c r="S24" i="48"/>
  <c r="Y23" i="48"/>
  <c r="X23" i="48"/>
  <c r="W23" i="48"/>
  <c r="V23" i="48"/>
  <c r="U23" i="48"/>
  <c r="T23" i="48"/>
  <c r="S23" i="48"/>
  <c r="Y22" i="48"/>
  <c r="X22" i="48"/>
  <c r="W22" i="48"/>
  <c r="V22" i="48"/>
  <c r="U22" i="48"/>
  <c r="T22" i="48"/>
  <c r="S22" i="48"/>
  <c r="R29" i="48"/>
  <c r="Q29" i="48"/>
  <c r="P29" i="48"/>
  <c r="O29" i="48"/>
  <c r="N29" i="48"/>
  <c r="M29" i="48"/>
  <c r="L29" i="48"/>
  <c r="R28" i="48"/>
  <c r="Q28" i="48"/>
  <c r="P28" i="48"/>
  <c r="O28" i="48"/>
  <c r="N28" i="48"/>
  <c r="M28" i="48"/>
  <c r="L28" i="48"/>
  <c r="R27" i="48"/>
  <c r="Q27" i="48"/>
  <c r="P27" i="48"/>
  <c r="O27" i="48"/>
  <c r="N27" i="48"/>
  <c r="M27" i="48"/>
  <c r="L27" i="48"/>
  <c r="R26" i="48"/>
  <c r="Q26" i="48"/>
  <c r="P26" i="48"/>
  <c r="O26" i="48"/>
  <c r="N26" i="48"/>
  <c r="M26" i="48"/>
  <c r="L26" i="48"/>
  <c r="R25" i="48"/>
  <c r="Q25" i="48"/>
  <c r="P25" i="48"/>
  <c r="O25" i="48"/>
  <c r="N25" i="48"/>
  <c r="M25" i="48"/>
  <c r="L25" i="48"/>
  <c r="R24" i="48"/>
  <c r="Q24" i="48"/>
  <c r="P24" i="48"/>
  <c r="O24" i="48"/>
  <c r="N24" i="48"/>
  <c r="M24" i="48"/>
  <c r="L24" i="48"/>
  <c r="R23" i="48"/>
  <c r="Q23" i="48"/>
  <c r="P23" i="48"/>
  <c r="O23" i="48"/>
  <c r="N23" i="48"/>
  <c r="M23" i="48"/>
  <c r="L23" i="48"/>
  <c r="R22" i="48"/>
  <c r="Q22" i="48"/>
  <c r="P22" i="48"/>
  <c r="O22" i="48"/>
  <c r="N22" i="48"/>
  <c r="M22" i="48"/>
  <c r="L22" i="48"/>
  <c r="K29" i="48"/>
  <c r="J29" i="48"/>
  <c r="I29" i="48"/>
  <c r="H29" i="48"/>
  <c r="G29" i="48"/>
  <c r="F29" i="48"/>
  <c r="E29" i="48"/>
  <c r="K28" i="48"/>
  <c r="J28" i="48"/>
  <c r="I28" i="48"/>
  <c r="H28" i="48"/>
  <c r="G28" i="48"/>
  <c r="F28" i="48"/>
  <c r="E28" i="48"/>
  <c r="K27" i="48"/>
  <c r="J27" i="48"/>
  <c r="I27" i="48"/>
  <c r="H27" i="48"/>
  <c r="G27" i="48"/>
  <c r="F27" i="48"/>
  <c r="E27" i="48"/>
  <c r="K26" i="48"/>
  <c r="J26" i="48"/>
  <c r="I26" i="48"/>
  <c r="H26" i="48"/>
  <c r="G26" i="48"/>
  <c r="F26" i="48"/>
  <c r="E26" i="48"/>
  <c r="K25" i="48"/>
  <c r="J25" i="48"/>
  <c r="I25" i="48"/>
  <c r="H25" i="48"/>
  <c r="G25" i="48"/>
  <c r="F25" i="48"/>
  <c r="E25" i="48"/>
  <c r="K24" i="48"/>
  <c r="J24" i="48"/>
  <c r="I24" i="48"/>
  <c r="H24" i="48"/>
  <c r="G24" i="48"/>
  <c r="F24" i="48"/>
  <c r="E24" i="48"/>
  <c r="K23" i="48"/>
  <c r="J23" i="48"/>
  <c r="I23" i="48"/>
  <c r="H23" i="48"/>
  <c r="G23" i="48"/>
  <c r="F23" i="48"/>
  <c r="E23" i="48"/>
  <c r="K22" i="48"/>
  <c r="J22" i="48"/>
  <c r="I22" i="48"/>
  <c r="H22" i="48"/>
  <c r="G22" i="48"/>
  <c r="F22" i="48"/>
  <c r="E22" i="48"/>
  <c r="I32" i="51"/>
  <c r="AF32" i="51"/>
  <c r="AC32" i="51"/>
  <c r="R32" i="51"/>
  <c r="W32" i="51"/>
  <c r="P32" i="51"/>
  <c r="L32" i="51"/>
  <c r="AE32" i="51"/>
  <c r="X32" i="51"/>
  <c r="AA32" i="51"/>
  <c r="AB32" i="51"/>
  <c r="V32" i="51"/>
  <c r="S32" i="51"/>
  <c r="Q32" i="51"/>
  <c r="T32" i="51"/>
  <c r="U32" i="51"/>
  <c r="O32" i="51"/>
  <c r="M32" i="51"/>
  <c r="N32" i="51"/>
  <c r="K32" i="51"/>
  <c r="J32" i="51"/>
  <c r="H32" i="51"/>
  <c r="E32" i="51"/>
  <c r="F32" i="51"/>
  <c r="G32" i="51"/>
  <c r="Y32" i="51"/>
  <c r="Z32" i="51"/>
  <c r="AI32" i="51"/>
  <c r="AG32" i="51"/>
  <c r="D32" i="51"/>
  <c r="B32" i="51"/>
  <c r="C32" i="51"/>
  <c r="AK30" i="49"/>
  <c r="AL30" i="49"/>
  <c r="AF30" i="50"/>
  <c r="L30" i="50"/>
  <c r="C30" i="50"/>
  <c r="P30" i="50"/>
  <c r="Q30" i="50"/>
  <c r="B30" i="50"/>
  <c r="X30" i="50"/>
  <c r="I30" i="50"/>
  <c r="AC30" i="50"/>
  <c r="AA30" i="50"/>
  <c r="N30" i="50"/>
  <c r="O30" i="50"/>
  <c r="AD30" i="50"/>
  <c r="AE30" i="50"/>
  <c r="Y30" i="50"/>
  <c r="Z30" i="50"/>
  <c r="AB30" i="50"/>
  <c r="W30" i="50"/>
  <c r="R30" i="50"/>
  <c r="S30" i="50"/>
  <c r="T30" i="50"/>
  <c r="U30" i="50"/>
  <c r="V30" i="50"/>
  <c r="K30" i="50"/>
  <c r="M30" i="50"/>
  <c r="J30" i="50"/>
  <c r="H30" i="50"/>
  <c r="D30" i="50"/>
  <c r="E30" i="50"/>
  <c r="F30" i="50"/>
  <c r="G30" i="50"/>
  <c r="B30" i="49"/>
  <c r="C30" i="49"/>
  <c r="D30" i="49"/>
  <c r="E30" i="49"/>
  <c r="F30" i="49"/>
  <c r="G30" i="49"/>
  <c r="H30" i="49"/>
  <c r="T30" i="49"/>
  <c r="AJ30" i="49"/>
  <c r="AE30" i="49"/>
  <c r="P30" i="49"/>
  <c r="N30" i="49"/>
  <c r="I30" i="49"/>
  <c r="J30" i="49"/>
  <c r="M30" i="49"/>
  <c r="K30" i="49"/>
  <c r="L30" i="49"/>
  <c r="AD30" i="49"/>
  <c r="AI30" i="49"/>
  <c r="AF30" i="49"/>
  <c r="AG30" i="49"/>
  <c r="AA30" i="49"/>
  <c r="Z30" i="49"/>
  <c r="Y30" i="49"/>
  <c r="AB30" i="49"/>
  <c r="X30" i="49"/>
  <c r="W30" i="49"/>
  <c r="Q30" i="49"/>
  <c r="U30" i="49"/>
  <c r="R30" i="49"/>
  <c r="AH30" i="49"/>
  <c r="AC30" i="49"/>
  <c r="V30" i="49"/>
  <c r="S30" i="49"/>
  <c r="O30" i="49"/>
  <c r="AJ30" i="48"/>
  <c r="AK30" i="48"/>
  <c r="AL30" i="48"/>
  <c r="AM30" i="48"/>
  <c r="J30" i="48"/>
  <c r="O30" i="48"/>
  <c r="U30" i="48"/>
  <c r="N30" i="48"/>
  <c r="E30" i="48"/>
  <c r="T30" i="48"/>
  <c r="V30" i="48"/>
  <c r="L30" i="48"/>
  <c r="W30" i="48"/>
  <c r="AG30" i="48"/>
  <c r="M30" i="48"/>
  <c r="X30" i="48"/>
  <c r="AH30" i="48"/>
  <c r="Y30" i="48"/>
  <c r="AI30" i="48"/>
  <c r="F30" i="48"/>
  <c r="P30" i="48"/>
  <c r="Z30" i="48"/>
  <c r="G30" i="48"/>
  <c r="Q30" i="48"/>
  <c r="AA30" i="48"/>
  <c r="H30" i="48"/>
  <c r="R30" i="48"/>
  <c r="AB30" i="48"/>
  <c r="I30" i="48"/>
  <c r="AC30" i="48"/>
  <c r="S30" i="48"/>
  <c r="AD30" i="48"/>
  <c r="AE30" i="48"/>
  <c r="AF30" i="48"/>
  <c r="K30" i="48"/>
  <c r="G1" i="48"/>
  <c r="H1" i="48"/>
  <c r="I1" i="48"/>
  <c r="J1" i="48"/>
  <c r="K1" i="48"/>
  <c r="L1" i="48"/>
  <c r="M1" i="48"/>
  <c r="N1" i="48"/>
  <c r="O1" i="48"/>
  <c r="P1" i="48"/>
  <c r="Q1" i="48"/>
  <c r="R1" i="48"/>
  <c r="S1" i="48"/>
  <c r="T1" i="48"/>
  <c r="U1" i="48"/>
  <c r="V1" i="48"/>
  <c r="W1" i="48"/>
  <c r="X1" i="48"/>
  <c r="Y1" i="48"/>
  <c r="Z1" i="48"/>
  <c r="AA1" i="48"/>
  <c r="AB1" i="48"/>
  <c r="AC1" i="48"/>
  <c r="AD1" i="48"/>
  <c r="AE1" i="48"/>
  <c r="AF1" i="48"/>
  <c r="AG1" i="48"/>
  <c r="AH1" i="48"/>
  <c r="AI1" i="48"/>
  <c r="F1" i="48"/>
  <c r="E1" i="48"/>
  <c r="AG29" i="47"/>
  <c r="AF29" i="47"/>
  <c r="AG28" i="47"/>
  <c r="AF28" i="47"/>
  <c r="AG27" i="47"/>
  <c r="AF27" i="47"/>
  <c r="AG26" i="47"/>
  <c r="AF26" i="47"/>
  <c r="AG25" i="47"/>
  <c r="AF25" i="47"/>
  <c r="AG24" i="47"/>
  <c r="AF24" i="47"/>
  <c r="AG23" i="47"/>
  <c r="AF23" i="47"/>
  <c r="AG22" i="47"/>
  <c r="AF22" i="47"/>
  <c r="AC29" i="47"/>
  <c r="AB29" i="47"/>
  <c r="AA29" i="47"/>
  <c r="Z29" i="47"/>
  <c r="Y29" i="47"/>
  <c r="AC28" i="47"/>
  <c r="AB28" i="47"/>
  <c r="AA28" i="47"/>
  <c r="Z28" i="47"/>
  <c r="Y28" i="47"/>
  <c r="AC27" i="47"/>
  <c r="AB27" i="47"/>
  <c r="AA27" i="47"/>
  <c r="Z27" i="47"/>
  <c r="Y27" i="47"/>
  <c r="AC26" i="47"/>
  <c r="AB26" i="47"/>
  <c r="AA26" i="47"/>
  <c r="Z26" i="47"/>
  <c r="Y26" i="47"/>
  <c r="AC25" i="47"/>
  <c r="AB25" i="47"/>
  <c r="AA25" i="47"/>
  <c r="Z25" i="47"/>
  <c r="Y25" i="47"/>
  <c r="AC24" i="47"/>
  <c r="AB24" i="47"/>
  <c r="AA24" i="47"/>
  <c r="Z24" i="47"/>
  <c r="Y24" i="47"/>
  <c r="AC23" i="47"/>
  <c r="AB23" i="47"/>
  <c r="AA23" i="47"/>
  <c r="Z23" i="47"/>
  <c r="Y23" i="47"/>
  <c r="AC22" i="47"/>
  <c r="AB22" i="47"/>
  <c r="AA22" i="47"/>
  <c r="Z22" i="47"/>
  <c r="Y22" i="47"/>
  <c r="V29" i="47"/>
  <c r="U29" i="47"/>
  <c r="T29" i="47"/>
  <c r="S29" i="47"/>
  <c r="R29" i="47"/>
  <c r="V28" i="47"/>
  <c r="U28" i="47"/>
  <c r="T28" i="47"/>
  <c r="S28" i="47"/>
  <c r="R28" i="47"/>
  <c r="V27" i="47"/>
  <c r="U27" i="47"/>
  <c r="T27" i="47"/>
  <c r="S27" i="47"/>
  <c r="R27" i="47"/>
  <c r="V26" i="47"/>
  <c r="U26" i="47"/>
  <c r="T26" i="47"/>
  <c r="S26" i="47"/>
  <c r="R26" i="47"/>
  <c r="V25" i="47"/>
  <c r="U25" i="47"/>
  <c r="T25" i="47"/>
  <c r="S25" i="47"/>
  <c r="R25" i="47"/>
  <c r="V24" i="47"/>
  <c r="U24" i="47"/>
  <c r="T24" i="47"/>
  <c r="S24" i="47"/>
  <c r="R24" i="47"/>
  <c r="V23" i="47"/>
  <c r="U23" i="47"/>
  <c r="T23" i="47"/>
  <c r="S23" i="47"/>
  <c r="R23" i="47"/>
  <c r="V22" i="47"/>
  <c r="U22" i="47"/>
  <c r="T22" i="47"/>
  <c r="S22" i="47"/>
  <c r="R22" i="47"/>
  <c r="O29" i="47"/>
  <c r="N29" i="47"/>
  <c r="M29" i="47"/>
  <c r="L29" i="47"/>
  <c r="K29" i="47"/>
  <c r="O28" i="47"/>
  <c r="N28" i="47"/>
  <c r="M28" i="47"/>
  <c r="L28" i="47"/>
  <c r="K28" i="47"/>
  <c r="O27" i="47"/>
  <c r="N27" i="47"/>
  <c r="M27" i="47"/>
  <c r="L27" i="47"/>
  <c r="K27" i="47"/>
  <c r="O26" i="47"/>
  <c r="N26" i="47"/>
  <c r="M26" i="47"/>
  <c r="L26" i="47"/>
  <c r="K26" i="47"/>
  <c r="O25" i="47"/>
  <c r="N25" i="47"/>
  <c r="M25" i="47"/>
  <c r="L25" i="47"/>
  <c r="K25" i="47"/>
  <c r="O24" i="47"/>
  <c r="N24" i="47"/>
  <c r="M24" i="47"/>
  <c r="L24" i="47"/>
  <c r="K24" i="47"/>
  <c r="O23" i="47"/>
  <c r="N23" i="47"/>
  <c r="M23" i="47"/>
  <c r="L23" i="47"/>
  <c r="K23" i="47"/>
  <c r="O22" i="47"/>
  <c r="N22" i="47"/>
  <c r="M22" i="47"/>
  <c r="L22" i="47"/>
  <c r="K22" i="47"/>
  <c r="F29" i="47"/>
  <c r="E29" i="47"/>
  <c r="D29" i="47"/>
  <c r="F28" i="47"/>
  <c r="E28" i="47"/>
  <c r="D28" i="47"/>
  <c r="F27" i="47"/>
  <c r="E27" i="47"/>
  <c r="D27" i="47"/>
  <c r="F26" i="47"/>
  <c r="E26" i="47"/>
  <c r="D26" i="47"/>
  <c r="F25" i="47"/>
  <c r="E25" i="47"/>
  <c r="D25" i="47"/>
  <c r="F24" i="47"/>
  <c r="E24" i="47"/>
  <c r="D24" i="47"/>
  <c r="F23" i="47"/>
  <c r="E23" i="47"/>
  <c r="D23" i="47"/>
  <c r="F22" i="47"/>
  <c r="E22" i="47"/>
  <c r="D22" i="47"/>
  <c r="AE29" i="47"/>
  <c r="AD29" i="47"/>
  <c r="AE28" i="47"/>
  <c r="AD28" i="47"/>
  <c r="AE27" i="47"/>
  <c r="AD27" i="47"/>
  <c r="AE26" i="47"/>
  <c r="AD26" i="47"/>
  <c r="AE25" i="47"/>
  <c r="AD25" i="47"/>
  <c r="AE24" i="47"/>
  <c r="AD24" i="47"/>
  <c r="AE23" i="47"/>
  <c r="AD23" i="47"/>
  <c r="AE22" i="47"/>
  <c r="AD22" i="47"/>
  <c r="X29" i="47"/>
  <c r="W29" i="47"/>
  <c r="X28" i="47"/>
  <c r="W28" i="47"/>
  <c r="X27" i="47"/>
  <c r="W27" i="47"/>
  <c r="X26" i="47"/>
  <c r="W26" i="47"/>
  <c r="X25" i="47"/>
  <c r="W25" i="47"/>
  <c r="X24" i="47"/>
  <c r="W24" i="47"/>
  <c r="X23" i="47"/>
  <c r="W23" i="47"/>
  <c r="X22" i="47"/>
  <c r="W22" i="47"/>
  <c r="Q29" i="47"/>
  <c r="P29" i="47"/>
  <c r="Q28" i="47"/>
  <c r="P28" i="47"/>
  <c r="Q27" i="47"/>
  <c r="P27" i="47"/>
  <c r="Q26" i="47"/>
  <c r="P26" i="47"/>
  <c r="Q25" i="47"/>
  <c r="P25" i="47"/>
  <c r="Q24" i="47"/>
  <c r="P24" i="47"/>
  <c r="Q23" i="47"/>
  <c r="P23" i="47"/>
  <c r="Q22" i="47"/>
  <c r="P22" i="47"/>
  <c r="J29" i="47"/>
  <c r="I29" i="47"/>
  <c r="J28" i="47"/>
  <c r="I28" i="47"/>
  <c r="J27" i="47"/>
  <c r="I27" i="47"/>
  <c r="J26" i="47"/>
  <c r="I26" i="47"/>
  <c r="J25" i="47"/>
  <c r="I25" i="47"/>
  <c r="J24" i="47"/>
  <c r="I24" i="47"/>
  <c r="J23" i="47"/>
  <c r="I23" i="47"/>
  <c r="J22" i="47"/>
  <c r="I22" i="47"/>
  <c r="C29" i="47"/>
  <c r="B29" i="47"/>
  <c r="C28" i="47"/>
  <c r="B28" i="47"/>
  <c r="C27" i="47"/>
  <c r="B27" i="47"/>
  <c r="C26" i="47"/>
  <c r="B26" i="47"/>
  <c r="C25" i="47"/>
  <c r="B25" i="47"/>
  <c r="C24" i="47"/>
  <c r="B24" i="47"/>
  <c r="C23" i="47"/>
  <c r="B23" i="47"/>
  <c r="C22" i="47"/>
  <c r="B22" i="47"/>
  <c r="AG1" i="47"/>
  <c r="C1" i="47"/>
  <c r="D1" i="47"/>
  <c r="E1" i="47"/>
  <c r="F1" i="47"/>
  <c r="G1" i="47"/>
  <c r="H1" i="47"/>
  <c r="I1" i="47"/>
  <c r="J1" i="47"/>
  <c r="K1" i="47"/>
  <c r="L1" i="47"/>
  <c r="M1" i="47"/>
  <c r="N1" i="47"/>
  <c r="O1" i="47"/>
  <c r="P1" i="47"/>
  <c r="Q1" i="47"/>
  <c r="R1" i="47"/>
  <c r="S1" i="47"/>
  <c r="T1" i="47"/>
  <c r="U1" i="47"/>
  <c r="V1" i="47"/>
  <c r="W1" i="47"/>
  <c r="X1" i="47"/>
  <c r="Y1" i="47"/>
  <c r="Z1" i="47"/>
  <c r="AA1" i="47"/>
  <c r="AB1" i="47"/>
  <c r="AC1" i="47"/>
  <c r="AD1" i="47"/>
  <c r="AE1" i="47"/>
  <c r="AF1" i="47"/>
  <c r="B1" i="47"/>
  <c r="H29" i="47"/>
  <c r="G29" i="47"/>
  <c r="H28" i="47"/>
  <c r="G28" i="47"/>
  <c r="H27" i="47"/>
  <c r="G27" i="47"/>
  <c r="H26" i="47"/>
  <c r="G26" i="47"/>
  <c r="H25" i="47"/>
  <c r="G25" i="47"/>
  <c r="H24" i="47"/>
  <c r="G24" i="47"/>
  <c r="H23" i="47"/>
  <c r="G23" i="47"/>
  <c r="H22" i="47"/>
  <c r="G22" i="47"/>
  <c r="D30" i="47"/>
  <c r="E30" i="47"/>
  <c r="F30" i="47"/>
  <c r="AA30" i="47"/>
  <c r="T30" i="47"/>
  <c r="V30" i="47"/>
  <c r="AB30" i="47"/>
  <c r="AC30" i="47"/>
  <c r="AF30" i="47"/>
  <c r="L30" i="47"/>
  <c r="AG30" i="47"/>
  <c r="N30" i="47"/>
  <c r="O30" i="47"/>
  <c r="R30" i="47"/>
  <c r="S30" i="47"/>
  <c r="U30" i="47"/>
  <c r="Z30" i="47"/>
  <c r="K30" i="47"/>
  <c r="M30" i="47"/>
  <c r="Y30" i="47"/>
  <c r="P30" i="47"/>
  <c r="X30" i="47"/>
  <c r="C30" i="47"/>
  <c r="H30" i="47"/>
  <c r="Q30" i="47"/>
  <c r="B30" i="47"/>
  <c r="J30" i="47"/>
  <c r="AD30" i="47"/>
  <c r="G30" i="47"/>
  <c r="W30" i="47"/>
  <c r="AE30" i="47"/>
  <c r="I30" i="47"/>
  <c r="AH29" i="46"/>
  <c r="AG29" i="46"/>
  <c r="AH28" i="46"/>
  <c r="AG28" i="46"/>
  <c r="AH27" i="46"/>
  <c r="AG27" i="46"/>
  <c r="AH26" i="46"/>
  <c r="AG26" i="46"/>
  <c r="AH25" i="46"/>
  <c r="AG25" i="46"/>
  <c r="AH24" i="46"/>
  <c r="AG24" i="46"/>
  <c r="AH23" i="46"/>
  <c r="AG23" i="46"/>
  <c r="AH22" i="46"/>
  <c r="AG22" i="46"/>
  <c r="AA29" i="46"/>
  <c r="Z29" i="46"/>
  <c r="AA28" i="46"/>
  <c r="Z28" i="46"/>
  <c r="AA27" i="46"/>
  <c r="Z27" i="46"/>
  <c r="AA26" i="46"/>
  <c r="Z26" i="46"/>
  <c r="AA25" i="46"/>
  <c r="Z25" i="46"/>
  <c r="AA24" i="46"/>
  <c r="Z24" i="46"/>
  <c r="AA23" i="46"/>
  <c r="Z23" i="46"/>
  <c r="AA22" i="46"/>
  <c r="Z22" i="46"/>
  <c r="T29" i="46"/>
  <c r="S29" i="46"/>
  <c r="T28" i="46"/>
  <c r="S28" i="46"/>
  <c r="T27" i="46"/>
  <c r="S27" i="46"/>
  <c r="T26" i="46"/>
  <c r="S26" i="46"/>
  <c r="T25" i="46"/>
  <c r="S25" i="46"/>
  <c r="T24" i="46"/>
  <c r="S24" i="46"/>
  <c r="T23" i="46"/>
  <c r="S23" i="46"/>
  <c r="T22" i="46"/>
  <c r="S22" i="46"/>
  <c r="M29" i="46"/>
  <c r="M28" i="46"/>
  <c r="M27" i="46"/>
  <c r="M26" i="46"/>
  <c r="M25" i="46"/>
  <c r="M24" i="46"/>
  <c r="M23" i="46"/>
  <c r="M22" i="46"/>
  <c r="L29" i="46"/>
  <c r="L28" i="46"/>
  <c r="L27" i="46"/>
  <c r="L26" i="46"/>
  <c r="L25" i="46"/>
  <c r="L24" i="46"/>
  <c r="L23" i="46"/>
  <c r="L22" i="46"/>
  <c r="F29" i="46"/>
  <c r="E29" i="46"/>
  <c r="F28" i="46"/>
  <c r="E28" i="46"/>
  <c r="F27" i="46"/>
  <c r="E27" i="46"/>
  <c r="F26" i="46"/>
  <c r="E26" i="46"/>
  <c r="F25" i="46"/>
  <c r="E25" i="46"/>
  <c r="F24" i="46"/>
  <c r="E24" i="46"/>
  <c r="F23" i="46"/>
  <c r="E23" i="46"/>
  <c r="F22" i="46"/>
  <c r="E22" i="46"/>
  <c r="AF29" i="46"/>
  <c r="AE29" i="46"/>
  <c r="AD29" i="46"/>
  <c r="AC29" i="46"/>
  <c r="AB29" i="46"/>
  <c r="Y29" i="46"/>
  <c r="X29" i="46"/>
  <c r="W29" i="46"/>
  <c r="V29" i="46"/>
  <c r="U29" i="46"/>
  <c r="R29" i="46"/>
  <c r="Q29" i="46"/>
  <c r="P29" i="46"/>
  <c r="O29" i="46"/>
  <c r="N29" i="46"/>
  <c r="K29" i="46"/>
  <c r="J29" i="46"/>
  <c r="I29" i="46"/>
  <c r="H29" i="46"/>
  <c r="G29" i="46"/>
  <c r="AF28" i="46"/>
  <c r="AE28" i="46"/>
  <c r="AD28" i="46"/>
  <c r="AC28" i="46"/>
  <c r="AB28" i="46"/>
  <c r="Y28" i="46"/>
  <c r="X28" i="46"/>
  <c r="W28" i="46"/>
  <c r="V28" i="46"/>
  <c r="U28" i="46"/>
  <c r="R28" i="46"/>
  <c r="Q28" i="46"/>
  <c r="P28" i="46"/>
  <c r="O28" i="46"/>
  <c r="N28" i="46"/>
  <c r="K28" i="46"/>
  <c r="J28" i="46"/>
  <c r="I28" i="46"/>
  <c r="H28" i="46"/>
  <c r="G28" i="46"/>
  <c r="AF27" i="46"/>
  <c r="AE27" i="46"/>
  <c r="AD27" i="46"/>
  <c r="AC27" i="46"/>
  <c r="AB27" i="46"/>
  <c r="Y27" i="46"/>
  <c r="X27" i="46"/>
  <c r="W27" i="46"/>
  <c r="V27" i="46"/>
  <c r="U27" i="46"/>
  <c r="R27" i="46"/>
  <c r="Q27" i="46"/>
  <c r="P27" i="46"/>
  <c r="O27" i="46"/>
  <c r="N27" i="46"/>
  <c r="K27" i="46"/>
  <c r="J27" i="46"/>
  <c r="I27" i="46"/>
  <c r="H27" i="46"/>
  <c r="G27" i="46"/>
  <c r="AF26" i="46"/>
  <c r="AE26" i="46"/>
  <c r="AD26" i="46"/>
  <c r="AC26" i="46"/>
  <c r="AB26" i="46"/>
  <c r="Y26" i="46"/>
  <c r="X26" i="46"/>
  <c r="W26" i="46"/>
  <c r="V26" i="46"/>
  <c r="U26" i="46"/>
  <c r="R26" i="46"/>
  <c r="Q26" i="46"/>
  <c r="P26" i="46"/>
  <c r="O26" i="46"/>
  <c r="N26" i="46"/>
  <c r="K26" i="46"/>
  <c r="J26" i="46"/>
  <c r="I26" i="46"/>
  <c r="H26" i="46"/>
  <c r="G26" i="46"/>
  <c r="AF25" i="46"/>
  <c r="AE25" i="46"/>
  <c r="AD25" i="46"/>
  <c r="AC25" i="46"/>
  <c r="AB25" i="46"/>
  <c r="Y25" i="46"/>
  <c r="X25" i="46"/>
  <c r="W25" i="46"/>
  <c r="V25" i="46"/>
  <c r="U25" i="46"/>
  <c r="R25" i="46"/>
  <c r="Q25" i="46"/>
  <c r="P25" i="46"/>
  <c r="O25" i="46"/>
  <c r="N25" i="46"/>
  <c r="K25" i="46"/>
  <c r="J25" i="46"/>
  <c r="I25" i="46"/>
  <c r="H25" i="46"/>
  <c r="G25" i="46"/>
  <c r="AF24" i="46"/>
  <c r="AE24" i="46"/>
  <c r="AD24" i="46"/>
  <c r="AC24" i="46"/>
  <c r="AB24" i="46"/>
  <c r="Y24" i="46"/>
  <c r="X24" i="46"/>
  <c r="W24" i="46"/>
  <c r="V24" i="46"/>
  <c r="U24" i="46"/>
  <c r="R24" i="46"/>
  <c r="Q24" i="46"/>
  <c r="P24" i="46"/>
  <c r="O24" i="46"/>
  <c r="N24" i="46"/>
  <c r="K24" i="46"/>
  <c r="J24" i="46"/>
  <c r="I24" i="46"/>
  <c r="H24" i="46"/>
  <c r="G24" i="46"/>
  <c r="AF23" i="46"/>
  <c r="AE23" i="46"/>
  <c r="AD23" i="46"/>
  <c r="AC23" i="46"/>
  <c r="AB23" i="46"/>
  <c r="Y23" i="46"/>
  <c r="X23" i="46"/>
  <c r="W23" i="46"/>
  <c r="V23" i="46"/>
  <c r="U23" i="46"/>
  <c r="R23" i="46"/>
  <c r="Q23" i="46"/>
  <c r="P23" i="46"/>
  <c r="O23" i="46"/>
  <c r="N23" i="46"/>
  <c r="K23" i="46"/>
  <c r="J23" i="46"/>
  <c r="I23" i="46"/>
  <c r="H23" i="46"/>
  <c r="G23" i="46"/>
  <c r="AF22" i="46"/>
  <c r="AE22" i="46"/>
  <c r="AD22" i="46"/>
  <c r="AC22" i="46"/>
  <c r="AB22" i="46"/>
  <c r="Y22" i="46"/>
  <c r="X22" i="46"/>
  <c r="W22" i="46"/>
  <c r="V22" i="46"/>
  <c r="U22" i="46"/>
  <c r="R22" i="46"/>
  <c r="Q22" i="46"/>
  <c r="P22" i="46"/>
  <c r="O22" i="46"/>
  <c r="N22" i="46"/>
  <c r="K22" i="46"/>
  <c r="J22" i="46"/>
  <c r="I22" i="46"/>
  <c r="H22" i="46"/>
  <c r="G22" i="46"/>
  <c r="E1" i="46"/>
  <c r="F1" i="46"/>
  <c r="G1" i="46"/>
  <c r="H1" i="46"/>
  <c r="I1" i="46"/>
  <c r="J1" i="46"/>
  <c r="K1" i="46"/>
  <c r="L1" i="46"/>
  <c r="M1" i="46"/>
  <c r="N1" i="46"/>
  <c r="O1" i="46"/>
  <c r="P1" i="46"/>
  <c r="Q1" i="46"/>
  <c r="R1" i="46"/>
  <c r="S1" i="46"/>
  <c r="T1" i="46"/>
  <c r="U1" i="46"/>
  <c r="V1" i="46"/>
  <c r="W1" i="46"/>
  <c r="X1" i="46"/>
  <c r="Y1" i="46"/>
  <c r="Z1" i="46"/>
  <c r="AA1" i="46"/>
  <c r="AB1" i="46"/>
  <c r="AC1" i="46"/>
  <c r="AD1" i="46"/>
  <c r="AE1" i="46"/>
  <c r="AF1" i="46"/>
  <c r="AG1" i="46"/>
  <c r="AH1" i="46"/>
  <c r="D29" i="46"/>
  <c r="C29" i="46"/>
  <c r="B29" i="46"/>
  <c r="D28" i="46"/>
  <c r="C28" i="46"/>
  <c r="B28" i="46"/>
  <c r="D27" i="46"/>
  <c r="C27" i="46"/>
  <c r="B27" i="46"/>
  <c r="D26" i="46"/>
  <c r="C26" i="46"/>
  <c r="B26" i="46"/>
  <c r="D25" i="46"/>
  <c r="C25" i="46"/>
  <c r="B25" i="46"/>
  <c r="D24" i="46"/>
  <c r="C24" i="46"/>
  <c r="B24" i="46"/>
  <c r="D23" i="46"/>
  <c r="C23" i="46"/>
  <c r="B23" i="46"/>
  <c r="D22" i="46"/>
  <c r="C22" i="46"/>
  <c r="B22" i="46"/>
  <c r="D1" i="46"/>
  <c r="C1" i="46"/>
  <c r="B1" i="46"/>
  <c r="AH29" i="45"/>
  <c r="AG29" i="45"/>
  <c r="AF29" i="45"/>
  <c r="AE29" i="45"/>
  <c r="AD29" i="45"/>
  <c r="AC29" i="45"/>
  <c r="AB29" i="45"/>
  <c r="AA29" i="45"/>
  <c r="Z29" i="45"/>
  <c r="Y29" i="45"/>
  <c r="X29" i="45"/>
  <c r="W29" i="45"/>
  <c r="V29" i="45"/>
  <c r="U29" i="45"/>
  <c r="T29" i="45"/>
  <c r="S29" i="45"/>
  <c r="R29" i="45"/>
  <c r="Q29" i="45"/>
  <c r="P29" i="45"/>
  <c r="O29" i="45"/>
  <c r="N29" i="45"/>
  <c r="M29" i="45"/>
  <c r="L29" i="45"/>
  <c r="K29" i="45"/>
  <c r="J29" i="45"/>
  <c r="I29" i="45"/>
  <c r="H29" i="45"/>
  <c r="G29" i="45"/>
  <c r="F29" i="45"/>
  <c r="E29" i="45"/>
  <c r="D29" i="45"/>
  <c r="C29" i="45"/>
  <c r="B29" i="45"/>
  <c r="AH28" i="45"/>
  <c r="AG28" i="45"/>
  <c r="AF28" i="45"/>
  <c r="AE28" i="45"/>
  <c r="AD28" i="45"/>
  <c r="AC28" i="45"/>
  <c r="AB28" i="45"/>
  <c r="AA28" i="45"/>
  <c r="Z28" i="45"/>
  <c r="Y28" i="45"/>
  <c r="X28" i="45"/>
  <c r="W28" i="45"/>
  <c r="V28" i="45"/>
  <c r="U28" i="45"/>
  <c r="T28" i="45"/>
  <c r="S28" i="45"/>
  <c r="R28" i="45"/>
  <c r="Q28" i="45"/>
  <c r="P28" i="45"/>
  <c r="O28" i="45"/>
  <c r="N28" i="45"/>
  <c r="M28" i="45"/>
  <c r="L28" i="45"/>
  <c r="K28" i="45"/>
  <c r="J28" i="45"/>
  <c r="I28" i="45"/>
  <c r="H28" i="45"/>
  <c r="G28" i="45"/>
  <c r="F28" i="45"/>
  <c r="E28" i="45"/>
  <c r="D28" i="45"/>
  <c r="C28" i="45"/>
  <c r="B28" i="45"/>
  <c r="AH27" i="45"/>
  <c r="AG27" i="45"/>
  <c r="AF27" i="45"/>
  <c r="AE27" i="45"/>
  <c r="AD27" i="45"/>
  <c r="AC27" i="45"/>
  <c r="AB27" i="45"/>
  <c r="AA27" i="45"/>
  <c r="Z27" i="45"/>
  <c r="Y27" i="45"/>
  <c r="X27" i="45"/>
  <c r="W27" i="45"/>
  <c r="V27" i="45"/>
  <c r="U27" i="45"/>
  <c r="T27" i="45"/>
  <c r="S27" i="45"/>
  <c r="R27" i="45"/>
  <c r="Q27" i="45"/>
  <c r="P27" i="45"/>
  <c r="O27" i="45"/>
  <c r="N27" i="45"/>
  <c r="M27" i="45"/>
  <c r="L27" i="45"/>
  <c r="K27" i="45"/>
  <c r="J27" i="45"/>
  <c r="I27" i="45"/>
  <c r="H27" i="45"/>
  <c r="G27" i="45"/>
  <c r="F27" i="45"/>
  <c r="E27" i="45"/>
  <c r="D27" i="45"/>
  <c r="C27" i="45"/>
  <c r="B27" i="45"/>
  <c r="AH26" i="45"/>
  <c r="AG26" i="45"/>
  <c r="AF26" i="45"/>
  <c r="AE26" i="45"/>
  <c r="AD26" i="45"/>
  <c r="AC26" i="45"/>
  <c r="AB26" i="45"/>
  <c r="AA26" i="45"/>
  <c r="Z26" i="45"/>
  <c r="Y26" i="45"/>
  <c r="X26" i="45"/>
  <c r="W26" i="45"/>
  <c r="V26" i="45"/>
  <c r="U26" i="45"/>
  <c r="T26" i="45"/>
  <c r="S26" i="45"/>
  <c r="R26" i="45"/>
  <c r="Q26" i="45"/>
  <c r="P26" i="45"/>
  <c r="O26" i="45"/>
  <c r="N26" i="45"/>
  <c r="M26" i="45"/>
  <c r="L26" i="45"/>
  <c r="K26" i="45"/>
  <c r="J26" i="45"/>
  <c r="I26" i="45"/>
  <c r="H26" i="45"/>
  <c r="G26" i="45"/>
  <c r="F26" i="45"/>
  <c r="E26" i="45"/>
  <c r="D26" i="45"/>
  <c r="C26" i="45"/>
  <c r="B26" i="45"/>
  <c r="AH25" i="45"/>
  <c r="AG25" i="45"/>
  <c r="AF25" i="45"/>
  <c r="AE25" i="45"/>
  <c r="AD25" i="45"/>
  <c r="AC25" i="45"/>
  <c r="AB25" i="45"/>
  <c r="AA25" i="45"/>
  <c r="Z25" i="45"/>
  <c r="Y25" i="45"/>
  <c r="X25" i="45"/>
  <c r="W25" i="45"/>
  <c r="V25" i="45"/>
  <c r="U25" i="45"/>
  <c r="T25" i="45"/>
  <c r="S25" i="45"/>
  <c r="R25" i="45"/>
  <c r="Q25" i="45"/>
  <c r="P25" i="45"/>
  <c r="O25" i="45"/>
  <c r="N25" i="45"/>
  <c r="M25" i="45"/>
  <c r="L25" i="45"/>
  <c r="K25" i="45"/>
  <c r="J25" i="45"/>
  <c r="I25" i="45"/>
  <c r="H25" i="45"/>
  <c r="G25" i="45"/>
  <c r="F25" i="45"/>
  <c r="E25" i="45"/>
  <c r="D25" i="45"/>
  <c r="C25" i="45"/>
  <c r="B25" i="45"/>
  <c r="AH24" i="45"/>
  <c r="AG24" i="45"/>
  <c r="AF24" i="45"/>
  <c r="AE24" i="45"/>
  <c r="AD24" i="45"/>
  <c r="AC24" i="45"/>
  <c r="AB24" i="45"/>
  <c r="AA24" i="45"/>
  <c r="Z24" i="45"/>
  <c r="Y24" i="45"/>
  <c r="X24" i="45"/>
  <c r="W24" i="45"/>
  <c r="V24" i="45"/>
  <c r="U24" i="45"/>
  <c r="T24" i="45"/>
  <c r="S24" i="45"/>
  <c r="R24" i="45"/>
  <c r="Q24" i="45"/>
  <c r="P24" i="45"/>
  <c r="O24" i="45"/>
  <c r="N24" i="45"/>
  <c r="M24" i="45"/>
  <c r="L24" i="45"/>
  <c r="K24" i="45"/>
  <c r="J24" i="45"/>
  <c r="I24" i="45"/>
  <c r="H24" i="45"/>
  <c r="G24" i="45"/>
  <c r="F24" i="45"/>
  <c r="E24" i="45"/>
  <c r="D24" i="45"/>
  <c r="C24" i="45"/>
  <c r="B24" i="45"/>
  <c r="AH23" i="45"/>
  <c r="AG23" i="45"/>
  <c r="AF23" i="45"/>
  <c r="AE23" i="45"/>
  <c r="AD23" i="45"/>
  <c r="AC23" i="45"/>
  <c r="AB23" i="45"/>
  <c r="AA23" i="45"/>
  <c r="Z23" i="45"/>
  <c r="Y23" i="45"/>
  <c r="X23" i="45"/>
  <c r="W23" i="45"/>
  <c r="V23" i="45"/>
  <c r="U23" i="45"/>
  <c r="T23" i="45"/>
  <c r="S23" i="45"/>
  <c r="R23" i="45"/>
  <c r="Q23" i="45"/>
  <c r="P23" i="45"/>
  <c r="O23" i="45"/>
  <c r="N23" i="45"/>
  <c r="M23" i="45"/>
  <c r="L23" i="45"/>
  <c r="K23" i="45"/>
  <c r="J23" i="45"/>
  <c r="I23" i="45"/>
  <c r="H23" i="45"/>
  <c r="G23" i="45"/>
  <c r="F23" i="45"/>
  <c r="E23" i="45"/>
  <c r="D23" i="45"/>
  <c r="C23" i="45"/>
  <c r="B23" i="45"/>
  <c r="AH22" i="45"/>
  <c r="AG22" i="45"/>
  <c r="AF22" i="45"/>
  <c r="AE22" i="45"/>
  <c r="AD22" i="45"/>
  <c r="AC22" i="45"/>
  <c r="AB22" i="45"/>
  <c r="AA22" i="45"/>
  <c r="Z22" i="45"/>
  <c r="Y22" i="45"/>
  <c r="X22" i="45"/>
  <c r="W22" i="45"/>
  <c r="V22" i="45"/>
  <c r="U22" i="45"/>
  <c r="T22" i="45"/>
  <c r="S22" i="45"/>
  <c r="R22" i="45"/>
  <c r="Q22" i="45"/>
  <c r="P22" i="45"/>
  <c r="O22" i="45"/>
  <c r="N22" i="45"/>
  <c r="M22" i="45"/>
  <c r="L22" i="45"/>
  <c r="K22" i="45"/>
  <c r="J22" i="45"/>
  <c r="I22" i="45"/>
  <c r="H22" i="45"/>
  <c r="G22" i="45"/>
  <c r="F22" i="45"/>
  <c r="E22" i="45"/>
  <c r="D22" i="45"/>
  <c r="C22" i="45"/>
  <c r="B22" i="45"/>
  <c r="AH1" i="45"/>
  <c r="AG1" i="45"/>
  <c r="AF1" i="45"/>
  <c r="AE1" i="45"/>
  <c r="AD1" i="45"/>
  <c r="AC1" i="45"/>
  <c r="AB1" i="45"/>
  <c r="AA1" i="45"/>
  <c r="Z1" i="45"/>
  <c r="Y1" i="45"/>
  <c r="X1" i="45"/>
  <c r="W1" i="45"/>
  <c r="V1" i="45"/>
  <c r="U1" i="45"/>
  <c r="T1" i="45"/>
  <c r="S1" i="45"/>
  <c r="R1" i="45"/>
  <c r="Q1" i="45"/>
  <c r="P1" i="45"/>
  <c r="O1" i="45"/>
  <c r="N1" i="45"/>
  <c r="M1" i="45"/>
  <c r="L1" i="45"/>
  <c r="K1" i="45"/>
  <c r="J1" i="45"/>
  <c r="I1" i="45"/>
  <c r="H1" i="45"/>
  <c r="G1" i="45"/>
  <c r="F1" i="45"/>
  <c r="E1" i="45"/>
  <c r="D1" i="45"/>
  <c r="C1" i="45"/>
  <c r="B1" i="45"/>
  <c r="AA26" i="44"/>
  <c r="Z26" i="44"/>
  <c r="T26" i="44"/>
  <c r="M26" i="44"/>
  <c r="L26" i="44"/>
  <c r="F26" i="44"/>
  <c r="E26" i="44"/>
  <c r="S26" i="44"/>
  <c r="T26" i="42"/>
  <c r="U26" i="42"/>
  <c r="C26" i="44"/>
  <c r="AC29" i="44"/>
  <c r="AB29" i="44"/>
  <c r="AA29" i="44"/>
  <c r="Z29" i="44"/>
  <c r="Y29" i="44"/>
  <c r="X29" i="44"/>
  <c r="W29" i="44"/>
  <c r="V29" i="44"/>
  <c r="U29" i="44"/>
  <c r="T29" i="44"/>
  <c r="S29" i="44"/>
  <c r="R29" i="44"/>
  <c r="Q29" i="44"/>
  <c r="P29" i="44"/>
  <c r="O29" i="44"/>
  <c r="N29" i="44"/>
  <c r="M29" i="44"/>
  <c r="L29" i="44"/>
  <c r="K29" i="44"/>
  <c r="J29" i="44"/>
  <c r="I29" i="44"/>
  <c r="H29" i="44"/>
  <c r="G29" i="44"/>
  <c r="F29" i="44"/>
  <c r="E29" i="44"/>
  <c r="D29" i="44"/>
  <c r="C29" i="44"/>
  <c r="B29" i="44"/>
  <c r="AC28" i="44"/>
  <c r="AB28" i="44"/>
  <c r="AA28" i="44"/>
  <c r="Z28" i="44"/>
  <c r="Y28" i="44"/>
  <c r="X28" i="44"/>
  <c r="W28" i="44"/>
  <c r="V28" i="44"/>
  <c r="U28" i="44"/>
  <c r="T28" i="44"/>
  <c r="S28" i="44"/>
  <c r="R28" i="44"/>
  <c r="Q28" i="44"/>
  <c r="P28" i="44"/>
  <c r="O28" i="44"/>
  <c r="N28" i="44"/>
  <c r="M28" i="44"/>
  <c r="L28" i="44"/>
  <c r="K28" i="44"/>
  <c r="J28" i="44"/>
  <c r="I28" i="44"/>
  <c r="H28" i="44"/>
  <c r="G28" i="44"/>
  <c r="F28" i="44"/>
  <c r="E28" i="44"/>
  <c r="D28" i="44"/>
  <c r="C28" i="44"/>
  <c r="B28" i="44"/>
  <c r="AC27" i="44"/>
  <c r="AB27" i="44"/>
  <c r="AA27" i="44"/>
  <c r="Z27" i="44"/>
  <c r="Y27" i="44"/>
  <c r="X27" i="44"/>
  <c r="W27" i="44"/>
  <c r="V27" i="44"/>
  <c r="U27" i="44"/>
  <c r="T27" i="44"/>
  <c r="S27" i="44"/>
  <c r="R27" i="44"/>
  <c r="Q27" i="44"/>
  <c r="P27" i="44"/>
  <c r="O27" i="44"/>
  <c r="N27" i="44"/>
  <c r="M27" i="44"/>
  <c r="L27" i="44"/>
  <c r="K27" i="44"/>
  <c r="J27" i="44"/>
  <c r="I27" i="44"/>
  <c r="H27" i="44"/>
  <c r="G27" i="44"/>
  <c r="F27" i="44"/>
  <c r="E27" i="44"/>
  <c r="D27" i="44"/>
  <c r="C27" i="44"/>
  <c r="B27" i="44"/>
  <c r="AC26" i="44"/>
  <c r="AB26" i="44"/>
  <c r="Y26" i="44"/>
  <c r="X26" i="44"/>
  <c r="W26" i="44"/>
  <c r="V26" i="44"/>
  <c r="U26" i="44"/>
  <c r="R26" i="44"/>
  <c r="Q26" i="44"/>
  <c r="P26" i="44"/>
  <c r="O26" i="44"/>
  <c r="N26" i="44"/>
  <c r="K26" i="44"/>
  <c r="J26" i="44"/>
  <c r="I26" i="44"/>
  <c r="H26" i="44"/>
  <c r="G26" i="44"/>
  <c r="D26" i="44"/>
  <c r="B26" i="44"/>
  <c r="AC25" i="44"/>
  <c r="AB25" i="44"/>
  <c r="AA25" i="44"/>
  <c r="Z25" i="44"/>
  <c r="Y25" i="44"/>
  <c r="X25" i="44"/>
  <c r="W25" i="44"/>
  <c r="V25" i="44"/>
  <c r="U25" i="44"/>
  <c r="T25" i="44"/>
  <c r="S25" i="44"/>
  <c r="R25" i="44"/>
  <c r="Q25" i="44"/>
  <c r="P25" i="44"/>
  <c r="O25" i="44"/>
  <c r="N25" i="44"/>
  <c r="M25" i="44"/>
  <c r="L25" i="44"/>
  <c r="K25" i="44"/>
  <c r="J25" i="44"/>
  <c r="I25" i="44"/>
  <c r="H25" i="44"/>
  <c r="G25" i="44"/>
  <c r="F25" i="44"/>
  <c r="E25" i="44"/>
  <c r="D25" i="44"/>
  <c r="C25" i="44"/>
  <c r="B25" i="44"/>
  <c r="AC24" i="44"/>
  <c r="AB24" i="44"/>
  <c r="AA24" i="44"/>
  <c r="Z24" i="44"/>
  <c r="Y24" i="44"/>
  <c r="X24" i="44"/>
  <c r="W24" i="44"/>
  <c r="V24" i="44"/>
  <c r="U24" i="44"/>
  <c r="T24" i="44"/>
  <c r="S24" i="44"/>
  <c r="R24" i="44"/>
  <c r="Q24" i="44"/>
  <c r="P24" i="44"/>
  <c r="O24" i="44"/>
  <c r="N24" i="44"/>
  <c r="M24" i="44"/>
  <c r="L24" i="44"/>
  <c r="K24" i="44"/>
  <c r="J24" i="44"/>
  <c r="I24" i="44"/>
  <c r="H24" i="44"/>
  <c r="G24" i="44"/>
  <c r="F24" i="44"/>
  <c r="E24" i="44"/>
  <c r="D24" i="44"/>
  <c r="C24" i="44"/>
  <c r="B24" i="44"/>
  <c r="AC23" i="44"/>
  <c r="AB23" i="44"/>
  <c r="AA23" i="44"/>
  <c r="Z23" i="44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AC22" i="44"/>
  <c r="AB22" i="44"/>
  <c r="AA22" i="44"/>
  <c r="Z22" i="44"/>
  <c r="Y22" i="44"/>
  <c r="X22" i="44"/>
  <c r="W22" i="44"/>
  <c r="V22" i="44"/>
  <c r="U22" i="44"/>
  <c r="T22" i="44"/>
  <c r="S22" i="44"/>
  <c r="R22" i="44"/>
  <c r="Q22" i="44"/>
  <c r="P22" i="44"/>
  <c r="O22" i="44"/>
  <c r="N22" i="44"/>
  <c r="M22" i="44"/>
  <c r="L22" i="44"/>
  <c r="K22" i="44"/>
  <c r="J22" i="44"/>
  <c r="I22" i="44"/>
  <c r="H22" i="44"/>
  <c r="G22" i="44"/>
  <c r="F22" i="44"/>
  <c r="E22" i="44"/>
  <c r="D22" i="44"/>
  <c r="C22" i="44"/>
  <c r="B22" i="44"/>
  <c r="B1" i="44"/>
  <c r="AC1" i="44"/>
  <c r="AB1" i="44"/>
  <c r="AA1" i="44"/>
  <c r="Z1" i="44"/>
  <c r="Y1" i="44"/>
  <c r="X1" i="44"/>
  <c r="W1" i="44"/>
  <c r="V1" i="44"/>
  <c r="U1" i="44"/>
  <c r="T1" i="44"/>
  <c r="S1" i="44"/>
  <c r="R1" i="44"/>
  <c r="Q1" i="44"/>
  <c r="P1" i="44"/>
  <c r="O1" i="44"/>
  <c r="N1" i="44"/>
  <c r="M1" i="44"/>
  <c r="L1" i="44"/>
  <c r="K1" i="44"/>
  <c r="J1" i="44"/>
  <c r="I1" i="44"/>
  <c r="H1" i="44"/>
  <c r="G1" i="44"/>
  <c r="F1" i="44"/>
  <c r="E1" i="44"/>
  <c r="D1" i="44"/>
  <c r="C1" i="44"/>
  <c r="B30" i="45"/>
  <c r="N30" i="45"/>
  <c r="Z30" i="45"/>
  <c r="F30" i="46"/>
  <c r="S30" i="46"/>
  <c r="AA30" i="46"/>
  <c r="M30" i="46"/>
  <c r="L30" i="46"/>
  <c r="G30" i="46"/>
  <c r="AG30" i="46"/>
  <c r="T30" i="46"/>
  <c r="AH30" i="46"/>
  <c r="AC30" i="46"/>
  <c r="Z30" i="46"/>
  <c r="E30" i="46"/>
  <c r="AF30" i="46"/>
  <c r="J30" i="46"/>
  <c r="H30" i="46"/>
  <c r="R30" i="46"/>
  <c r="I30" i="46"/>
  <c r="W30" i="46"/>
  <c r="N30" i="46"/>
  <c r="K30" i="46"/>
  <c r="P30" i="46"/>
  <c r="Q30" i="46"/>
  <c r="O30" i="46"/>
  <c r="AE30" i="46"/>
  <c r="AD30" i="46"/>
  <c r="U30" i="46"/>
  <c r="AB30" i="46"/>
  <c r="X30" i="46"/>
  <c r="Y30" i="46"/>
  <c r="V30" i="46"/>
  <c r="U30" i="45"/>
  <c r="I30" i="45"/>
  <c r="AG30" i="45"/>
  <c r="W30" i="45"/>
  <c r="K30" i="45"/>
  <c r="M30" i="45"/>
  <c r="Y30" i="45"/>
  <c r="E30" i="45"/>
  <c r="Q30" i="45"/>
  <c r="AC30" i="45"/>
  <c r="H30" i="45"/>
  <c r="T30" i="45"/>
  <c r="AF30" i="45"/>
  <c r="L30" i="45"/>
  <c r="X30" i="45"/>
  <c r="C30" i="45"/>
  <c r="O30" i="45"/>
  <c r="AA30" i="45"/>
  <c r="D30" i="45"/>
  <c r="P30" i="45"/>
  <c r="AB30" i="45"/>
  <c r="F30" i="45"/>
  <c r="R30" i="45"/>
  <c r="AD30" i="45"/>
  <c r="G30" i="45"/>
  <c r="S30" i="45"/>
  <c r="AE30" i="45"/>
  <c r="J30" i="45"/>
  <c r="V30" i="45"/>
  <c r="AH30" i="45"/>
  <c r="C30" i="46"/>
  <c r="B30" i="46"/>
  <c r="D30" i="46"/>
  <c r="F30" i="44"/>
  <c r="E30" i="44"/>
  <c r="S30" i="44"/>
  <c r="O30" i="44"/>
  <c r="H30" i="44"/>
  <c r="B30" i="44"/>
  <c r="AA30" i="44"/>
  <c r="D30" i="44"/>
  <c r="R30" i="44"/>
  <c r="Q30" i="44"/>
  <c r="P30" i="44"/>
  <c r="N30" i="44"/>
  <c r="M30" i="44"/>
  <c r="L30" i="44"/>
  <c r="K30" i="44"/>
  <c r="I30" i="44"/>
  <c r="J30" i="44"/>
  <c r="AB30" i="44"/>
  <c r="AC30" i="44"/>
  <c r="Z30" i="44"/>
  <c r="Y30" i="44"/>
  <c r="W30" i="44"/>
  <c r="U30" i="44"/>
  <c r="V30" i="44"/>
  <c r="X30" i="44"/>
  <c r="T30" i="44"/>
  <c r="G30" i="44"/>
  <c r="C30" i="44"/>
  <c r="AG30" i="43"/>
  <c r="AG29" i="43"/>
  <c r="AG28" i="43"/>
  <c r="AG27" i="43"/>
  <c r="AG26" i="43"/>
  <c r="AG25" i="43"/>
  <c r="AG24" i="43"/>
  <c r="AG23" i="43"/>
  <c r="AG1" i="43"/>
  <c r="C1" i="43"/>
  <c r="D1" i="43"/>
  <c r="E1" i="43"/>
  <c r="F1" i="43"/>
  <c r="G1" i="43"/>
  <c r="H1" i="43"/>
  <c r="I1" i="43"/>
  <c r="J1" i="43"/>
  <c r="K1" i="43"/>
  <c r="L1" i="43"/>
  <c r="M1" i="43"/>
  <c r="N1" i="43"/>
  <c r="O1" i="43"/>
  <c r="P1" i="43"/>
  <c r="Q1" i="43"/>
  <c r="R1" i="43"/>
  <c r="S1" i="43"/>
  <c r="T1" i="43"/>
  <c r="U1" i="43"/>
  <c r="V1" i="43"/>
  <c r="W1" i="43"/>
  <c r="X1" i="43"/>
  <c r="Y1" i="43"/>
  <c r="Z1" i="43"/>
  <c r="AA1" i="43"/>
  <c r="AB1" i="43"/>
  <c r="AC1" i="43"/>
  <c r="AD1" i="43"/>
  <c r="AE1" i="43"/>
  <c r="AF1" i="43"/>
  <c r="B1" i="43"/>
  <c r="AF30" i="43"/>
  <c r="AE30" i="43"/>
  <c r="AD30" i="43"/>
  <c r="AC30" i="43"/>
  <c r="AB30" i="43"/>
  <c r="AA30" i="43"/>
  <c r="Z30" i="43"/>
  <c r="Y30" i="43"/>
  <c r="X30" i="43"/>
  <c r="W30" i="43"/>
  <c r="V30" i="43"/>
  <c r="U30" i="43"/>
  <c r="T30" i="43"/>
  <c r="S30" i="43"/>
  <c r="R30" i="43"/>
  <c r="Q30" i="43"/>
  <c r="P30" i="43"/>
  <c r="O30" i="43"/>
  <c r="N30" i="43"/>
  <c r="M30" i="43"/>
  <c r="L30" i="43"/>
  <c r="K30" i="43"/>
  <c r="J30" i="43"/>
  <c r="I30" i="43"/>
  <c r="H30" i="43"/>
  <c r="G30" i="43"/>
  <c r="F30" i="43"/>
  <c r="E30" i="43"/>
  <c r="D30" i="43"/>
  <c r="C30" i="43"/>
  <c r="B30" i="43"/>
  <c r="AF29" i="43"/>
  <c r="AE29" i="43"/>
  <c r="AD29" i="43"/>
  <c r="AC29" i="43"/>
  <c r="AB29" i="43"/>
  <c r="AA29" i="43"/>
  <c r="Z29" i="43"/>
  <c r="Y29" i="43"/>
  <c r="X29" i="43"/>
  <c r="W29" i="43"/>
  <c r="V29" i="43"/>
  <c r="U29" i="43"/>
  <c r="T29" i="43"/>
  <c r="S29" i="43"/>
  <c r="R29" i="43"/>
  <c r="Q29" i="43"/>
  <c r="P29" i="43"/>
  <c r="O29" i="43"/>
  <c r="N29" i="43"/>
  <c r="M29" i="43"/>
  <c r="L29" i="43"/>
  <c r="K29" i="43"/>
  <c r="J29" i="43"/>
  <c r="I29" i="43"/>
  <c r="H29" i="43"/>
  <c r="G29" i="43"/>
  <c r="F29" i="43"/>
  <c r="E29" i="43"/>
  <c r="D29" i="43"/>
  <c r="C29" i="43"/>
  <c r="B29" i="43"/>
  <c r="AF28" i="43"/>
  <c r="AE28" i="43"/>
  <c r="AD28" i="43"/>
  <c r="AC28" i="43"/>
  <c r="AB28" i="43"/>
  <c r="AA28" i="43"/>
  <c r="Z28" i="43"/>
  <c r="Y28" i="43"/>
  <c r="X28" i="43"/>
  <c r="W28" i="43"/>
  <c r="V28" i="43"/>
  <c r="U28" i="43"/>
  <c r="T28" i="43"/>
  <c r="S28" i="43"/>
  <c r="R28" i="43"/>
  <c r="Q28" i="43"/>
  <c r="P28" i="43"/>
  <c r="O28" i="43"/>
  <c r="N28" i="43"/>
  <c r="M28" i="43"/>
  <c r="L28" i="43"/>
  <c r="K28" i="43"/>
  <c r="J28" i="43"/>
  <c r="I28" i="43"/>
  <c r="H28" i="43"/>
  <c r="G28" i="43"/>
  <c r="F28" i="43"/>
  <c r="E28" i="43"/>
  <c r="D28" i="43"/>
  <c r="C28" i="43"/>
  <c r="B28" i="43"/>
  <c r="AF27" i="43"/>
  <c r="AE27" i="43"/>
  <c r="AD27" i="43"/>
  <c r="AC27" i="43"/>
  <c r="AB27" i="43"/>
  <c r="AA27" i="43"/>
  <c r="Z27" i="43"/>
  <c r="Y27" i="43"/>
  <c r="X27" i="43"/>
  <c r="W27" i="43"/>
  <c r="V27" i="43"/>
  <c r="U27" i="43"/>
  <c r="T27" i="43"/>
  <c r="S27" i="43"/>
  <c r="R27" i="43"/>
  <c r="Q27" i="43"/>
  <c r="P27" i="43"/>
  <c r="O27" i="43"/>
  <c r="N27" i="43"/>
  <c r="M27" i="43"/>
  <c r="L27" i="43"/>
  <c r="K27" i="43"/>
  <c r="J27" i="43"/>
  <c r="I27" i="43"/>
  <c r="H27" i="43"/>
  <c r="G27" i="43"/>
  <c r="F27" i="43"/>
  <c r="E27" i="43"/>
  <c r="D27" i="43"/>
  <c r="C27" i="43"/>
  <c r="B27" i="43"/>
  <c r="AF26" i="43"/>
  <c r="AE26" i="43"/>
  <c r="AD26" i="43"/>
  <c r="AC26" i="43"/>
  <c r="AB26" i="43"/>
  <c r="AA26" i="43"/>
  <c r="Z26" i="43"/>
  <c r="Y26" i="43"/>
  <c r="X26" i="43"/>
  <c r="W26" i="43"/>
  <c r="V26" i="43"/>
  <c r="U26" i="43"/>
  <c r="T26" i="43"/>
  <c r="S26" i="43"/>
  <c r="R26" i="43"/>
  <c r="Q26" i="43"/>
  <c r="P26" i="43"/>
  <c r="O26" i="43"/>
  <c r="N26" i="43"/>
  <c r="M26" i="43"/>
  <c r="L26" i="43"/>
  <c r="K26" i="43"/>
  <c r="J26" i="43"/>
  <c r="I26" i="43"/>
  <c r="H26" i="43"/>
  <c r="G26" i="43"/>
  <c r="F26" i="43"/>
  <c r="E26" i="43"/>
  <c r="D26" i="43"/>
  <c r="C26" i="43"/>
  <c r="B26" i="43"/>
  <c r="AF25" i="43"/>
  <c r="AE25" i="43"/>
  <c r="AD25" i="43"/>
  <c r="AC25" i="43"/>
  <c r="AB25" i="43"/>
  <c r="AA25" i="43"/>
  <c r="Z25" i="43"/>
  <c r="Y25" i="43"/>
  <c r="X25" i="43"/>
  <c r="W25" i="43"/>
  <c r="V25" i="43"/>
  <c r="U25" i="43"/>
  <c r="T25" i="43"/>
  <c r="S25" i="43"/>
  <c r="R25" i="43"/>
  <c r="Q25" i="43"/>
  <c r="P25" i="43"/>
  <c r="O25" i="43"/>
  <c r="N25" i="43"/>
  <c r="M25" i="43"/>
  <c r="L25" i="43"/>
  <c r="K25" i="43"/>
  <c r="J25" i="43"/>
  <c r="I25" i="43"/>
  <c r="H25" i="43"/>
  <c r="G25" i="43"/>
  <c r="F25" i="43"/>
  <c r="E25" i="43"/>
  <c r="D25" i="43"/>
  <c r="C25" i="43"/>
  <c r="B25" i="43"/>
  <c r="AF24" i="43"/>
  <c r="AE24" i="43"/>
  <c r="AD24" i="43"/>
  <c r="AC24" i="43"/>
  <c r="AB24" i="43"/>
  <c r="AA24" i="43"/>
  <c r="Z24" i="43"/>
  <c r="Y24" i="43"/>
  <c r="X24" i="43"/>
  <c r="W24" i="43"/>
  <c r="V24" i="43"/>
  <c r="U24" i="43"/>
  <c r="T24" i="43"/>
  <c r="S24" i="43"/>
  <c r="R24" i="43"/>
  <c r="Q24" i="43"/>
  <c r="P24" i="43"/>
  <c r="O24" i="43"/>
  <c r="N24" i="43"/>
  <c r="M24" i="43"/>
  <c r="L24" i="43"/>
  <c r="K24" i="43"/>
  <c r="J24" i="43"/>
  <c r="I24" i="43"/>
  <c r="H24" i="43"/>
  <c r="G24" i="43"/>
  <c r="F24" i="43"/>
  <c r="E24" i="43"/>
  <c r="D24" i="43"/>
  <c r="C24" i="43"/>
  <c r="B24" i="43"/>
  <c r="AF23" i="43"/>
  <c r="AE23" i="43"/>
  <c r="AD23" i="43"/>
  <c r="AC23" i="43"/>
  <c r="AB23" i="43"/>
  <c r="AA23" i="43"/>
  <c r="Z23" i="43"/>
  <c r="Y23" i="43"/>
  <c r="X23" i="43"/>
  <c r="W23" i="43"/>
  <c r="V23" i="43"/>
  <c r="U23" i="43"/>
  <c r="T23" i="43"/>
  <c r="S23" i="43"/>
  <c r="R23" i="43"/>
  <c r="Q23" i="43"/>
  <c r="P23" i="43"/>
  <c r="O23" i="43"/>
  <c r="N23" i="43"/>
  <c r="M23" i="43"/>
  <c r="L23" i="43"/>
  <c r="K23" i="43"/>
  <c r="J23" i="43"/>
  <c r="I23" i="43"/>
  <c r="H23" i="43"/>
  <c r="G23" i="43"/>
  <c r="F23" i="43"/>
  <c r="E23" i="43"/>
  <c r="D23" i="43"/>
  <c r="C23" i="43"/>
  <c r="B23" i="43"/>
  <c r="AG31" i="43"/>
  <c r="G31" i="43"/>
  <c r="O31" i="43"/>
  <c r="W31" i="43"/>
  <c r="AE31" i="43"/>
  <c r="J31" i="43"/>
  <c r="R31" i="43"/>
  <c r="B31" i="43"/>
  <c r="H31" i="43"/>
  <c r="P31" i="43"/>
  <c r="X31" i="43"/>
  <c r="AF31" i="43"/>
  <c r="I31" i="43"/>
  <c r="Q31" i="43"/>
  <c r="Y31" i="43"/>
  <c r="Z31" i="43"/>
  <c r="C31" i="43"/>
  <c r="K31" i="43"/>
  <c r="S31" i="43"/>
  <c r="AA31" i="43"/>
  <c r="D31" i="43"/>
  <c r="L31" i="43"/>
  <c r="T31" i="43"/>
  <c r="AB31" i="43"/>
  <c r="E31" i="43"/>
  <c r="AC31" i="43"/>
  <c r="M31" i="43"/>
  <c r="U31" i="43"/>
  <c r="F31" i="43"/>
  <c r="N31" i="43"/>
  <c r="V31" i="43"/>
  <c r="AD31" i="43"/>
  <c r="H1" i="42"/>
  <c r="G1" i="42"/>
  <c r="F1" i="42"/>
  <c r="E1" i="42"/>
  <c r="W22" i="42"/>
  <c r="AI26" i="42"/>
  <c r="AC26" i="42"/>
  <c r="AB26" i="42"/>
  <c r="V26" i="42"/>
  <c r="H26" i="42"/>
  <c r="G26" i="42"/>
  <c r="O26" i="42"/>
  <c r="N26" i="42"/>
  <c r="G22" i="42"/>
  <c r="AI29" i="42"/>
  <c r="AH29" i="42"/>
  <c r="AG29" i="42"/>
  <c r="AF29" i="42"/>
  <c r="AE29" i="42"/>
  <c r="AD29" i="42"/>
  <c r="AC29" i="42"/>
  <c r="AB29" i="42"/>
  <c r="AA29" i="42"/>
  <c r="Z29" i="42"/>
  <c r="Y29" i="42"/>
  <c r="X29" i="42"/>
  <c r="W29" i="42"/>
  <c r="V29" i="42"/>
  <c r="U29" i="42"/>
  <c r="T29" i="42"/>
  <c r="S29" i="42"/>
  <c r="R29" i="42"/>
  <c r="Q29" i="42"/>
  <c r="P29" i="42"/>
  <c r="O29" i="42"/>
  <c r="N29" i="42"/>
  <c r="M29" i="42"/>
  <c r="L29" i="42"/>
  <c r="K29" i="42"/>
  <c r="J29" i="42"/>
  <c r="I29" i="42"/>
  <c r="AI28" i="42"/>
  <c r="AH28" i="42"/>
  <c r="AG28" i="42"/>
  <c r="AF28" i="42"/>
  <c r="AE28" i="42"/>
  <c r="AD28" i="42"/>
  <c r="AC28" i="42"/>
  <c r="AB28" i="42"/>
  <c r="AA28" i="42"/>
  <c r="Z28" i="42"/>
  <c r="Y28" i="42"/>
  <c r="X28" i="42"/>
  <c r="W28" i="42"/>
  <c r="V28" i="42"/>
  <c r="U28" i="42"/>
  <c r="T28" i="42"/>
  <c r="S28" i="42"/>
  <c r="R28" i="42"/>
  <c r="Q28" i="42"/>
  <c r="P28" i="42"/>
  <c r="O28" i="42"/>
  <c r="N28" i="42"/>
  <c r="M28" i="42"/>
  <c r="L28" i="42"/>
  <c r="K28" i="42"/>
  <c r="J28" i="42"/>
  <c r="I28" i="42"/>
  <c r="AI27" i="42"/>
  <c r="AH27" i="42"/>
  <c r="AG27" i="42"/>
  <c r="AF27" i="42"/>
  <c r="AE27" i="42"/>
  <c r="AD27" i="42"/>
  <c r="AC27" i="42"/>
  <c r="AB27" i="42"/>
  <c r="AA27" i="42"/>
  <c r="Z27" i="42"/>
  <c r="Y27" i="42"/>
  <c r="X27" i="42"/>
  <c r="W27" i="42"/>
  <c r="V27" i="42"/>
  <c r="U27" i="42"/>
  <c r="T27" i="42"/>
  <c r="S27" i="42"/>
  <c r="R27" i="42"/>
  <c r="Q27" i="42"/>
  <c r="P27" i="42"/>
  <c r="O27" i="42"/>
  <c r="N27" i="42"/>
  <c r="M27" i="42"/>
  <c r="L27" i="42"/>
  <c r="K27" i="42"/>
  <c r="J27" i="42"/>
  <c r="I27" i="42"/>
  <c r="AH26" i="42"/>
  <c r="AG26" i="42"/>
  <c r="AF26" i="42"/>
  <c r="AE26" i="42"/>
  <c r="AD26" i="42"/>
  <c r="AA26" i="42"/>
  <c r="Z26" i="42"/>
  <c r="Y26" i="42"/>
  <c r="X26" i="42"/>
  <c r="W26" i="42"/>
  <c r="S26" i="42"/>
  <c r="R26" i="42"/>
  <c r="Q26" i="42"/>
  <c r="P26" i="42"/>
  <c r="M26" i="42"/>
  <c r="L26" i="42"/>
  <c r="K26" i="42"/>
  <c r="J26" i="42"/>
  <c r="I26" i="42"/>
  <c r="AI25" i="42"/>
  <c r="AH25" i="42"/>
  <c r="AG25" i="42"/>
  <c r="AF25" i="42"/>
  <c r="AE25" i="42"/>
  <c r="AD25" i="42"/>
  <c r="AC25" i="42"/>
  <c r="AB25" i="42"/>
  <c r="AA25" i="42"/>
  <c r="Z25" i="42"/>
  <c r="Y25" i="42"/>
  <c r="X25" i="42"/>
  <c r="W25" i="42"/>
  <c r="V25" i="42"/>
  <c r="U25" i="42"/>
  <c r="T25" i="42"/>
  <c r="S25" i="42"/>
  <c r="R25" i="42"/>
  <c r="Q25" i="42"/>
  <c r="P25" i="42"/>
  <c r="O25" i="42"/>
  <c r="N25" i="42"/>
  <c r="M25" i="42"/>
  <c r="L25" i="42"/>
  <c r="K25" i="42"/>
  <c r="J25" i="42"/>
  <c r="I25" i="42"/>
  <c r="AI24" i="42"/>
  <c r="AH24" i="42"/>
  <c r="AG24" i="42"/>
  <c r="AF24" i="42"/>
  <c r="AE24" i="42"/>
  <c r="AD24" i="42"/>
  <c r="AC24" i="42"/>
  <c r="AB24" i="42"/>
  <c r="AA24" i="42"/>
  <c r="Z24" i="42"/>
  <c r="Y24" i="42"/>
  <c r="X24" i="42"/>
  <c r="W24" i="42"/>
  <c r="V24" i="42"/>
  <c r="U24" i="42"/>
  <c r="T24" i="42"/>
  <c r="S24" i="42"/>
  <c r="R24" i="42"/>
  <c r="Q24" i="42"/>
  <c r="P24" i="42"/>
  <c r="O24" i="42"/>
  <c r="N24" i="42"/>
  <c r="M24" i="42"/>
  <c r="L24" i="42"/>
  <c r="K24" i="42"/>
  <c r="J24" i="42"/>
  <c r="I24" i="42"/>
  <c r="AI23" i="42"/>
  <c r="AH23" i="42"/>
  <c r="AG23" i="42"/>
  <c r="AF23" i="42"/>
  <c r="AE23" i="42"/>
  <c r="AD23" i="42"/>
  <c r="AC23" i="42"/>
  <c r="AB23" i="42"/>
  <c r="AA23" i="42"/>
  <c r="Z23" i="42"/>
  <c r="Y23" i="42"/>
  <c r="X23" i="42"/>
  <c r="W23" i="42"/>
  <c r="V23" i="42"/>
  <c r="U23" i="42"/>
  <c r="T23" i="42"/>
  <c r="S23" i="42"/>
  <c r="R23" i="42"/>
  <c r="Q23" i="42"/>
  <c r="P23" i="42"/>
  <c r="O23" i="42"/>
  <c r="N23" i="42"/>
  <c r="M23" i="42"/>
  <c r="L23" i="42"/>
  <c r="K23" i="42"/>
  <c r="J23" i="42"/>
  <c r="I23" i="42"/>
  <c r="AI22" i="42"/>
  <c r="AH22" i="42"/>
  <c r="AG22" i="42"/>
  <c r="AF22" i="42"/>
  <c r="AE22" i="42"/>
  <c r="AD22" i="42"/>
  <c r="AC22" i="42"/>
  <c r="AB22" i="42"/>
  <c r="AA22" i="42"/>
  <c r="Z22" i="42"/>
  <c r="Y22" i="42"/>
  <c r="X22" i="42"/>
  <c r="V22" i="42"/>
  <c r="U22" i="42"/>
  <c r="T22" i="42"/>
  <c r="S22" i="42"/>
  <c r="R22" i="42"/>
  <c r="Q22" i="42"/>
  <c r="P22" i="42"/>
  <c r="O22" i="42"/>
  <c r="N22" i="42"/>
  <c r="M22" i="42"/>
  <c r="L22" i="42"/>
  <c r="K22" i="42"/>
  <c r="J22" i="42"/>
  <c r="I22" i="42"/>
  <c r="I1" i="42"/>
  <c r="J1" i="42"/>
  <c r="K1" i="42"/>
  <c r="L1" i="42"/>
  <c r="M1" i="42"/>
  <c r="N1" i="42"/>
  <c r="O1" i="42"/>
  <c r="P1" i="42"/>
  <c r="Q1" i="42"/>
  <c r="R1" i="42"/>
  <c r="S1" i="42"/>
  <c r="T1" i="42"/>
  <c r="U1" i="42"/>
  <c r="V1" i="42"/>
  <c r="W1" i="42"/>
  <c r="X1" i="42"/>
  <c r="Y1" i="42"/>
  <c r="Z1" i="42"/>
  <c r="AA1" i="42"/>
  <c r="AB1" i="42"/>
  <c r="AC1" i="42"/>
  <c r="AD1" i="42"/>
  <c r="AE1" i="42"/>
  <c r="AF1" i="42"/>
  <c r="AG1" i="42"/>
  <c r="AH1" i="42"/>
  <c r="AI1" i="42"/>
  <c r="H29" i="42"/>
  <c r="G29" i="42"/>
  <c r="F29" i="42"/>
  <c r="E29" i="42"/>
  <c r="D29" i="42"/>
  <c r="C29" i="42"/>
  <c r="B29" i="42"/>
  <c r="H28" i="42"/>
  <c r="G28" i="42"/>
  <c r="F28" i="42"/>
  <c r="E28" i="42"/>
  <c r="D28" i="42"/>
  <c r="C28" i="42"/>
  <c r="B28" i="42"/>
  <c r="H27" i="42"/>
  <c r="G27" i="42"/>
  <c r="F27" i="42"/>
  <c r="E27" i="42"/>
  <c r="D27" i="42"/>
  <c r="C27" i="42"/>
  <c r="B27" i="42"/>
  <c r="F26" i="42"/>
  <c r="E26" i="42"/>
  <c r="D26" i="42"/>
  <c r="C26" i="42"/>
  <c r="B26" i="42"/>
  <c r="H25" i="42"/>
  <c r="G25" i="42"/>
  <c r="F25" i="42"/>
  <c r="E25" i="42"/>
  <c r="D25" i="42"/>
  <c r="C25" i="42"/>
  <c r="B25" i="42"/>
  <c r="H24" i="42"/>
  <c r="G24" i="42"/>
  <c r="F24" i="42"/>
  <c r="E24" i="42"/>
  <c r="D24" i="42"/>
  <c r="C24" i="42"/>
  <c r="B24" i="42"/>
  <c r="H23" i="42"/>
  <c r="G23" i="42"/>
  <c r="F23" i="42"/>
  <c r="E23" i="42"/>
  <c r="D23" i="42"/>
  <c r="C23" i="42"/>
  <c r="B23" i="42"/>
  <c r="H22" i="42"/>
  <c r="F22" i="42"/>
  <c r="E22" i="42"/>
  <c r="D22" i="42"/>
  <c r="C22" i="42"/>
  <c r="B22" i="42"/>
  <c r="D1" i="42"/>
  <c r="C1" i="42"/>
  <c r="B1" i="42"/>
  <c r="D1" i="39"/>
  <c r="C1" i="39"/>
  <c r="B1" i="39"/>
  <c r="G30" i="42"/>
  <c r="Q30" i="42"/>
  <c r="X30" i="42"/>
  <c r="R30" i="42"/>
  <c r="B30" i="42"/>
  <c r="AE30" i="42"/>
  <c r="AF30" i="42"/>
  <c r="AG30" i="42"/>
  <c r="AH30" i="42"/>
  <c r="Y30" i="42"/>
  <c r="S30" i="42"/>
  <c r="AA30" i="42"/>
  <c r="T30" i="42"/>
  <c r="AD30" i="42"/>
  <c r="Z30" i="42"/>
  <c r="P30" i="42"/>
  <c r="U30" i="42"/>
  <c r="I30" i="42"/>
  <c r="J30" i="42"/>
  <c r="L30" i="42"/>
  <c r="K30" i="42"/>
  <c r="M30" i="42"/>
  <c r="AC30" i="42"/>
  <c r="W30" i="42"/>
  <c r="V30" i="42"/>
  <c r="AI30" i="42"/>
  <c r="AB30" i="42"/>
  <c r="O30" i="42"/>
  <c r="N30" i="42"/>
  <c r="C30" i="42"/>
  <c r="D30" i="42"/>
  <c r="E30" i="42"/>
  <c r="F30" i="42"/>
  <c r="H30" i="42"/>
  <c r="F23" i="39"/>
  <c r="G23" i="39"/>
  <c r="H23" i="39"/>
  <c r="I23" i="39"/>
  <c r="J23" i="39"/>
  <c r="K23" i="39"/>
  <c r="L23" i="39"/>
  <c r="M23" i="39"/>
  <c r="N23" i="39"/>
  <c r="O23" i="39"/>
  <c r="P23" i="39"/>
  <c r="Q23" i="39"/>
  <c r="R23" i="39"/>
  <c r="S23" i="39"/>
  <c r="T23" i="39"/>
  <c r="U23" i="39"/>
  <c r="V23" i="39"/>
  <c r="W23" i="39"/>
  <c r="X23" i="39"/>
  <c r="Y23" i="39"/>
  <c r="Z23" i="39"/>
  <c r="AA23" i="39"/>
  <c r="AB23" i="39"/>
  <c r="AC23" i="39"/>
  <c r="AD23" i="39"/>
  <c r="AE23" i="39"/>
  <c r="AF23" i="39"/>
  <c r="AG23" i="39"/>
  <c r="AH23" i="39"/>
  <c r="AI23" i="39"/>
  <c r="AJ23" i="39"/>
  <c r="AK23" i="39"/>
  <c r="AL23" i="39"/>
  <c r="F24" i="39"/>
  <c r="G24" i="39"/>
  <c r="H24" i="39"/>
  <c r="I24" i="39"/>
  <c r="J24" i="39"/>
  <c r="K24" i="39"/>
  <c r="L24" i="39"/>
  <c r="M24" i="39"/>
  <c r="N24" i="39"/>
  <c r="O24" i="39"/>
  <c r="P24" i="39"/>
  <c r="Q24" i="39"/>
  <c r="R24" i="39"/>
  <c r="S24" i="39"/>
  <c r="T24" i="39"/>
  <c r="U24" i="39"/>
  <c r="V24" i="39"/>
  <c r="W24" i="39"/>
  <c r="X24" i="39"/>
  <c r="Y24" i="39"/>
  <c r="Z24" i="39"/>
  <c r="AA24" i="39"/>
  <c r="AB24" i="39"/>
  <c r="AC24" i="39"/>
  <c r="AD24" i="39"/>
  <c r="AE24" i="39"/>
  <c r="AF24" i="39"/>
  <c r="AG24" i="39"/>
  <c r="AH24" i="39"/>
  <c r="AI24" i="39"/>
  <c r="AJ24" i="39"/>
  <c r="AK24" i="39"/>
  <c r="AL24" i="39"/>
  <c r="F25" i="39"/>
  <c r="G25" i="39"/>
  <c r="H25" i="39"/>
  <c r="I25" i="39"/>
  <c r="J25" i="39"/>
  <c r="K25" i="39"/>
  <c r="L25" i="39"/>
  <c r="M25" i="39"/>
  <c r="N25" i="39"/>
  <c r="O25" i="39"/>
  <c r="P25" i="39"/>
  <c r="Q25" i="39"/>
  <c r="R25" i="39"/>
  <c r="S25" i="39"/>
  <c r="T25" i="39"/>
  <c r="U25" i="39"/>
  <c r="V25" i="39"/>
  <c r="W25" i="39"/>
  <c r="X25" i="39"/>
  <c r="Y25" i="39"/>
  <c r="Z25" i="39"/>
  <c r="AA25" i="39"/>
  <c r="AB25" i="39"/>
  <c r="AC25" i="39"/>
  <c r="AD25" i="39"/>
  <c r="AE25" i="39"/>
  <c r="AF25" i="39"/>
  <c r="AG25" i="39"/>
  <c r="AH25" i="39"/>
  <c r="AI25" i="39"/>
  <c r="AJ25" i="39"/>
  <c r="AK25" i="39"/>
  <c r="AL25" i="39"/>
  <c r="F26" i="39"/>
  <c r="G26" i="39"/>
  <c r="H26" i="39"/>
  <c r="I26" i="39"/>
  <c r="J26" i="39"/>
  <c r="K26" i="39"/>
  <c r="L26" i="39"/>
  <c r="M26" i="39"/>
  <c r="N26" i="39"/>
  <c r="O26" i="39"/>
  <c r="P26" i="39"/>
  <c r="Q26" i="39"/>
  <c r="R26" i="39"/>
  <c r="S26" i="39"/>
  <c r="T26" i="39"/>
  <c r="U26" i="39"/>
  <c r="V26" i="39"/>
  <c r="W26" i="39"/>
  <c r="X26" i="39"/>
  <c r="Y26" i="39"/>
  <c r="Z26" i="39"/>
  <c r="AA26" i="39"/>
  <c r="AB26" i="39"/>
  <c r="AC26" i="39"/>
  <c r="AD26" i="39"/>
  <c r="AE26" i="39"/>
  <c r="AF26" i="39"/>
  <c r="AG26" i="39"/>
  <c r="AH26" i="39"/>
  <c r="AI26" i="39"/>
  <c r="AJ26" i="39"/>
  <c r="AK26" i="39"/>
  <c r="AL26" i="39"/>
  <c r="F27" i="39"/>
  <c r="G27" i="39"/>
  <c r="H27" i="39"/>
  <c r="I27" i="39"/>
  <c r="J27" i="39"/>
  <c r="K27" i="39"/>
  <c r="L27" i="39"/>
  <c r="M27" i="39"/>
  <c r="N27" i="39"/>
  <c r="O27" i="39"/>
  <c r="P27" i="39"/>
  <c r="Q27" i="39"/>
  <c r="R27" i="39"/>
  <c r="S27" i="39"/>
  <c r="T27" i="39"/>
  <c r="U27" i="39"/>
  <c r="V27" i="39"/>
  <c r="W27" i="39"/>
  <c r="X27" i="39"/>
  <c r="Y27" i="39"/>
  <c r="Z27" i="39"/>
  <c r="AA27" i="39"/>
  <c r="AB27" i="39"/>
  <c r="AC27" i="39"/>
  <c r="AD27" i="39"/>
  <c r="AE27" i="39"/>
  <c r="AF27" i="39"/>
  <c r="AG27" i="39"/>
  <c r="AH27" i="39"/>
  <c r="AI27" i="39"/>
  <c r="AJ27" i="39"/>
  <c r="AK27" i="39"/>
  <c r="AL27" i="39"/>
  <c r="F28" i="39"/>
  <c r="G28" i="39"/>
  <c r="H28" i="39"/>
  <c r="I28" i="39"/>
  <c r="J28" i="39"/>
  <c r="K28" i="39"/>
  <c r="L28" i="39"/>
  <c r="M28" i="39"/>
  <c r="N28" i="39"/>
  <c r="O28" i="39"/>
  <c r="P28" i="39"/>
  <c r="Q28" i="39"/>
  <c r="R28" i="39"/>
  <c r="S28" i="39"/>
  <c r="T28" i="39"/>
  <c r="U28" i="39"/>
  <c r="V28" i="39"/>
  <c r="W28" i="39"/>
  <c r="X28" i="39"/>
  <c r="Y28" i="39"/>
  <c r="Z28" i="39"/>
  <c r="AA28" i="39"/>
  <c r="AB28" i="39"/>
  <c r="AC28" i="39"/>
  <c r="AD28" i="39"/>
  <c r="AE28" i="39"/>
  <c r="AF28" i="39"/>
  <c r="AG28" i="39"/>
  <c r="AH28" i="39"/>
  <c r="AI28" i="39"/>
  <c r="AJ28" i="39"/>
  <c r="AK28" i="39"/>
  <c r="AL28" i="39"/>
  <c r="F29" i="39"/>
  <c r="G29" i="39"/>
  <c r="H29" i="39"/>
  <c r="I29" i="39"/>
  <c r="J29" i="39"/>
  <c r="K29" i="39"/>
  <c r="L29" i="39"/>
  <c r="M29" i="39"/>
  <c r="N29" i="39"/>
  <c r="O29" i="39"/>
  <c r="P29" i="39"/>
  <c r="Q29" i="39"/>
  <c r="R29" i="39"/>
  <c r="S29" i="39"/>
  <c r="T29" i="39"/>
  <c r="U29" i="39"/>
  <c r="V29" i="39"/>
  <c r="W29" i="39"/>
  <c r="X29" i="39"/>
  <c r="Y29" i="39"/>
  <c r="Z29" i="39"/>
  <c r="AA29" i="39"/>
  <c r="AB29" i="39"/>
  <c r="AC29" i="39"/>
  <c r="AD29" i="39"/>
  <c r="AE29" i="39"/>
  <c r="AF29" i="39"/>
  <c r="AG29" i="39"/>
  <c r="AH29" i="39"/>
  <c r="AI29" i="39"/>
  <c r="AJ29" i="39"/>
  <c r="AK29" i="39"/>
  <c r="AL29" i="39"/>
  <c r="F22" i="39"/>
  <c r="G22" i="39"/>
  <c r="H22" i="39"/>
  <c r="I22" i="39"/>
  <c r="J22" i="39"/>
  <c r="K22" i="39"/>
  <c r="L22" i="39"/>
  <c r="M22" i="39"/>
  <c r="N22" i="39"/>
  <c r="O22" i="39"/>
  <c r="P22" i="39"/>
  <c r="Q22" i="39"/>
  <c r="R22" i="39"/>
  <c r="S22" i="39"/>
  <c r="T22" i="39"/>
  <c r="U22" i="39"/>
  <c r="V22" i="39"/>
  <c r="W22" i="39"/>
  <c r="X22" i="39"/>
  <c r="Y22" i="39"/>
  <c r="Z22" i="39"/>
  <c r="AA22" i="39"/>
  <c r="AB22" i="39"/>
  <c r="AC22" i="39"/>
  <c r="AD22" i="39"/>
  <c r="AE22" i="39"/>
  <c r="AF22" i="39"/>
  <c r="AG22" i="39"/>
  <c r="AH22" i="39"/>
  <c r="AI22" i="39"/>
  <c r="AJ22" i="39"/>
  <c r="AK22" i="39"/>
  <c r="AL22" i="39"/>
  <c r="E29" i="39"/>
  <c r="E28" i="39"/>
  <c r="E27" i="39"/>
  <c r="E26" i="39"/>
  <c r="E25" i="39"/>
  <c r="E24" i="39"/>
  <c r="E23" i="39"/>
  <c r="E22" i="39"/>
  <c r="AI1" i="39"/>
  <c r="AJ1" i="39"/>
  <c r="AK1" i="39"/>
  <c r="AL1" i="39"/>
  <c r="E1" i="39"/>
  <c r="F1" i="39"/>
  <c r="G1" i="39"/>
  <c r="H1" i="39"/>
  <c r="I1" i="39"/>
  <c r="J1" i="39"/>
  <c r="K1" i="39"/>
  <c r="L1" i="39"/>
  <c r="M1" i="39"/>
  <c r="N1" i="39"/>
  <c r="O1" i="39"/>
  <c r="P1" i="39"/>
  <c r="Q1" i="39"/>
  <c r="R1" i="39"/>
  <c r="S1" i="39"/>
  <c r="T1" i="39"/>
  <c r="U1" i="39"/>
  <c r="V1" i="39"/>
  <c r="W1" i="39"/>
  <c r="X1" i="39"/>
  <c r="Y1" i="39"/>
  <c r="Z1" i="39"/>
  <c r="AA1" i="39"/>
  <c r="AB1" i="39"/>
  <c r="AC1" i="39"/>
  <c r="AD1" i="39"/>
  <c r="AE1" i="39"/>
  <c r="AF1" i="39"/>
  <c r="AG1" i="39"/>
  <c r="AH1" i="39"/>
  <c r="D29" i="39"/>
  <c r="C29" i="39"/>
  <c r="B29" i="39"/>
  <c r="D28" i="39"/>
  <c r="C28" i="39"/>
  <c r="B28" i="39"/>
  <c r="D27" i="39"/>
  <c r="C27" i="39"/>
  <c r="B27" i="39"/>
  <c r="D26" i="39"/>
  <c r="C26" i="39"/>
  <c r="B26" i="39"/>
  <c r="D25" i="39"/>
  <c r="C25" i="39"/>
  <c r="B25" i="39"/>
  <c r="D24" i="39"/>
  <c r="C24" i="39"/>
  <c r="B24" i="39"/>
  <c r="D23" i="39"/>
  <c r="C23" i="39"/>
  <c r="B23" i="39"/>
  <c r="D22" i="39"/>
  <c r="C22" i="39"/>
  <c r="B22" i="39"/>
  <c r="Z30" i="39"/>
  <c r="Y30" i="39"/>
  <c r="AL30" i="39"/>
  <c r="AJ30" i="39"/>
  <c r="L30" i="39"/>
  <c r="X30" i="39"/>
  <c r="AD30" i="39"/>
  <c r="J30" i="39"/>
  <c r="I30" i="39"/>
  <c r="V30" i="39"/>
  <c r="G30" i="39"/>
  <c r="F30" i="39"/>
  <c r="AG30" i="39"/>
  <c r="AE30" i="39"/>
  <c r="AH30" i="39"/>
  <c r="U30" i="39"/>
  <c r="R30" i="39"/>
  <c r="O30" i="39"/>
  <c r="S30" i="39"/>
  <c r="N30" i="39"/>
  <c r="M30" i="39"/>
  <c r="E30" i="39"/>
  <c r="AI30" i="39"/>
  <c r="W30" i="39"/>
  <c r="K30" i="39"/>
  <c r="AF30" i="39"/>
  <c r="T30" i="39"/>
  <c r="H30" i="39"/>
  <c r="AC30" i="39"/>
  <c r="Q30" i="39"/>
  <c r="AK30" i="39"/>
  <c r="AB30" i="39"/>
  <c r="P30" i="39"/>
  <c r="AA30" i="39"/>
  <c r="C30" i="39"/>
  <c r="D30" i="39"/>
  <c r="B30" i="39"/>
  <c r="AK2" i="36"/>
  <c r="AJ2" i="36"/>
  <c r="AI2" i="36"/>
  <c r="AH2" i="36"/>
  <c r="E1" i="38"/>
  <c r="D1" i="38"/>
  <c r="C1" i="38"/>
  <c r="B1" i="38"/>
  <c r="AH29" i="38"/>
  <c r="AG29" i="38"/>
  <c r="AF29" i="38"/>
  <c r="AE29" i="38"/>
  <c r="AD29" i="38"/>
  <c r="AC29" i="38"/>
  <c r="AB29" i="38"/>
  <c r="AA29" i="38"/>
  <c r="Z29" i="38"/>
  <c r="Y29" i="38"/>
  <c r="X29" i="38"/>
  <c r="W29" i="38"/>
  <c r="V29" i="38"/>
  <c r="U29" i="38"/>
  <c r="T29" i="38"/>
  <c r="S29" i="38"/>
  <c r="R29" i="38"/>
  <c r="Q29" i="38"/>
  <c r="P29" i="38"/>
  <c r="O29" i="38"/>
  <c r="N29" i="38"/>
  <c r="M29" i="38"/>
  <c r="L29" i="38"/>
  <c r="K29" i="38"/>
  <c r="J29" i="38"/>
  <c r="I29" i="38"/>
  <c r="H29" i="38"/>
  <c r="G29" i="38"/>
  <c r="F29" i="38"/>
  <c r="E29" i="38"/>
  <c r="D29" i="38"/>
  <c r="C29" i="38"/>
  <c r="B29" i="38"/>
  <c r="AH28" i="38"/>
  <c r="AG28" i="38"/>
  <c r="AF28" i="38"/>
  <c r="AE28" i="38"/>
  <c r="AD28" i="38"/>
  <c r="AC28" i="38"/>
  <c r="AB28" i="38"/>
  <c r="AA28" i="38"/>
  <c r="Z28" i="38"/>
  <c r="Y28" i="38"/>
  <c r="X28" i="38"/>
  <c r="W28" i="38"/>
  <c r="V28" i="38"/>
  <c r="U28" i="38"/>
  <c r="T28" i="38"/>
  <c r="S28" i="38"/>
  <c r="R28" i="38"/>
  <c r="Q28" i="38"/>
  <c r="P28" i="38"/>
  <c r="O28" i="38"/>
  <c r="N28" i="38"/>
  <c r="M28" i="38"/>
  <c r="L28" i="38"/>
  <c r="K28" i="38"/>
  <c r="J28" i="38"/>
  <c r="I28" i="38"/>
  <c r="H28" i="38"/>
  <c r="G28" i="38"/>
  <c r="F28" i="38"/>
  <c r="E28" i="38"/>
  <c r="D28" i="38"/>
  <c r="C28" i="38"/>
  <c r="B28" i="38"/>
  <c r="AH27" i="38"/>
  <c r="AG27" i="38"/>
  <c r="AF27" i="38"/>
  <c r="AE27" i="38"/>
  <c r="AD27" i="38"/>
  <c r="AC27" i="38"/>
  <c r="AB27" i="38"/>
  <c r="AA27" i="38"/>
  <c r="Z27" i="38"/>
  <c r="Y27" i="38"/>
  <c r="X27" i="38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J27" i="38"/>
  <c r="I27" i="38"/>
  <c r="H27" i="38"/>
  <c r="G27" i="38"/>
  <c r="F27" i="38"/>
  <c r="E27" i="38"/>
  <c r="D27" i="38"/>
  <c r="C27" i="38"/>
  <c r="B27" i="38"/>
  <c r="AH26" i="38"/>
  <c r="AG26" i="38"/>
  <c r="AF26" i="38"/>
  <c r="AE26" i="38"/>
  <c r="AD26" i="38"/>
  <c r="AC26" i="38"/>
  <c r="AB26" i="38"/>
  <c r="AA26" i="38"/>
  <c r="Z26" i="38"/>
  <c r="Y26" i="38"/>
  <c r="X26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E26" i="38"/>
  <c r="D26" i="38"/>
  <c r="C26" i="38"/>
  <c r="B26" i="38"/>
  <c r="AH25" i="38"/>
  <c r="AG25" i="38"/>
  <c r="AF25" i="38"/>
  <c r="AE25" i="38"/>
  <c r="AD25" i="38"/>
  <c r="AC25" i="38"/>
  <c r="AB25" i="38"/>
  <c r="AA25" i="38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I25" i="38"/>
  <c r="H25" i="38"/>
  <c r="G25" i="38"/>
  <c r="F25" i="38"/>
  <c r="E25" i="38"/>
  <c r="D25" i="38"/>
  <c r="C25" i="38"/>
  <c r="B25" i="38"/>
  <c r="AH24" i="38"/>
  <c r="AG24" i="38"/>
  <c r="AF24" i="38"/>
  <c r="AE24" i="38"/>
  <c r="AD24" i="38"/>
  <c r="AC24" i="38"/>
  <c r="AB24" i="38"/>
  <c r="AA24" i="38"/>
  <c r="Z24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I24" i="38"/>
  <c r="H24" i="38"/>
  <c r="G24" i="38"/>
  <c r="F24" i="38"/>
  <c r="E24" i="38"/>
  <c r="D24" i="38"/>
  <c r="C24" i="38"/>
  <c r="B24" i="38"/>
  <c r="AH23" i="38"/>
  <c r="AG23" i="38"/>
  <c r="AF23" i="38"/>
  <c r="AE23" i="38"/>
  <c r="AD23" i="38"/>
  <c r="AC23" i="38"/>
  <c r="AB23" i="38"/>
  <c r="AA23" i="38"/>
  <c r="Z23" i="38"/>
  <c r="Y23" i="38"/>
  <c r="X23" i="38"/>
  <c r="W23" i="38"/>
  <c r="V23" i="38"/>
  <c r="U23" i="38"/>
  <c r="T23" i="38"/>
  <c r="S23" i="38"/>
  <c r="R23" i="38"/>
  <c r="Q23" i="38"/>
  <c r="P23" i="38"/>
  <c r="O23" i="38"/>
  <c r="N23" i="38"/>
  <c r="M23" i="38"/>
  <c r="L23" i="38"/>
  <c r="K23" i="38"/>
  <c r="J23" i="38"/>
  <c r="I23" i="38"/>
  <c r="H23" i="38"/>
  <c r="G23" i="38"/>
  <c r="F23" i="38"/>
  <c r="E23" i="38"/>
  <c r="D23" i="38"/>
  <c r="C23" i="38"/>
  <c r="B23" i="38"/>
  <c r="AH22" i="38"/>
  <c r="AG22" i="38"/>
  <c r="AF22" i="38"/>
  <c r="AE22" i="38"/>
  <c r="AD22" i="38"/>
  <c r="AC22" i="38"/>
  <c r="AB22" i="38"/>
  <c r="AA22" i="38"/>
  <c r="Z22" i="38"/>
  <c r="Y22" i="38"/>
  <c r="X22" i="38"/>
  <c r="W22" i="38"/>
  <c r="V22" i="38"/>
  <c r="U22" i="38"/>
  <c r="T22" i="38"/>
  <c r="S22" i="38"/>
  <c r="R22" i="38"/>
  <c r="Q22" i="38"/>
  <c r="P22" i="38"/>
  <c r="O22" i="38"/>
  <c r="N22" i="38"/>
  <c r="M22" i="38"/>
  <c r="L22" i="38"/>
  <c r="K22" i="38"/>
  <c r="J22" i="38"/>
  <c r="I22" i="38"/>
  <c r="H22" i="38"/>
  <c r="G22" i="38"/>
  <c r="F22" i="38"/>
  <c r="E22" i="38"/>
  <c r="D22" i="38"/>
  <c r="C22" i="38"/>
  <c r="B22" i="38"/>
  <c r="AH1" i="38"/>
  <c r="AG1" i="38"/>
  <c r="AF1" i="38"/>
  <c r="AE1" i="38"/>
  <c r="AD1" i="38"/>
  <c r="AC1" i="38"/>
  <c r="AB1" i="38"/>
  <c r="AA1" i="38"/>
  <c r="Z1" i="38"/>
  <c r="Y1" i="38"/>
  <c r="X1" i="38"/>
  <c r="W1" i="38"/>
  <c r="V1" i="38"/>
  <c r="U1" i="38"/>
  <c r="T1" i="38"/>
  <c r="S1" i="38"/>
  <c r="R1" i="38"/>
  <c r="Q1" i="38"/>
  <c r="P1" i="38"/>
  <c r="O1" i="38"/>
  <c r="N1" i="38"/>
  <c r="M1" i="38"/>
  <c r="L1" i="38"/>
  <c r="K1" i="38"/>
  <c r="J1" i="38"/>
  <c r="I1" i="38"/>
  <c r="H1" i="38"/>
  <c r="G1" i="38"/>
  <c r="F1" i="38"/>
  <c r="O30" i="38"/>
  <c r="AB30" i="38"/>
  <c r="Z30" i="38"/>
  <c r="Y30" i="38"/>
  <c r="R30" i="38"/>
  <c r="S30" i="38"/>
  <c r="K30" i="38"/>
  <c r="C30" i="38"/>
  <c r="B30" i="38"/>
  <c r="D30" i="38"/>
  <c r="AA30" i="38"/>
  <c r="V30" i="38"/>
  <c r="W30" i="38"/>
  <c r="X30" i="38"/>
  <c r="L30" i="38"/>
  <c r="P30" i="38"/>
  <c r="Q30" i="38"/>
  <c r="J30" i="38"/>
  <c r="U30" i="38"/>
  <c r="T30" i="38"/>
  <c r="N30" i="38"/>
  <c r="M30" i="38"/>
  <c r="AG30" i="38"/>
  <c r="AC30" i="38"/>
  <c r="AE30" i="38"/>
  <c r="AD30" i="38"/>
  <c r="AF30" i="38"/>
  <c r="AH30" i="38"/>
  <c r="F30" i="38"/>
  <c r="I30" i="38"/>
  <c r="G30" i="38"/>
  <c r="H30" i="38"/>
  <c r="E30" i="38"/>
  <c r="AN28" i="37"/>
  <c r="AM28" i="37"/>
  <c r="AL28" i="37"/>
  <c r="AK28" i="37"/>
  <c r="AJ28" i="37"/>
  <c r="AI28" i="37"/>
  <c r="AH28" i="37"/>
  <c r="AG28" i="37"/>
  <c r="AF28" i="37"/>
  <c r="AE28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E28" i="37"/>
  <c r="D28" i="37"/>
  <c r="C28" i="37"/>
  <c r="AN27" i="37"/>
  <c r="AM27" i="37"/>
  <c r="AL27" i="37"/>
  <c r="AK27" i="37"/>
  <c r="AJ27" i="37"/>
  <c r="AI27" i="37"/>
  <c r="AH27" i="37"/>
  <c r="AG27" i="37"/>
  <c r="AF27" i="37"/>
  <c r="AE27" i="37"/>
  <c r="AD27" i="37"/>
  <c r="AC27" i="37"/>
  <c r="AB27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AN26" i="37"/>
  <c r="AM26" i="37"/>
  <c r="AL26" i="37"/>
  <c r="AK26" i="37"/>
  <c r="AJ26" i="37"/>
  <c r="AI26" i="37"/>
  <c r="AH26" i="37"/>
  <c r="AG26" i="37"/>
  <c r="AF26" i="37"/>
  <c r="AE26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D26" i="37"/>
  <c r="C26" i="37"/>
  <c r="AN25" i="37"/>
  <c r="AM25" i="37"/>
  <c r="AL25" i="37"/>
  <c r="AK25" i="37"/>
  <c r="AJ25" i="37"/>
  <c r="AI25" i="37"/>
  <c r="AH25" i="37"/>
  <c r="AG25" i="37"/>
  <c r="AF25" i="37"/>
  <c r="AE25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AN24" i="37"/>
  <c r="AM24" i="37"/>
  <c r="AL24" i="37"/>
  <c r="AK24" i="37"/>
  <c r="AJ24" i="37"/>
  <c r="AI24" i="37"/>
  <c r="AH24" i="37"/>
  <c r="AG24" i="37"/>
  <c r="AF24" i="37"/>
  <c r="AE24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D24" i="37"/>
  <c r="C24" i="37"/>
  <c r="AN23" i="37"/>
  <c r="AM23" i="37"/>
  <c r="AL23" i="37"/>
  <c r="AK23" i="37"/>
  <c r="AJ23" i="37"/>
  <c r="AI23" i="37"/>
  <c r="AH23" i="37"/>
  <c r="AG23" i="37"/>
  <c r="AF23" i="37"/>
  <c r="AE23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AN22" i="37"/>
  <c r="AM22" i="37"/>
  <c r="AL22" i="37"/>
  <c r="AK22" i="37"/>
  <c r="AJ22" i="37"/>
  <c r="AI22" i="37"/>
  <c r="AH22" i="37"/>
  <c r="AG22" i="37"/>
  <c r="AF22" i="37"/>
  <c r="AE22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E22" i="37"/>
  <c r="D22" i="37"/>
  <c r="C22" i="37"/>
  <c r="B25" i="37"/>
  <c r="B24" i="37"/>
  <c r="B23" i="37"/>
  <c r="B22" i="37"/>
  <c r="B28" i="37"/>
  <c r="B27" i="37"/>
  <c r="B26" i="37"/>
  <c r="AK1" i="37"/>
  <c r="AL1" i="37"/>
  <c r="AM1" i="37"/>
  <c r="AN1" i="37"/>
  <c r="E1" i="37"/>
  <c r="D1" i="37"/>
  <c r="C1" i="37"/>
  <c r="B1" i="37"/>
  <c r="AJ1" i="37"/>
  <c r="AI1" i="37"/>
  <c r="AH1" i="37"/>
  <c r="AG1" i="37"/>
  <c r="AF1" i="37"/>
  <c r="AE1" i="37"/>
  <c r="AD1" i="37"/>
  <c r="AC1" i="37"/>
  <c r="AB1" i="37"/>
  <c r="AA1" i="37"/>
  <c r="Z1" i="37"/>
  <c r="Y1" i="37"/>
  <c r="X1" i="37"/>
  <c r="W1" i="37"/>
  <c r="V1" i="37"/>
  <c r="U1" i="37"/>
  <c r="T1" i="37"/>
  <c r="S1" i="37"/>
  <c r="R1" i="37"/>
  <c r="Q1" i="37"/>
  <c r="P1" i="37"/>
  <c r="O1" i="37"/>
  <c r="N1" i="37"/>
  <c r="M1" i="37"/>
  <c r="L1" i="37"/>
  <c r="K1" i="37"/>
  <c r="J1" i="37"/>
  <c r="I1" i="37"/>
  <c r="H1" i="37"/>
  <c r="G1" i="37"/>
  <c r="F1" i="37"/>
  <c r="AF29" i="37"/>
  <c r="E29" i="37"/>
  <c r="R29" i="37"/>
  <c r="U29" i="37"/>
  <c r="X29" i="37"/>
  <c r="AK29" i="37"/>
  <c r="AE29" i="37"/>
  <c r="T29" i="37"/>
  <c r="I29" i="37"/>
  <c r="K29" i="37"/>
  <c r="AJ29" i="37"/>
  <c r="Y29" i="37"/>
  <c r="N29" i="37"/>
  <c r="Z29" i="37"/>
  <c r="AL29" i="37"/>
  <c r="G29" i="37"/>
  <c r="Q29" i="37"/>
  <c r="F29" i="37"/>
  <c r="AG29" i="37"/>
  <c r="AH29" i="37"/>
  <c r="W29" i="37"/>
  <c r="M29" i="37"/>
  <c r="C29" i="37"/>
  <c r="O29" i="37"/>
  <c r="AA29" i="37"/>
  <c r="AM29" i="37"/>
  <c r="S29" i="37"/>
  <c r="AC29" i="37"/>
  <c r="H29" i="37"/>
  <c r="AI29" i="37"/>
  <c r="L29" i="37"/>
  <c r="D29" i="37"/>
  <c r="P29" i="37"/>
  <c r="AN29" i="37"/>
  <c r="AD29" i="37"/>
  <c r="V29" i="37"/>
  <c r="AB29" i="37"/>
  <c r="J29" i="37"/>
  <c r="B29" i="37"/>
  <c r="AG2" i="36"/>
  <c r="AF2" i="36"/>
  <c r="AE2" i="36"/>
  <c r="AD2" i="36"/>
  <c r="AC2" i="36"/>
  <c r="AB2" i="36"/>
  <c r="AA2" i="36"/>
  <c r="Z2" i="36"/>
  <c r="Y2" i="36"/>
  <c r="X2" i="36"/>
  <c r="W2" i="36"/>
  <c r="V2" i="36"/>
  <c r="U2" i="36"/>
  <c r="T2" i="36"/>
  <c r="S2" i="36"/>
  <c r="R2" i="36"/>
  <c r="Q2" i="36"/>
  <c r="AK29" i="36"/>
  <c r="AJ29" i="36"/>
  <c r="AI29" i="36"/>
  <c r="AH29" i="36"/>
  <c r="AG29" i="36"/>
  <c r="AF29" i="36"/>
  <c r="AE29" i="36"/>
  <c r="AD29" i="36"/>
  <c r="AC29" i="36"/>
  <c r="AB29" i="36"/>
  <c r="AA29" i="36"/>
  <c r="Z29" i="36"/>
  <c r="Y29" i="36"/>
  <c r="X29" i="36"/>
  <c r="W29" i="36"/>
  <c r="V29" i="36"/>
  <c r="U29" i="36"/>
  <c r="T29" i="36"/>
  <c r="S29" i="36"/>
  <c r="R29" i="36"/>
  <c r="Q29" i="36"/>
  <c r="P29" i="36"/>
  <c r="O29" i="36"/>
  <c r="N29" i="36"/>
  <c r="M29" i="36"/>
  <c r="L29" i="36"/>
  <c r="K29" i="36"/>
  <c r="J29" i="36"/>
  <c r="I29" i="36"/>
  <c r="H29" i="36"/>
  <c r="G29" i="36"/>
  <c r="F29" i="36"/>
  <c r="E29" i="36"/>
  <c r="D29" i="36"/>
  <c r="C29" i="36"/>
  <c r="AK28" i="36"/>
  <c r="AJ28" i="36"/>
  <c r="AI28" i="36"/>
  <c r="AH28" i="36"/>
  <c r="AG28" i="36"/>
  <c r="AF28" i="36"/>
  <c r="AE28" i="36"/>
  <c r="AD28" i="36"/>
  <c r="AC28" i="36"/>
  <c r="AB28" i="36"/>
  <c r="AA28" i="36"/>
  <c r="Z28" i="36"/>
  <c r="Y28" i="36"/>
  <c r="X28" i="36"/>
  <c r="W28" i="36"/>
  <c r="V28" i="36"/>
  <c r="U28" i="36"/>
  <c r="T28" i="36"/>
  <c r="S28" i="36"/>
  <c r="R28" i="36"/>
  <c r="Q28" i="36"/>
  <c r="P28" i="36"/>
  <c r="O28" i="36"/>
  <c r="N28" i="36"/>
  <c r="M28" i="36"/>
  <c r="L28" i="36"/>
  <c r="K28" i="36"/>
  <c r="J28" i="36"/>
  <c r="I28" i="36"/>
  <c r="H28" i="36"/>
  <c r="G28" i="36"/>
  <c r="F28" i="36"/>
  <c r="E28" i="36"/>
  <c r="D28" i="36"/>
  <c r="C28" i="36"/>
  <c r="AK27" i="36"/>
  <c r="AJ27" i="36"/>
  <c r="AI27" i="36"/>
  <c r="AH27" i="36"/>
  <c r="AG27" i="36"/>
  <c r="AF27" i="36"/>
  <c r="AE27" i="36"/>
  <c r="AD27" i="36"/>
  <c r="AC27" i="36"/>
  <c r="AB27" i="36"/>
  <c r="AA27" i="36"/>
  <c r="Z27" i="36"/>
  <c r="Y27" i="36"/>
  <c r="X27" i="36"/>
  <c r="W27" i="36"/>
  <c r="V27" i="36"/>
  <c r="U27" i="36"/>
  <c r="T27" i="36"/>
  <c r="S27" i="36"/>
  <c r="R27" i="36"/>
  <c r="Q27" i="36"/>
  <c r="P27" i="36"/>
  <c r="O27" i="36"/>
  <c r="N27" i="36"/>
  <c r="M27" i="36"/>
  <c r="L27" i="36"/>
  <c r="K27" i="36"/>
  <c r="J27" i="36"/>
  <c r="I27" i="36"/>
  <c r="H27" i="36"/>
  <c r="G27" i="36"/>
  <c r="F27" i="36"/>
  <c r="E27" i="36"/>
  <c r="D27" i="36"/>
  <c r="C27" i="36"/>
  <c r="AK26" i="36"/>
  <c r="AJ26" i="36"/>
  <c r="AI26" i="36"/>
  <c r="AH26" i="36"/>
  <c r="AG26" i="36"/>
  <c r="AF26" i="36"/>
  <c r="AE26" i="36"/>
  <c r="AD26" i="36"/>
  <c r="AC26" i="36"/>
  <c r="AB26" i="36"/>
  <c r="AA26" i="36"/>
  <c r="Z26" i="36"/>
  <c r="Y26" i="36"/>
  <c r="X26" i="36"/>
  <c r="W26" i="36"/>
  <c r="V26" i="36"/>
  <c r="U26" i="36"/>
  <c r="T26" i="36"/>
  <c r="S26" i="36"/>
  <c r="R26" i="36"/>
  <c r="Q26" i="36"/>
  <c r="P26" i="36"/>
  <c r="O26" i="36"/>
  <c r="N26" i="36"/>
  <c r="M26" i="36"/>
  <c r="L26" i="36"/>
  <c r="K26" i="36"/>
  <c r="J26" i="36"/>
  <c r="I26" i="36"/>
  <c r="H26" i="36"/>
  <c r="G26" i="36"/>
  <c r="F26" i="36"/>
  <c r="E26" i="36"/>
  <c r="D26" i="36"/>
  <c r="C26" i="36"/>
  <c r="AK25" i="36"/>
  <c r="AJ25" i="36"/>
  <c r="AI25" i="36"/>
  <c r="AH25" i="36"/>
  <c r="AG25" i="36"/>
  <c r="AF25" i="36"/>
  <c r="AE25" i="36"/>
  <c r="AD25" i="36"/>
  <c r="AC25" i="36"/>
  <c r="AB25" i="36"/>
  <c r="AA25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K25" i="36"/>
  <c r="J25" i="36"/>
  <c r="I25" i="36"/>
  <c r="H25" i="36"/>
  <c r="G25" i="36"/>
  <c r="F25" i="36"/>
  <c r="E25" i="36"/>
  <c r="D25" i="36"/>
  <c r="C25" i="36"/>
  <c r="AK24" i="36"/>
  <c r="AJ24" i="36"/>
  <c r="AI24" i="36"/>
  <c r="AH24" i="36"/>
  <c r="AG24" i="36"/>
  <c r="AF24" i="36"/>
  <c r="AE24" i="36"/>
  <c r="AD24" i="36"/>
  <c r="AC24" i="36"/>
  <c r="AB24" i="36"/>
  <c r="AA24" i="36"/>
  <c r="Z24" i="36"/>
  <c r="Y24" i="36"/>
  <c r="X24" i="36"/>
  <c r="W24" i="36"/>
  <c r="V24" i="36"/>
  <c r="U24" i="36"/>
  <c r="T24" i="36"/>
  <c r="S24" i="36"/>
  <c r="R24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D24" i="36"/>
  <c r="C24" i="36"/>
  <c r="AK23" i="36"/>
  <c r="AJ23" i="36"/>
  <c r="AI23" i="36"/>
  <c r="AH23" i="36"/>
  <c r="AG23" i="36"/>
  <c r="AF23" i="36"/>
  <c r="AE23" i="36"/>
  <c r="AD23" i="36"/>
  <c r="AC23" i="36"/>
  <c r="AB23" i="36"/>
  <c r="AA23" i="36"/>
  <c r="Z23" i="36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P2" i="36"/>
  <c r="O2" i="36"/>
  <c r="N2" i="36"/>
  <c r="M2" i="36"/>
  <c r="L2" i="36"/>
  <c r="K2" i="36"/>
  <c r="J2" i="36"/>
  <c r="I2" i="36"/>
  <c r="H2" i="36"/>
  <c r="G2" i="36"/>
  <c r="F2" i="36"/>
  <c r="E2" i="36"/>
  <c r="D2" i="36"/>
  <c r="C2" i="36"/>
  <c r="Q30" i="36"/>
  <c r="Y30" i="36"/>
  <c r="AA30" i="36"/>
  <c r="AI30" i="36"/>
  <c r="X30" i="36"/>
  <c r="N30" i="36"/>
  <c r="AD30" i="36"/>
  <c r="V30" i="36"/>
  <c r="I30" i="36"/>
  <c r="F30" i="36"/>
  <c r="H30" i="36"/>
  <c r="P30" i="36"/>
  <c r="AF30" i="36"/>
  <c r="J30" i="36"/>
  <c r="R30" i="36"/>
  <c r="C30" i="36"/>
  <c r="K30" i="36"/>
  <c r="S30" i="36"/>
  <c r="D30" i="36"/>
  <c r="T30" i="36"/>
  <c r="AB30" i="36"/>
  <c r="M30" i="36"/>
  <c r="U30" i="36"/>
  <c r="AC30" i="36"/>
  <c r="AK30" i="36"/>
  <c r="G30" i="36"/>
  <c r="O30" i="36"/>
  <c r="W30" i="36"/>
  <c r="AE30" i="36"/>
  <c r="AJ30" i="36"/>
  <c r="E30" i="36"/>
  <c r="AG30" i="36"/>
  <c r="AH30" i="36"/>
  <c r="Z30" i="36"/>
  <c r="L30" i="36"/>
  <c r="E2" i="35"/>
  <c r="D2" i="35"/>
  <c r="C2" i="35"/>
  <c r="AH29" i="35"/>
  <c r="AG29" i="35"/>
  <c r="AF29" i="35"/>
  <c r="AE29" i="35"/>
  <c r="AD29" i="35"/>
  <c r="AC29" i="35"/>
  <c r="AB29" i="35"/>
  <c r="AA29" i="35"/>
  <c r="Z29" i="35"/>
  <c r="Y29" i="35"/>
  <c r="X29" i="35"/>
  <c r="W29" i="35"/>
  <c r="V29" i="35"/>
  <c r="U29" i="35"/>
  <c r="T29" i="35"/>
  <c r="S29" i="35"/>
  <c r="R29" i="35"/>
  <c r="Q29" i="35"/>
  <c r="P29" i="35"/>
  <c r="O29" i="35"/>
  <c r="N29" i="35"/>
  <c r="M29" i="35"/>
  <c r="L29" i="35"/>
  <c r="K29" i="35"/>
  <c r="J29" i="35"/>
  <c r="I29" i="35"/>
  <c r="H29" i="35"/>
  <c r="G29" i="35"/>
  <c r="F29" i="35"/>
  <c r="E29" i="35"/>
  <c r="D29" i="35"/>
  <c r="C29" i="35"/>
  <c r="AH28" i="35"/>
  <c r="AG28" i="35"/>
  <c r="AF28" i="35"/>
  <c r="AE28" i="35"/>
  <c r="AD28" i="35"/>
  <c r="AC28" i="35"/>
  <c r="AB28" i="35"/>
  <c r="AA28" i="35"/>
  <c r="Z28" i="35"/>
  <c r="Y28" i="35"/>
  <c r="X28" i="35"/>
  <c r="W28" i="35"/>
  <c r="V28" i="35"/>
  <c r="U28" i="35"/>
  <c r="T28" i="35"/>
  <c r="S28" i="35"/>
  <c r="R28" i="35"/>
  <c r="Q28" i="35"/>
  <c r="P28" i="35"/>
  <c r="O28" i="35"/>
  <c r="N28" i="35"/>
  <c r="M28" i="35"/>
  <c r="L28" i="35"/>
  <c r="K28" i="35"/>
  <c r="J28" i="35"/>
  <c r="I28" i="35"/>
  <c r="H28" i="35"/>
  <c r="G28" i="35"/>
  <c r="F28" i="35"/>
  <c r="E28" i="35"/>
  <c r="D28" i="35"/>
  <c r="C28" i="35"/>
  <c r="AH27" i="35"/>
  <c r="AG27" i="35"/>
  <c r="AF27" i="35"/>
  <c r="AE27" i="35"/>
  <c r="AD27" i="35"/>
  <c r="AC27" i="35"/>
  <c r="AB27" i="35"/>
  <c r="AA27" i="35"/>
  <c r="Z27" i="35"/>
  <c r="Y27" i="35"/>
  <c r="X27" i="35"/>
  <c r="W27" i="35"/>
  <c r="V27" i="35"/>
  <c r="U27" i="35"/>
  <c r="T27" i="35"/>
  <c r="S27" i="35"/>
  <c r="R27" i="35"/>
  <c r="Q27" i="35"/>
  <c r="P27" i="35"/>
  <c r="O27" i="35"/>
  <c r="N27" i="35"/>
  <c r="M27" i="35"/>
  <c r="L27" i="35"/>
  <c r="K27" i="35"/>
  <c r="J27" i="35"/>
  <c r="I27" i="35"/>
  <c r="H27" i="35"/>
  <c r="G27" i="35"/>
  <c r="F27" i="35"/>
  <c r="E27" i="35"/>
  <c r="D27" i="35"/>
  <c r="C27" i="35"/>
  <c r="AH26" i="35"/>
  <c r="AG26" i="35"/>
  <c r="AF26" i="35"/>
  <c r="AE26" i="35"/>
  <c r="AD26" i="35"/>
  <c r="AC26" i="35"/>
  <c r="AB26" i="35"/>
  <c r="AA26" i="35"/>
  <c r="Z26" i="35"/>
  <c r="Y26" i="35"/>
  <c r="X26" i="35"/>
  <c r="W26" i="35"/>
  <c r="V26" i="35"/>
  <c r="U26" i="35"/>
  <c r="T26" i="35"/>
  <c r="S26" i="35"/>
  <c r="R26" i="35"/>
  <c r="Q26" i="35"/>
  <c r="P26" i="35"/>
  <c r="O26" i="35"/>
  <c r="N26" i="35"/>
  <c r="M26" i="35"/>
  <c r="L26" i="35"/>
  <c r="K26" i="35"/>
  <c r="J26" i="35"/>
  <c r="I26" i="35"/>
  <c r="H26" i="35"/>
  <c r="G26" i="35"/>
  <c r="F26" i="35"/>
  <c r="E26" i="35"/>
  <c r="D26" i="35"/>
  <c r="C26" i="35"/>
  <c r="AH25" i="35"/>
  <c r="AG25" i="35"/>
  <c r="AF25" i="35"/>
  <c r="AE25" i="35"/>
  <c r="AD25" i="35"/>
  <c r="AC25" i="35"/>
  <c r="AB25" i="35"/>
  <c r="AA25" i="35"/>
  <c r="Z25" i="35"/>
  <c r="Y25" i="35"/>
  <c r="X25" i="35"/>
  <c r="W25" i="35"/>
  <c r="V25" i="35"/>
  <c r="U25" i="35"/>
  <c r="T25" i="35"/>
  <c r="S25" i="35"/>
  <c r="R25" i="35"/>
  <c r="Q25" i="35"/>
  <c r="P25" i="35"/>
  <c r="O25" i="35"/>
  <c r="N25" i="35"/>
  <c r="M25" i="35"/>
  <c r="L25" i="35"/>
  <c r="K25" i="35"/>
  <c r="J25" i="35"/>
  <c r="I25" i="35"/>
  <c r="H25" i="35"/>
  <c r="G25" i="35"/>
  <c r="F25" i="35"/>
  <c r="E25" i="35"/>
  <c r="D25" i="35"/>
  <c r="C25" i="35"/>
  <c r="AH24" i="35"/>
  <c r="AG24" i="35"/>
  <c r="AF24" i="35"/>
  <c r="AE24" i="35"/>
  <c r="AD24" i="35"/>
  <c r="AC24" i="35"/>
  <c r="AB24" i="35"/>
  <c r="AA24" i="35"/>
  <c r="Z24" i="35"/>
  <c r="Y24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D24" i="35"/>
  <c r="C24" i="35"/>
  <c r="AH23" i="35"/>
  <c r="AG23" i="35"/>
  <c r="AF23" i="35"/>
  <c r="AE23" i="35"/>
  <c r="AD23" i="35"/>
  <c r="AC23" i="35"/>
  <c r="AB23" i="35"/>
  <c r="AA23" i="35"/>
  <c r="Z23" i="35"/>
  <c r="Y23" i="35"/>
  <c r="X23" i="35"/>
  <c r="W23" i="35"/>
  <c r="V23" i="35"/>
  <c r="U23" i="35"/>
  <c r="T23" i="35"/>
  <c r="S23" i="35"/>
  <c r="R23" i="35"/>
  <c r="Q23" i="35"/>
  <c r="P23" i="35"/>
  <c r="O23" i="35"/>
  <c r="N23" i="35"/>
  <c r="M23" i="35"/>
  <c r="L23" i="35"/>
  <c r="K23" i="35"/>
  <c r="J23" i="35"/>
  <c r="I23" i="35"/>
  <c r="H23" i="35"/>
  <c r="G23" i="35"/>
  <c r="F23" i="35"/>
  <c r="E23" i="35"/>
  <c r="D23" i="35"/>
  <c r="C23" i="35"/>
  <c r="AH2" i="35"/>
  <c r="AG2" i="35"/>
  <c r="AF2" i="35"/>
  <c r="AE2" i="35"/>
  <c r="AD2" i="35"/>
  <c r="AC2" i="35"/>
  <c r="AB2" i="35"/>
  <c r="AA2" i="35"/>
  <c r="Z2" i="35"/>
  <c r="Y2" i="35"/>
  <c r="X2" i="35"/>
  <c r="W2" i="35"/>
  <c r="V2" i="35"/>
  <c r="U2" i="35"/>
  <c r="T2" i="35"/>
  <c r="S2" i="35"/>
  <c r="R2" i="35"/>
  <c r="Q2" i="35"/>
  <c r="P2" i="35"/>
  <c r="O2" i="35"/>
  <c r="N2" i="35"/>
  <c r="M2" i="35"/>
  <c r="L2" i="35"/>
  <c r="K2" i="35"/>
  <c r="J2" i="35"/>
  <c r="I2" i="35"/>
  <c r="H2" i="35"/>
  <c r="G2" i="35"/>
  <c r="F2" i="35"/>
  <c r="L30" i="35"/>
  <c r="K30" i="35"/>
  <c r="X30" i="35"/>
  <c r="W30" i="35"/>
  <c r="N30" i="35"/>
  <c r="Z30" i="35"/>
  <c r="Q30" i="35"/>
  <c r="M30" i="35"/>
  <c r="U30" i="35"/>
  <c r="Y30" i="35"/>
  <c r="AB30" i="35"/>
  <c r="AA30" i="35"/>
  <c r="R30" i="35"/>
  <c r="G30" i="35"/>
  <c r="AE30" i="35"/>
  <c r="T30" i="35"/>
  <c r="AF30" i="35"/>
  <c r="AG30" i="35"/>
  <c r="J30" i="35"/>
  <c r="F30" i="35"/>
  <c r="P30" i="35"/>
  <c r="I30" i="35"/>
  <c r="S30" i="35"/>
  <c r="H30" i="35"/>
  <c r="O30" i="35"/>
  <c r="V30" i="35"/>
  <c r="AC30" i="35"/>
  <c r="AD30" i="35"/>
  <c r="AH30" i="35"/>
  <c r="D30" i="35"/>
  <c r="C30" i="35"/>
  <c r="E30" i="35"/>
  <c r="AI26" i="34"/>
  <c r="AI25" i="34"/>
  <c r="AI24" i="34"/>
  <c r="AI27" i="34"/>
  <c r="AI28" i="34"/>
  <c r="AI29" i="34"/>
  <c r="AI23" i="34"/>
  <c r="AH29" i="34"/>
  <c r="AG29" i="34"/>
  <c r="AF29" i="34"/>
  <c r="AE29" i="34"/>
  <c r="AD29" i="34"/>
  <c r="AC29" i="34"/>
  <c r="AB29" i="34"/>
  <c r="AA29" i="34"/>
  <c r="Z29" i="34"/>
  <c r="Y29" i="34"/>
  <c r="X29" i="34"/>
  <c r="W29" i="34"/>
  <c r="V29" i="34"/>
  <c r="U29" i="34"/>
  <c r="T29" i="34"/>
  <c r="S29" i="34"/>
  <c r="R29" i="34"/>
  <c r="Q29" i="34"/>
  <c r="P29" i="34"/>
  <c r="O29" i="34"/>
  <c r="N29" i="34"/>
  <c r="M29" i="34"/>
  <c r="L29" i="34"/>
  <c r="K29" i="34"/>
  <c r="J29" i="34"/>
  <c r="I29" i="34"/>
  <c r="H29" i="34"/>
  <c r="G29" i="34"/>
  <c r="F29" i="34"/>
  <c r="E29" i="34"/>
  <c r="D29" i="34"/>
  <c r="C29" i="34"/>
  <c r="AH28" i="34"/>
  <c r="AG28" i="34"/>
  <c r="AF28" i="34"/>
  <c r="AE28" i="34"/>
  <c r="AD28" i="34"/>
  <c r="AC28" i="34"/>
  <c r="AB28" i="34"/>
  <c r="AA28" i="34"/>
  <c r="Z28" i="34"/>
  <c r="Y28" i="34"/>
  <c r="X28" i="34"/>
  <c r="W28" i="34"/>
  <c r="V28" i="34"/>
  <c r="U28" i="34"/>
  <c r="T28" i="34"/>
  <c r="S28" i="34"/>
  <c r="R28" i="34"/>
  <c r="Q28" i="34"/>
  <c r="P28" i="34"/>
  <c r="O28" i="34"/>
  <c r="N28" i="34"/>
  <c r="M28" i="34"/>
  <c r="L28" i="34"/>
  <c r="K28" i="34"/>
  <c r="J28" i="34"/>
  <c r="I28" i="34"/>
  <c r="H28" i="34"/>
  <c r="G28" i="34"/>
  <c r="F28" i="34"/>
  <c r="E28" i="34"/>
  <c r="D28" i="34"/>
  <c r="C28" i="34"/>
  <c r="AH27" i="34"/>
  <c r="AG27" i="34"/>
  <c r="AF27" i="34"/>
  <c r="AE27" i="34"/>
  <c r="AD27" i="34"/>
  <c r="AC27" i="34"/>
  <c r="AB27" i="34"/>
  <c r="AA27" i="34"/>
  <c r="Z27" i="34"/>
  <c r="Y27" i="34"/>
  <c r="X27" i="34"/>
  <c r="W27" i="34"/>
  <c r="V27" i="34"/>
  <c r="U27" i="34"/>
  <c r="T27" i="34"/>
  <c r="S27" i="34"/>
  <c r="R27" i="34"/>
  <c r="Q27" i="34"/>
  <c r="P27" i="34"/>
  <c r="O27" i="34"/>
  <c r="N27" i="34"/>
  <c r="M27" i="34"/>
  <c r="L27" i="34"/>
  <c r="K27" i="34"/>
  <c r="J27" i="34"/>
  <c r="I27" i="34"/>
  <c r="H27" i="34"/>
  <c r="G27" i="34"/>
  <c r="F27" i="34"/>
  <c r="E27" i="34"/>
  <c r="D27" i="34"/>
  <c r="C27" i="34"/>
  <c r="AH26" i="34"/>
  <c r="AG26" i="34"/>
  <c r="AF26" i="34"/>
  <c r="AE26" i="34"/>
  <c r="AD26" i="34"/>
  <c r="AC26" i="34"/>
  <c r="AB26" i="34"/>
  <c r="AA26" i="34"/>
  <c r="Z26" i="34"/>
  <c r="Y26" i="34"/>
  <c r="X26" i="34"/>
  <c r="W26" i="34"/>
  <c r="V26" i="34"/>
  <c r="U26" i="34"/>
  <c r="T26" i="34"/>
  <c r="S26" i="34"/>
  <c r="R26" i="34"/>
  <c r="Q26" i="34"/>
  <c r="P26" i="34"/>
  <c r="O26" i="34"/>
  <c r="N26" i="34"/>
  <c r="M26" i="34"/>
  <c r="L26" i="34"/>
  <c r="K26" i="34"/>
  <c r="J26" i="34"/>
  <c r="I26" i="34"/>
  <c r="H26" i="34"/>
  <c r="G26" i="34"/>
  <c r="F26" i="34"/>
  <c r="E26" i="34"/>
  <c r="D26" i="34"/>
  <c r="C26" i="34"/>
  <c r="AH25" i="34"/>
  <c r="AG25" i="34"/>
  <c r="AF25" i="34"/>
  <c r="AE25" i="34"/>
  <c r="AD25" i="34"/>
  <c r="AC25" i="34"/>
  <c r="AB25" i="34"/>
  <c r="AA25" i="34"/>
  <c r="Z25" i="34"/>
  <c r="Y25" i="34"/>
  <c r="X25" i="34"/>
  <c r="W25" i="34"/>
  <c r="V25" i="34"/>
  <c r="U25" i="34"/>
  <c r="T25" i="34"/>
  <c r="S25" i="34"/>
  <c r="R25" i="34"/>
  <c r="Q25" i="34"/>
  <c r="P25" i="34"/>
  <c r="O25" i="34"/>
  <c r="N25" i="34"/>
  <c r="M25" i="34"/>
  <c r="L25" i="34"/>
  <c r="K25" i="34"/>
  <c r="J25" i="34"/>
  <c r="I25" i="34"/>
  <c r="H25" i="34"/>
  <c r="G25" i="34"/>
  <c r="F25" i="34"/>
  <c r="E25" i="34"/>
  <c r="D25" i="34"/>
  <c r="C25" i="34"/>
  <c r="AH24" i="34"/>
  <c r="AG24" i="34"/>
  <c r="AF24" i="34"/>
  <c r="AE24" i="34"/>
  <c r="AD24" i="34"/>
  <c r="AC24" i="34"/>
  <c r="AB24" i="34"/>
  <c r="AA24" i="34"/>
  <c r="Z24" i="34"/>
  <c r="Y24" i="34"/>
  <c r="X24" i="34"/>
  <c r="W24" i="34"/>
  <c r="V24" i="34"/>
  <c r="U24" i="34"/>
  <c r="T24" i="34"/>
  <c r="S24" i="34"/>
  <c r="R24" i="34"/>
  <c r="Q24" i="34"/>
  <c r="P24" i="34"/>
  <c r="O24" i="34"/>
  <c r="N24" i="34"/>
  <c r="M24" i="34"/>
  <c r="L24" i="34"/>
  <c r="K24" i="34"/>
  <c r="J24" i="34"/>
  <c r="I24" i="34"/>
  <c r="H24" i="34"/>
  <c r="G24" i="34"/>
  <c r="F24" i="34"/>
  <c r="E24" i="34"/>
  <c r="D24" i="34"/>
  <c r="C24" i="34"/>
  <c r="AH23" i="34"/>
  <c r="AG23" i="34"/>
  <c r="AF23" i="34"/>
  <c r="AE23" i="34"/>
  <c r="AD23" i="34"/>
  <c r="AC23" i="34"/>
  <c r="AB23" i="34"/>
  <c r="AA23" i="34"/>
  <c r="Z23" i="34"/>
  <c r="Y23" i="34"/>
  <c r="X23" i="34"/>
  <c r="W23" i="34"/>
  <c r="V23" i="34"/>
  <c r="U23" i="34"/>
  <c r="T23" i="34"/>
  <c r="S23" i="34"/>
  <c r="R23" i="34"/>
  <c r="Q23" i="34"/>
  <c r="P23" i="34"/>
  <c r="O23" i="34"/>
  <c r="N23" i="34"/>
  <c r="M23" i="34"/>
  <c r="L23" i="34"/>
  <c r="K23" i="34"/>
  <c r="J23" i="34"/>
  <c r="I23" i="34"/>
  <c r="H23" i="34"/>
  <c r="G23" i="34"/>
  <c r="F23" i="34"/>
  <c r="E23" i="34"/>
  <c r="D23" i="34"/>
  <c r="C23" i="34"/>
  <c r="AI2" i="34"/>
  <c r="AH2" i="34"/>
  <c r="AG2" i="34"/>
  <c r="AF2" i="34"/>
  <c r="AE2" i="34"/>
  <c r="AD2" i="34"/>
  <c r="AC2" i="34"/>
  <c r="AB2" i="34"/>
  <c r="AA2" i="34"/>
  <c r="Z2" i="34"/>
  <c r="Y2" i="34"/>
  <c r="X2" i="34"/>
  <c r="W2" i="34"/>
  <c r="V2" i="34"/>
  <c r="U2" i="34"/>
  <c r="T2" i="34"/>
  <c r="S2" i="34"/>
  <c r="R2" i="34"/>
  <c r="Q2" i="34"/>
  <c r="P2" i="34"/>
  <c r="O2" i="34"/>
  <c r="N2" i="34"/>
  <c r="M2" i="34"/>
  <c r="L2" i="34"/>
  <c r="K2" i="34"/>
  <c r="J2" i="34"/>
  <c r="I2" i="34"/>
  <c r="H2" i="34"/>
  <c r="G2" i="34"/>
  <c r="F2" i="34"/>
  <c r="E2" i="34"/>
  <c r="D2" i="34"/>
  <c r="C2" i="34"/>
  <c r="AD30" i="34"/>
  <c r="U30" i="34"/>
  <c r="X30" i="34"/>
  <c r="W30" i="34"/>
  <c r="AG30" i="34"/>
  <c r="P30" i="34"/>
  <c r="V30" i="34"/>
  <c r="H30" i="34"/>
  <c r="T30" i="34"/>
  <c r="AC30" i="34"/>
  <c r="AF30" i="34"/>
  <c r="AA30" i="34"/>
  <c r="AB30" i="34"/>
  <c r="O30" i="34"/>
  <c r="F30" i="34"/>
  <c r="AH30" i="34"/>
  <c r="G30" i="34"/>
  <c r="Z30" i="34"/>
  <c r="Y30" i="34"/>
  <c r="I30" i="34"/>
  <c r="J30" i="34"/>
  <c r="AE30" i="34"/>
  <c r="K30" i="34"/>
  <c r="L30" i="34"/>
  <c r="AI30" i="34"/>
  <c r="S30" i="34"/>
  <c r="D30" i="34"/>
  <c r="C30" i="34"/>
  <c r="E30" i="34"/>
  <c r="R30" i="34"/>
  <c r="Q30" i="34"/>
  <c r="M30" i="34"/>
  <c r="N30" i="34"/>
  <c r="AK24" i="26"/>
  <c r="AJ24" i="26"/>
  <c r="AI24" i="26"/>
  <c r="AH24" i="26"/>
  <c r="AG24" i="26"/>
  <c r="AF24" i="26"/>
  <c r="AE24" i="26"/>
  <c r="AD24" i="26"/>
  <c r="AC24" i="26"/>
  <c r="AB24" i="26"/>
  <c r="AA24" i="26"/>
  <c r="Z24" i="26"/>
  <c r="Y24" i="26"/>
  <c r="X24" i="26"/>
  <c r="W24" i="26"/>
  <c r="V24" i="26"/>
  <c r="U24" i="26"/>
  <c r="T24" i="26"/>
  <c r="S24" i="26"/>
  <c r="R24" i="26"/>
  <c r="Q24" i="26"/>
  <c r="P24" i="26"/>
  <c r="O24" i="26"/>
  <c r="N24" i="26"/>
  <c r="M24" i="26"/>
  <c r="L24" i="26"/>
  <c r="K24" i="26"/>
  <c r="J24" i="26"/>
  <c r="I24" i="26"/>
  <c r="H24" i="26"/>
  <c r="G24" i="26"/>
  <c r="F24" i="26"/>
  <c r="E24" i="26"/>
  <c r="D24" i="26"/>
  <c r="C24" i="26"/>
  <c r="AK23" i="26"/>
  <c r="AJ23" i="26"/>
  <c r="AI23" i="26"/>
  <c r="AH23" i="26"/>
  <c r="AG23" i="26"/>
  <c r="AF23" i="26"/>
  <c r="AE23" i="26"/>
  <c r="AD23" i="26"/>
  <c r="AC23" i="26"/>
  <c r="AB23" i="26"/>
  <c r="AA23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AK22" i="26"/>
  <c r="AJ22" i="26"/>
  <c r="AI22" i="26"/>
  <c r="AH22" i="26"/>
  <c r="AG22" i="26"/>
  <c r="AF22" i="26"/>
  <c r="AE22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AK21" i="26"/>
  <c r="AJ21" i="26"/>
  <c r="AI21" i="26"/>
  <c r="AH21" i="26"/>
  <c r="AG21" i="26"/>
  <c r="AF21" i="26"/>
  <c r="AE21" i="26"/>
  <c r="AD21" i="26"/>
  <c r="AC21" i="26"/>
  <c r="AB21" i="26"/>
  <c r="AA21" i="26"/>
  <c r="Z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AK20" i="26"/>
  <c r="AJ20" i="26"/>
  <c r="AI20" i="26"/>
  <c r="AH20" i="26"/>
  <c r="AG20" i="26"/>
  <c r="AF20" i="26"/>
  <c r="AE20" i="26"/>
  <c r="AD20" i="26"/>
  <c r="AC20" i="26"/>
  <c r="AB20" i="26"/>
  <c r="AA20" i="26"/>
  <c r="Z20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3" i="26"/>
  <c r="B22" i="26"/>
  <c r="B21" i="26"/>
  <c r="B20" i="26"/>
  <c r="AB19" i="25"/>
  <c r="AB20" i="25"/>
  <c r="AB21" i="25"/>
  <c r="AB22" i="25"/>
  <c r="B24" i="26"/>
  <c r="F1" i="26"/>
  <c r="E1" i="26"/>
  <c r="D1" i="26"/>
  <c r="C1" i="26"/>
  <c r="B1" i="26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AF22" i="25"/>
  <c r="AE22" i="25"/>
  <c r="AD22" i="25"/>
  <c r="AC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AF21" i="25"/>
  <c r="AE21" i="25"/>
  <c r="AD21" i="25"/>
  <c r="AC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AF20" i="25"/>
  <c r="AE20" i="25"/>
  <c r="AD20" i="25"/>
  <c r="AC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AF19" i="25"/>
  <c r="AE19" i="25"/>
  <c r="AD19" i="25"/>
  <c r="AC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22" i="25"/>
  <c r="B21" i="25"/>
  <c r="B20" i="25"/>
  <c r="B19" i="25"/>
  <c r="B23" i="25"/>
  <c r="N24" i="25"/>
  <c r="AB24" i="25"/>
  <c r="Q24" i="25"/>
  <c r="R24" i="25"/>
  <c r="P24" i="25"/>
  <c r="AA24" i="25"/>
  <c r="Z24" i="25"/>
  <c r="E24" i="25"/>
  <c r="AC24" i="25"/>
  <c r="C24" i="25"/>
  <c r="S24" i="25"/>
  <c r="F24" i="25"/>
  <c r="J25" i="26"/>
  <c r="Y24" i="25"/>
  <c r="D24" i="25"/>
  <c r="O24" i="25"/>
  <c r="AE24" i="25"/>
  <c r="M24" i="25"/>
  <c r="F25" i="26"/>
  <c r="S25" i="26"/>
  <c r="U25" i="26"/>
  <c r="W25" i="26"/>
  <c r="AC25" i="26"/>
  <c r="Y25" i="26"/>
  <c r="C25" i="26"/>
  <c r="D25" i="26"/>
  <c r="AB25" i="26"/>
  <c r="AF25" i="26"/>
  <c r="R25" i="26"/>
  <c r="Z25" i="26"/>
  <c r="AA25" i="26"/>
  <c r="AE25" i="26"/>
  <c r="X25" i="26"/>
  <c r="E25" i="26"/>
  <c r="B25" i="26"/>
  <c r="H25" i="26"/>
  <c r="K25" i="26"/>
  <c r="L25" i="26"/>
  <c r="AH25" i="26"/>
  <c r="AG25" i="26"/>
  <c r="AI25" i="26"/>
  <c r="AJ25" i="26"/>
  <c r="AK25" i="26"/>
  <c r="AD25" i="26"/>
  <c r="V25" i="26"/>
  <c r="T25" i="26"/>
  <c r="O25" i="26"/>
  <c r="P25" i="26"/>
  <c r="N25" i="26"/>
  <c r="M25" i="26"/>
  <c r="I25" i="26"/>
  <c r="G25" i="26"/>
  <c r="Q25" i="26"/>
  <c r="AD24" i="25"/>
  <c r="B24" i="25"/>
  <c r="T24" i="25"/>
  <c r="U24" i="25"/>
  <c r="J24" i="25"/>
  <c r="W24" i="25"/>
  <c r="L24" i="25"/>
  <c r="X24" i="25"/>
  <c r="H24" i="25"/>
  <c r="AF24" i="25"/>
  <c r="I24" i="25"/>
  <c r="V24" i="25"/>
  <c r="K24" i="25"/>
  <c r="G24" i="25"/>
  <c r="AK1" i="26"/>
  <c r="AJ1" i="26"/>
  <c r="AI1" i="26"/>
  <c r="AH1" i="26"/>
  <c r="AG1" i="26"/>
  <c r="AF1" i="26"/>
  <c r="AE1" i="26"/>
  <c r="AD1" i="26"/>
  <c r="AC1" i="26"/>
  <c r="AB1" i="26"/>
  <c r="AA1" i="26"/>
  <c r="Z1" i="26"/>
  <c r="Y1" i="26"/>
  <c r="X1" i="26"/>
  <c r="W1" i="26"/>
  <c r="V1" i="26"/>
  <c r="U1" i="26"/>
  <c r="T1" i="26"/>
  <c r="S1" i="26"/>
  <c r="R1" i="26"/>
  <c r="Q1" i="26"/>
  <c r="P1" i="26"/>
  <c r="O1" i="26"/>
  <c r="N1" i="26"/>
  <c r="M1" i="26"/>
  <c r="L1" i="26"/>
  <c r="K1" i="26"/>
  <c r="J1" i="26"/>
  <c r="I1" i="26"/>
  <c r="H1" i="26"/>
  <c r="G1" i="26"/>
  <c r="AF1" i="25"/>
  <c r="AE1" i="25"/>
  <c r="AD1" i="25"/>
  <c r="AC1" i="25"/>
  <c r="AB1" i="25"/>
  <c r="AA1" i="25"/>
  <c r="Z1" i="25"/>
  <c r="Y1" i="25"/>
  <c r="X1" i="25"/>
  <c r="W1" i="25"/>
  <c r="V1" i="25"/>
  <c r="U1" i="25"/>
  <c r="T1" i="25"/>
  <c r="S1" i="25"/>
  <c r="R1" i="25"/>
  <c r="Q1" i="25"/>
  <c r="P1" i="25"/>
  <c r="O1" i="25"/>
  <c r="N1" i="25"/>
  <c r="M1" i="25"/>
  <c r="L1" i="25"/>
  <c r="K1" i="25"/>
  <c r="J1" i="25"/>
  <c r="I1" i="25"/>
  <c r="H1" i="25"/>
  <c r="G1" i="25"/>
  <c r="F1" i="25"/>
  <c r="E1" i="25"/>
  <c r="D1" i="25"/>
  <c r="C1" i="25"/>
  <c r="B1" i="25"/>
  <c r="AM1" i="22"/>
  <c r="AL1" i="22"/>
  <c r="AK1" i="22"/>
  <c r="AJ1" i="22"/>
  <c r="D1" i="22"/>
  <c r="C1" i="22"/>
  <c r="B1" i="22"/>
  <c r="AH1" i="18"/>
  <c r="AG1" i="18"/>
  <c r="AF1" i="18"/>
  <c r="B1" i="21"/>
  <c r="C1" i="21"/>
  <c r="D1" i="21"/>
  <c r="AG1" i="19"/>
  <c r="AF1" i="19"/>
  <c r="AE1" i="19"/>
  <c r="AI1" i="22"/>
  <c r="AH1" i="22"/>
  <c r="AG1" i="22"/>
  <c r="AF1" i="22"/>
  <c r="AE1" i="22"/>
  <c r="AD1" i="22"/>
  <c r="AC1" i="22"/>
  <c r="AB1" i="22"/>
  <c r="AA1" i="22"/>
  <c r="Z1" i="22"/>
  <c r="Y1" i="22"/>
  <c r="X1" i="22"/>
  <c r="W1" i="22"/>
  <c r="V1" i="22"/>
  <c r="U1" i="22"/>
  <c r="T1" i="22"/>
  <c r="S1" i="22"/>
  <c r="R1" i="22"/>
  <c r="Q1" i="22"/>
  <c r="P1" i="22"/>
  <c r="O1" i="22"/>
  <c r="N1" i="22"/>
  <c r="M1" i="22"/>
  <c r="L1" i="22"/>
  <c r="K1" i="22"/>
  <c r="J1" i="22"/>
  <c r="I1" i="22"/>
  <c r="H1" i="22"/>
  <c r="G1" i="22"/>
  <c r="F1" i="22"/>
  <c r="E1" i="22"/>
  <c r="AD1" i="19"/>
  <c r="AF1" i="21"/>
  <c r="AE1" i="21"/>
  <c r="AD1" i="21"/>
  <c r="AC1" i="21"/>
  <c r="AB1" i="21"/>
  <c r="AA1" i="21"/>
  <c r="Z1" i="21"/>
  <c r="Y1" i="21"/>
  <c r="X1" i="21"/>
  <c r="W1" i="21"/>
  <c r="V1" i="21"/>
  <c r="U1" i="21"/>
  <c r="T1" i="21"/>
  <c r="S1" i="21"/>
  <c r="R1" i="21"/>
  <c r="Q1" i="21"/>
  <c r="P1" i="21"/>
  <c r="O1" i="21"/>
  <c r="N1" i="21"/>
  <c r="M1" i="21"/>
  <c r="L1" i="21"/>
  <c r="K1" i="21"/>
  <c r="J1" i="21"/>
  <c r="I1" i="21"/>
  <c r="H1" i="21"/>
  <c r="G1" i="21"/>
  <c r="F1" i="21"/>
  <c r="E1" i="21"/>
  <c r="AC1" i="19"/>
  <c r="AB1" i="19"/>
  <c r="AA1" i="19"/>
  <c r="Z1" i="19"/>
  <c r="Y1" i="19"/>
  <c r="X1" i="19"/>
  <c r="W1" i="19"/>
  <c r="V1" i="19"/>
  <c r="U1" i="19"/>
  <c r="T1" i="19"/>
  <c r="S1" i="19"/>
  <c r="R1" i="19"/>
  <c r="Q1" i="19"/>
  <c r="P1" i="19"/>
  <c r="O1" i="19"/>
  <c r="N1" i="19"/>
  <c r="M1" i="19"/>
  <c r="L1" i="19"/>
  <c r="K1" i="19"/>
  <c r="J1" i="19"/>
  <c r="I1" i="19"/>
  <c r="H1" i="19"/>
  <c r="G1" i="19"/>
  <c r="F1" i="19"/>
  <c r="E1" i="19"/>
  <c r="D1" i="19"/>
  <c r="C1" i="19"/>
  <c r="B1" i="19"/>
  <c r="AF1" i="15"/>
  <c r="AE1" i="15"/>
  <c r="AE1" i="18"/>
  <c r="AD1" i="18"/>
  <c r="AC1" i="18"/>
  <c r="AB1" i="18"/>
  <c r="AA1" i="18"/>
  <c r="Z1" i="18"/>
  <c r="Y1" i="18"/>
  <c r="X1" i="18"/>
  <c r="W1" i="18"/>
  <c r="V1" i="18"/>
  <c r="U1" i="18"/>
  <c r="T1" i="18"/>
  <c r="S1" i="18"/>
  <c r="R1" i="18"/>
  <c r="Q1" i="18"/>
  <c r="P1" i="18"/>
  <c r="O1" i="18"/>
  <c r="N1" i="18"/>
  <c r="M1" i="18"/>
  <c r="L1" i="18"/>
  <c r="K1" i="18"/>
  <c r="J1" i="18"/>
  <c r="I1" i="18"/>
  <c r="H1" i="18"/>
  <c r="G1" i="18"/>
  <c r="F1" i="18"/>
  <c r="E1" i="18"/>
  <c r="D1" i="18"/>
  <c r="C1" i="18"/>
  <c r="B1" i="18"/>
  <c r="S1" i="15"/>
  <c r="R1" i="15"/>
  <c r="AG1" i="13"/>
  <c r="AF1" i="13"/>
  <c r="AE1" i="13"/>
  <c r="C1" i="17"/>
  <c r="B1" i="17"/>
  <c r="AG1" i="17"/>
  <c r="AF1" i="17"/>
  <c r="AE1" i="17"/>
  <c r="AD1" i="17"/>
  <c r="AC1" i="17"/>
  <c r="AB1" i="17"/>
  <c r="AA1" i="17"/>
  <c r="Z1" i="17"/>
  <c r="Y1" i="17"/>
  <c r="X1" i="17"/>
  <c r="W1" i="17"/>
  <c r="V1" i="17"/>
  <c r="U1" i="17"/>
  <c r="T1" i="17"/>
  <c r="S1" i="17"/>
  <c r="R1" i="17"/>
  <c r="Q1" i="17"/>
  <c r="P1" i="17"/>
  <c r="O1" i="17"/>
  <c r="N1" i="17"/>
  <c r="M1" i="17"/>
  <c r="L1" i="17"/>
  <c r="K1" i="17"/>
  <c r="J1" i="17"/>
  <c r="I1" i="17"/>
  <c r="H1" i="17"/>
  <c r="G1" i="17"/>
  <c r="F1" i="17"/>
  <c r="E1" i="17"/>
  <c r="D1" i="17"/>
  <c r="AC1" i="13"/>
  <c r="AB1" i="13"/>
  <c r="AD1" i="15"/>
  <c r="AC1" i="15"/>
  <c r="AB1" i="15"/>
  <c r="AA1" i="15"/>
  <c r="Z1" i="15"/>
  <c r="Y1" i="15"/>
  <c r="X1" i="15"/>
  <c r="W1" i="15"/>
  <c r="V1" i="15"/>
  <c r="U1" i="15"/>
  <c r="T1" i="15"/>
  <c r="Q1" i="15"/>
  <c r="P1" i="15"/>
  <c r="O1" i="15"/>
  <c r="N1" i="15"/>
  <c r="M1" i="15"/>
  <c r="L1" i="15"/>
  <c r="K1" i="15"/>
  <c r="J1" i="15"/>
  <c r="I1" i="15"/>
  <c r="H1" i="15"/>
  <c r="G1" i="15"/>
  <c r="F1" i="15"/>
  <c r="E1" i="15"/>
  <c r="D1" i="15"/>
  <c r="C1" i="15"/>
  <c r="B1" i="15"/>
  <c r="I1" i="13"/>
  <c r="B1" i="13"/>
  <c r="B1" i="12"/>
  <c r="D1" i="13"/>
  <c r="E1" i="13"/>
  <c r="F1" i="13"/>
  <c r="G1" i="13"/>
  <c r="H1" i="13"/>
  <c r="J1" i="13"/>
  <c r="K1" i="13"/>
  <c r="L1" i="13"/>
  <c r="M1" i="13"/>
  <c r="N1" i="13"/>
  <c r="O1" i="13"/>
  <c r="P1" i="13"/>
  <c r="Q1" i="13"/>
  <c r="R1" i="13"/>
  <c r="S1" i="13"/>
  <c r="T1" i="13"/>
  <c r="U1" i="13"/>
  <c r="V1" i="13"/>
  <c r="W1" i="13"/>
  <c r="X1" i="13"/>
  <c r="Y1" i="13"/>
  <c r="Z1" i="13"/>
  <c r="AA1" i="13"/>
  <c r="C1" i="13"/>
  <c r="AD1" i="12"/>
  <c r="AC1" i="12"/>
  <c r="AB1" i="12"/>
  <c r="AA1" i="12"/>
  <c r="Z1" i="12"/>
  <c r="Y1" i="12"/>
  <c r="X1" i="12"/>
  <c r="W1" i="12"/>
  <c r="V1" i="12"/>
  <c r="U1" i="12"/>
  <c r="T1" i="12"/>
  <c r="S1" i="12"/>
  <c r="R1" i="12"/>
  <c r="Q1" i="12"/>
  <c r="P1" i="12"/>
  <c r="O1" i="12"/>
  <c r="N1" i="12"/>
  <c r="M1" i="12"/>
  <c r="L1" i="12"/>
  <c r="K1" i="12"/>
  <c r="J1" i="12"/>
  <c r="I1" i="12"/>
  <c r="H1" i="12"/>
  <c r="G1" i="12"/>
  <c r="F1" i="12"/>
  <c r="E1" i="12"/>
  <c r="D1" i="12"/>
  <c r="C1" i="12"/>
  <c r="C1" i="11"/>
  <c r="B1" i="11"/>
  <c r="AF1" i="11"/>
  <c r="AE1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AE1" i="2"/>
  <c r="AD1" i="2"/>
  <c r="AC1" i="2"/>
  <c r="AB1" i="2"/>
  <c r="AF1" i="9"/>
  <c r="AG1" i="9"/>
  <c r="AH1" i="9"/>
  <c r="AE1" i="9"/>
  <c r="AD1" i="9"/>
  <c r="AC1" i="9"/>
  <c r="AB1" i="9"/>
  <c r="AA1" i="9"/>
  <c r="Z1" i="9"/>
  <c r="Y1" i="9"/>
  <c r="X1" i="9"/>
  <c r="W1" i="9"/>
  <c r="V1" i="9"/>
  <c r="U1" i="9"/>
  <c r="T1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1" i="9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B1" i="2"/>
</calcChain>
</file>

<file path=xl/sharedStrings.xml><?xml version="1.0" encoding="utf-8"?>
<sst xmlns="http://schemas.openxmlformats.org/spreadsheetml/2006/main" count="18981" uniqueCount="383">
  <si>
    <t>Associates Name</t>
  </si>
  <si>
    <t>Saifullah Shaikh</t>
  </si>
  <si>
    <t>C</t>
  </si>
  <si>
    <t>WMS</t>
  </si>
  <si>
    <t>WO</t>
  </si>
  <si>
    <t>PL</t>
  </si>
  <si>
    <t>MS</t>
  </si>
  <si>
    <t>Siva Swamy Nulu</t>
  </si>
  <si>
    <t>NST3</t>
  </si>
  <si>
    <t>Rakesh R</t>
  </si>
  <si>
    <t>NST7</t>
  </si>
  <si>
    <t>WNST7</t>
  </si>
  <si>
    <t>Somshekar Dixit</t>
  </si>
  <si>
    <t>Pranay Prakash</t>
  </si>
  <si>
    <t>Ashraf U Zama</t>
  </si>
  <si>
    <t>Avdhoot Potnis</t>
  </si>
  <si>
    <t>GS</t>
  </si>
  <si>
    <t>GS1</t>
  </si>
  <si>
    <t>Vinod Reddy</t>
  </si>
  <si>
    <t>Mamali Samantray</t>
  </si>
  <si>
    <t>Ganesh Kamble</t>
  </si>
  <si>
    <t>Venkata L</t>
  </si>
  <si>
    <t>Gayathri S</t>
  </si>
  <si>
    <t>Color Legends</t>
  </si>
  <si>
    <t>General Shift</t>
  </si>
  <si>
    <t>Morning shift (F3)</t>
  </si>
  <si>
    <t>Night Shift(T3)</t>
  </si>
  <si>
    <t>Night Shift(T7)</t>
  </si>
  <si>
    <t>Weekend Morning(F1)</t>
  </si>
  <si>
    <t>Weekend General(GS)</t>
  </si>
  <si>
    <t>WGS</t>
  </si>
  <si>
    <t>Weekend Night Shift(N7)</t>
  </si>
  <si>
    <t>Planned Leave</t>
  </si>
  <si>
    <t>Unplanned Leave</t>
  </si>
  <si>
    <t>UPL</t>
  </si>
  <si>
    <t>Comp-offs</t>
  </si>
  <si>
    <t>Company Holiday</t>
  </si>
  <si>
    <t>H</t>
  </si>
  <si>
    <t>Week Off</t>
  </si>
  <si>
    <t>ASS2</t>
  </si>
  <si>
    <t>WASS2</t>
  </si>
  <si>
    <t>ASS1</t>
  </si>
  <si>
    <t>WASS1</t>
  </si>
  <si>
    <t>Sreekanth Reddy</t>
  </si>
  <si>
    <t xml:space="preserve">Kanchan </t>
  </si>
  <si>
    <t>Ashutosh</t>
  </si>
  <si>
    <t>Bisal</t>
  </si>
  <si>
    <t>Afternoon Shift(S1)</t>
  </si>
  <si>
    <t>Afternoon Shift(S2)</t>
  </si>
  <si>
    <t>Weekend Afternoon(S1)</t>
  </si>
  <si>
    <t>Weekend Afternoon(S2)</t>
  </si>
  <si>
    <t>Email ID</t>
  </si>
  <si>
    <t>59001_FS</t>
  </si>
  <si>
    <t>71496_FS</t>
  </si>
  <si>
    <t>Rakesh</t>
  </si>
  <si>
    <t>rakesh.b.r@capgemini.com</t>
  </si>
  <si>
    <t>105096_FS</t>
  </si>
  <si>
    <t>Somshekhar</t>
  </si>
  <si>
    <t>somshekhar.dixit@capgemini.com</t>
  </si>
  <si>
    <t>183947_FS</t>
  </si>
  <si>
    <t>Avdhoot</t>
  </si>
  <si>
    <t>avdhoot.potnis@capgemini.com</t>
  </si>
  <si>
    <t>Kanchan Pathare</t>
  </si>
  <si>
    <t>kanchan-sambhaji.pathare@capgemini.com</t>
  </si>
  <si>
    <t>46027125_FS</t>
  </si>
  <si>
    <t>Venkata Lakili</t>
  </si>
  <si>
    <t>venkata.lakili@capgemini.com</t>
  </si>
  <si>
    <t>46041450_FS</t>
  </si>
  <si>
    <t>sreekanth.reddy-mungala@capgemini.com</t>
  </si>
  <si>
    <t> 46029952_FS</t>
  </si>
  <si>
    <t> Gayathri S</t>
  </si>
  <si>
    <t>gayathri.h.s@capgemini.com</t>
  </si>
  <si>
    <t>Sneha</t>
  </si>
  <si>
    <t>ashutosh.a.pattnaik@capgemini.com</t>
  </si>
  <si>
    <t>Munish Kumar</t>
  </si>
  <si>
    <t>Ashutosh P</t>
  </si>
  <si>
    <t>Sneha N</t>
  </si>
  <si>
    <t>Shubham Mahajan</t>
  </si>
  <si>
    <t>Aayushi C</t>
  </si>
  <si>
    <t>Optional Holidays</t>
  </si>
  <si>
    <t>Designation</t>
  </si>
  <si>
    <t>OH</t>
  </si>
  <si>
    <t>CG ID</t>
  </si>
  <si>
    <t>Associate Name</t>
  </si>
  <si>
    <t>Current Location (City)</t>
  </si>
  <si>
    <t>State</t>
  </si>
  <si>
    <t>Ashutosh Pattnaik</t>
  </si>
  <si>
    <t>Bhubaneswar</t>
  </si>
  <si>
    <t>Odisha</t>
  </si>
  <si>
    <t>Kurnool</t>
  </si>
  <si>
    <t>Andhra Pradesh</t>
  </si>
  <si>
    <t>Pune</t>
  </si>
  <si>
    <t>Maharashtra</t>
  </si>
  <si>
    <t>Tiruppur</t>
  </si>
  <si>
    <t>Tamil Nadu</t>
  </si>
  <si>
    <t>Punjab</t>
  </si>
  <si>
    <t>Visakhapatnam</t>
  </si>
  <si>
    <t>Khargone</t>
  </si>
  <si>
    <t>Madhya Pradesh</t>
  </si>
  <si>
    <t>Mumbai</t>
  </si>
  <si>
    <t>Udupi</t>
  </si>
  <si>
    <t>Karnataka</t>
  </si>
  <si>
    <t>Somshekhar Dixit</t>
  </si>
  <si>
    <t>shajahapur </t>
  </si>
  <si>
    <t>UttarPradesh</t>
  </si>
  <si>
    <t>Sneha Navade</t>
  </si>
  <si>
    <t>Parbhani</t>
  </si>
  <si>
    <t>Mon</t>
  </si>
  <si>
    <t>sneha.santoshrao-navade@capgemini.com</t>
  </si>
  <si>
    <t>munish.kumar@capgemini.com</t>
  </si>
  <si>
    <t>shubham.a.mahajan@capgemini.com</t>
  </si>
  <si>
    <t>Employee ID</t>
  </si>
  <si>
    <t>GGID</t>
  </si>
  <si>
    <t>Employee Name</t>
  </si>
  <si>
    <t>National Holiday date</t>
  </si>
  <si>
    <t>In time</t>
  </si>
  <si>
    <t>Out Time</t>
  </si>
  <si>
    <t>Total Hours</t>
  </si>
  <si>
    <t>Reporting achor/base location</t>
  </si>
  <si>
    <t>Hyderabad</t>
  </si>
  <si>
    <t>Vikroli</t>
  </si>
  <si>
    <t>AS</t>
  </si>
  <si>
    <t>WAS1</t>
  </si>
  <si>
    <t>Sr. No.</t>
  </si>
  <si>
    <t>Shift Lead</t>
  </si>
  <si>
    <t>Shift Timing(CST)</t>
  </si>
  <si>
    <t>Backup Associates</t>
  </si>
  <si>
    <t>Shift</t>
  </si>
  <si>
    <t>Rakesh R/Avdhoot Potnis</t>
  </si>
  <si>
    <t>8:30 PM - 5 AM</t>
  </si>
  <si>
    <t>Avdhoot Potnis/Mahesh Halkanche/Venkata Lakili/Gayathri S</t>
  </si>
  <si>
    <t>Shift 1</t>
  </si>
  <si>
    <t>Saifullah Shaikh/Vinod Reddy</t>
  </si>
  <si>
    <t>3:30 AM - 1 PM</t>
  </si>
  <si>
    <t>Vinod Reddy/Kanchan Pathare/Sreekanth Reddy Munagala/Munish Kumar</t>
  </si>
  <si>
    <t>Shift 2</t>
  </si>
  <si>
    <t>Sachin Dalvi /Siva Swamy Nulu </t>
  </si>
  <si>
    <t>Siva Swamy Nulu </t>
  </si>
  <si>
    <t>Ashraf U Zama/Somshekar Dixit</t>
  </si>
  <si>
    <t>11:30 AM - 9 PM</t>
  </si>
  <si>
    <t>Somshekar Dixit/Shubham Mahajan/Ashutosh Pattnaik/Sneha Navade</t>
  </si>
  <si>
    <t>Shift 3</t>
  </si>
  <si>
    <t>Siva Swamy Nulu/Sachin Dalvi </t>
  </si>
  <si>
    <t>9:30 AM - 7 PM</t>
  </si>
  <si>
    <t>Sachin Dalvi </t>
  </si>
  <si>
    <t>Morning Shift (7.00 am to 4.30 pm)</t>
  </si>
  <si>
    <t>Afternoon Shift (2.00 pm to 11.30 pm)</t>
  </si>
  <si>
    <t>General shift/GS1/Monitoring Shift (9.00 am to 6.30 pm)</t>
  </si>
  <si>
    <t>Night Shift(10.00 pm to 7.30 pm)</t>
  </si>
  <si>
    <t>Monitoring Shift(10.00 pm to 7.30 pm)</t>
  </si>
  <si>
    <t>Total Strength</t>
  </si>
  <si>
    <t>Mahesh H</t>
  </si>
  <si>
    <t>Pool 1</t>
  </si>
  <si>
    <t>Pool 2</t>
  </si>
  <si>
    <t>Pool 3</t>
  </si>
  <si>
    <t>Mahesh Halkanche</t>
  </si>
  <si>
    <t>MS Shift</t>
  </si>
  <si>
    <t>AS Shift</t>
  </si>
  <si>
    <t>NS Shift</t>
  </si>
  <si>
    <t>GS Shift</t>
  </si>
  <si>
    <t>Week/Comp Off</t>
  </si>
  <si>
    <t>Plan Leave</t>
  </si>
  <si>
    <t>Total</t>
  </si>
  <si>
    <t>Consultant</t>
  </si>
  <si>
    <t>mahesh.halkanche@capgemini.com</t>
  </si>
  <si>
    <t>Color Legend</t>
  </si>
  <si>
    <t>Morning Shift</t>
  </si>
  <si>
    <t>Afternoon Shift</t>
  </si>
  <si>
    <t>Night Shift</t>
  </si>
  <si>
    <t>Work from Office Shift</t>
  </si>
  <si>
    <t>Holiday</t>
  </si>
  <si>
    <t>Sreekrishna Kota</t>
  </si>
  <si>
    <t>Co Holiday/Op Holiday</t>
  </si>
  <si>
    <t>Chennai</t>
  </si>
  <si>
    <t>Noida</t>
  </si>
  <si>
    <t>Ludhiana</t>
  </si>
  <si>
    <t>AS1</t>
  </si>
  <si>
    <t>Global Group ID</t>
  </si>
  <si>
    <t>Local Employee ID</t>
  </si>
  <si>
    <t>yes</t>
  </si>
  <si>
    <t>Naveen Goud</t>
  </si>
  <si>
    <t>Akhila V</t>
  </si>
  <si>
    <t>Clarity Timesheet Approval Date</t>
  </si>
  <si>
    <t> 9:30</t>
  </si>
  <si>
    <t>26th January 2023</t>
  </si>
  <si>
    <t> 9:00</t>
  </si>
  <si>
    <t>Khushi Singhania</t>
  </si>
  <si>
    <t>Mousmi Dave</t>
  </si>
  <si>
    <t>Sneha Katta</t>
  </si>
  <si>
    <t>Gautam kumar</t>
  </si>
  <si>
    <t>Vaishali sachen</t>
  </si>
  <si>
    <t>Komal Pawoolkar</t>
  </si>
  <si>
    <t>Harshika Gadekar</t>
  </si>
  <si>
    <t>Sanika Sunil Khawate</t>
  </si>
  <si>
    <t>Tanvi agarwal</t>
  </si>
  <si>
    <t>Nagendar Voruganti</t>
  </si>
  <si>
    <t>Swapnalatha Tarala</t>
  </si>
  <si>
    <t>Harshada Gaikwad</t>
  </si>
  <si>
    <t>     Namrata Khot</t>
  </si>
  <si>
    <t>Sathish siddi venkata</t>
  </si>
  <si>
    <t>Snehanshu Banerjee</t>
  </si>
  <si>
    <t>46456_FS</t>
  </si>
  <si>
    <t>Basant Singh</t>
  </si>
  <si>
    <t>92526_FS</t>
  </si>
  <si>
    <t>Nilesh Kumar Mangnani</t>
  </si>
  <si>
    <t>Megha Chandrakanta</t>
  </si>
  <si>
    <t>Jyoti Gawade</t>
  </si>
  <si>
    <t>Namrata Chaurasia</t>
  </si>
  <si>
    <t>108580_FS</t>
  </si>
  <si>
    <t>Biranchi Narayan Patra</t>
  </si>
  <si>
    <t>Bhanuteja Ratakonda</t>
  </si>
  <si>
    <t>Shoyebshah Ashkan</t>
  </si>
  <si>
    <t>Gowtham Bathula</t>
  </si>
  <si>
    <t>Magham Bhavana</t>
  </si>
  <si>
    <t>Lokesh Kumar Marneni</t>
  </si>
  <si>
    <t>91314_FS</t>
  </si>
  <si>
    <t>Pratibha Bhise</t>
  </si>
  <si>
    <t>108056_FS</t>
  </si>
  <si>
    <t>Rohit Shinde</t>
  </si>
  <si>
    <t>Malhar Anand Sadhu</t>
  </si>
  <si>
    <t>109374_FS</t>
  </si>
  <si>
    <t>Annam Ajay Kumar</t>
  </si>
  <si>
    <r>
      <t> </t>
    </r>
    <r>
      <rPr>
        <sz val="10.5"/>
        <color rgb="FF242424"/>
        <rFont val="Calibri Light"/>
        <family val="2"/>
        <scheme val="major"/>
      </rPr>
      <t>46122508</t>
    </r>
  </si>
  <si>
    <t>Gayathri</t>
  </si>
  <si>
    <t>Naveen Kumar Goud</t>
  </si>
  <si>
    <t>Tanzil Jamadhar</t>
  </si>
  <si>
    <t>Suraj Athargade</t>
  </si>
  <si>
    <t>Suraj</t>
  </si>
  <si>
    <t>Tanzil</t>
  </si>
  <si>
    <t>GG ID</t>
  </si>
  <si>
    <t>KIN ID</t>
  </si>
  <si>
    <t>Associate's Name</t>
  </si>
  <si>
    <t>Work location</t>
  </si>
  <si>
    <t>Team Name</t>
  </si>
  <si>
    <t>DDX</t>
  </si>
  <si>
    <t>Name</t>
  </si>
  <si>
    <t>Email</t>
  </si>
  <si>
    <t>Emp ID</t>
  </si>
  <si>
    <t>Project Code</t>
  </si>
  <si>
    <t>Hrs Till Today</t>
  </si>
  <si>
    <t>Lead Name</t>
  </si>
  <si>
    <t>Leads Comment</t>
  </si>
  <si>
    <t>PRAGATI ACHARYA</t>
  </si>
  <si>
    <t>pragati.acharya@capgemini.com</t>
  </si>
  <si>
    <t>DFS AMS Payments 2023_TO-73</t>
  </si>
  <si>
    <t>Rohit/Sesh</t>
  </si>
  <si>
    <t>HARISH PRALHAD  RAM  JAT</t>
  </si>
  <si>
    <t>harish.pralhad-ram-jat@capgemini.com</t>
  </si>
  <si>
    <t>Basant/Ajay</t>
  </si>
  <si>
    <t>SURAJ  DIWAKAR ATHARGADE</t>
  </si>
  <si>
    <t>suraj-diwakar.athargade@capgemini.com</t>
  </si>
  <si>
    <t>Saif/Rakesh</t>
  </si>
  <si>
    <t>AKSHAY NEWASKAR</t>
  </si>
  <si>
    <t>akshay.newaskar@capgemini.com</t>
  </si>
  <si>
    <t>MALHAR  ANAND SADHU</t>
  </si>
  <si>
    <t>malhar-anand.sadhu@capgemini.com</t>
  </si>
  <si>
    <t>SHUBHAM A MAHAJAN</t>
  </si>
  <si>
    <t>GANESH  VENKATA  SRI  SAI  ANISH PALEPU</t>
  </si>
  <si>
    <t>ganesh-venkata-sri-sai-anish.palepu@capgemini.com</t>
  </si>
  <si>
    <t>Ganesh/Rishab</t>
  </si>
  <si>
    <t>AGNEL RAJA</t>
  </si>
  <si>
    <t>agnel.raja@capgemini.com</t>
  </si>
  <si>
    <t>SWAPNALATHA TARALA</t>
  </si>
  <si>
    <t>swapnalatha.tarala@capgemini.com</t>
  </si>
  <si>
    <t>DHARMESH  CHANDULAL PATIL</t>
  </si>
  <si>
    <t>dharmesh-chandulal.patil@capgemini.com</t>
  </si>
  <si>
    <t>MAHESH HALKANCHE</t>
  </si>
  <si>
    <t>MUNISH KUMAR</t>
  </si>
  <si>
    <t>TAPAN A SWAIN</t>
  </si>
  <si>
    <t>tapan.a.swain@capgemini.com</t>
  </si>
  <si>
    <t>Faraz/Tapan</t>
  </si>
  <si>
    <t>KOMAL PAWOOLKAR</t>
  </si>
  <si>
    <t>komal.pawoolkar@capgemini.com</t>
  </si>
  <si>
    <t>Gautam/Aakash</t>
  </si>
  <si>
    <t>GOWTHAM BATHULA</t>
  </si>
  <si>
    <t>gowtham.bathula@capgemini.com</t>
  </si>
  <si>
    <t>RAKESH B R</t>
  </si>
  <si>
    <t>SAIFULLAH SHAIKH</t>
  </si>
  <si>
    <t>saifullah.shaikh@capgemini.com</t>
  </si>
  <si>
    <t>MAGHAM BHAVANA</t>
  </si>
  <si>
    <t>magham.bhavana@capgemini.com</t>
  </si>
  <si>
    <t>AJAY  KUMAR ANNAM</t>
  </si>
  <si>
    <t>ajay-kumar.annam@capgemini.com</t>
  </si>
  <si>
    <t>AVDHOOT POTNIS</t>
  </si>
  <si>
    <t>SEERAM MEGHANA</t>
  </si>
  <si>
    <t>seeram.meghana@capgemini.com</t>
  </si>
  <si>
    <t>Gautam/Akash</t>
  </si>
  <si>
    <t>GAYATHRI H S</t>
  </si>
  <si>
    <t>RISHAB SRIVASTAVA</t>
  </si>
  <si>
    <t>rishab.srivastava@capgemini.com</t>
  </si>
  <si>
    <t>JYOTI GAWADE</t>
  </si>
  <si>
    <t>jyoti.gawade@capgemini.com</t>
  </si>
  <si>
    <t>SAKSHI A RAWAT</t>
  </si>
  <si>
    <t>sakshi.a.rawat@capgemini.com</t>
  </si>
  <si>
    <t>ASHUTOSH A PATTNAIK</t>
  </si>
  <si>
    <t>SOMSHEKHAR DIXIT</t>
  </si>
  <si>
    <t>VAISHNAVI A D</t>
  </si>
  <si>
    <t>vaishnavi.a.d@capgemini.com</t>
  </si>
  <si>
    <t>ROHIT B SHINDE</t>
  </si>
  <si>
    <t>rohit.b.shinde@capgemini.com</t>
  </si>
  <si>
    <t>SNEHA SANTOSHRAO  NAVADE</t>
  </si>
  <si>
    <t>SOWMYA J  S</t>
  </si>
  <si>
    <t>sowmya.j-s@capgemini.com</t>
  </si>
  <si>
    <t>SNEHA OVHAL</t>
  </si>
  <si>
    <t>sneha.ovhal@capgemini.com</t>
  </si>
  <si>
    <t>SESHADRI  BABU BALLIPAKULA</t>
  </si>
  <si>
    <t>seshadri-babu.ballipakula@capgemini.com</t>
  </si>
  <si>
    <t>KHUSHI SINGHANIA</t>
  </si>
  <si>
    <t>khushi.singhania@capgemini.com</t>
  </si>
  <si>
    <t>HARSHIKA GADEKAR</t>
  </si>
  <si>
    <t>harshika.gadekar@capgemini.com</t>
  </si>
  <si>
    <t>SRUTHI P</t>
  </si>
  <si>
    <t>sruthi.p@capgemini.com</t>
  </si>
  <si>
    <t>PAVAN GARLAPATI</t>
  </si>
  <si>
    <t>pavan.garlapati@capgemini.com</t>
  </si>
  <si>
    <t>NITEESH ARRA</t>
  </si>
  <si>
    <t>niteesh.arra@capgemini.com</t>
  </si>
  <si>
    <t>VENKATA LAKILI</t>
  </si>
  <si>
    <t>RUTH ANGELEENA  THOODI</t>
  </si>
  <si>
    <t>ruth.angeleena-thoodi@capgemini.com</t>
  </si>
  <si>
    <t>NAMRATA KHOT</t>
  </si>
  <si>
    <t>namrata.khot@capgemini.com</t>
  </si>
  <si>
    <t>HARSHADA GAIKWAD</t>
  </si>
  <si>
    <t>harshada.gaikwad@capgemini.com</t>
  </si>
  <si>
    <t>MOUSMI  JITENDRA DAVE</t>
  </si>
  <si>
    <t>mousmi-jitendra.dave@capgemini.com</t>
  </si>
  <si>
    <t>HARPREET G SINGH</t>
  </si>
  <si>
    <t>harpreet.g.singh@capgemini.com</t>
  </si>
  <si>
    <t>SYED  MOHD ALI  FARAZ</t>
  </si>
  <si>
    <t>syed-mohd.ali-faraz@capgemini.com</t>
  </si>
  <si>
    <t>SNEHA A KATTA</t>
  </si>
  <si>
    <t>sneha.a.katta@capgemini.com</t>
  </si>
  <si>
    <t>AKHILA B V</t>
  </si>
  <si>
    <t>akhila.b.v@capgemini.com</t>
  </si>
  <si>
    <t>SANIKA  SUNIL KHAWATE</t>
  </si>
  <si>
    <t>sanika-sunil.khawate@capgemini.com</t>
  </si>
  <si>
    <t>SREEKANTH REDDY  MUNAGALA</t>
  </si>
  <si>
    <t>sreekanth.reddy-munagala@capgemini.com</t>
  </si>
  <si>
    <t>SHOYEBSHAH ASHKAN</t>
  </si>
  <si>
    <t>shoyebshah.ashkan@capgemini.com</t>
  </si>
  <si>
    <t>NAVEEN  KUMAR  GOUD ANGOL</t>
  </si>
  <si>
    <t>naveen-kumar-goud.angol@capgemini.com</t>
  </si>
  <si>
    <t>ASHISH G YADAV</t>
  </si>
  <si>
    <t>ashish.g.yadav@capgemini.com</t>
  </si>
  <si>
    <t>PRANIT  CHANDRAKANT JANVADE</t>
  </si>
  <si>
    <t>pranit-chandrakant.janvade@capgemini.com</t>
  </si>
  <si>
    <t>SRI  SAI  AKHILESWAR VEJENDLA</t>
  </si>
  <si>
    <t>sri-sai-akhileswar.vejendla@capgemini.com</t>
  </si>
  <si>
    <t>SHRADDHA  SANTOSH GAVLI</t>
  </si>
  <si>
    <t>shraddha-santosh.gavli@capgemini.com</t>
  </si>
  <si>
    <t>SNEHAL  RAJENDRA KULKARNI</t>
  </si>
  <si>
    <t>snehal-rajendra.kulkarni@capgemini.com</t>
  </si>
  <si>
    <t>TANVI AGARWAL</t>
  </si>
  <si>
    <t>tanvi.agarwal@capgemini.com</t>
  </si>
  <si>
    <t>193 hours completed this year…INC6647389 raised for same with LND team</t>
  </si>
  <si>
    <t xml:space="preserve">SRE engineer (38 hours), Monitoring and Observability for Development and DevOps (16 horus), AWS developer associate (20 hours) and Docker for developer (20 hours) training completed </t>
  </si>
  <si>
    <t>Will be completing SRE engineer (38 hours), , AWS developer associate (20 hours)</t>
  </si>
  <si>
    <r>
      <t xml:space="preserve">will be completing [NEW] Ultimate AWS Certified Cloud Practitioner CLF-C02 -14 hrs, (CLD-PE) SRE Engineer - 38 hrs, and </t>
    </r>
    <r>
      <rPr>
        <sz val="11"/>
        <color theme="1"/>
        <rFont val="Calibri"/>
        <family val="2"/>
        <scheme val="minor"/>
      </rPr>
      <t>Crash Course on Python 26 hrs</t>
    </r>
  </si>
  <si>
    <t>Completed 63.5 hours of traning wrt to Python, Java and kubernets</t>
  </si>
  <si>
    <t>SRE Engineer - 38 hrs</t>
  </si>
  <si>
    <t>AWS Certified Developer Associate - 34 hr</t>
  </si>
  <si>
    <t>will be completing 
SRE Engineer - 38 hrs
AWS Certified Developer Associate - 34 hr</t>
  </si>
  <si>
    <t>Completed 30.8 Hrs of training includes below cources-
AWS Certified Developer - Associate (DVA-C02)
(8hr 24min)
AWS Certified Cloud Practitioner (CLF-C01)
(11hr 12min)
EN - Group mandatory Compliance trainings (8hr 55min)
Cybersecurity(51min)
(1to5)Ethics@Capgemini(75min)
SOCIAL MEDIA CODE OF CONDUCT(15min)
will be completing
Docker for Developers(20hr 22min)</t>
  </si>
  <si>
    <t>Completed -45 hrs mandatory courses in mylearning and azure  includes below cources 
Github -4hrs
Docker and Kubernetes -1hr 47min
Jenkins 2hrs 25min
OpenShift- 1hr 31min
Kibana/Elastic Stack Fundamentals-10hrs
will be completing- Aws Certified solutions Architect Associate- 5hr 55min
Python- 9hrs</t>
  </si>
  <si>
    <t>Completed 32Hrs of Training includes below courses
Docker and Kubernetes - 1Hr 40Min
AWS - 1Hr 30Min
Git - 2Hrs
Atlassian Jira - 12Hrs 33Min
Google Cloud Fundamentals - 8Hr 30Min
Will be completing SRE Engineer - 38Hrs 39Min</t>
  </si>
  <si>
    <t>Compelted 43 horus of training in AWS will be completing azure and docker for remaining 17 hours</t>
  </si>
  <si>
    <t>Will be completing google cloud engineering training</t>
  </si>
  <si>
    <t xml:space="preserve">Completed 46.5 Hrs for Devops, Ansilbe, kuberentes and GCP
will be completing Linux Automation and Kubernetes Helm Charts with step-by-step practical demo -21.5 hrs
</t>
  </si>
  <si>
    <t>tanzil.jamadar@capgemini.com</t>
  </si>
  <si>
    <t>Mobile #</t>
  </si>
  <si>
    <t>Alternate Contact No.</t>
  </si>
  <si>
    <t>Associate Consultant</t>
  </si>
  <si>
    <t>Rakesh N R</t>
  </si>
  <si>
    <t>Senior Consultant</t>
  </si>
  <si>
    <t>Dipak Sonawane</t>
  </si>
  <si>
    <t>Senior Software Engineer</t>
  </si>
  <si>
    <t>Software Engineer</t>
  </si>
  <si>
    <t>Work Location</t>
  </si>
  <si>
    <t>Reports to</t>
  </si>
  <si>
    <t>Nov</t>
  </si>
  <si>
    <t>Dec CO</t>
  </si>
  <si>
    <t>CO</t>
  </si>
  <si>
    <t>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</si>
</sst>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rgb="FF0061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4" tint="0.79998168889431442"/>
      <name val="Calibri"/>
      <family val="2"/>
    </font>
    <font>
      <sz val="11"/>
      <color theme="5" tint="0.79998168889431442"/>
      <name val="Calibri"/>
      <family val="2"/>
    </font>
    <font>
      <sz val="8"/>
      <color rgb="FF242424"/>
      <name val="Segoe UI"/>
      <family val="2"/>
    </font>
    <font>
      <sz val="11"/>
      <color rgb="FF9C0006"/>
      <name val="Calibri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FF0000"/>
      <name val="Calibri"/>
      <family val="2"/>
    </font>
    <font>
      <b/>
      <sz val="12"/>
      <color rgb="FF000000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sz val="12"/>
      <color rgb="FF242424"/>
      <name val="Calibri Light"/>
      <family val="2"/>
      <scheme val="major"/>
    </font>
    <font>
      <sz val="10.5"/>
      <color rgb="FF242424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11"/>
      <color rgb="FF333333"/>
      <name val="Calibri Light"/>
      <family val="2"/>
      <scheme val="major"/>
    </font>
    <font>
      <b/>
      <sz val="11"/>
      <color rgb="FFFF0000"/>
      <name val="Calibri"/>
      <family val="2"/>
    </font>
    <font>
      <sz val="11"/>
      <color rgb="FF000000"/>
      <name val="Times New Roman"/>
      <family val="1"/>
    </font>
    <font>
      <sz val="11"/>
      <color rgb="FF1F497D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46D0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60">
    <xf numFmtId="0" fontId="0" fillId="0" borderId="0" xfId="0"/>
    <xf numFmtId="0" fontId="0" fillId="0" borderId="1" xfId="0" applyFont="1" applyBorder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4" borderId="1" xfId="0" applyFont="1" applyFill="1" applyBorder="1" applyAlignment="1"/>
    <xf numFmtId="0" fontId="1" fillId="5" borderId="1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0" fontId="0" fillId="11" borderId="1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2" borderId="7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  <xf numFmtId="0" fontId="9" fillId="14" borderId="1" xfId="0" applyFont="1" applyFill="1" applyBorder="1" applyAlignment="1">
      <alignment horizontal="center"/>
    </xf>
    <xf numFmtId="0" fontId="3" fillId="0" borderId="1" xfId="0" applyFont="1" applyBorder="1"/>
    <xf numFmtId="0" fontId="8" fillId="15" borderId="1" xfId="0" applyFont="1" applyFill="1" applyBorder="1" applyAlignment="1">
      <alignment horizontal="center" vertical="center"/>
    </xf>
    <xf numFmtId="0" fontId="0" fillId="0" borderId="1" xfId="0" applyFont="1" applyFill="1" applyBorder="1"/>
    <xf numFmtId="0" fontId="2" fillId="8" borderId="1" xfId="0" applyFont="1" applyFill="1" applyBorder="1" applyAlignment="1">
      <alignment horizontal="center"/>
    </xf>
    <xf numFmtId="0" fontId="0" fillId="16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0" fillId="0" borderId="1" xfId="0" applyFont="1" applyBorder="1" applyAlignment="1"/>
    <xf numFmtId="16" fontId="5" fillId="2" borderId="1" xfId="0" applyNumberFormat="1" applyFont="1" applyFill="1" applyBorder="1" applyAlignment="1">
      <alignment horizontal="right"/>
    </xf>
    <xf numFmtId="0" fontId="6" fillId="3" borderId="1" xfId="0" applyFont="1" applyFill="1" applyBorder="1" applyAlignment="1"/>
    <xf numFmtId="0" fontId="6" fillId="3" borderId="2" xfId="0" applyFont="1" applyFill="1" applyBorder="1" applyAlignment="1"/>
    <xf numFmtId="0" fontId="6" fillId="3" borderId="6" xfId="0" applyFont="1" applyFill="1" applyBorder="1" applyAlignment="1"/>
    <xf numFmtId="0" fontId="6" fillId="3" borderId="7" xfId="0" applyFont="1" applyFill="1" applyBorder="1" applyAlignment="1"/>
    <xf numFmtId="0" fontId="6" fillId="3" borderId="5" xfId="0" applyFont="1" applyFill="1" applyBorder="1" applyAlignment="1"/>
    <xf numFmtId="0" fontId="1" fillId="5" borderId="5" xfId="0" applyFont="1" applyFill="1" applyBorder="1" applyAlignment="1">
      <alignment horizontal="center"/>
    </xf>
    <xf numFmtId="0" fontId="6" fillId="9" borderId="7" xfId="0" applyFont="1" applyFill="1" applyBorder="1" applyAlignment="1">
      <alignment horizontal="center"/>
    </xf>
    <xf numFmtId="0" fontId="0" fillId="10" borderId="2" xfId="0" applyFont="1" applyFill="1" applyBorder="1" applyAlignment="1">
      <alignment horizontal="center"/>
    </xf>
    <xf numFmtId="0" fontId="0" fillId="11" borderId="2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0" fontId="0" fillId="0" borderId="0" xfId="0" applyFont="1"/>
    <xf numFmtId="0" fontId="6" fillId="13" borderId="6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0" fillId="11" borderId="5" xfId="0" applyFont="1" applyFill="1" applyBorder="1" applyAlignment="1">
      <alignment horizontal="center"/>
    </xf>
    <xf numFmtId="16" fontId="5" fillId="2" borderId="2" xfId="0" applyNumberFormat="1" applyFont="1" applyFill="1" applyBorder="1" applyAlignment="1">
      <alignment horizontal="right"/>
    </xf>
    <xf numFmtId="0" fontId="1" fillId="5" borderId="2" xfId="0" applyFont="1" applyFill="1" applyBorder="1" applyAlignment="1">
      <alignment horizontal="center"/>
    </xf>
    <xf numFmtId="0" fontId="0" fillId="8" borderId="2" xfId="0" applyFont="1" applyFill="1" applyBorder="1" applyAlignment="1">
      <alignment horizontal="center"/>
    </xf>
    <xf numFmtId="16" fontId="5" fillId="2" borderId="5" xfId="0" applyNumberFormat="1" applyFont="1" applyFill="1" applyBorder="1" applyAlignment="1">
      <alignment horizontal="right"/>
    </xf>
    <xf numFmtId="0" fontId="0" fillId="10" borderId="5" xfId="0" applyFont="1" applyFill="1" applyBorder="1" applyAlignment="1">
      <alignment horizontal="center"/>
    </xf>
    <xf numFmtId="0" fontId="0" fillId="8" borderId="5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16" fontId="5" fillId="2" borderId="6" xfId="0" applyNumberFormat="1" applyFont="1" applyFill="1" applyBorder="1" applyAlignment="1">
      <alignment horizontal="right"/>
    </xf>
    <xf numFmtId="16" fontId="5" fillId="2" borderId="7" xfId="0" applyNumberFormat="1" applyFont="1" applyFill="1" applyBorder="1" applyAlignment="1">
      <alignment horizontal="right"/>
    </xf>
    <xf numFmtId="0" fontId="1" fillId="5" borderId="7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0" fontId="0" fillId="11" borderId="6" xfId="0" applyFont="1" applyFill="1" applyBorder="1" applyAlignment="1">
      <alignment horizontal="center"/>
    </xf>
    <xf numFmtId="0" fontId="0" fillId="11" borderId="7" xfId="0" applyFont="1" applyFill="1" applyBorder="1" applyAlignment="1">
      <alignment horizontal="center"/>
    </xf>
    <xf numFmtId="0" fontId="8" fillId="7" borderId="7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/>
    </xf>
    <xf numFmtId="0" fontId="7" fillId="4" borderId="2" xfId="0" applyFont="1" applyFill="1" applyBorder="1" applyAlignment="1"/>
    <xf numFmtId="0" fontId="6" fillId="8" borderId="1" xfId="0" applyFont="1" applyFill="1" applyBorder="1" applyAlignment="1">
      <alignment horizontal="center"/>
    </xf>
    <xf numFmtId="0" fontId="7" fillId="4" borderId="10" xfId="0" applyFont="1" applyFill="1" applyBorder="1" applyAlignment="1"/>
    <xf numFmtId="0" fontId="0" fillId="0" borderId="1" xfId="0" applyBorder="1"/>
    <xf numFmtId="0" fontId="3" fillId="0" borderId="0" xfId="0" applyFont="1" applyBorder="1"/>
    <xf numFmtId="0" fontId="12" fillId="18" borderId="1" xfId="0" applyFont="1" applyFill="1" applyBorder="1" applyAlignment="1">
      <alignment vertical="center" wrapText="1"/>
    </xf>
    <xf numFmtId="0" fontId="13" fillId="18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/>
    <xf numFmtId="0" fontId="13" fillId="0" borderId="1" xfId="0" applyFont="1" applyBorder="1"/>
    <xf numFmtId="0" fontId="15" fillId="18" borderId="1" xfId="0" applyFont="1" applyFill="1" applyBorder="1" applyAlignment="1">
      <alignment vertical="center" wrapText="1"/>
    </xf>
    <xf numFmtId="0" fontId="8" fillId="19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/>
    </xf>
    <xf numFmtId="0" fontId="0" fillId="17" borderId="1" xfId="0" applyFont="1" applyFill="1" applyBorder="1" applyAlignment="1">
      <alignment horizontal="center"/>
    </xf>
    <xf numFmtId="0" fontId="14" fillId="0" borderId="1" xfId="0" applyFont="1" applyFill="1" applyBorder="1"/>
    <xf numFmtId="0" fontId="13" fillId="0" borderId="1" xfId="0" applyFont="1" applyFill="1" applyBorder="1"/>
    <xf numFmtId="0" fontId="16" fillId="19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0" fillId="0" borderId="0" xfId="0" applyFont="1" applyBorder="1"/>
    <xf numFmtId="0" fontId="0" fillId="0" borderId="0" xfId="0" applyFont="1" applyFill="1" applyBorder="1"/>
    <xf numFmtId="0" fontId="0" fillId="20" borderId="2" xfId="0" applyFill="1" applyBorder="1" applyAlignment="1">
      <alignment horizontal="left" vertical="top"/>
    </xf>
    <xf numFmtId="0" fontId="0" fillId="13" borderId="1" xfId="0" applyFill="1" applyBorder="1" applyAlignment="1">
      <alignment horizontal="right" vertical="top"/>
    </xf>
    <xf numFmtId="0" fontId="19" fillId="5" borderId="2" xfId="0" applyFont="1" applyFill="1" applyBorder="1" applyAlignment="1">
      <alignment horizontal="left" vertical="top"/>
    </xf>
    <xf numFmtId="0" fontId="19" fillId="5" borderId="1" xfId="0" applyFont="1" applyFill="1" applyBorder="1" applyAlignment="1">
      <alignment horizontal="right" vertical="top"/>
    </xf>
    <xf numFmtId="0" fontId="0" fillId="21" borderId="2" xfId="0" applyFill="1" applyBorder="1" applyAlignment="1">
      <alignment horizontal="left" vertical="top"/>
    </xf>
    <xf numFmtId="0" fontId="0" fillId="21" borderId="1" xfId="0" applyFill="1" applyBorder="1" applyAlignment="1">
      <alignment horizontal="right" vertical="top"/>
    </xf>
    <xf numFmtId="0" fontId="6" fillId="22" borderId="11" xfId="0" applyFont="1" applyFill="1" applyBorder="1" applyAlignment="1">
      <alignment horizontal="left" vertical="top"/>
    </xf>
    <xf numFmtId="0" fontId="6" fillId="22" borderId="1" xfId="0" applyFont="1" applyFill="1" applyBorder="1" applyAlignment="1">
      <alignment horizontal="right" vertical="top"/>
    </xf>
    <xf numFmtId="0" fontId="6" fillId="23" borderId="1" xfId="0" applyFont="1" applyFill="1" applyBorder="1" applyAlignment="1">
      <alignment horizontal="left" vertical="top"/>
    </xf>
    <xf numFmtId="0" fontId="6" fillId="23" borderId="1" xfId="0" applyFont="1" applyFill="1" applyBorder="1" applyAlignment="1">
      <alignment horizontal="right" vertical="top"/>
    </xf>
    <xf numFmtId="0" fontId="0" fillId="24" borderId="1" xfId="0" applyFill="1" applyBorder="1" applyAlignment="1">
      <alignment horizontal="left" vertical="top"/>
    </xf>
    <xf numFmtId="0" fontId="0" fillId="24" borderId="1" xfId="0" applyFill="1" applyBorder="1" applyAlignment="1">
      <alignment horizontal="right" vertical="top"/>
    </xf>
    <xf numFmtId="0" fontId="7" fillId="4" borderId="0" xfId="0" applyFont="1" applyFill="1" applyBorder="1" applyAlignment="1"/>
    <xf numFmtId="0" fontId="6" fillId="19" borderId="0" xfId="0" applyFont="1" applyFill="1" applyBorder="1" applyAlignment="1">
      <alignment horizontal="center"/>
    </xf>
    <xf numFmtId="0" fontId="8" fillId="19" borderId="0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/>
    </xf>
    <xf numFmtId="0" fontId="18" fillId="18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14" xfId="0" applyFont="1" applyFill="1" applyBorder="1" applyAlignment="1"/>
    <xf numFmtId="0" fontId="21" fillId="25" borderId="15" xfId="0" applyFont="1" applyFill="1" applyBorder="1" applyAlignment="1"/>
    <xf numFmtId="0" fontId="6" fillId="26" borderId="16" xfId="0" applyFont="1" applyFill="1" applyBorder="1" applyAlignment="1">
      <alignment horizontal="center"/>
    </xf>
    <xf numFmtId="0" fontId="8" fillId="25" borderId="16" xfId="0" applyFont="1" applyFill="1" applyBorder="1" applyAlignment="1">
      <alignment horizontal="center" vertical="center"/>
    </xf>
    <xf numFmtId="0" fontId="6" fillId="26" borderId="13" xfId="0" applyFont="1" applyFill="1" applyBorder="1" applyAlignment="1">
      <alignment horizontal="center"/>
    </xf>
    <xf numFmtId="0" fontId="0" fillId="28" borderId="13" xfId="0" applyFont="1" applyFill="1" applyBorder="1" applyAlignment="1">
      <alignment horizontal="center"/>
    </xf>
    <xf numFmtId="0" fontId="8" fillId="15" borderId="16" xfId="0" applyFont="1" applyFill="1" applyBorder="1" applyAlignment="1">
      <alignment horizontal="center" vertical="center"/>
    </xf>
    <xf numFmtId="0" fontId="0" fillId="28" borderId="16" xfId="0" applyFont="1" applyFill="1" applyBorder="1" applyAlignment="1">
      <alignment horizontal="center"/>
    </xf>
    <xf numFmtId="0" fontId="8" fillId="15" borderId="13" xfId="0" applyFont="1" applyFill="1" applyBorder="1" applyAlignment="1">
      <alignment horizontal="center" vertical="center"/>
    </xf>
    <xf numFmtId="0" fontId="21" fillId="25" borderId="17" xfId="0" applyFont="1" applyFill="1" applyBorder="1" applyAlignment="1"/>
    <xf numFmtId="0" fontId="8" fillId="25" borderId="13" xfId="0" applyFont="1" applyFill="1" applyBorder="1" applyAlignment="1">
      <alignment horizontal="center" vertical="center"/>
    </xf>
    <xf numFmtId="0" fontId="0" fillId="28" borderId="12" xfId="0" applyFont="1" applyFill="1" applyBorder="1" applyAlignment="1">
      <alignment horizontal="center"/>
    </xf>
    <xf numFmtId="0" fontId="7" fillId="25" borderId="18" xfId="0" applyFont="1" applyFill="1" applyBorder="1" applyAlignment="1"/>
    <xf numFmtId="0" fontId="6" fillId="26" borderId="12" xfId="0" applyFont="1" applyFill="1" applyBorder="1" applyAlignment="1">
      <alignment horizontal="center"/>
    </xf>
    <xf numFmtId="0" fontId="8" fillId="25" borderId="12" xfId="0" applyFont="1" applyFill="1" applyBorder="1" applyAlignment="1">
      <alignment horizontal="center" vertical="center"/>
    </xf>
    <xf numFmtId="0" fontId="8" fillId="15" borderId="12" xfId="0" applyFont="1" applyFill="1" applyBorder="1" applyAlignment="1">
      <alignment horizontal="center" vertical="center"/>
    </xf>
    <xf numFmtId="0" fontId="7" fillId="25" borderId="2" xfId="0" applyFont="1" applyFill="1" applyBorder="1" applyAlignment="1"/>
    <xf numFmtId="0" fontId="6" fillId="26" borderId="1" xfId="0" applyFont="1" applyFill="1" applyBorder="1" applyAlignment="1">
      <alignment horizontal="center"/>
    </xf>
    <xf numFmtId="0" fontId="0" fillId="29" borderId="1" xfId="0" applyFont="1" applyFill="1" applyBorder="1" applyAlignment="1">
      <alignment horizontal="center"/>
    </xf>
    <xf numFmtId="0" fontId="0" fillId="28" borderId="1" xfId="0" applyFont="1" applyFill="1" applyBorder="1" applyAlignment="1">
      <alignment horizontal="center"/>
    </xf>
    <xf numFmtId="0" fontId="6" fillId="30" borderId="1" xfId="0" applyFont="1" applyFill="1" applyBorder="1" applyAlignment="1">
      <alignment horizontal="center"/>
    </xf>
    <xf numFmtId="0" fontId="1" fillId="12" borderId="16" xfId="0" applyFont="1" applyFill="1" applyBorder="1" applyAlignment="1">
      <alignment horizontal="center"/>
    </xf>
    <xf numFmtId="0" fontId="6" fillId="9" borderId="13" xfId="0" applyFont="1" applyFill="1" applyBorder="1" applyAlignment="1">
      <alignment horizontal="center"/>
    </xf>
    <xf numFmtId="0" fontId="1" fillId="12" borderId="13" xfId="0" applyFont="1" applyFill="1" applyBorder="1" applyAlignment="1">
      <alignment horizontal="center"/>
    </xf>
    <xf numFmtId="0" fontId="1" fillId="12" borderId="12" xfId="0" applyFont="1" applyFill="1" applyBorder="1" applyAlignment="1">
      <alignment horizontal="center"/>
    </xf>
    <xf numFmtId="0" fontId="8" fillId="25" borderId="1" xfId="0" applyFont="1" applyFill="1" applyBorder="1" applyAlignment="1">
      <alignment horizontal="center" vertical="center"/>
    </xf>
    <xf numFmtId="0" fontId="0" fillId="10" borderId="16" xfId="0" applyFont="1" applyFill="1" applyBorder="1" applyAlignment="1">
      <alignment horizontal="center"/>
    </xf>
    <xf numFmtId="0" fontId="0" fillId="10" borderId="13" xfId="0" applyFont="1" applyFill="1" applyBorder="1" applyAlignment="1">
      <alignment horizontal="center"/>
    </xf>
    <xf numFmtId="0" fontId="6" fillId="13" borderId="16" xfId="0" applyFont="1" applyFill="1" applyBorder="1" applyAlignment="1">
      <alignment horizontal="center"/>
    </xf>
    <xf numFmtId="0" fontId="6" fillId="9" borderId="12" xfId="0" applyFont="1" applyFill="1" applyBorder="1" applyAlignment="1">
      <alignment horizontal="center"/>
    </xf>
    <xf numFmtId="0" fontId="0" fillId="10" borderId="12" xfId="0" applyFont="1" applyFill="1" applyBorder="1" applyAlignment="1">
      <alignment horizontal="center"/>
    </xf>
    <xf numFmtId="0" fontId="21" fillId="25" borderId="0" xfId="0" applyFont="1" applyFill="1" applyBorder="1" applyAlignment="1"/>
    <xf numFmtId="0" fontId="3" fillId="8" borderId="0" xfId="0" applyFont="1" applyFill="1"/>
    <xf numFmtId="0" fontId="8" fillId="19" borderId="16" xfId="0" applyFont="1" applyFill="1" applyBorder="1" applyAlignment="1">
      <alignment horizontal="center" vertical="center"/>
    </xf>
    <xf numFmtId="0" fontId="8" fillId="19" borderId="13" xfId="0" applyFont="1" applyFill="1" applyBorder="1" applyAlignment="1">
      <alignment horizontal="center" vertical="center"/>
    </xf>
    <xf numFmtId="0" fontId="8" fillId="19" borderId="12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/>
    </xf>
    <xf numFmtId="0" fontId="1" fillId="19" borderId="12" xfId="0" applyFont="1" applyFill="1" applyBorder="1" applyAlignment="1">
      <alignment horizontal="center"/>
    </xf>
    <xf numFmtId="0" fontId="1" fillId="19" borderId="13" xfId="0" applyFont="1" applyFill="1" applyBorder="1" applyAlignment="1">
      <alignment horizontal="center"/>
    </xf>
    <xf numFmtId="0" fontId="20" fillId="2" borderId="2" xfId="0" applyFont="1" applyFill="1" applyBorder="1" applyAlignment="1">
      <alignment horizontal="center"/>
    </xf>
    <xf numFmtId="0" fontId="21" fillId="25" borderId="3" xfId="0" applyFont="1" applyFill="1" applyBorder="1" applyAlignment="1"/>
    <xf numFmtId="0" fontId="21" fillId="25" borderId="8" xfId="0" applyFont="1" applyFill="1" applyBorder="1" applyAlignment="1"/>
    <xf numFmtId="0" fontId="6" fillId="13" borderId="13" xfId="0" applyFont="1" applyFill="1" applyBorder="1" applyAlignment="1">
      <alignment horizontal="center"/>
    </xf>
    <xf numFmtId="0" fontId="7" fillId="25" borderId="12" xfId="0" applyFont="1" applyFill="1" applyBorder="1" applyAlignment="1"/>
    <xf numFmtId="0" fontId="7" fillId="25" borderId="1" xfId="0" applyFont="1" applyFill="1" applyBorder="1" applyAlignment="1"/>
    <xf numFmtId="0" fontId="0" fillId="0" borderId="14" xfId="0" applyBorder="1"/>
    <xf numFmtId="0" fontId="1" fillId="19" borderId="16" xfId="0" applyFont="1" applyFill="1" applyBorder="1" applyAlignment="1">
      <alignment horizontal="center"/>
    </xf>
    <xf numFmtId="0" fontId="6" fillId="13" borderId="12" xfId="0" applyFont="1" applyFill="1" applyBorder="1" applyAlignment="1">
      <alignment horizontal="center"/>
    </xf>
    <xf numFmtId="0" fontId="8" fillId="27" borderId="16" xfId="0" applyFont="1" applyFill="1" applyBorder="1" applyAlignment="1">
      <alignment horizontal="center" vertical="center"/>
    </xf>
    <xf numFmtId="0" fontId="0" fillId="31" borderId="0" xfId="0" applyFill="1"/>
    <xf numFmtId="0" fontId="0" fillId="29" borderId="13" xfId="0" applyFont="1" applyFill="1" applyBorder="1" applyAlignment="1">
      <alignment horizontal="center"/>
    </xf>
    <xf numFmtId="0" fontId="6" fillId="3" borderId="19" xfId="0" applyFont="1" applyFill="1" applyBorder="1" applyAlignment="1"/>
    <xf numFmtId="0" fontId="6" fillId="30" borderId="16" xfId="0" applyFont="1" applyFill="1" applyBorder="1" applyAlignment="1">
      <alignment horizontal="center"/>
    </xf>
    <xf numFmtId="0" fontId="6" fillId="26" borderId="4" xfId="0" applyFont="1" applyFill="1" applyBorder="1" applyAlignment="1">
      <alignment horizontal="center"/>
    </xf>
    <xf numFmtId="0" fontId="8" fillId="15" borderId="21" xfId="0" applyFont="1" applyFill="1" applyBorder="1" applyAlignment="1">
      <alignment horizontal="center" vertical="center"/>
    </xf>
    <xf numFmtId="0" fontId="0" fillId="10" borderId="9" xfId="0" applyFont="1" applyFill="1" applyBorder="1" applyAlignment="1">
      <alignment horizontal="center"/>
    </xf>
    <xf numFmtId="0" fontId="1" fillId="12" borderId="20" xfId="0" applyFont="1" applyFill="1" applyBorder="1" applyAlignment="1">
      <alignment horizontal="center"/>
    </xf>
    <xf numFmtId="0" fontId="8" fillId="15" borderId="9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/>
    </xf>
    <xf numFmtId="0" fontId="0" fillId="10" borderId="21" xfId="0" applyFont="1" applyFill="1" applyBorder="1" applyAlignment="1">
      <alignment horizontal="center"/>
    </xf>
    <xf numFmtId="0" fontId="6" fillId="26" borderId="9" xfId="0" applyFont="1" applyFill="1" applyBorder="1" applyAlignment="1">
      <alignment horizontal="center"/>
    </xf>
    <xf numFmtId="0" fontId="0" fillId="28" borderId="2" xfId="0" applyFont="1" applyFill="1" applyBorder="1" applyAlignment="1">
      <alignment horizontal="center"/>
    </xf>
    <xf numFmtId="0" fontId="0" fillId="32" borderId="0" xfId="0" applyFill="1"/>
    <xf numFmtId="0" fontId="1" fillId="19" borderId="4" xfId="0" applyFont="1" applyFill="1" applyBorder="1" applyAlignment="1">
      <alignment horizontal="center"/>
    </xf>
    <xf numFmtId="0" fontId="6" fillId="3" borderId="14" xfId="0" applyFont="1" applyFill="1" applyBorder="1"/>
    <xf numFmtId="0" fontId="21" fillId="25" borderId="3" xfId="0" applyFont="1" applyFill="1" applyBorder="1"/>
    <xf numFmtId="0" fontId="0" fillId="28" borderId="16" xfId="0" applyFill="1" applyBorder="1" applyAlignment="1">
      <alignment horizontal="center"/>
    </xf>
    <xf numFmtId="0" fontId="0" fillId="10" borderId="16" xfId="0" applyFill="1" applyBorder="1" applyAlignment="1">
      <alignment horizontal="center"/>
    </xf>
    <xf numFmtId="0" fontId="0" fillId="28" borderId="4" xfId="0" applyFill="1" applyBorder="1" applyAlignment="1">
      <alignment horizontal="center"/>
    </xf>
    <xf numFmtId="0" fontId="21" fillId="25" borderId="8" xfId="0" applyFont="1" applyFill="1" applyBorder="1"/>
    <xf numFmtId="0" fontId="0" fillId="28" borderId="13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0" fillId="29" borderId="13" xfId="0" applyFill="1" applyBorder="1" applyAlignment="1">
      <alignment horizontal="center"/>
    </xf>
    <xf numFmtId="0" fontId="7" fillId="25" borderId="12" xfId="0" applyFont="1" applyFill="1" applyBorder="1"/>
    <xf numFmtId="0" fontId="0" fillId="28" borderId="12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7" fillId="25" borderId="1" xfId="0" applyFont="1" applyFill="1" applyBorder="1"/>
    <xf numFmtId="0" fontId="0" fillId="29" borderId="1" xfId="0" applyFill="1" applyBorder="1" applyAlignment="1">
      <alignment horizontal="center"/>
    </xf>
    <xf numFmtId="0" fontId="0" fillId="28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" fillId="12" borderId="9" xfId="0" applyFont="1" applyFill="1" applyBorder="1" applyAlignment="1">
      <alignment horizontal="center"/>
    </xf>
    <xf numFmtId="0" fontId="8" fillId="25" borderId="4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/>
    </xf>
    <xf numFmtId="0" fontId="21" fillId="25" borderId="0" xfId="0" applyFont="1" applyFill="1"/>
    <xf numFmtId="0" fontId="1" fillId="11" borderId="1" xfId="0" applyFont="1" applyFill="1" applyBorder="1" applyAlignment="1">
      <alignment horizontal="center"/>
    </xf>
    <xf numFmtId="0" fontId="6" fillId="3" borderId="1" xfId="0" applyFont="1" applyFill="1" applyBorder="1"/>
    <xf numFmtId="0" fontId="0" fillId="28" borderId="4" xfId="0" applyFont="1" applyFill="1" applyBorder="1" applyAlignment="1">
      <alignment horizontal="center"/>
    </xf>
    <xf numFmtId="0" fontId="21" fillId="25" borderId="1" xfId="0" applyFont="1" applyFill="1" applyBorder="1"/>
    <xf numFmtId="0" fontId="0" fillId="0" borderId="2" xfId="0" applyBorder="1" applyAlignment="1"/>
    <xf numFmtId="0" fontId="0" fillId="0" borderId="22" xfId="0" applyBorder="1" applyAlignment="1"/>
    <xf numFmtId="0" fontId="0" fillId="0" borderId="5" xfId="0" applyBorder="1" applyAlignment="1"/>
    <xf numFmtId="0" fontId="22" fillId="25" borderId="1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/>
    </xf>
    <xf numFmtId="0" fontId="24" fillId="18" borderId="1" xfId="0" applyFont="1" applyFill="1" applyBorder="1" applyAlignment="1">
      <alignment horizontal="center" vertical="center"/>
    </xf>
    <xf numFmtId="20" fontId="25" fillId="18" borderId="1" xfId="0" applyNumberFormat="1" applyFont="1" applyFill="1" applyBorder="1" applyAlignment="1">
      <alignment horizontal="center" vertical="center"/>
    </xf>
    <xf numFmtId="20" fontId="24" fillId="18" borderId="1" xfId="0" applyNumberFormat="1" applyFont="1" applyFill="1" applyBorder="1" applyAlignment="1">
      <alignment horizontal="center" vertical="center"/>
    </xf>
    <xf numFmtId="15" fontId="24" fillId="18" borderId="1" xfId="0" applyNumberFormat="1" applyFont="1" applyFill="1" applyBorder="1" applyAlignment="1">
      <alignment horizontal="center" vertical="center"/>
    </xf>
    <xf numFmtId="20" fontId="27" fillId="0" borderId="1" xfId="0" applyNumberFormat="1" applyFont="1" applyBorder="1" applyAlignment="1">
      <alignment horizontal="center" vertical="center"/>
    </xf>
    <xf numFmtId="0" fontId="24" fillId="18" borderId="1" xfId="0" applyFont="1" applyFill="1" applyBorder="1" applyAlignment="1">
      <alignment horizontal="center" vertical="center" wrapText="1"/>
    </xf>
    <xf numFmtId="20" fontId="28" fillId="0" borderId="1" xfId="0" applyNumberFormat="1" applyFont="1" applyBorder="1" applyAlignment="1">
      <alignment horizontal="center" vertical="center" wrapText="1"/>
    </xf>
    <xf numFmtId="15" fontId="28" fillId="0" borderId="1" xfId="0" applyNumberFormat="1" applyFont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8" fillId="18" borderId="1" xfId="0" applyFont="1" applyFill="1" applyBorder="1" applyAlignment="1">
      <alignment horizontal="center" vertical="center"/>
    </xf>
    <xf numFmtId="15" fontId="28" fillId="18" borderId="1" xfId="0" applyNumberFormat="1" applyFont="1" applyFill="1" applyBorder="1" applyAlignment="1">
      <alignment horizontal="center" vertical="center"/>
    </xf>
    <xf numFmtId="20" fontId="28" fillId="18" borderId="1" xfId="0" applyNumberFormat="1" applyFont="1" applyFill="1" applyBorder="1" applyAlignment="1">
      <alignment horizontal="center" vertical="center"/>
    </xf>
    <xf numFmtId="0" fontId="28" fillId="18" borderId="1" xfId="0" applyFont="1" applyFill="1" applyBorder="1" applyAlignment="1">
      <alignment horizontal="center" vertical="center" wrapText="1"/>
    </xf>
    <xf numFmtId="21" fontId="29" fillId="18" borderId="1" xfId="0" applyNumberFormat="1" applyFont="1" applyFill="1" applyBorder="1" applyAlignment="1">
      <alignment horizontal="center" vertical="center" wrapText="1"/>
    </xf>
    <xf numFmtId="21" fontId="29" fillId="18" borderId="1" xfId="0" applyNumberFormat="1" applyFont="1" applyFill="1" applyBorder="1" applyAlignment="1">
      <alignment horizontal="center" vertical="center"/>
    </xf>
    <xf numFmtId="0" fontId="25" fillId="18" borderId="1" xfId="0" applyFont="1" applyFill="1" applyBorder="1" applyAlignment="1">
      <alignment horizontal="center" vertical="center"/>
    </xf>
    <xf numFmtId="21" fontId="28" fillId="18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/>
    </xf>
    <xf numFmtId="0" fontId="30" fillId="25" borderId="1" xfId="0" applyFont="1" applyFill="1" applyBorder="1" applyAlignment="1">
      <alignment horizontal="center" vertical="center"/>
    </xf>
    <xf numFmtId="0" fontId="7" fillId="25" borderId="0" xfId="0" applyFont="1" applyFill="1" applyBorder="1"/>
    <xf numFmtId="0" fontId="30" fillId="33" borderId="1" xfId="0" applyFont="1" applyFill="1" applyBorder="1" applyAlignment="1">
      <alignment horizontal="center" vertical="center"/>
    </xf>
    <xf numFmtId="0" fontId="8" fillId="34" borderId="1" xfId="0" applyFont="1" applyFill="1" applyBorder="1" applyAlignment="1">
      <alignment horizontal="center" vertical="center"/>
    </xf>
    <xf numFmtId="0" fontId="0" fillId="0" borderId="0" xfId="0" applyBorder="1"/>
    <xf numFmtId="0" fontId="31" fillId="35" borderId="1" xfId="0" applyFont="1" applyFill="1" applyBorder="1" applyAlignment="1">
      <alignment horizontal="center" vertical="center"/>
    </xf>
    <xf numFmtId="0" fontId="31" fillId="18" borderId="23" xfId="0" applyFont="1" applyFill="1" applyBorder="1" applyAlignment="1">
      <alignment vertical="center"/>
    </xf>
    <xf numFmtId="0" fontId="11" fillId="18" borderId="24" xfId="1" applyFill="1" applyBorder="1" applyAlignment="1">
      <alignment vertical="center"/>
    </xf>
    <xf numFmtId="0" fontId="31" fillId="18" borderId="24" xfId="0" applyFont="1" applyFill="1" applyBorder="1" applyAlignment="1">
      <alignment horizontal="right" vertical="center"/>
    </xf>
    <xf numFmtId="0" fontId="31" fillId="18" borderId="24" xfId="0" applyFont="1" applyFill="1" applyBorder="1" applyAlignment="1">
      <alignment vertical="center"/>
    </xf>
    <xf numFmtId="0" fontId="31" fillId="18" borderId="25" xfId="0" applyFont="1" applyFill="1" applyBorder="1" applyAlignment="1">
      <alignment horizontal="center" vertical="center" wrapText="1"/>
    </xf>
    <xf numFmtId="0" fontId="31" fillId="18" borderId="24" xfId="0" applyFont="1" applyFill="1" applyBorder="1" applyAlignment="1">
      <alignment horizontal="right" vertical="center" wrapText="1"/>
    </xf>
    <xf numFmtId="0" fontId="32" fillId="0" borderId="0" xfId="0" applyFont="1" applyAlignment="1">
      <alignment vertical="center" wrapText="1"/>
    </xf>
    <xf numFmtId="0" fontId="31" fillId="18" borderId="26" xfId="0" applyFont="1" applyFill="1" applyBorder="1" applyAlignment="1">
      <alignment vertical="center"/>
    </xf>
    <xf numFmtId="0" fontId="11" fillId="18" borderId="27" xfId="1" applyFill="1" applyBorder="1" applyAlignment="1">
      <alignment vertical="center"/>
    </xf>
    <xf numFmtId="0" fontId="31" fillId="18" borderId="27" xfId="0" applyFont="1" applyFill="1" applyBorder="1" applyAlignment="1">
      <alignment horizontal="right" vertical="center"/>
    </xf>
    <xf numFmtId="0" fontId="31" fillId="18" borderId="27" xfId="0" applyFont="1" applyFill="1" applyBorder="1" applyAlignment="1">
      <alignment vertical="center"/>
    </xf>
    <xf numFmtId="0" fontId="31" fillId="18" borderId="0" xfId="0" applyFont="1" applyFill="1" applyBorder="1" applyAlignment="1">
      <alignment horizontal="center" vertical="center" wrapText="1"/>
    </xf>
    <xf numFmtId="0" fontId="31" fillId="18" borderId="27" xfId="0" applyFont="1" applyFill="1" applyBorder="1" applyAlignment="1">
      <alignment horizontal="right" vertical="center" wrapText="1"/>
    </xf>
    <xf numFmtId="0" fontId="10" fillId="35" borderId="1" xfId="0" applyFont="1" applyFill="1" applyBorder="1" applyAlignment="1">
      <alignment vertical="center"/>
    </xf>
    <xf numFmtId="0" fontId="10" fillId="35" borderId="1" xfId="0" applyFont="1" applyFill="1" applyBorder="1" applyAlignment="1">
      <alignment vertical="center" wrapText="1"/>
    </xf>
    <xf numFmtId="0" fontId="31" fillId="18" borderId="1" xfId="0" applyFont="1" applyFill="1" applyBorder="1" applyAlignment="1">
      <alignment vertical="center"/>
    </xf>
    <xf numFmtId="0" fontId="11" fillId="18" borderId="1" xfId="1" applyFill="1" applyBorder="1" applyAlignment="1">
      <alignment vertical="center"/>
    </xf>
    <xf numFmtId="0" fontId="31" fillId="18" borderId="1" xfId="0" applyFont="1" applyFill="1" applyBorder="1" applyAlignment="1">
      <alignment horizontal="right" vertical="center"/>
    </xf>
    <xf numFmtId="0" fontId="31" fillId="18" borderId="1" xfId="0" applyFont="1" applyFill="1" applyBorder="1" applyAlignment="1">
      <alignment horizontal="center" vertical="center" wrapText="1"/>
    </xf>
    <xf numFmtId="0" fontId="31" fillId="18" borderId="1" xfId="0" applyFont="1" applyFill="1" applyBorder="1" applyAlignment="1">
      <alignment horizontal="righ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11" fillId="0" borderId="1" xfId="1" applyBorder="1" applyAlignment="1">
      <alignment horizontal="left" vertical="center"/>
    </xf>
    <xf numFmtId="0" fontId="3" fillId="34" borderId="1" xfId="0" applyFont="1" applyFill="1" applyBorder="1" applyAlignment="1">
      <alignment vertical="center"/>
    </xf>
    <xf numFmtId="0" fontId="2" fillId="0" borderId="0" xfId="0" applyFont="1"/>
    <xf numFmtId="0" fontId="0" fillId="37" borderId="1" xfId="0" applyFill="1" applyBorder="1"/>
    <xf numFmtId="0" fontId="0" fillId="36" borderId="1" xfId="0" applyFill="1" applyBorder="1"/>
    <xf numFmtId="0" fontId="0" fillId="8" borderId="1" xfId="0" applyFill="1" applyBorder="1"/>
    <xf numFmtId="0" fontId="0" fillId="8" borderId="0" xfId="0" applyFill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17" borderId="1" xfId="0" applyFill="1" applyBorder="1"/>
    <xf numFmtId="0" fontId="0" fillId="17" borderId="0" xfId="0" applyFill="1"/>
  </cellXfs>
  <cellStyles count="2">
    <cellStyle name="Hyperlink" xfId="1" builtinId="8"/>
    <cellStyle name="Normal" xfId="0" builtinId="0"/>
  </cellStyles>
  <dxfs count="1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9.xml.rels><?xml version="1.0" encoding="UTF-8" standalone="yes"?>
<Relationships xmlns="http://schemas.openxmlformats.org/package/2006/relationships"><Relationship Id="rId13" Type="http://schemas.openxmlformats.org/officeDocument/2006/relationships/hyperlink" Target="mailto:tapan.a.swain@capgemini.com" TargetMode="External"/><Relationship Id="rId18" Type="http://schemas.openxmlformats.org/officeDocument/2006/relationships/hyperlink" Target="mailto:magham.bhavana@capgemini.com" TargetMode="External"/><Relationship Id="rId26" Type="http://schemas.openxmlformats.org/officeDocument/2006/relationships/hyperlink" Target="mailto:ashutosh.a.pattnaik@capgemini.com" TargetMode="External"/><Relationship Id="rId39" Type="http://schemas.openxmlformats.org/officeDocument/2006/relationships/hyperlink" Target="mailto:venkata.lakili@capgemini.com" TargetMode="External"/><Relationship Id="rId21" Type="http://schemas.openxmlformats.org/officeDocument/2006/relationships/hyperlink" Target="mailto:seeram.meghana@capgemini.com" TargetMode="External"/><Relationship Id="rId34" Type="http://schemas.openxmlformats.org/officeDocument/2006/relationships/hyperlink" Target="mailto:khushi.singhania@capgemini.com" TargetMode="External"/><Relationship Id="rId42" Type="http://schemas.openxmlformats.org/officeDocument/2006/relationships/hyperlink" Target="mailto:harshada.gaikwad@capgemini.com" TargetMode="External"/><Relationship Id="rId47" Type="http://schemas.openxmlformats.org/officeDocument/2006/relationships/hyperlink" Target="mailto:akhila.b.v@capgemini.com" TargetMode="External"/><Relationship Id="rId50" Type="http://schemas.openxmlformats.org/officeDocument/2006/relationships/hyperlink" Target="mailto:shoyebshah.ashkan@capgemini.com" TargetMode="External"/><Relationship Id="rId55" Type="http://schemas.openxmlformats.org/officeDocument/2006/relationships/hyperlink" Target="mailto:shraddha-santosh.gavli@capgemini.com" TargetMode="External"/><Relationship Id="rId7" Type="http://schemas.openxmlformats.org/officeDocument/2006/relationships/hyperlink" Target="mailto:ganesh-venkata-sri-sai-anish.palepu@capgemini.com" TargetMode="External"/><Relationship Id="rId12" Type="http://schemas.openxmlformats.org/officeDocument/2006/relationships/hyperlink" Target="mailto:munish.kumar@capgemini.com" TargetMode="External"/><Relationship Id="rId17" Type="http://schemas.openxmlformats.org/officeDocument/2006/relationships/hyperlink" Target="mailto:saifullah.shaikh@capgemini.com" TargetMode="External"/><Relationship Id="rId25" Type="http://schemas.openxmlformats.org/officeDocument/2006/relationships/hyperlink" Target="mailto:sakshi.a.rawat@capgemini.com" TargetMode="External"/><Relationship Id="rId33" Type="http://schemas.openxmlformats.org/officeDocument/2006/relationships/hyperlink" Target="mailto:seshadri-babu.ballipakula@capgemini.com" TargetMode="External"/><Relationship Id="rId38" Type="http://schemas.openxmlformats.org/officeDocument/2006/relationships/hyperlink" Target="mailto:niteesh.arra@capgemini.com" TargetMode="External"/><Relationship Id="rId46" Type="http://schemas.openxmlformats.org/officeDocument/2006/relationships/hyperlink" Target="mailto:sneha.a.katta@capgemini.com" TargetMode="External"/><Relationship Id="rId2" Type="http://schemas.openxmlformats.org/officeDocument/2006/relationships/hyperlink" Target="mailto:harish.pralhad-ram-jat@capgemini.com" TargetMode="External"/><Relationship Id="rId16" Type="http://schemas.openxmlformats.org/officeDocument/2006/relationships/hyperlink" Target="mailto:rakesh.b.r@capgemini.com" TargetMode="External"/><Relationship Id="rId20" Type="http://schemas.openxmlformats.org/officeDocument/2006/relationships/hyperlink" Target="mailto:avdhoot.potnis@capgemini.com" TargetMode="External"/><Relationship Id="rId29" Type="http://schemas.openxmlformats.org/officeDocument/2006/relationships/hyperlink" Target="mailto:rohit.b.shinde@capgemini.com" TargetMode="External"/><Relationship Id="rId41" Type="http://schemas.openxmlformats.org/officeDocument/2006/relationships/hyperlink" Target="mailto:namrata.khot@capgemini.com" TargetMode="External"/><Relationship Id="rId54" Type="http://schemas.openxmlformats.org/officeDocument/2006/relationships/hyperlink" Target="mailto:sri-sai-akhileswar.vejendla@capgemini.com" TargetMode="External"/><Relationship Id="rId1" Type="http://schemas.openxmlformats.org/officeDocument/2006/relationships/hyperlink" Target="mailto:pragati.acharya@capgemini.com" TargetMode="External"/><Relationship Id="rId6" Type="http://schemas.openxmlformats.org/officeDocument/2006/relationships/hyperlink" Target="mailto:shubham.a.mahajan@capgemini.com" TargetMode="External"/><Relationship Id="rId11" Type="http://schemas.openxmlformats.org/officeDocument/2006/relationships/hyperlink" Target="mailto:mahesh.halkanche@capgemini.com" TargetMode="External"/><Relationship Id="rId24" Type="http://schemas.openxmlformats.org/officeDocument/2006/relationships/hyperlink" Target="mailto:jyoti.gawade@capgemini.com" TargetMode="External"/><Relationship Id="rId32" Type="http://schemas.openxmlformats.org/officeDocument/2006/relationships/hyperlink" Target="mailto:sneha.ovhal@capgemini.com" TargetMode="External"/><Relationship Id="rId37" Type="http://schemas.openxmlformats.org/officeDocument/2006/relationships/hyperlink" Target="mailto:pavan.garlapati@capgemini.com" TargetMode="External"/><Relationship Id="rId40" Type="http://schemas.openxmlformats.org/officeDocument/2006/relationships/hyperlink" Target="mailto:ruth.angeleena-thoodi@capgemini.com" TargetMode="External"/><Relationship Id="rId45" Type="http://schemas.openxmlformats.org/officeDocument/2006/relationships/hyperlink" Target="mailto:syed-mohd.ali-faraz@capgemini.com" TargetMode="External"/><Relationship Id="rId53" Type="http://schemas.openxmlformats.org/officeDocument/2006/relationships/hyperlink" Target="mailto:pranit-chandrakant.janvade@capgemini.com" TargetMode="External"/><Relationship Id="rId58" Type="http://schemas.openxmlformats.org/officeDocument/2006/relationships/printerSettings" Target="../printerSettings/printerSettings26.bin"/><Relationship Id="rId5" Type="http://schemas.openxmlformats.org/officeDocument/2006/relationships/hyperlink" Target="mailto:malhar-anand.sadhu@capgemini.com" TargetMode="External"/><Relationship Id="rId15" Type="http://schemas.openxmlformats.org/officeDocument/2006/relationships/hyperlink" Target="mailto:gowtham.bathula@capgemini.com" TargetMode="External"/><Relationship Id="rId23" Type="http://schemas.openxmlformats.org/officeDocument/2006/relationships/hyperlink" Target="mailto:rishab.srivastava@capgemini.com" TargetMode="External"/><Relationship Id="rId28" Type="http://schemas.openxmlformats.org/officeDocument/2006/relationships/hyperlink" Target="mailto:vaishnavi.a.d@capgemini.com" TargetMode="External"/><Relationship Id="rId36" Type="http://schemas.openxmlformats.org/officeDocument/2006/relationships/hyperlink" Target="mailto:sruthi.p@capgemini.com" TargetMode="External"/><Relationship Id="rId49" Type="http://schemas.openxmlformats.org/officeDocument/2006/relationships/hyperlink" Target="mailto:sreekanth.reddy-munagala@capgemini.com" TargetMode="External"/><Relationship Id="rId57" Type="http://schemas.openxmlformats.org/officeDocument/2006/relationships/hyperlink" Target="mailto:tanvi.agarwal@capgemini.com" TargetMode="External"/><Relationship Id="rId10" Type="http://schemas.openxmlformats.org/officeDocument/2006/relationships/hyperlink" Target="mailto:dharmesh-chandulal.patil@capgemini.com" TargetMode="External"/><Relationship Id="rId19" Type="http://schemas.openxmlformats.org/officeDocument/2006/relationships/hyperlink" Target="mailto:ajay-kumar.annam@capgemini.com" TargetMode="External"/><Relationship Id="rId31" Type="http://schemas.openxmlformats.org/officeDocument/2006/relationships/hyperlink" Target="mailto:sowmya.j-s@capgemini.com" TargetMode="External"/><Relationship Id="rId44" Type="http://schemas.openxmlformats.org/officeDocument/2006/relationships/hyperlink" Target="mailto:harpreet.g.singh@capgemini.com" TargetMode="External"/><Relationship Id="rId52" Type="http://schemas.openxmlformats.org/officeDocument/2006/relationships/hyperlink" Target="mailto:ashish.g.yadav@capgemini.com" TargetMode="External"/><Relationship Id="rId4" Type="http://schemas.openxmlformats.org/officeDocument/2006/relationships/hyperlink" Target="mailto:akshay.newaskar@capgemini.com" TargetMode="External"/><Relationship Id="rId9" Type="http://schemas.openxmlformats.org/officeDocument/2006/relationships/hyperlink" Target="mailto:swapnalatha.tarala@capgemini.com" TargetMode="External"/><Relationship Id="rId14" Type="http://schemas.openxmlformats.org/officeDocument/2006/relationships/hyperlink" Target="mailto:komal.pawoolkar@capgemini.com" TargetMode="External"/><Relationship Id="rId22" Type="http://schemas.openxmlformats.org/officeDocument/2006/relationships/hyperlink" Target="mailto:gayathri.h.s@capgemini.com" TargetMode="External"/><Relationship Id="rId27" Type="http://schemas.openxmlformats.org/officeDocument/2006/relationships/hyperlink" Target="mailto:somshekhar.dixit@capgemini.com" TargetMode="External"/><Relationship Id="rId30" Type="http://schemas.openxmlformats.org/officeDocument/2006/relationships/hyperlink" Target="mailto:sneha.santoshrao-navade@capgemini.com" TargetMode="External"/><Relationship Id="rId35" Type="http://schemas.openxmlformats.org/officeDocument/2006/relationships/hyperlink" Target="mailto:harshika.gadekar@capgemini.com" TargetMode="External"/><Relationship Id="rId43" Type="http://schemas.openxmlformats.org/officeDocument/2006/relationships/hyperlink" Target="mailto:mousmi-jitendra.dave@capgemini.com" TargetMode="External"/><Relationship Id="rId48" Type="http://schemas.openxmlformats.org/officeDocument/2006/relationships/hyperlink" Target="mailto:sanika-sunil.khawate@capgemini.com" TargetMode="External"/><Relationship Id="rId56" Type="http://schemas.openxmlformats.org/officeDocument/2006/relationships/hyperlink" Target="mailto:snehal-rajendra.kulkarni@capgemini.com" TargetMode="External"/><Relationship Id="rId8" Type="http://schemas.openxmlformats.org/officeDocument/2006/relationships/hyperlink" Target="mailto:agnel.raja@capgemini.com" TargetMode="External"/><Relationship Id="rId51" Type="http://schemas.openxmlformats.org/officeDocument/2006/relationships/hyperlink" Target="mailto:naveen-kumar-goud.angol@capgemini.com" TargetMode="External"/><Relationship Id="rId3" Type="http://schemas.openxmlformats.org/officeDocument/2006/relationships/hyperlink" Target="mailto:suraj-diwakar.athargade@capgemini.com" TargetMode="Externa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1.xml.rels><?xml version="1.0" encoding="UTF-8" standalone="yes"?>
<Relationships xmlns="http://schemas.openxmlformats.org/package/2006/relationships"><Relationship Id="rId8" Type="http://schemas.openxmlformats.org/officeDocument/2006/relationships/hyperlink" Target="mailto:somshekhar.dixit@capgemini.com" TargetMode="External"/><Relationship Id="rId3" Type="http://schemas.openxmlformats.org/officeDocument/2006/relationships/hyperlink" Target="mailto:gayathri.h.s@capgemini.com" TargetMode="External"/><Relationship Id="rId7" Type="http://schemas.openxmlformats.org/officeDocument/2006/relationships/hyperlink" Target="mailto:rakesh.b.r@capgemini.com" TargetMode="External"/><Relationship Id="rId2" Type="http://schemas.openxmlformats.org/officeDocument/2006/relationships/hyperlink" Target="mailto:saifullah.shaikh@capgemini.com" TargetMode="External"/><Relationship Id="rId1" Type="http://schemas.openxmlformats.org/officeDocument/2006/relationships/hyperlink" Target="mailto:sreekanth.reddy-mungala@capgemini.com" TargetMode="External"/><Relationship Id="rId6" Type="http://schemas.openxmlformats.org/officeDocument/2006/relationships/hyperlink" Target="mailto:avdhoot.potnis@capgemini.com" TargetMode="External"/><Relationship Id="rId5" Type="http://schemas.openxmlformats.org/officeDocument/2006/relationships/hyperlink" Target="mailto:kanchan-sambhaji.pathare@capgemini.com" TargetMode="External"/><Relationship Id="rId4" Type="http://schemas.openxmlformats.org/officeDocument/2006/relationships/hyperlink" Target="mailto:venkata.lakili@capgemini.com" TargetMode="External"/><Relationship Id="rId9" Type="http://schemas.openxmlformats.org/officeDocument/2006/relationships/printerSettings" Target="../printerSettings/printerSettings28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7"/>
  <sheetViews>
    <sheetView topLeftCell="A16" zoomScale="75" zoomScaleNormal="75" workbookViewId="0">
      <pane xSplit="1" topLeftCell="B1" activePane="topRight" state="frozen"/>
      <selection pane="topRight" activeCell="A44" sqref="A44:B59"/>
    </sheetView>
  </sheetViews>
  <sheetFormatPr defaultColWidth="9.1796875" defaultRowHeight="14.5" x14ac:dyDescent="0.35"/>
  <cols>
    <col min="1" max="1" width="26.1796875" style="45" bestFit="1" customWidth="1"/>
    <col min="2" max="4" width="9.26953125" style="45" customWidth="1"/>
    <col min="5" max="9" width="7.54296875" style="45" customWidth="1"/>
    <col min="10" max="11" width="9.26953125" style="45" customWidth="1"/>
    <col min="12" max="16" width="7.26953125" style="45" customWidth="1"/>
    <col min="17" max="18" width="9.26953125" style="45" customWidth="1"/>
    <col min="19" max="20" width="7.26953125" style="45" customWidth="1"/>
    <col min="21" max="22" width="7.26953125" style="45" bestFit="1" customWidth="1"/>
    <col min="23" max="25" width="6.453125" style="45" bestFit="1" customWidth="1"/>
    <col min="26" max="26" width="7.54296875" style="45" customWidth="1"/>
    <col min="27" max="27" width="6.453125" style="45" bestFit="1" customWidth="1"/>
    <col min="28" max="28" width="7.26953125" style="45" bestFit="1" customWidth="1"/>
    <col min="29" max="30" width="7.54296875" style="45" customWidth="1"/>
    <col min="31" max="31" width="6.453125" style="45" bestFit="1" customWidth="1"/>
    <col min="32" max="16384" width="9.1796875" style="45"/>
  </cols>
  <sheetData>
    <row r="1" spans="1:31" ht="15" customHeight="1" x14ac:dyDescent="0.35">
      <c r="A1" s="30"/>
      <c r="B1" s="2" t="str">
        <f t="shared" ref="B1:AE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si="0"/>
        <v>Thu</v>
      </c>
      <c r="F1" s="3" t="str">
        <f t="shared" si="0"/>
        <v>Fri</v>
      </c>
      <c r="G1" s="4" t="str">
        <f t="shared" si="0"/>
        <v>Sat</v>
      </c>
      <c r="H1" s="5" t="str">
        <f t="shared" si="0"/>
        <v>Sun</v>
      </c>
      <c r="I1" s="6" t="str">
        <f t="shared" si="0"/>
        <v>Mon</v>
      </c>
      <c r="J1" s="2" t="str">
        <f t="shared" si="0"/>
        <v>Tue</v>
      </c>
      <c r="K1" s="2" t="str">
        <f t="shared" si="0"/>
        <v>Wed</v>
      </c>
      <c r="L1" s="2" t="str">
        <f t="shared" si="0"/>
        <v>Thu</v>
      </c>
      <c r="M1" s="3" t="str">
        <f t="shared" si="0"/>
        <v>Fri</v>
      </c>
      <c r="N1" s="4" t="str">
        <f t="shared" si="0"/>
        <v>Sat</v>
      </c>
      <c r="O1" s="5" t="str">
        <f t="shared" si="0"/>
        <v>Sun</v>
      </c>
      <c r="P1" s="6" t="str">
        <f t="shared" si="0"/>
        <v>Mon</v>
      </c>
      <c r="Q1" s="2" t="str">
        <f t="shared" si="0"/>
        <v>Tue</v>
      </c>
      <c r="R1" s="2" t="str">
        <f t="shared" si="0"/>
        <v>Wed</v>
      </c>
      <c r="S1" s="2" t="str">
        <f t="shared" si="0"/>
        <v>Thu</v>
      </c>
      <c r="T1" s="3" t="str">
        <f t="shared" si="0"/>
        <v>Fri</v>
      </c>
      <c r="U1" s="4" t="str">
        <f t="shared" si="0"/>
        <v>Sat</v>
      </c>
      <c r="V1" s="5" t="str">
        <f t="shared" si="0"/>
        <v>Sun</v>
      </c>
      <c r="W1" s="6" t="str">
        <f t="shared" si="0"/>
        <v>Mon</v>
      </c>
      <c r="X1" s="2" t="str">
        <f t="shared" si="0"/>
        <v>Tue</v>
      </c>
      <c r="Y1" s="2" t="str">
        <f t="shared" si="0"/>
        <v>Wed</v>
      </c>
      <c r="Z1" s="2" t="str">
        <f t="shared" si="0"/>
        <v>Thu</v>
      </c>
      <c r="AA1" s="3" t="str">
        <f t="shared" si="0"/>
        <v>Fri</v>
      </c>
      <c r="AB1" s="4" t="str">
        <f t="shared" si="0"/>
        <v>Sat</v>
      </c>
      <c r="AC1" s="5" t="str">
        <f t="shared" si="0"/>
        <v>Sun</v>
      </c>
      <c r="AD1" s="6" t="str">
        <f t="shared" si="0"/>
        <v>Mon</v>
      </c>
      <c r="AE1" s="2" t="str">
        <f t="shared" si="0"/>
        <v>Tue</v>
      </c>
    </row>
    <row r="2" spans="1:31" x14ac:dyDescent="0.35">
      <c r="A2" s="7" t="s">
        <v>0</v>
      </c>
      <c r="B2" s="31">
        <v>44501</v>
      </c>
      <c r="C2" s="31">
        <v>44502</v>
      </c>
      <c r="D2" s="31">
        <v>44503</v>
      </c>
      <c r="E2" s="31">
        <v>44504</v>
      </c>
      <c r="F2" s="31">
        <v>44505</v>
      </c>
      <c r="G2" s="31">
        <v>44506</v>
      </c>
      <c r="H2" s="31">
        <v>44507</v>
      </c>
      <c r="I2" s="31">
        <v>44508</v>
      </c>
      <c r="J2" s="31">
        <v>44509</v>
      </c>
      <c r="K2" s="31">
        <v>44510</v>
      </c>
      <c r="L2" s="31">
        <v>44511</v>
      </c>
      <c r="M2" s="31">
        <v>44512</v>
      </c>
      <c r="N2" s="31">
        <v>44513</v>
      </c>
      <c r="O2" s="31">
        <v>44514</v>
      </c>
      <c r="P2" s="31">
        <v>44515</v>
      </c>
      <c r="Q2" s="31">
        <v>44516</v>
      </c>
      <c r="R2" s="31">
        <v>44517</v>
      </c>
      <c r="S2" s="31">
        <v>44518</v>
      </c>
      <c r="T2" s="31">
        <v>44519</v>
      </c>
      <c r="U2" s="31">
        <v>44520</v>
      </c>
      <c r="V2" s="31">
        <v>44521</v>
      </c>
      <c r="W2" s="31">
        <v>44522</v>
      </c>
      <c r="X2" s="31">
        <v>44523</v>
      </c>
      <c r="Y2" s="31">
        <v>44524</v>
      </c>
      <c r="Z2" s="31">
        <v>44525</v>
      </c>
      <c r="AA2" s="31">
        <v>44526</v>
      </c>
      <c r="AB2" s="31">
        <v>44527</v>
      </c>
      <c r="AC2" s="31">
        <v>44528</v>
      </c>
      <c r="AD2" s="31">
        <v>44529</v>
      </c>
      <c r="AE2" s="31">
        <v>44530</v>
      </c>
    </row>
    <row r="3" spans="1:31" x14ac:dyDescent="0.35">
      <c r="A3" s="8"/>
      <c r="B3" s="32"/>
      <c r="C3" s="32"/>
      <c r="D3" s="32"/>
      <c r="E3" s="32"/>
      <c r="F3" s="33"/>
      <c r="G3" s="34"/>
      <c r="H3" s="35"/>
      <c r="I3" s="36"/>
      <c r="J3" s="32"/>
      <c r="K3" s="32"/>
      <c r="L3" s="32"/>
      <c r="M3" s="33"/>
      <c r="N3" s="34"/>
      <c r="O3" s="35"/>
      <c r="P3" s="36"/>
      <c r="Q3" s="32"/>
      <c r="R3" s="32"/>
      <c r="S3" s="32"/>
      <c r="T3" s="33"/>
      <c r="U3" s="33"/>
      <c r="V3" s="35"/>
      <c r="W3" s="36"/>
      <c r="X3" s="32"/>
      <c r="Y3" s="32"/>
      <c r="Z3" s="32"/>
      <c r="AA3" s="33"/>
      <c r="AB3" s="34"/>
      <c r="AC3" s="35"/>
      <c r="AD3" s="36"/>
      <c r="AE3" s="32"/>
    </row>
    <row r="4" spans="1:31" x14ac:dyDescent="0.35">
      <c r="A4" s="9" t="s">
        <v>1</v>
      </c>
      <c r="B4" s="11" t="s">
        <v>2</v>
      </c>
      <c r="C4" s="41" t="s">
        <v>6</v>
      </c>
      <c r="D4" s="11" t="s">
        <v>2</v>
      </c>
      <c r="E4" s="10" t="s">
        <v>40</v>
      </c>
      <c r="F4" s="11" t="s">
        <v>2</v>
      </c>
      <c r="G4" s="10" t="s">
        <v>40</v>
      </c>
      <c r="H4" s="10" t="s">
        <v>40</v>
      </c>
      <c r="I4" s="41" t="s">
        <v>6</v>
      </c>
      <c r="J4" s="11" t="s">
        <v>2</v>
      </c>
      <c r="K4" s="39" t="s">
        <v>8</v>
      </c>
      <c r="L4" s="39" t="s">
        <v>8</v>
      </c>
      <c r="M4" s="39" t="s">
        <v>8</v>
      </c>
      <c r="N4" s="15" t="s">
        <v>4</v>
      </c>
      <c r="O4" s="10" t="s">
        <v>40</v>
      </c>
      <c r="P4" s="39" t="s">
        <v>8</v>
      </c>
      <c r="Q4" s="39" t="s">
        <v>8</v>
      </c>
      <c r="R4" s="11" t="s">
        <v>2</v>
      </c>
      <c r="S4" s="37" t="s">
        <v>39</v>
      </c>
      <c r="T4" s="37" t="s">
        <v>39</v>
      </c>
      <c r="U4" s="47" t="s">
        <v>4</v>
      </c>
      <c r="V4" s="20" t="s">
        <v>42</v>
      </c>
      <c r="W4" s="13" t="s">
        <v>5</v>
      </c>
      <c r="X4" s="11" t="s">
        <v>2</v>
      </c>
      <c r="Y4" s="11" t="s">
        <v>2</v>
      </c>
      <c r="Z4" s="37" t="s">
        <v>39</v>
      </c>
      <c r="AA4" s="37" t="s">
        <v>39</v>
      </c>
      <c r="AB4" s="10" t="s">
        <v>40</v>
      </c>
      <c r="AC4" s="10" t="s">
        <v>40</v>
      </c>
      <c r="AD4" s="12" t="s">
        <v>2</v>
      </c>
      <c r="AE4" s="12" t="s">
        <v>2</v>
      </c>
    </row>
    <row r="5" spans="1:31" x14ac:dyDescent="0.35">
      <c r="A5" s="9" t="s">
        <v>7</v>
      </c>
      <c r="B5" s="37" t="s">
        <v>39</v>
      </c>
      <c r="C5" s="37" t="s">
        <v>39</v>
      </c>
      <c r="D5" s="37" t="s">
        <v>39</v>
      </c>
      <c r="E5" s="28" t="s">
        <v>37</v>
      </c>
      <c r="F5" s="37" t="s">
        <v>39</v>
      </c>
      <c r="G5" s="15" t="s">
        <v>4</v>
      </c>
      <c r="H5" s="15" t="s">
        <v>4</v>
      </c>
      <c r="I5" s="37" t="s">
        <v>39</v>
      </c>
      <c r="J5" s="37" t="s">
        <v>39</v>
      </c>
      <c r="K5" s="37" t="s">
        <v>39</v>
      </c>
      <c r="L5" s="37" t="s">
        <v>39</v>
      </c>
      <c r="M5" s="37" t="s">
        <v>39</v>
      </c>
      <c r="N5" s="10" t="s">
        <v>40</v>
      </c>
      <c r="O5" s="15" t="s">
        <v>4</v>
      </c>
      <c r="P5" s="11" t="s">
        <v>2</v>
      </c>
      <c r="Q5" s="37" t="s">
        <v>39</v>
      </c>
      <c r="R5" s="37" t="s">
        <v>39</v>
      </c>
      <c r="S5" s="39" t="s">
        <v>8</v>
      </c>
      <c r="T5" s="39" t="s">
        <v>8</v>
      </c>
      <c r="U5" s="15" t="s">
        <v>4</v>
      </c>
      <c r="V5" s="15" t="s">
        <v>4</v>
      </c>
      <c r="W5" s="37" t="s">
        <v>39</v>
      </c>
      <c r="X5" s="37" t="s">
        <v>39</v>
      </c>
      <c r="Y5" s="37" t="s">
        <v>39</v>
      </c>
      <c r="Z5" s="39" t="s">
        <v>8</v>
      </c>
      <c r="AA5" s="39" t="s">
        <v>8</v>
      </c>
      <c r="AB5" s="15" t="s">
        <v>4</v>
      </c>
      <c r="AC5" s="15" t="s">
        <v>4</v>
      </c>
      <c r="AD5" s="37" t="s">
        <v>39</v>
      </c>
      <c r="AE5" s="37" t="s">
        <v>39</v>
      </c>
    </row>
    <row r="6" spans="1:31" x14ac:dyDescent="0.35">
      <c r="A6" s="9" t="s">
        <v>9</v>
      </c>
      <c r="B6" s="41" t="s">
        <v>6</v>
      </c>
      <c r="C6" s="11" t="s">
        <v>2</v>
      </c>
      <c r="D6" s="41" t="s">
        <v>6</v>
      </c>
      <c r="E6" s="28" t="s">
        <v>37</v>
      </c>
      <c r="F6" s="11" t="s">
        <v>2</v>
      </c>
      <c r="G6" s="15" t="s">
        <v>4</v>
      </c>
      <c r="H6" s="17" t="s">
        <v>11</v>
      </c>
      <c r="I6" s="17" t="s">
        <v>10</v>
      </c>
      <c r="J6" s="17" t="s">
        <v>10</v>
      </c>
      <c r="K6" s="11" t="s">
        <v>2</v>
      </c>
      <c r="L6" s="41" t="s">
        <v>6</v>
      </c>
      <c r="M6" s="13" t="s">
        <v>5</v>
      </c>
      <c r="N6" s="47" t="s">
        <v>4</v>
      </c>
      <c r="O6" s="47" t="s">
        <v>4</v>
      </c>
      <c r="P6" s="41" t="s">
        <v>6</v>
      </c>
      <c r="Q6" s="41" t="s">
        <v>6</v>
      </c>
      <c r="R6" s="17" t="s">
        <v>10</v>
      </c>
      <c r="S6" s="17" t="s">
        <v>10</v>
      </c>
      <c r="T6" s="17" t="s">
        <v>10</v>
      </c>
      <c r="U6" s="17" t="s">
        <v>11</v>
      </c>
      <c r="V6" s="17" t="s">
        <v>11</v>
      </c>
      <c r="W6" s="17" t="s">
        <v>10</v>
      </c>
      <c r="X6" s="17" t="s">
        <v>10</v>
      </c>
      <c r="Y6" s="13" t="s">
        <v>5</v>
      </c>
      <c r="Z6" s="13" t="s">
        <v>5</v>
      </c>
      <c r="AA6" s="13" t="s">
        <v>5</v>
      </c>
      <c r="AB6" s="17" t="s">
        <v>11</v>
      </c>
      <c r="AC6" s="17" t="s">
        <v>11</v>
      </c>
      <c r="AD6" s="17" t="s">
        <v>10</v>
      </c>
      <c r="AE6" s="17" t="s">
        <v>10</v>
      </c>
    </row>
    <row r="7" spans="1:31" x14ac:dyDescent="0.35">
      <c r="A7" s="9" t="s">
        <v>12</v>
      </c>
      <c r="B7" s="11" t="s">
        <v>2</v>
      </c>
      <c r="C7" s="41" t="s">
        <v>6</v>
      </c>
      <c r="D7" s="19" t="s">
        <v>41</v>
      </c>
      <c r="E7" s="28" t="s">
        <v>37</v>
      </c>
      <c r="F7" s="41" t="s">
        <v>6</v>
      </c>
      <c r="G7" s="15" t="s">
        <v>4</v>
      </c>
      <c r="H7" s="15" t="s">
        <v>4</v>
      </c>
      <c r="I7" s="41" t="s">
        <v>6</v>
      </c>
      <c r="J7" s="17" t="s">
        <v>10</v>
      </c>
      <c r="K7" s="17" t="s">
        <v>10</v>
      </c>
      <c r="L7" s="17" t="s">
        <v>10</v>
      </c>
      <c r="M7" s="17" t="s">
        <v>10</v>
      </c>
      <c r="N7" s="15" t="s">
        <v>4</v>
      </c>
      <c r="O7" s="15" t="s">
        <v>4</v>
      </c>
      <c r="P7" s="37" t="s">
        <v>39</v>
      </c>
      <c r="Q7" s="41" t="s">
        <v>6</v>
      </c>
      <c r="R7" s="41" t="s">
        <v>6</v>
      </c>
      <c r="S7" s="11" t="s">
        <v>2</v>
      </c>
      <c r="T7" s="11" t="s">
        <v>2</v>
      </c>
      <c r="U7" s="20" t="s">
        <v>42</v>
      </c>
      <c r="V7" s="20" t="s">
        <v>42</v>
      </c>
      <c r="W7" s="11" t="s">
        <v>2</v>
      </c>
      <c r="X7" s="11" t="s">
        <v>2</v>
      </c>
      <c r="Y7" s="13" t="s">
        <v>5</v>
      </c>
      <c r="Z7" s="17" t="s">
        <v>10</v>
      </c>
      <c r="AA7" s="17" t="s">
        <v>10</v>
      </c>
      <c r="AB7" s="17" t="s">
        <v>11</v>
      </c>
      <c r="AC7" s="17" t="s">
        <v>11</v>
      </c>
      <c r="AD7" s="12" t="s">
        <v>2</v>
      </c>
      <c r="AE7" s="12" t="s">
        <v>2</v>
      </c>
    </row>
    <row r="8" spans="1:31" x14ac:dyDescent="0.35">
      <c r="A8" s="9" t="s">
        <v>13</v>
      </c>
      <c r="B8" s="40" t="s">
        <v>10</v>
      </c>
      <c r="C8" s="11" t="s">
        <v>2</v>
      </c>
      <c r="D8" s="11" t="s">
        <v>2</v>
      </c>
      <c r="E8" s="21" t="s">
        <v>42</v>
      </c>
      <c r="F8" s="19" t="s">
        <v>41</v>
      </c>
      <c r="G8" s="42" t="s">
        <v>3</v>
      </c>
      <c r="H8" s="42" t="s">
        <v>3</v>
      </c>
      <c r="I8" s="11" t="s">
        <v>2</v>
      </c>
      <c r="J8" s="41" t="s">
        <v>6</v>
      </c>
      <c r="K8" s="41" t="s">
        <v>6</v>
      </c>
      <c r="L8" s="11" t="s">
        <v>2</v>
      </c>
      <c r="M8" s="41" t="s">
        <v>6</v>
      </c>
      <c r="N8" s="18" t="s">
        <v>3</v>
      </c>
      <c r="O8" s="18" t="s">
        <v>3</v>
      </c>
      <c r="P8" s="17" t="s">
        <v>10</v>
      </c>
      <c r="Q8" s="17" t="s">
        <v>10</v>
      </c>
      <c r="R8" s="11" t="s">
        <v>2</v>
      </c>
      <c r="S8" s="19" t="s">
        <v>41</v>
      </c>
      <c r="T8" s="19" t="s">
        <v>41</v>
      </c>
      <c r="U8" s="15" t="s">
        <v>4</v>
      </c>
      <c r="V8" s="15" t="s">
        <v>4</v>
      </c>
      <c r="W8" s="18" t="s">
        <v>6</v>
      </c>
      <c r="X8" s="18" t="s">
        <v>6</v>
      </c>
      <c r="Y8" s="18" t="s">
        <v>6</v>
      </c>
      <c r="Z8" s="18" t="s">
        <v>6</v>
      </c>
      <c r="AA8" s="11" t="s">
        <v>2</v>
      </c>
      <c r="AB8" s="15" t="s">
        <v>4</v>
      </c>
      <c r="AC8" s="18" t="s">
        <v>3</v>
      </c>
      <c r="AD8" s="18" t="s">
        <v>6</v>
      </c>
      <c r="AE8" s="18" t="s">
        <v>6</v>
      </c>
    </row>
    <row r="9" spans="1:31" x14ac:dyDescent="0.35">
      <c r="A9" s="9" t="s">
        <v>14</v>
      </c>
      <c r="B9" s="11" t="s">
        <v>2</v>
      </c>
      <c r="C9" s="40" t="s">
        <v>10</v>
      </c>
      <c r="D9" s="40" t="s">
        <v>10</v>
      </c>
      <c r="E9" s="17" t="s">
        <v>11</v>
      </c>
      <c r="F9" s="40" t="s">
        <v>10</v>
      </c>
      <c r="G9" s="17" t="s">
        <v>11</v>
      </c>
      <c r="H9" s="15" t="s">
        <v>4</v>
      </c>
      <c r="I9" s="11" t="s">
        <v>2</v>
      </c>
      <c r="J9" s="41" t="s">
        <v>6</v>
      </c>
      <c r="K9" s="41" t="s">
        <v>6</v>
      </c>
      <c r="L9" s="13" t="s">
        <v>5</v>
      </c>
      <c r="M9" s="13" t="s">
        <v>5</v>
      </c>
      <c r="N9" s="47" t="s">
        <v>4</v>
      </c>
      <c r="O9" s="47" t="s">
        <v>4</v>
      </c>
      <c r="P9" s="13" t="s">
        <v>5</v>
      </c>
      <c r="Q9" s="13" t="s">
        <v>5</v>
      </c>
      <c r="R9" s="13" t="s">
        <v>5</v>
      </c>
      <c r="S9" s="41" t="s">
        <v>6</v>
      </c>
      <c r="T9" s="41" t="s">
        <v>6</v>
      </c>
      <c r="U9" s="18" t="s">
        <v>3</v>
      </c>
      <c r="V9" s="18" t="s">
        <v>3</v>
      </c>
      <c r="W9" s="18" t="s">
        <v>6</v>
      </c>
      <c r="X9" s="11" t="s">
        <v>2</v>
      </c>
      <c r="Y9" s="18" t="s">
        <v>6</v>
      </c>
      <c r="Z9" s="18" t="s">
        <v>6</v>
      </c>
      <c r="AA9" s="18" t="s">
        <v>6</v>
      </c>
      <c r="AB9" s="18" t="s">
        <v>3</v>
      </c>
      <c r="AC9" s="15" t="s">
        <v>4</v>
      </c>
      <c r="AD9" s="12" t="s">
        <v>2</v>
      </c>
      <c r="AE9" s="12" t="s">
        <v>2</v>
      </c>
    </row>
    <row r="10" spans="1:31" x14ac:dyDescent="0.35">
      <c r="A10" s="9" t="s">
        <v>15</v>
      </c>
      <c r="B10" s="40" t="s">
        <v>10</v>
      </c>
      <c r="C10" s="40" t="s">
        <v>10</v>
      </c>
      <c r="D10" s="11" t="s">
        <v>2</v>
      </c>
      <c r="E10" s="42" t="s">
        <v>3</v>
      </c>
      <c r="F10" s="13" t="s">
        <v>5</v>
      </c>
      <c r="G10" s="15" t="s">
        <v>4</v>
      </c>
      <c r="H10" s="21" t="s">
        <v>42</v>
      </c>
      <c r="I10" s="19" t="s">
        <v>41</v>
      </c>
      <c r="J10" s="19" t="s">
        <v>41</v>
      </c>
      <c r="K10" s="19" t="s">
        <v>41</v>
      </c>
      <c r="L10" s="11" t="s">
        <v>2</v>
      </c>
      <c r="M10" s="11" t="s">
        <v>2</v>
      </c>
      <c r="N10" s="17" t="s">
        <v>11</v>
      </c>
      <c r="O10" s="17" t="s">
        <v>11</v>
      </c>
      <c r="P10" s="17" t="s">
        <v>10</v>
      </c>
      <c r="Q10" s="17" t="s">
        <v>10</v>
      </c>
      <c r="R10" s="11" t="s">
        <v>2</v>
      </c>
      <c r="S10" s="11" t="s">
        <v>2</v>
      </c>
      <c r="T10" s="17" t="s">
        <v>10</v>
      </c>
      <c r="U10" s="17" t="s">
        <v>11</v>
      </c>
      <c r="V10" s="17" t="s">
        <v>11</v>
      </c>
      <c r="W10" s="17" t="s">
        <v>10</v>
      </c>
      <c r="X10" s="17" t="s">
        <v>10</v>
      </c>
      <c r="Y10" s="17" t="s">
        <v>10</v>
      </c>
      <c r="Z10" s="11" t="s">
        <v>2</v>
      </c>
      <c r="AA10" s="13" t="s">
        <v>5</v>
      </c>
      <c r="AB10" s="15" t="s">
        <v>4</v>
      </c>
      <c r="AC10" s="15" t="s">
        <v>4</v>
      </c>
      <c r="AD10" s="18" t="s">
        <v>6</v>
      </c>
      <c r="AE10" s="18" t="s">
        <v>6</v>
      </c>
    </row>
    <row r="11" spans="1:31" x14ac:dyDescent="0.35">
      <c r="A11" s="9" t="s">
        <v>18</v>
      </c>
      <c r="B11" s="11" t="s">
        <v>2</v>
      </c>
      <c r="C11" s="23" t="s">
        <v>17</v>
      </c>
      <c r="D11" s="18" t="s">
        <v>6</v>
      </c>
      <c r="E11" s="42" t="s">
        <v>3</v>
      </c>
      <c r="F11" s="41" t="s">
        <v>6</v>
      </c>
      <c r="G11" s="42" t="s">
        <v>3</v>
      </c>
      <c r="H11" s="42" t="s">
        <v>3</v>
      </c>
      <c r="I11" s="11" t="s">
        <v>2</v>
      </c>
      <c r="J11" s="11" t="s">
        <v>2</v>
      </c>
      <c r="K11" s="19" t="s">
        <v>41</v>
      </c>
      <c r="L11" s="19" t="s">
        <v>41</v>
      </c>
      <c r="M11" s="41" t="s">
        <v>6</v>
      </c>
      <c r="N11" s="21" t="s">
        <v>42</v>
      </c>
      <c r="O11" s="18" t="s">
        <v>3</v>
      </c>
      <c r="P11" s="11" t="s">
        <v>2</v>
      </c>
      <c r="Q11" s="11" t="s">
        <v>2</v>
      </c>
      <c r="R11" s="41" t="s">
        <v>6</v>
      </c>
      <c r="S11" s="41" t="s">
        <v>6</v>
      </c>
      <c r="T11" s="41" t="s">
        <v>6</v>
      </c>
      <c r="U11" s="47" t="s">
        <v>4</v>
      </c>
      <c r="V11" s="47" t="s">
        <v>4</v>
      </c>
      <c r="W11" s="12" t="s">
        <v>2</v>
      </c>
      <c r="X11" s="19" t="s">
        <v>41</v>
      </c>
      <c r="Y11" s="17" t="s">
        <v>10</v>
      </c>
      <c r="Z11" s="17" t="s">
        <v>10</v>
      </c>
      <c r="AA11" s="17" t="s">
        <v>10</v>
      </c>
      <c r="AB11" s="15" t="s">
        <v>4</v>
      </c>
      <c r="AC11" s="15" t="s">
        <v>4</v>
      </c>
      <c r="AD11" s="12" t="s">
        <v>2</v>
      </c>
      <c r="AE11" s="19" t="s">
        <v>41</v>
      </c>
    </row>
    <row r="12" spans="1:31" x14ac:dyDescent="0.35">
      <c r="A12" s="9" t="s">
        <v>19</v>
      </c>
      <c r="B12" s="18" t="s">
        <v>6</v>
      </c>
      <c r="C12" s="13" t="s">
        <v>5</v>
      </c>
      <c r="D12" s="13" t="s">
        <v>5</v>
      </c>
      <c r="E12" s="28" t="s">
        <v>37</v>
      </c>
      <c r="F12" s="13" t="s">
        <v>5</v>
      </c>
      <c r="G12" s="15" t="s">
        <v>4</v>
      </c>
      <c r="H12" s="15" t="s">
        <v>4</v>
      </c>
      <c r="I12" s="18" t="s">
        <v>6</v>
      </c>
      <c r="J12" s="18" t="s">
        <v>6</v>
      </c>
      <c r="K12" s="11" t="s">
        <v>2</v>
      </c>
      <c r="L12" s="18" t="s">
        <v>6</v>
      </c>
      <c r="M12" s="41" t="s">
        <v>6</v>
      </c>
      <c r="N12" s="18" t="s">
        <v>3</v>
      </c>
      <c r="O12" s="47" t="s">
        <v>4</v>
      </c>
      <c r="P12" s="13" t="s">
        <v>5</v>
      </c>
      <c r="Q12" s="13" t="s">
        <v>5</v>
      </c>
      <c r="R12" s="18" t="s">
        <v>6</v>
      </c>
      <c r="S12" s="13" t="s">
        <v>5</v>
      </c>
      <c r="T12" s="13" t="s">
        <v>5</v>
      </c>
      <c r="U12" s="47" t="s">
        <v>4</v>
      </c>
      <c r="V12" s="18" t="s">
        <v>3</v>
      </c>
      <c r="W12" s="18" t="s">
        <v>6</v>
      </c>
      <c r="X12" s="23" t="s">
        <v>17</v>
      </c>
      <c r="Y12" s="12" t="s">
        <v>2</v>
      </c>
      <c r="Z12" s="18" t="s">
        <v>6</v>
      </c>
      <c r="AA12" s="18" t="s">
        <v>6</v>
      </c>
      <c r="AB12" s="18" t="s">
        <v>3</v>
      </c>
      <c r="AC12" s="18" t="s">
        <v>3</v>
      </c>
      <c r="AD12" s="12" t="s">
        <v>2</v>
      </c>
      <c r="AE12" s="12" t="s">
        <v>2</v>
      </c>
    </row>
    <row r="13" spans="1:31" ht="14.15" customHeight="1" x14ac:dyDescent="0.35">
      <c r="A13" s="9" t="s">
        <v>20</v>
      </c>
      <c r="B13" s="19" t="s">
        <v>41</v>
      </c>
      <c r="C13" s="19" t="s">
        <v>41</v>
      </c>
      <c r="D13" s="23" t="s">
        <v>17</v>
      </c>
      <c r="E13" s="42" t="s">
        <v>3</v>
      </c>
      <c r="F13" s="41" t="s">
        <v>6</v>
      </c>
      <c r="G13" s="21" t="s">
        <v>42</v>
      </c>
      <c r="H13" s="15" t="s">
        <v>4</v>
      </c>
      <c r="I13" s="11" t="s">
        <v>2</v>
      </c>
      <c r="J13" s="18" t="s">
        <v>6</v>
      </c>
      <c r="K13" s="13" t="s">
        <v>5</v>
      </c>
      <c r="L13" s="19" t="s">
        <v>41</v>
      </c>
      <c r="M13" s="19" t="s">
        <v>41</v>
      </c>
      <c r="N13" s="17" t="s">
        <v>11</v>
      </c>
      <c r="O13" s="17" t="s">
        <v>11</v>
      </c>
      <c r="P13" s="13" t="s">
        <v>5</v>
      </c>
      <c r="Q13" s="13" t="s">
        <v>5</v>
      </c>
      <c r="R13" s="19" t="s">
        <v>41</v>
      </c>
      <c r="S13" s="19" t="s">
        <v>41</v>
      </c>
      <c r="T13" s="19" t="s">
        <v>41</v>
      </c>
      <c r="U13" s="46" t="s">
        <v>30</v>
      </c>
      <c r="V13" s="15" t="s">
        <v>4</v>
      </c>
      <c r="W13" s="19" t="s">
        <v>41</v>
      </c>
      <c r="X13" s="13" t="s">
        <v>5</v>
      </c>
      <c r="Y13" s="18" t="s">
        <v>6</v>
      </c>
      <c r="Z13" s="18" t="s">
        <v>6</v>
      </c>
      <c r="AA13" s="18" t="s">
        <v>6</v>
      </c>
      <c r="AB13" s="15" t="s">
        <v>4</v>
      </c>
      <c r="AC13" s="15" t="s">
        <v>4</v>
      </c>
      <c r="AD13" s="18" t="s">
        <v>6</v>
      </c>
      <c r="AE13" s="18" t="s">
        <v>6</v>
      </c>
    </row>
    <row r="14" spans="1:31" ht="14.15" customHeight="1" x14ac:dyDescent="0.35">
      <c r="A14" s="9" t="s">
        <v>21</v>
      </c>
      <c r="B14" s="19" t="s">
        <v>41</v>
      </c>
      <c r="C14" s="11" t="s">
        <v>2</v>
      </c>
      <c r="D14" s="18" t="s">
        <v>6</v>
      </c>
      <c r="E14" s="21" t="s">
        <v>42</v>
      </c>
      <c r="F14" s="11" t="s">
        <v>2</v>
      </c>
      <c r="G14" s="17" t="s">
        <v>11</v>
      </c>
      <c r="H14" s="17" t="s">
        <v>11</v>
      </c>
      <c r="I14" s="17" t="s">
        <v>10</v>
      </c>
      <c r="J14" s="13" t="s">
        <v>5</v>
      </c>
      <c r="K14" s="17" t="s">
        <v>10</v>
      </c>
      <c r="L14" s="17" t="s">
        <v>10</v>
      </c>
      <c r="M14" s="17" t="s">
        <v>10</v>
      </c>
      <c r="N14" s="15" t="s">
        <v>4</v>
      </c>
      <c r="O14" s="15" t="s">
        <v>4</v>
      </c>
      <c r="P14" s="19" t="s">
        <v>41</v>
      </c>
      <c r="Q14" s="19" t="s">
        <v>41</v>
      </c>
      <c r="R14" s="11" t="s">
        <v>2</v>
      </c>
      <c r="S14" s="11" t="s">
        <v>2</v>
      </c>
      <c r="T14" s="41" t="s">
        <v>6</v>
      </c>
      <c r="U14" s="18" t="s">
        <v>3</v>
      </c>
      <c r="V14" s="15" t="s">
        <v>4</v>
      </c>
      <c r="W14" s="11" t="s">
        <v>2</v>
      </c>
      <c r="X14" s="18" t="s">
        <v>6</v>
      </c>
      <c r="Y14" s="19" t="s">
        <v>41</v>
      </c>
      <c r="Z14" s="19" t="s">
        <v>41</v>
      </c>
      <c r="AA14" s="11" t="s">
        <v>2</v>
      </c>
      <c r="AB14" s="46" t="s">
        <v>30</v>
      </c>
      <c r="AC14" s="15" t="s">
        <v>4</v>
      </c>
      <c r="AD14" s="17" t="s">
        <v>10</v>
      </c>
      <c r="AE14" s="17" t="s">
        <v>10</v>
      </c>
    </row>
    <row r="15" spans="1:31" x14ac:dyDescent="0.35">
      <c r="A15" s="9" t="s">
        <v>22</v>
      </c>
      <c r="B15" s="13" t="s">
        <v>5</v>
      </c>
      <c r="C15" s="13" t="s">
        <v>5</v>
      </c>
      <c r="D15" s="13" t="s">
        <v>5</v>
      </c>
      <c r="E15" s="28" t="s">
        <v>37</v>
      </c>
      <c r="F15" s="13" t="s">
        <v>5</v>
      </c>
      <c r="G15" s="15" t="s">
        <v>4</v>
      </c>
      <c r="H15" s="15" t="s">
        <v>4</v>
      </c>
      <c r="I15" s="13" t="s">
        <v>5</v>
      </c>
      <c r="J15" s="13" t="s">
        <v>5</v>
      </c>
      <c r="K15" s="41" t="s">
        <v>6</v>
      </c>
      <c r="L15" s="41" t="s">
        <v>6</v>
      </c>
      <c r="M15" s="41" t="s">
        <v>6</v>
      </c>
      <c r="N15" s="46" t="s">
        <v>30</v>
      </c>
      <c r="O15" s="21" t="s">
        <v>42</v>
      </c>
      <c r="P15" s="11" t="s">
        <v>2</v>
      </c>
      <c r="Q15" s="11" t="s">
        <v>2</v>
      </c>
      <c r="R15" s="19" t="s">
        <v>41</v>
      </c>
      <c r="S15" s="19" t="s">
        <v>41</v>
      </c>
      <c r="T15" s="13" t="s">
        <v>5</v>
      </c>
      <c r="U15" s="15" t="s">
        <v>4</v>
      </c>
      <c r="V15" s="15" t="s">
        <v>4</v>
      </c>
      <c r="W15" s="18" t="s">
        <v>6</v>
      </c>
      <c r="X15" s="18" t="s">
        <v>6</v>
      </c>
      <c r="Y15" s="12" t="s">
        <v>2</v>
      </c>
      <c r="Z15" s="19" t="s">
        <v>41</v>
      </c>
      <c r="AA15" s="19" t="s">
        <v>41</v>
      </c>
      <c r="AB15" s="15" t="s">
        <v>4</v>
      </c>
      <c r="AC15" s="15" t="s">
        <v>4</v>
      </c>
      <c r="AD15" s="19" t="s">
        <v>41</v>
      </c>
      <c r="AE15" s="19" t="s">
        <v>41</v>
      </c>
    </row>
    <row r="16" spans="1:31" x14ac:dyDescent="0.35">
      <c r="A16" s="9" t="s">
        <v>43</v>
      </c>
      <c r="B16" s="39" t="s">
        <v>8</v>
      </c>
      <c r="C16" s="39" t="s">
        <v>8</v>
      </c>
      <c r="D16" s="40" t="s">
        <v>10</v>
      </c>
      <c r="E16" s="17" t="s">
        <v>11</v>
      </c>
      <c r="F16" s="40" t="s">
        <v>10</v>
      </c>
      <c r="G16" s="15" t="s">
        <v>4</v>
      </c>
      <c r="H16" s="15" t="s">
        <v>4</v>
      </c>
      <c r="I16" s="19" t="s">
        <v>41</v>
      </c>
      <c r="J16" s="19" t="s">
        <v>41</v>
      </c>
      <c r="K16" s="18" t="s">
        <v>6</v>
      </c>
      <c r="L16" s="18" t="s">
        <v>6</v>
      </c>
      <c r="M16" s="23" t="s">
        <v>17</v>
      </c>
      <c r="N16" s="15" t="s">
        <v>4</v>
      </c>
      <c r="O16" s="15" t="s">
        <v>4</v>
      </c>
      <c r="P16" s="18" t="s">
        <v>6</v>
      </c>
      <c r="Q16" s="19" t="s">
        <v>41</v>
      </c>
      <c r="R16" s="17" t="s">
        <v>10</v>
      </c>
      <c r="S16" s="17" t="s">
        <v>10</v>
      </c>
      <c r="T16" s="11" t="s">
        <v>2</v>
      </c>
      <c r="U16" s="20" t="s">
        <v>42</v>
      </c>
      <c r="V16" s="15" t="s">
        <v>4</v>
      </c>
      <c r="W16" s="11" t="s">
        <v>2</v>
      </c>
      <c r="X16" s="19" t="s">
        <v>41</v>
      </c>
      <c r="Y16" s="19" t="s">
        <v>41</v>
      </c>
      <c r="Z16" s="11" t="s">
        <v>2</v>
      </c>
      <c r="AA16" s="11" t="s">
        <v>2</v>
      </c>
      <c r="AB16" s="20" t="s">
        <v>42</v>
      </c>
      <c r="AC16" s="20" t="s">
        <v>42</v>
      </c>
      <c r="AD16" s="39" t="s">
        <v>8</v>
      </c>
      <c r="AE16" s="39" t="s">
        <v>8</v>
      </c>
    </row>
    <row r="17" spans="1:31" x14ac:dyDescent="0.35">
      <c r="A17" s="9" t="s">
        <v>44</v>
      </c>
      <c r="B17" s="18" t="s">
        <v>6</v>
      </c>
      <c r="C17" s="18" t="s">
        <v>6</v>
      </c>
      <c r="D17" s="19" t="s">
        <v>41</v>
      </c>
      <c r="E17" s="28" t="s">
        <v>37</v>
      </c>
      <c r="F17" s="19" t="s">
        <v>41</v>
      </c>
      <c r="G17" s="15" t="s">
        <v>4</v>
      </c>
      <c r="H17" s="15" t="s">
        <v>4</v>
      </c>
      <c r="I17" s="27" t="s">
        <v>34</v>
      </c>
      <c r="J17" s="23" t="s">
        <v>17</v>
      </c>
      <c r="K17" s="19" t="s">
        <v>41</v>
      </c>
      <c r="L17" s="19" t="s">
        <v>41</v>
      </c>
      <c r="M17" s="19" t="s">
        <v>41</v>
      </c>
      <c r="N17" s="15" t="s">
        <v>4</v>
      </c>
      <c r="O17" s="15" t="s">
        <v>4</v>
      </c>
      <c r="P17" s="18" t="s">
        <v>6</v>
      </c>
      <c r="Q17" s="18" t="s">
        <v>6</v>
      </c>
      <c r="R17" s="18" t="s">
        <v>6</v>
      </c>
      <c r="S17" s="18" t="s">
        <v>6</v>
      </c>
      <c r="T17" s="18" t="s">
        <v>6</v>
      </c>
      <c r="U17" s="15" t="s">
        <v>4</v>
      </c>
      <c r="V17" s="15" t="s">
        <v>4</v>
      </c>
      <c r="W17" s="19" t="s">
        <v>41</v>
      </c>
      <c r="X17" s="19" t="s">
        <v>41</v>
      </c>
      <c r="Y17" s="19" t="s">
        <v>41</v>
      </c>
      <c r="Z17" s="19" t="s">
        <v>41</v>
      </c>
      <c r="AA17" s="19" t="s">
        <v>41</v>
      </c>
      <c r="AB17" s="15" t="s">
        <v>4</v>
      </c>
      <c r="AC17" s="15" t="s">
        <v>4</v>
      </c>
      <c r="AD17" s="19" t="s">
        <v>41</v>
      </c>
      <c r="AE17" s="18" t="s">
        <v>6</v>
      </c>
    </row>
    <row r="18" spans="1:31" x14ac:dyDescent="0.35">
      <c r="A18" s="9" t="s">
        <v>45</v>
      </c>
      <c r="B18" s="18" t="s">
        <v>6</v>
      </c>
      <c r="C18" s="18" t="s">
        <v>6</v>
      </c>
      <c r="D18" s="18" t="s">
        <v>6</v>
      </c>
      <c r="E18" s="28" t="s">
        <v>37</v>
      </c>
      <c r="F18" s="41" t="s">
        <v>6</v>
      </c>
      <c r="G18" s="15" t="s">
        <v>4</v>
      </c>
      <c r="H18" s="38" t="s">
        <v>4</v>
      </c>
      <c r="I18" s="18" t="s">
        <v>6</v>
      </c>
      <c r="J18" s="19" t="s">
        <v>41</v>
      </c>
      <c r="K18" s="19" t="s">
        <v>41</v>
      </c>
      <c r="L18" s="23" t="s">
        <v>17</v>
      </c>
      <c r="M18" s="23" t="s">
        <v>17</v>
      </c>
      <c r="N18" s="15" t="s">
        <v>4</v>
      </c>
      <c r="O18" s="38" t="s">
        <v>4</v>
      </c>
      <c r="P18" s="18" t="s">
        <v>6</v>
      </c>
      <c r="Q18" s="18" t="s">
        <v>6</v>
      </c>
      <c r="R18" s="23" t="s">
        <v>17</v>
      </c>
      <c r="S18" s="18" t="s">
        <v>6</v>
      </c>
      <c r="T18" s="19" t="s">
        <v>41</v>
      </c>
      <c r="U18" s="15" t="s">
        <v>4</v>
      </c>
      <c r="V18" s="38" t="s">
        <v>4</v>
      </c>
      <c r="W18" s="18" t="s">
        <v>6</v>
      </c>
      <c r="X18" s="18" t="s">
        <v>6</v>
      </c>
      <c r="Y18" s="18" t="s">
        <v>6</v>
      </c>
      <c r="Z18" s="18" t="s">
        <v>6</v>
      </c>
      <c r="AA18" s="18" t="s">
        <v>6</v>
      </c>
      <c r="AB18" s="15" t="s">
        <v>4</v>
      </c>
      <c r="AC18" s="38" t="s">
        <v>4</v>
      </c>
      <c r="AD18" s="19" t="s">
        <v>41</v>
      </c>
      <c r="AE18" s="19" t="s">
        <v>41</v>
      </c>
    </row>
    <row r="19" spans="1:31" ht="15" thickBot="1" x14ac:dyDescent="0.4">
      <c r="A19" s="9" t="s">
        <v>46</v>
      </c>
      <c r="B19" s="19" t="s">
        <v>41</v>
      </c>
      <c r="C19" s="19" t="s">
        <v>41</v>
      </c>
      <c r="D19" s="19" t="s">
        <v>41</v>
      </c>
      <c r="E19" s="28" t="s">
        <v>37</v>
      </c>
      <c r="F19" s="19" t="s">
        <v>41</v>
      </c>
      <c r="G19" s="43" t="s">
        <v>4</v>
      </c>
      <c r="H19" s="44" t="s">
        <v>4</v>
      </c>
      <c r="I19" s="39" t="s">
        <v>8</v>
      </c>
      <c r="J19" s="39" t="s">
        <v>8</v>
      </c>
      <c r="K19" s="11" t="s">
        <v>2</v>
      </c>
      <c r="L19" s="23" t="s">
        <v>17</v>
      </c>
      <c r="M19" s="19" t="s">
        <v>41</v>
      </c>
      <c r="N19" s="43" t="s">
        <v>4</v>
      </c>
      <c r="O19" s="44" t="s">
        <v>4</v>
      </c>
      <c r="P19" s="19" t="s">
        <v>41</v>
      </c>
      <c r="Q19" s="19" t="s">
        <v>41</v>
      </c>
      <c r="R19" s="19" t="s">
        <v>41</v>
      </c>
      <c r="S19" s="23" t="s">
        <v>17</v>
      </c>
      <c r="T19" s="19" t="s">
        <v>41</v>
      </c>
      <c r="U19" s="43" t="s">
        <v>4</v>
      </c>
      <c r="V19" s="44" t="s">
        <v>4</v>
      </c>
      <c r="W19" s="39" t="s">
        <v>8</v>
      </c>
      <c r="X19" s="39" t="s">
        <v>8</v>
      </c>
      <c r="Y19" s="39" t="s">
        <v>8</v>
      </c>
      <c r="Z19" s="11" t="s">
        <v>2</v>
      </c>
      <c r="AA19" s="19" t="s">
        <v>41</v>
      </c>
      <c r="AB19" s="43" t="s">
        <v>4</v>
      </c>
      <c r="AC19" s="44" t="s">
        <v>4</v>
      </c>
      <c r="AD19" s="18" t="s">
        <v>6</v>
      </c>
      <c r="AE19" s="23" t="s">
        <v>17</v>
      </c>
    </row>
    <row r="21" spans="1:31" x14ac:dyDescent="0.35">
      <c r="A21" s="24" t="s">
        <v>23</v>
      </c>
      <c r="B21" s="1"/>
    </row>
    <row r="22" spans="1:31" x14ac:dyDescent="0.35">
      <c r="A22" s="1" t="s">
        <v>24</v>
      </c>
      <c r="B22" s="22" t="s">
        <v>16</v>
      </c>
    </row>
    <row r="23" spans="1:31" x14ac:dyDescent="0.35">
      <c r="A23" s="1" t="s">
        <v>25</v>
      </c>
      <c r="B23" s="25" t="s">
        <v>6</v>
      </c>
    </row>
    <row r="24" spans="1:31" x14ac:dyDescent="0.35">
      <c r="A24" s="1" t="s">
        <v>47</v>
      </c>
      <c r="B24" s="19" t="s">
        <v>41</v>
      </c>
    </row>
    <row r="25" spans="1:31" x14ac:dyDescent="0.35">
      <c r="A25" s="1" t="s">
        <v>48</v>
      </c>
      <c r="B25" s="10" t="s">
        <v>39</v>
      </c>
    </row>
    <row r="26" spans="1:31" x14ac:dyDescent="0.35">
      <c r="A26" s="26" t="s">
        <v>26</v>
      </c>
      <c r="B26" s="16" t="s">
        <v>8</v>
      </c>
    </row>
    <row r="27" spans="1:31" x14ac:dyDescent="0.35">
      <c r="A27" s="26" t="s">
        <v>27</v>
      </c>
      <c r="B27" s="17" t="s">
        <v>10</v>
      </c>
    </row>
    <row r="28" spans="1:31" x14ac:dyDescent="0.35">
      <c r="A28" s="26" t="s">
        <v>28</v>
      </c>
      <c r="B28" s="14" t="s">
        <v>3</v>
      </c>
    </row>
    <row r="29" spans="1:31" x14ac:dyDescent="0.35">
      <c r="A29" s="26" t="s">
        <v>29</v>
      </c>
      <c r="B29" s="22" t="s">
        <v>30</v>
      </c>
    </row>
    <row r="30" spans="1:31" x14ac:dyDescent="0.35">
      <c r="A30" s="26" t="s">
        <v>49</v>
      </c>
      <c r="B30" s="19" t="s">
        <v>42</v>
      </c>
    </row>
    <row r="31" spans="1:31" x14ac:dyDescent="0.35">
      <c r="A31" s="26" t="s">
        <v>50</v>
      </c>
      <c r="B31" s="10" t="s">
        <v>40</v>
      </c>
    </row>
    <row r="32" spans="1:31" x14ac:dyDescent="0.35">
      <c r="A32" s="26" t="s">
        <v>31</v>
      </c>
      <c r="B32" s="17" t="s">
        <v>11</v>
      </c>
    </row>
    <row r="33" spans="1:2" x14ac:dyDescent="0.35">
      <c r="A33" s="26" t="s">
        <v>32</v>
      </c>
      <c r="B33" s="13" t="s">
        <v>5</v>
      </c>
    </row>
    <row r="34" spans="1:2" x14ac:dyDescent="0.35">
      <c r="A34" s="26" t="s">
        <v>33</v>
      </c>
      <c r="B34" s="27" t="s">
        <v>34</v>
      </c>
    </row>
    <row r="35" spans="1:2" x14ac:dyDescent="0.35">
      <c r="A35" s="26" t="s">
        <v>35</v>
      </c>
      <c r="B35" s="12" t="s">
        <v>2</v>
      </c>
    </row>
    <row r="36" spans="1:2" x14ac:dyDescent="0.35">
      <c r="A36" s="26" t="s">
        <v>36</v>
      </c>
      <c r="B36" s="28" t="s">
        <v>37</v>
      </c>
    </row>
    <row r="37" spans="1:2" x14ac:dyDescent="0.35">
      <c r="A37" s="26" t="s">
        <v>38</v>
      </c>
      <c r="B37" s="29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8"/>
  <sheetViews>
    <sheetView zoomScale="80" zoomScaleNormal="80" workbookViewId="0">
      <pane xSplit="1" topLeftCell="E1" activePane="topRight" state="frozen"/>
      <selection pane="topRight" activeCell="N4" sqref="N4"/>
    </sheetView>
  </sheetViews>
  <sheetFormatPr defaultColWidth="9.1796875" defaultRowHeight="14.5" x14ac:dyDescent="0.35"/>
  <cols>
    <col min="1" max="1" width="21.81640625" style="45" bestFit="1" customWidth="1"/>
    <col min="2" max="2" width="7.1796875" style="45" customWidth="1"/>
    <col min="3" max="4" width="6.90625" style="45" customWidth="1"/>
    <col min="5" max="6" width="7.1796875" style="45" customWidth="1"/>
    <col min="7" max="7" width="7.54296875" style="45" customWidth="1"/>
    <col min="8" max="11" width="6.90625" style="45" customWidth="1"/>
    <col min="12" max="13" width="7.1796875" style="45" customWidth="1"/>
    <col min="14" max="14" width="7.26953125" style="45" customWidth="1"/>
    <col min="15" max="16" width="9.26953125" style="45" customWidth="1"/>
    <col min="17" max="17" width="7.26953125" style="45" customWidth="1"/>
    <col min="18" max="18" width="6.90625" style="45" customWidth="1"/>
    <col min="19" max="19" width="7.54296875" style="45" customWidth="1"/>
    <col min="20" max="20" width="7.26953125" style="45" customWidth="1"/>
    <col min="21" max="21" width="7.54296875" style="45" customWidth="1"/>
    <col min="22" max="23" width="9.26953125" style="45" customWidth="1"/>
    <col min="24" max="24" width="7.54296875" style="45" customWidth="1"/>
    <col min="25" max="25" width="9.26953125" style="45" customWidth="1"/>
    <col min="26" max="26" width="7.54296875" style="45" customWidth="1"/>
    <col min="27" max="27" width="7.1796875" style="45" bestFit="1" customWidth="1"/>
    <col min="28" max="28" width="7.54296875" style="45" customWidth="1"/>
    <col min="29" max="29" width="9.26953125" style="45" customWidth="1"/>
    <col min="30" max="33" width="9.1796875" style="45" customWidth="1"/>
    <col min="34" max="34" width="7.1796875" style="45" customWidth="1"/>
    <col min="35" max="35" width="9.1796875" style="45" customWidth="1"/>
    <col min="36" max="16384" width="9.1796875" style="45"/>
  </cols>
  <sheetData>
    <row r="1" spans="1:34" ht="15" customHeight="1" x14ac:dyDescent="0.35">
      <c r="A1" s="30"/>
      <c r="B1" s="2" t="str">
        <f t="shared" ref="B1:AH1" si="0">TEXT(B2,"ddd")</f>
        <v>Wed</v>
      </c>
      <c r="C1" s="2" t="str">
        <f t="shared" si="0"/>
        <v>Thu</v>
      </c>
      <c r="D1" s="3" t="str">
        <f t="shared" si="0"/>
        <v>Fri</v>
      </c>
      <c r="E1" s="4" t="str">
        <f t="shared" si="0"/>
        <v>Sat</v>
      </c>
      <c r="F1" s="5" t="str">
        <f t="shared" si="0"/>
        <v>Sun</v>
      </c>
      <c r="G1" s="6" t="str">
        <f t="shared" si="0"/>
        <v>Mon</v>
      </c>
      <c r="H1" s="2" t="str">
        <f t="shared" si="0"/>
        <v>Tue</v>
      </c>
      <c r="I1" s="2" t="str">
        <f t="shared" si="0"/>
        <v>Wed</v>
      </c>
      <c r="J1" s="2" t="str">
        <f t="shared" si="0"/>
        <v>Thu</v>
      </c>
      <c r="K1" s="3" t="str">
        <f t="shared" si="0"/>
        <v>Fri</v>
      </c>
      <c r="L1" s="4" t="str">
        <f t="shared" si="0"/>
        <v>Sat</v>
      </c>
      <c r="M1" s="5" t="str">
        <f t="shared" si="0"/>
        <v>Sun</v>
      </c>
      <c r="N1" s="6" t="str">
        <f t="shared" si="0"/>
        <v>Mon</v>
      </c>
      <c r="O1" s="2" t="str">
        <f t="shared" si="0"/>
        <v>Tue</v>
      </c>
      <c r="P1" s="2" t="str">
        <f t="shared" si="0"/>
        <v>Wed</v>
      </c>
      <c r="Q1" s="2" t="str">
        <f t="shared" si="0"/>
        <v>Thu</v>
      </c>
      <c r="R1" s="3" t="str">
        <f t="shared" si="0"/>
        <v>Fri</v>
      </c>
      <c r="S1" s="4" t="str">
        <f t="shared" si="0"/>
        <v>Sat</v>
      </c>
      <c r="T1" s="5" t="str">
        <f t="shared" si="0"/>
        <v>Sun</v>
      </c>
      <c r="U1" s="6" t="str">
        <f t="shared" si="0"/>
        <v>Mon</v>
      </c>
      <c r="V1" s="2" t="str">
        <f t="shared" si="0"/>
        <v>Tue</v>
      </c>
      <c r="W1" s="2" t="str">
        <f t="shared" si="0"/>
        <v>Wed</v>
      </c>
      <c r="X1" s="2" t="str">
        <f t="shared" si="0"/>
        <v>Thu</v>
      </c>
      <c r="Y1" s="3" t="str">
        <f t="shared" si="0"/>
        <v>Fri</v>
      </c>
      <c r="Z1" s="4" t="str">
        <f t="shared" si="0"/>
        <v>Sat</v>
      </c>
      <c r="AA1" s="5" t="str">
        <f t="shared" si="0"/>
        <v>Sun</v>
      </c>
      <c r="AB1" s="6" t="str">
        <f t="shared" si="0"/>
        <v>Mon</v>
      </c>
      <c r="AC1" s="2" t="str">
        <f t="shared" si="0"/>
        <v>Tue</v>
      </c>
      <c r="AD1" s="2" t="str">
        <f t="shared" si="0"/>
        <v>Wed</v>
      </c>
      <c r="AE1" s="2" t="str">
        <f t="shared" si="0"/>
        <v>Thu</v>
      </c>
      <c r="AF1" s="3" t="str">
        <f t="shared" si="0"/>
        <v>Fri</v>
      </c>
      <c r="AG1" s="4" t="str">
        <f t="shared" si="0"/>
        <v>Sat</v>
      </c>
      <c r="AH1" s="5" t="str">
        <f t="shared" si="0"/>
        <v>Sun</v>
      </c>
    </row>
    <row r="2" spans="1:34" x14ac:dyDescent="0.35">
      <c r="A2" s="7" t="s">
        <v>0</v>
      </c>
      <c r="B2" s="31">
        <v>44531</v>
      </c>
      <c r="C2" s="31">
        <v>44532</v>
      </c>
      <c r="D2" s="50">
        <v>44533</v>
      </c>
      <c r="E2" s="58">
        <v>44534</v>
      </c>
      <c r="F2" s="59">
        <v>44535</v>
      </c>
      <c r="G2" s="53">
        <v>44536</v>
      </c>
      <c r="H2" s="31">
        <v>44537</v>
      </c>
      <c r="I2" s="31">
        <v>44538</v>
      </c>
      <c r="J2" s="31">
        <v>44539</v>
      </c>
      <c r="K2" s="50">
        <v>44540</v>
      </c>
      <c r="L2" s="58">
        <v>44541</v>
      </c>
      <c r="M2" s="59">
        <v>44542</v>
      </c>
      <c r="N2" s="53">
        <v>44543</v>
      </c>
      <c r="O2" s="31">
        <v>44544</v>
      </c>
      <c r="P2" s="31">
        <v>44545</v>
      </c>
      <c r="Q2" s="31">
        <v>44546</v>
      </c>
      <c r="R2" s="50">
        <v>44547</v>
      </c>
      <c r="S2" s="58">
        <v>44548</v>
      </c>
      <c r="T2" s="59">
        <v>44549</v>
      </c>
      <c r="U2" s="53">
        <v>44550</v>
      </c>
      <c r="V2" s="31">
        <v>44551</v>
      </c>
      <c r="W2" s="31">
        <v>44552</v>
      </c>
      <c r="X2" s="31">
        <v>44553</v>
      </c>
      <c r="Y2" s="50">
        <v>44554</v>
      </c>
      <c r="Z2" s="58">
        <v>44555</v>
      </c>
      <c r="AA2" s="59">
        <v>44556</v>
      </c>
      <c r="AB2" s="53">
        <v>44557</v>
      </c>
      <c r="AC2" s="31">
        <v>44558</v>
      </c>
      <c r="AD2" s="31">
        <v>44559</v>
      </c>
      <c r="AE2" s="31">
        <v>44560</v>
      </c>
      <c r="AF2" s="50">
        <v>44561</v>
      </c>
      <c r="AG2" s="58">
        <v>44562</v>
      </c>
      <c r="AH2" s="59">
        <v>44563</v>
      </c>
    </row>
    <row r="3" spans="1:34" x14ac:dyDescent="0.35">
      <c r="A3" s="8"/>
      <c r="B3" s="32"/>
      <c r="C3" s="32"/>
      <c r="D3" s="33"/>
      <c r="E3" s="34"/>
      <c r="F3" s="35"/>
      <c r="G3" s="36"/>
      <c r="H3" s="32"/>
      <c r="I3" s="32"/>
      <c r="J3" s="32"/>
      <c r="K3" s="33"/>
      <c r="L3" s="34"/>
      <c r="M3" s="35"/>
      <c r="N3" s="36"/>
      <c r="O3" s="32"/>
      <c r="P3" s="32"/>
      <c r="Q3" s="32"/>
      <c r="R3" s="33"/>
      <c r="S3" s="34"/>
      <c r="T3" s="35"/>
      <c r="U3" s="36"/>
      <c r="V3" s="32"/>
      <c r="W3" s="32"/>
      <c r="X3" s="32"/>
      <c r="Y3" s="33"/>
      <c r="Z3" s="34"/>
      <c r="AA3" s="35"/>
      <c r="AB3" s="36"/>
      <c r="AC3" s="32"/>
      <c r="AD3" s="32"/>
      <c r="AE3" s="32"/>
      <c r="AF3" s="33"/>
      <c r="AG3" s="34"/>
      <c r="AH3" s="35"/>
    </row>
    <row r="4" spans="1:34" x14ac:dyDescent="0.35">
      <c r="A4" s="9" t="s">
        <v>1</v>
      </c>
      <c r="B4" s="10" t="s">
        <v>39</v>
      </c>
      <c r="C4" s="11" t="s">
        <v>2</v>
      </c>
      <c r="D4" s="18" t="s">
        <v>6</v>
      </c>
      <c r="E4" s="15" t="s">
        <v>4</v>
      </c>
      <c r="F4" s="60" t="s">
        <v>40</v>
      </c>
      <c r="G4" s="13" t="s">
        <v>5</v>
      </c>
      <c r="H4" s="13" t="s">
        <v>5</v>
      </c>
      <c r="I4" s="13" t="s">
        <v>5</v>
      </c>
      <c r="J4" s="13" t="s">
        <v>5</v>
      </c>
      <c r="K4" s="52" t="s">
        <v>5</v>
      </c>
      <c r="L4" s="38" t="s">
        <v>4</v>
      </c>
      <c r="M4" s="38" t="s">
        <v>4</v>
      </c>
      <c r="N4" s="54" t="s">
        <v>8</v>
      </c>
      <c r="O4" s="16" t="s">
        <v>8</v>
      </c>
      <c r="P4" s="16" t="s">
        <v>8</v>
      </c>
      <c r="Q4" s="16" t="s">
        <v>8</v>
      </c>
      <c r="R4" s="56" t="s">
        <v>2</v>
      </c>
      <c r="S4" s="61" t="s">
        <v>40</v>
      </c>
      <c r="T4" s="60" t="s">
        <v>40</v>
      </c>
      <c r="U4" s="11" t="s">
        <v>2</v>
      </c>
      <c r="V4" s="10" t="s">
        <v>39</v>
      </c>
      <c r="W4" s="10" t="s">
        <v>39</v>
      </c>
      <c r="X4" s="10" t="s">
        <v>39</v>
      </c>
      <c r="Y4" s="11" t="s">
        <v>2</v>
      </c>
      <c r="Z4" s="61" t="s">
        <v>40</v>
      </c>
      <c r="AA4" s="60" t="s">
        <v>40</v>
      </c>
      <c r="AB4" s="41" t="s">
        <v>6</v>
      </c>
      <c r="AC4" s="16" t="s">
        <v>8</v>
      </c>
      <c r="AD4" s="16" t="s">
        <v>8</v>
      </c>
      <c r="AE4" s="12" t="s">
        <v>2</v>
      </c>
      <c r="AF4" s="51" t="s">
        <v>39</v>
      </c>
      <c r="AG4" s="10" t="s">
        <v>40</v>
      </c>
      <c r="AH4" s="10" t="s">
        <v>40</v>
      </c>
    </row>
    <row r="5" spans="1:34" x14ac:dyDescent="0.35">
      <c r="A5" s="9" t="s">
        <v>7</v>
      </c>
      <c r="B5" s="11" t="s">
        <v>2</v>
      </c>
      <c r="C5" s="10" t="s">
        <v>39</v>
      </c>
      <c r="D5" s="51" t="s">
        <v>39</v>
      </c>
      <c r="E5" s="61" t="s">
        <v>40</v>
      </c>
      <c r="F5" s="38" t="s">
        <v>4</v>
      </c>
      <c r="G5" s="37" t="s">
        <v>39</v>
      </c>
      <c r="H5" s="10" t="s">
        <v>39</v>
      </c>
      <c r="I5" s="10" t="s">
        <v>39</v>
      </c>
      <c r="J5" s="10" t="s">
        <v>39</v>
      </c>
      <c r="K5" s="51" t="s">
        <v>39</v>
      </c>
      <c r="L5" s="61" t="s">
        <v>40</v>
      </c>
      <c r="M5" s="38" t="s">
        <v>4</v>
      </c>
      <c r="N5" s="10" t="s">
        <v>39</v>
      </c>
      <c r="O5" s="56" t="s">
        <v>2</v>
      </c>
      <c r="P5" s="13" t="s">
        <v>5</v>
      </c>
      <c r="Q5" s="13" t="s">
        <v>5</v>
      </c>
      <c r="R5" s="13" t="s">
        <v>5</v>
      </c>
      <c r="S5" s="15" t="s">
        <v>4</v>
      </c>
      <c r="T5" s="15" t="s">
        <v>4</v>
      </c>
      <c r="U5" s="55" t="s">
        <v>5</v>
      </c>
      <c r="V5" s="13" t="s">
        <v>5</v>
      </c>
      <c r="W5" s="13" t="s">
        <v>5</v>
      </c>
      <c r="X5" s="13" t="s">
        <v>5</v>
      </c>
      <c r="Y5" s="52" t="s">
        <v>5</v>
      </c>
      <c r="Z5" s="15" t="s">
        <v>4</v>
      </c>
      <c r="AA5" s="15" t="s">
        <v>4</v>
      </c>
      <c r="AB5" s="51" t="s">
        <v>39</v>
      </c>
      <c r="AC5" s="23" t="s">
        <v>17</v>
      </c>
      <c r="AD5" s="23" t="s">
        <v>17</v>
      </c>
      <c r="AE5" s="52" t="s">
        <v>5</v>
      </c>
      <c r="AF5" s="52" t="s">
        <v>5</v>
      </c>
      <c r="AG5" s="29" t="s">
        <v>4</v>
      </c>
      <c r="AH5" s="29" t="s">
        <v>4</v>
      </c>
    </row>
    <row r="6" spans="1:34" x14ac:dyDescent="0.35">
      <c r="A6" s="9" t="s">
        <v>9</v>
      </c>
      <c r="B6" s="17" t="s">
        <v>10</v>
      </c>
      <c r="C6" s="17" t="s">
        <v>10</v>
      </c>
      <c r="D6" s="52" t="s">
        <v>5</v>
      </c>
      <c r="E6" s="38" t="s">
        <v>4</v>
      </c>
      <c r="F6" s="38" t="s">
        <v>4</v>
      </c>
      <c r="G6" s="55" t="s">
        <v>5</v>
      </c>
      <c r="H6" s="13" t="s">
        <v>5</v>
      </c>
      <c r="I6" s="13" t="s">
        <v>5</v>
      </c>
      <c r="J6" s="17" t="s">
        <v>10</v>
      </c>
      <c r="K6" s="40" t="s">
        <v>10</v>
      </c>
      <c r="L6" s="63" t="s">
        <v>11</v>
      </c>
      <c r="M6" s="38" t="s">
        <v>4</v>
      </c>
      <c r="N6" s="49" t="s">
        <v>10</v>
      </c>
      <c r="O6" s="56" t="s">
        <v>2</v>
      </c>
      <c r="P6" s="56" t="s">
        <v>2</v>
      </c>
      <c r="Q6" s="17" t="s">
        <v>10</v>
      </c>
      <c r="R6" s="17" t="s">
        <v>10</v>
      </c>
      <c r="S6" s="63" t="s">
        <v>11</v>
      </c>
      <c r="T6" s="64" t="s">
        <v>11</v>
      </c>
      <c r="U6" s="17" t="s">
        <v>10</v>
      </c>
      <c r="V6" s="12" t="s">
        <v>2</v>
      </c>
      <c r="W6" s="12" t="s">
        <v>2</v>
      </c>
      <c r="X6" s="14" t="s">
        <v>6</v>
      </c>
      <c r="Y6" s="18" t="s">
        <v>6</v>
      </c>
      <c r="Z6" s="42" t="s">
        <v>3</v>
      </c>
      <c r="AA6" s="65" t="s">
        <v>3</v>
      </c>
      <c r="AB6" s="56" t="s">
        <v>2</v>
      </c>
      <c r="AC6" s="14" t="s">
        <v>6</v>
      </c>
      <c r="AD6" s="14" t="s">
        <v>6</v>
      </c>
      <c r="AE6" s="14" t="s">
        <v>6</v>
      </c>
      <c r="AF6" s="18" t="s">
        <v>6</v>
      </c>
      <c r="AG6" s="25" t="s">
        <v>3</v>
      </c>
      <c r="AH6" s="68" t="s">
        <v>4</v>
      </c>
    </row>
    <row r="7" spans="1:34" x14ac:dyDescent="0.35">
      <c r="A7" s="9" t="s">
        <v>12</v>
      </c>
      <c r="B7" s="14" t="s">
        <v>6</v>
      </c>
      <c r="C7" s="14" t="s">
        <v>6</v>
      </c>
      <c r="D7" s="12" t="s">
        <v>2</v>
      </c>
      <c r="E7" s="14" t="s">
        <v>3</v>
      </c>
      <c r="F7" s="14" t="s">
        <v>3</v>
      </c>
      <c r="G7" s="41" t="s">
        <v>6</v>
      </c>
      <c r="H7" s="12" t="s">
        <v>2</v>
      </c>
      <c r="I7" s="14" t="s">
        <v>6</v>
      </c>
      <c r="J7" s="14" t="s">
        <v>6</v>
      </c>
      <c r="K7" s="18" t="s">
        <v>6</v>
      </c>
      <c r="L7" s="15" t="s">
        <v>4</v>
      </c>
      <c r="M7" s="38" t="s">
        <v>4</v>
      </c>
      <c r="N7" s="41" t="s">
        <v>6</v>
      </c>
      <c r="O7" s="17" t="s">
        <v>10</v>
      </c>
      <c r="P7" s="17" t="s">
        <v>10</v>
      </c>
      <c r="Q7" s="56" t="s">
        <v>2</v>
      </c>
      <c r="R7" s="40" t="s">
        <v>10</v>
      </c>
      <c r="S7" s="15" t="s">
        <v>4</v>
      </c>
      <c r="T7" s="64" t="s">
        <v>11</v>
      </c>
      <c r="U7" s="49" t="s">
        <v>10</v>
      </c>
      <c r="V7" s="17" t="s">
        <v>10</v>
      </c>
      <c r="W7" s="12" t="s">
        <v>2</v>
      </c>
      <c r="X7" s="19" t="s">
        <v>41</v>
      </c>
      <c r="Y7" s="48" t="s">
        <v>41</v>
      </c>
      <c r="Z7" s="42" t="s">
        <v>3</v>
      </c>
      <c r="AA7" s="65" t="s">
        <v>3</v>
      </c>
      <c r="AB7" s="12" t="s">
        <v>2</v>
      </c>
      <c r="AC7" s="12" t="s">
        <v>2</v>
      </c>
      <c r="AD7" s="17" t="s">
        <v>10</v>
      </c>
      <c r="AE7" s="17" t="s">
        <v>10</v>
      </c>
      <c r="AF7" s="40" t="s">
        <v>10</v>
      </c>
      <c r="AG7" s="17" t="s">
        <v>11</v>
      </c>
      <c r="AH7" s="17" t="s">
        <v>11</v>
      </c>
    </row>
    <row r="8" spans="1:34" x14ac:dyDescent="0.35">
      <c r="A8" s="9" t="s">
        <v>13</v>
      </c>
      <c r="B8" s="12" t="s">
        <v>2</v>
      </c>
      <c r="C8" s="12" t="s">
        <v>2</v>
      </c>
      <c r="D8" s="40" t="s">
        <v>10</v>
      </c>
      <c r="E8" s="63" t="s">
        <v>11</v>
      </c>
      <c r="F8" s="64" t="s">
        <v>11</v>
      </c>
      <c r="G8" s="49" t="s">
        <v>10</v>
      </c>
      <c r="H8" s="17" t="s">
        <v>10</v>
      </c>
      <c r="I8" s="12" t="s">
        <v>2</v>
      </c>
      <c r="J8" s="12" t="s">
        <v>2</v>
      </c>
      <c r="K8" s="19" t="s">
        <v>41</v>
      </c>
      <c r="L8" s="42" t="s">
        <v>3</v>
      </c>
      <c r="M8" s="61" t="s">
        <v>40</v>
      </c>
      <c r="N8" s="56" t="s">
        <v>2</v>
      </c>
      <c r="O8" s="57" t="s">
        <v>41</v>
      </c>
      <c r="P8" s="57" t="s">
        <v>41</v>
      </c>
      <c r="Q8" s="57" t="s">
        <v>41</v>
      </c>
      <c r="R8" s="57" t="s">
        <v>41</v>
      </c>
      <c r="S8" s="15" t="s">
        <v>4</v>
      </c>
      <c r="T8" s="38" t="s">
        <v>4</v>
      </c>
      <c r="U8" s="14" t="s">
        <v>6</v>
      </c>
      <c r="V8" s="14" t="s">
        <v>6</v>
      </c>
      <c r="W8" s="14" t="s">
        <v>6</v>
      </c>
      <c r="X8" s="19" t="s">
        <v>41</v>
      </c>
      <c r="Y8" s="48" t="s">
        <v>41</v>
      </c>
      <c r="Z8" s="15" t="s">
        <v>4</v>
      </c>
      <c r="AA8" s="38" t="s">
        <v>4</v>
      </c>
      <c r="AB8" s="49" t="s">
        <v>10</v>
      </c>
      <c r="AC8" s="17" t="s">
        <v>10</v>
      </c>
      <c r="AD8" s="12" t="s">
        <v>2</v>
      </c>
      <c r="AE8" s="19" t="s">
        <v>41</v>
      </c>
      <c r="AF8" s="12" t="s">
        <v>2</v>
      </c>
      <c r="AG8" s="25" t="s">
        <v>3</v>
      </c>
      <c r="AH8" s="29" t="s">
        <v>4</v>
      </c>
    </row>
    <row r="9" spans="1:34" x14ac:dyDescent="0.35">
      <c r="A9" s="9" t="s">
        <v>14</v>
      </c>
      <c r="B9" s="18" t="s">
        <v>6</v>
      </c>
      <c r="C9" s="18" t="s">
        <v>6</v>
      </c>
      <c r="D9" s="13" t="s">
        <v>5</v>
      </c>
      <c r="E9" s="38" t="s">
        <v>4</v>
      </c>
      <c r="F9" s="38" t="s">
        <v>4</v>
      </c>
      <c r="G9" s="13" t="s">
        <v>5</v>
      </c>
      <c r="H9" s="14" t="s">
        <v>6</v>
      </c>
      <c r="I9" s="14" t="s">
        <v>6</v>
      </c>
      <c r="J9" s="14" t="s">
        <v>6</v>
      </c>
      <c r="K9" s="18" t="s">
        <v>6</v>
      </c>
      <c r="L9" s="38" t="s">
        <v>4</v>
      </c>
      <c r="M9" s="42" t="s">
        <v>3</v>
      </c>
      <c r="N9" s="55" t="s">
        <v>5</v>
      </c>
      <c r="O9" s="14" t="s">
        <v>6</v>
      </c>
      <c r="P9" s="14" t="s">
        <v>6</v>
      </c>
      <c r="Q9" s="14" t="s">
        <v>6</v>
      </c>
      <c r="R9" s="18" t="s">
        <v>6</v>
      </c>
      <c r="S9" s="42" t="s">
        <v>3</v>
      </c>
      <c r="T9" s="65" t="s">
        <v>3</v>
      </c>
      <c r="U9" s="57" t="s">
        <v>41</v>
      </c>
      <c r="V9" s="12" t="s">
        <v>2</v>
      </c>
      <c r="W9" s="17" t="s">
        <v>10</v>
      </c>
      <c r="X9" s="17" t="s">
        <v>10</v>
      </c>
      <c r="Y9" s="40" t="s">
        <v>10</v>
      </c>
      <c r="Z9" s="63" t="s">
        <v>11</v>
      </c>
      <c r="AA9" s="64" t="s">
        <v>11</v>
      </c>
      <c r="AB9" s="55" t="s">
        <v>5</v>
      </c>
      <c r="AC9" s="13" t="s">
        <v>5</v>
      </c>
      <c r="AD9" s="13" t="s">
        <v>5</v>
      </c>
      <c r="AE9" s="13" t="s">
        <v>5</v>
      </c>
      <c r="AF9" s="52" t="s">
        <v>5</v>
      </c>
      <c r="AG9" s="68" t="s">
        <v>4</v>
      </c>
      <c r="AH9" s="68" t="s">
        <v>4</v>
      </c>
    </row>
    <row r="10" spans="1:34" x14ac:dyDescent="0.35">
      <c r="A10" s="9" t="s">
        <v>15</v>
      </c>
      <c r="B10" s="19" t="s">
        <v>41</v>
      </c>
      <c r="C10" s="12" t="s">
        <v>2</v>
      </c>
      <c r="D10" s="11" t="s">
        <v>2</v>
      </c>
      <c r="E10" s="63" t="s">
        <v>11</v>
      </c>
      <c r="F10" s="64" t="s">
        <v>11</v>
      </c>
      <c r="G10" s="49" t="s">
        <v>10</v>
      </c>
      <c r="H10" s="17" t="s">
        <v>10</v>
      </c>
      <c r="I10" s="17" t="s">
        <v>10</v>
      </c>
      <c r="J10" s="12" t="s">
        <v>2</v>
      </c>
      <c r="K10" s="11" t="s">
        <v>2</v>
      </c>
      <c r="L10" s="46" t="s">
        <v>30</v>
      </c>
      <c r="M10" s="64" t="s">
        <v>11</v>
      </c>
      <c r="N10" s="56" t="s">
        <v>2</v>
      </c>
      <c r="O10" s="19" t="s">
        <v>41</v>
      </c>
      <c r="P10" s="19" t="s">
        <v>41</v>
      </c>
      <c r="Q10" s="19" t="s">
        <v>41</v>
      </c>
      <c r="R10" s="48" t="s">
        <v>41</v>
      </c>
      <c r="S10" s="15" t="s">
        <v>4</v>
      </c>
      <c r="T10" s="15" t="s">
        <v>4</v>
      </c>
      <c r="U10" s="14" t="s">
        <v>6</v>
      </c>
      <c r="V10" s="14" t="s">
        <v>6</v>
      </c>
      <c r="W10" s="14" t="s">
        <v>6</v>
      </c>
      <c r="X10" s="12" t="s">
        <v>2</v>
      </c>
      <c r="Y10" s="40" t="s">
        <v>10</v>
      </c>
      <c r="Z10" s="63" t="s">
        <v>11</v>
      </c>
      <c r="AA10" s="64" t="s">
        <v>11</v>
      </c>
      <c r="AB10" s="49" t="s">
        <v>10</v>
      </c>
      <c r="AC10" s="17" t="s">
        <v>10</v>
      </c>
      <c r="AD10" s="12" t="s">
        <v>2</v>
      </c>
      <c r="AE10" s="19" t="s">
        <v>41</v>
      </c>
      <c r="AF10" s="14" t="s">
        <v>6</v>
      </c>
      <c r="AG10" s="68" t="s">
        <v>4</v>
      </c>
      <c r="AH10" s="25" t="s">
        <v>3</v>
      </c>
    </row>
    <row r="11" spans="1:34" x14ac:dyDescent="0.35">
      <c r="A11" s="9" t="s">
        <v>18</v>
      </c>
      <c r="B11" s="12" t="s">
        <v>2</v>
      </c>
      <c r="C11" s="19" t="s">
        <v>41</v>
      </c>
      <c r="D11" s="48" t="s">
        <v>41</v>
      </c>
      <c r="E11" s="20" t="s">
        <v>42</v>
      </c>
      <c r="F11" s="21" t="s">
        <v>42</v>
      </c>
      <c r="G11" s="57" t="s">
        <v>41</v>
      </c>
      <c r="H11" s="19" t="s">
        <v>41</v>
      </c>
      <c r="I11" s="12" t="s">
        <v>2</v>
      </c>
      <c r="J11" s="19" t="s">
        <v>41</v>
      </c>
      <c r="K11" s="19" t="s">
        <v>41</v>
      </c>
      <c r="L11" s="15" t="s">
        <v>4</v>
      </c>
      <c r="M11" s="38" t="s">
        <v>4</v>
      </c>
      <c r="N11" s="41" t="s">
        <v>6</v>
      </c>
      <c r="O11" s="14" t="s">
        <v>6</v>
      </c>
      <c r="P11" s="14" t="s">
        <v>6</v>
      </c>
      <c r="Q11" s="14" t="s">
        <v>6</v>
      </c>
      <c r="R11" s="18" t="s">
        <v>6</v>
      </c>
      <c r="S11" s="15" t="s">
        <v>4</v>
      </c>
      <c r="T11" s="38" t="s">
        <v>4</v>
      </c>
      <c r="U11" s="23" t="s">
        <v>17</v>
      </c>
      <c r="V11" s="17" t="s">
        <v>10</v>
      </c>
      <c r="W11" s="17" t="s">
        <v>10</v>
      </c>
      <c r="X11" s="17" t="s">
        <v>10</v>
      </c>
      <c r="Y11" s="11" t="s">
        <v>2</v>
      </c>
      <c r="Z11" s="20" t="s">
        <v>42</v>
      </c>
      <c r="AA11" s="21" t="s">
        <v>42</v>
      </c>
      <c r="AB11" s="56" t="s">
        <v>2</v>
      </c>
      <c r="AC11" s="19" t="s">
        <v>41</v>
      </c>
      <c r="AD11" s="19" t="s">
        <v>41</v>
      </c>
      <c r="AE11" s="14" t="s">
        <v>6</v>
      </c>
      <c r="AF11" s="14" t="s">
        <v>6</v>
      </c>
      <c r="AG11" s="29" t="s">
        <v>4</v>
      </c>
      <c r="AH11" s="25" t="s">
        <v>3</v>
      </c>
    </row>
    <row r="12" spans="1:34" ht="14.15" customHeight="1" x14ac:dyDescent="0.35">
      <c r="A12" s="9" t="s">
        <v>21</v>
      </c>
      <c r="B12" s="12" t="s">
        <v>2</v>
      </c>
      <c r="C12" s="12" t="s">
        <v>2</v>
      </c>
      <c r="D12" s="18" t="s">
        <v>6</v>
      </c>
      <c r="E12" s="42" t="s">
        <v>3</v>
      </c>
      <c r="F12" s="65" t="s">
        <v>3</v>
      </c>
      <c r="G12" s="57" t="s">
        <v>41</v>
      </c>
      <c r="H12" s="12" t="s">
        <v>2</v>
      </c>
      <c r="I12" s="17" t="s">
        <v>10</v>
      </c>
      <c r="J12" s="17" t="s">
        <v>10</v>
      </c>
      <c r="K12" s="40" t="s">
        <v>10</v>
      </c>
      <c r="L12" s="15" t="s">
        <v>4</v>
      </c>
      <c r="M12" s="38" t="s">
        <v>4</v>
      </c>
      <c r="N12" s="55" t="s">
        <v>5</v>
      </c>
      <c r="O12" s="55" t="s">
        <v>5</v>
      </c>
      <c r="P12" s="17" t="s">
        <v>10</v>
      </c>
      <c r="Q12" s="17" t="s">
        <v>10</v>
      </c>
      <c r="R12" s="16" t="s">
        <v>8</v>
      </c>
      <c r="S12" s="63" t="s">
        <v>11</v>
      </c>
      <c r="T12" s="62" t="s">
        <v>4</v>
      </c>
      <c r="U12" s="19" t="s">
        <v>41</v>
      </c>
      <c r="V12" s="19" t="s">
        <v>41</v>
      </c>
      <c r="W12" s="19" t="s">
        <v>41</v>
      </c>
      <c r="X12" s="14" t="s">
        <v>6</v>
      </c>
      <c r="Y12" s="18" t="s">
        <v>6</v>
      </c>
      <c r="Z12" s="15" t="s">
        <v>4</v>
      </c>
      <c r="AA12" s="38" t="s">
        <v>4</v>
      </c>
      <c r="AB12" s="19" t="s">
        <v>41</v>
      </c>
      <c r="AC12" s="12" t="s">
        <v>2</v>
      </c>
      <c r="AD12" s="17" t="s">
        <v>10</v>
      </c>
      <c r="AE12" s="17" t="s">
        <v>10</v>
      </c>
      <c r="AF12" s="40" t="s">
        <v>10</v>
      </c>
      <c r="AG12" s="17" t="s">
        <v>11</v>
      </c>
      <c r="AH12" s="17" t="s">
        <v>11</v>
      </c>
    </row>
    <row r="13" spans="1:34" x14ac:dyDescent="0.35">
      <c r="A13" s="9" t="s">
        <v>43</v>
      </c>
      <c r="B13" s="17" t="s">
        <v>10</v>
      </c>
      <c r="C13" s="17" t="s">
        <v>10</v>
      </c>
      <c r="D13" s="40" t="s">
        <v>10</v>
      </c>
      <c r="E13" s="15" t="s">
        <v>4</v>
      </c>
      <c r="F13" s="38" t="s">
        <v>4</v>
      </c>
      <c r="G13" s="41" t="s">
        <v>6</v>
      </c>
      <c r="H13" s="11" t="s">
        <v>2</v>
      </c>
      <c r="I13" s="19" t="s">
        <v>41</v>
      </c>
      <c r="J13" s="16" t="s">
        <v>8</v>
      </c>
      <c r="K13" s="16" t="s">
        <v>8</v>
      </c>
      <c r="L13" s="63" t="s">
        <v>11</v>
      </c>
      <c r="M13" s="64" t="s">
        <v>11</v>
      </c>
      <c r="N13" s="49" t="s">
        <v>10</v>
      </c>
      <c r="O13" s="17" t="s">
        <v>10</v>
      </c>
      <c r="P13" s="12" t="s">
        <v>2</v>
      </c>
      <c r="Q13" s="12" t="s">
        <v>2</v>
      </c>
      <c r="R13" s="18" t="s">
        <v>6</v>
      </c>
      <c r="S13" s="20" t="s">
        <v>42</v>
      </c>
      <c r="T13" s="21" t="s">
        <v>42</v>
      </c>
      <c r="U13" s="19" t="s">
        <v>41</v>
      </c>
      <c r="V13" s="19" t="s">
        <v>41</v>
      </c>
      <c r="W13" s="12" t="s">
        <v>2</v>
      </c>
      <c r="X13" s="19" t="s">
        <v>41</v>
      </c>
      <c r="Y13" s="23" t="s">
        <v>17</v>
      </c>
      <c r="Z13" s="15" t="s">
        <v>4</v>
      </c>
      <c r="AA13" s="38" t="s">
        <v>4</v>
      </c>
      <c r="AB13" s="41" t="s">
        <v>6</v>
      </c>
      <c r="AC13" s="19" t="s">
        <v>41</v>
      </c>
      <c r="AD13" s="12" t="s">
        <v>2</v>
      </c>
      <c r="AE13" s="41" t="s">
        <v>6</v>
      </c>
      <c r="AF13" s="19" t="s">
        <v>41</v>
      </c>
      <c r="AG13" s="21" t="s">
        <v>42</v>
      </c>
      <c r="AH13" s="29" t="s">
        <v>4</v>
      </c>
    </row>
    <row r="14" spans="1:34" x14ac:dyDescent="0.35">
      <c r="A14" s="9" t="s">
        <v>45</v>
      </c>
      <c r="B14" s="19" t="s">
        <v>41</v>
      </c>
      <c r="C14" s="19" t="s">
        <v>41</v>
      </c>
      <c r="D14" s="48" t="s">
        <v>41</v>
      </c>
      <c r="E14" s="38" t="s">
        <v>4</v>
      </c>
      <c r="F14" s="38" t="s">
        <v>4</v>
      </c>
      <c r="G14" s="55" t="s">
        <v>5</v>
      </c>
      <c r="H14" s="13" t="s">
        <v>5</v>
      </c>
      <c r="I14" s="13" t="s">
        <v>5</v>
      </c>
      <c r="J14" s="13" t="s">
        <v>5</v>
      </c>
      <c r="K14" s="52" t="s">
        <v>5</v>
      </c>
      <c r="L14" s="38" t="s">
        <v>4</v>
      </c>
      <c r="M14" s="38" t="s">
        <v>4</v>
      </c>
      <c r="N14" s="19" t="s">
        <v>41</v>
      </c>
      <c r="O14" s="19" t="s">
        <v>41</v>
      </c>
      <c r="P14" s="19" t="s">
        <v>41</v>
      </c>
      <c r="Q14" s="19" t="s">
        <v>41</v>
      </c>
      <c r="R14" s="19" t="s">
        <v>41</v>
      </c>
      <c r="S14" s="15" t="s">
        <v>4</v>
      </c>
      <c r="T14" s="38" t="s">
        <v>4</v>
      </c>
      <c r="U14" s="14" t="s">
        <v>6</v>
      </c>
      <c r="V14" s="14" t="s">
        <v>6</v>
      </c>
      <c r="W14" s="13" t="s">
        <v>5</v>
      </c>
      <c r="X14" s="13" t="s">
        <v>5</v>
      </c>
      <c r="Y14" s="52" t="s">
        <v>5</v>
      </c>
      <c r="Z14" s="15" t="s">
        <v>4</v>
      </c>
      <c r="AA14" s="15" t="s">
        <v>4</v>
      </c>
      <c r="AB14" s="13" t="s">
        <v>5</v>
      </c>
      <c r="AC14" s="13" t="s">
        <v>5</v>
      </c>
      <c r="AD14" s="19" t="s">
        <v>41</v>
      </c>
      <c r="AE14" s="19" t="s">
        <v>41</v>
      </c>
      <c r="AF14" s="48" t="s">
        <v>41</v>
      </c>
      <c r="AG14" s="29" t="s">
        <v>4</v>
      </c>
      <c r="AH14" s="29" t="s">
        <v>4</v>
      </c>
    </row>
    <row r="15" spans="1:34" x14ac:dyDescent="0.35">
      <c r="A15" s="9" t="s">
        <v>46</v>
      </c>
      <c r="B15" s="16" t="s">
        <v>8</v>
      </c>
      <c r="C15" s="16" t="s">
        <v>8</v>
      </c>
      <c r="D15" s="16" t="s">
        <v>8</v>
      </c>
      <c r="E15" s="15" t="s">
        <v>4</v>
      </c>
      <c r="F15" s="38" t="s">
        <v>4</v>
      </c>
      <c r="G15" s="57" t="s">
        <v>41</v>
      </c>
      <c r="H15" s="23" t="s">
        <v>17</v>
      </c>
      <c r="I15" s="14" t="s">
        <v>6</v>
      </c>
      <c r="J15" s="14" t="s">
        <v>6</v>
      </c>
      <c r="K15" s="18" t="s">
        <v>6</v>
      </c>
      <c r="L15" s="15" t="s">
        <v>4</v>
      </c>
      <c r="M15" s="38" t="s">
        <v>4</v>
      </c>
      <c r="N15" s="57" t="s">
        <v>41</v>
      </c>
      <c r="O15" s="55" t="s">
        <v>5</v>
      </c>
      <c r="P15" s="57" t="s">
        <v>41</v>
      </c>
      <c r="Q15" s="13" t="s">
        <v>5</v>
      </c>
      <c r="R15" s="52" t="s">
        <v>5</v>
      </c>
      <c r="S15" s="38" t="s">
        <v>4</v>
      </c>
      <c r="T15" s="38" t="s">
        <v>4</v>
      </c>
      <c r="U15" s="55" t="s">
        <v>5</v>
      </c>
      <c r="V15" s="13" t="s">
        <v>5</v>
      </c>
      <c r="W15" s="19" t="s">
        <v>41</v>
      </c>
      <c r="X15" s="16" t="s">
        <v>8</v>
      </c>
      <c r="Y15" s="16" t="s">
        <v>8</v>
      </c>
      <c r="Z15" s="15" t="s">
        <v>4</v>
      </c>
      <c r="AA15" s="15" t="s">
        <v>4</v>
      </c>
      <c r="AB15" s="55" t="s">
        <v>5</v>
      </c>
      <c r="AC15" s="13" t="s">
        <v>5</v>
      </c>
      <c r="AD15" s="13" t="s">
        <v>5</v>
      </c>
      <c r="AE15" s="13" t="s">
        <v>5</v>
      </c>
      <c r="AF15" s="52" t="s">
        <v>5</v>
      </c>
      <c r="AG15" s="29" t="s">
        <v>4</v>
      </c>
      <c r="AH15" s="29" t="s">
        <v>4</v>
      </c>
    </row>
    <row r="16" spans="1:34" x14ac:dyDescent="0.35">
      <c r="A16" s="9" t="s">
        <v>22</v>
      </c>
      <c r="B16" s="12" t="s">
        <v>2</v>
      </c>
      <c r="C16" s="19" t="s">
        <v>41</v>
      </c>
      <c r="D16" s="48" t="s">
        <v>41</v>
      </c>
      <c r="E16" s="15" t="s">
        <v>4</v>
      </c>
      <c r="F16" s="38" t="s">
        <v>4</v>
      </c>
      <c r="G16" s="41" t="s">
        <v>6</v>
      </c>
      <c r="H16" s="14" t="s">
        <v>6</v>
      </c>
      <c r="I16" s="19" t="s">
        <v>41</v>
      </c>
      <c r="J16" s="23" t="s">
        <v>17</v>
      </c>
      <c r="K16" s="12" t="s">
        <v>2</v>
      </c>
      <c r="L16" s="20" t="s">
        <v>42</v>
      </c>
      <c r="M16" s="21" t="s">
        <v>42</v>
      </c>
      <c r="N16" s="56" t="s">
        <v>2</v>
      </c>
      <c r="O16" s="14" t="s">
        <v>6</v>
      </c>
      <c r="P16" s="14" t="s">
        <v>6</v>
      </c>
      <c r="Q16" s="19" t="s">
        <v>41</v>
      </c>
      <c r="R16" s="48" t="s">
        <v>41</v>
      </c>
      <c r="S16" s="15" t="s">
        <v>4</v>
      </c>
      <c r="T16" s="38" t="s">
        <v>4</v>
      </c>
      <c r="U16" s="13" t="s">
        <v>5</v>
      </c>
      <c r="V16" s="13" t="s">
        <v>5</v>
      </c>
      <c r="W16" s="13" t="s">
        <v>5</v>
      </c>
      <c r="X16" s="13" t="s">
        <v>5</v>
      </c>
      <c r="Y16" s="13" t="s">
        <v>5</v>
      </c>
      <c r="Z16" s="15" t="s">
        <v>4</v>
      </c>
      <c r="AA16" s="38" t="s">
        <v>4</v>
      </c>
      <c r="AB16" s="41" t="s">
        <v>6</v>
      </c>
      <c r="AC16" s="19" t="s">
        <v>41</v>
      </c>
      <c r="AD16" s="19" t="s">
        <v>41</v>
      </c>
      <c r="AE16" s="19" t="s">
        <v>41</v>
      </c>
      <c r="AF16" s="19" t="s">
        <v>41</v>
      </c>
      <c r="AG16" s="29" t="s">
        <v>4</v>
      </c>
      <c r="AH16" s="19" t="s">
        <v>42</v>
      </c>
    </row>
    <row r="17" spans="1:34" x14ac:dyDescent="0.35">
      <c r="A17" s="9" t="s">
        <v>19</v>
      </c>
      <c r="B17" s="14" t="s">
        <v>6</v>
      </c>
      <c r="C17" s="18" t="s">
        <v>6</v>
      </c>
      <c r="D17" s="18" t="s">
        <v>6</v>
      </c>
      <c r="E17" s="15" t="s">
        <v>4</v>
      </c>
      <c r="F17" s="38" t="s">
        <v>4</v>
      </c>
      <c r="G17" s="41" t="s">
        <v>6</v>
      </c>
      <c r="H17" s="14" t="s">
        <v>6</v>
      </c>
      <c r="I17" s="12" t="s">
        <v>2</v>
      </c>
      <c r="J17" s="14" t="s">
        <v>6</v>
      </c>
      <c r="K17" s="18" t="s">
        <v>6</v>
      </c>
      <c r="L17" s="42" t="s">
        <v>3</v>
      </c>
      <c r="M17" s="65" t="s">
        <v>3</v>
      </c>
      <c r="N17" s="41" t="s">
        <v>6</v>
      </c>
      <c r="O17" s="12" t="s">
        <v>2</v>
      </c>
      <c r="P17" s="12" t="s">
        <v>2</v>
      </c>
      <c r="Q17" s="14" t="s">
        <v>6</v>
      </c>
      <c r="R17" s="18" t="s">
        <v>6</v>
      </c>
      <c r="S17" s="42" t="s">
        <v>3</v>
      </c>
      <c r="T17" s="65" t="s">
        <v>3</v>
      </c>
      <c r="U17" s="56" t="s">
        <v>2</v>
      </c>
      <c r="V17" s="14" t="s">
        <v>6</v>
      </c>
      <c r="W17" s="14" t="s">
        <v>6</v>
      </c>
      <c r="X17" s="14" t="s">
        <v>6</v>
      </c>
      <c r="Y17" s="18" t="s">
        <v>6</v>
      </c>
      <c r="Z17" s="15" t="s">
        <v>4</v>
      </c>
      <c r="AA17" s="15" t="s">
        <v>4</v>
      </c>
      <c r="AB17" s="14" t="s">
        <v>6</v>
      </c>
      <c r="AC17" s="14" t="s">
        <v>6</v>
      </c>
      <c r="AD17" s="14" t="s">
        <v>6</v>
      </c>
      <c r="AE17" s="13" t="s">
        <v>5</v>
      </c>
      <c r="AF17" s="52" t="s">
        <v>5</v>
      </c>
      <c r="AG17" s="29" t="s">
        <v>4</v>
      </c>
      <c r="AH17" s="29" t="s">
        <v>4</v>
      </c>
    </row>
    <row r="18" spans="1:34" ht="15" thickBot="1" x14ac:dyDescent="0.4">
      <c r="A18" s="9" t="s">
        <v>44</v>
      </c>
      <c r="B18" s="14" t="s">
        <v>6</v>
      </c>
      <c r="C18" s="14" t="s">
        <v>6</v>
      </c>
      <c r="D18" s="18" t="s">
        <v>6</v>
      </c>
      <c r="E18" s="66" t="s">
        <v>30</v>
      </c>
      <c r="F18" s="44" t="s">
        <v>4</v>
      </c>
      <c r="G18" s="56" t="s">
        <v>2</v>
      </c>
      <c r="H18" s="19" t="s">
        <v>41</v>
      </c>
      <c r="I18" s="19" t="s">
        <v>41</v>
      </c>
      <c r="J18" s="48" t="s">
        <v>41</v>
      </c>
      <c r="K18" s="48" t="s">
        <v>41</v>
      </c>
      <c r="L18" s="43" t="s">
        <v>4</v>
      </c>
      <c r="M18" s="44" t="s">
        <v>4</v>
      </c>
      <c r="N18" s="41" t="s">
        <v>6</v>
      </c>
      <c r="O18" s="14" t="s">
        <v>6</v>
      </c>
      <c r="P18" s="14" t="s">
        <v>6</v>
      </c>
      <c r="Q18" s="14" t="s">
        <v>6</v>
      </c>
      <c r="R18" s="12" t="s">
        <v>2</v>
      </c>
      <c r="S18" s="66" t="s">
        <v>30</v>
      </c>
      <c r="T18" s="44" t="s">
        <v>4</v>
      </c>
      <c r="U18" s="19" t="s">
        <v>41</v>
      </c>
      <c r="V18" s="19" t="s">
        <v>41</v>
      </c>
      <c r="W18" s="19" t="s">
        <v>41</v>
      </c>
      <c r="X18" s="12" t="s">
        <v>2</v>
      </c>
      <c r="Y18" s="48" t="s">
        <v>41</v>
      </c>
      <c r="Z18" s="66" t="s">
        <v>30</v>
      </c>
      <c r="AA18" s="44" t="s">
        <v>4</v>
      </c>
      <c r="AB18" s="19" t="s">
        <v>41</v>
      </c>
      <c r="AC18" s="14" t="s">
        <v>6</v>
      </c>
      <c r="AD18" s="14" t="s">
        <v>6</v>
      </c>
      <c r="AE18" s="14" t="s">
        <v>6</v>
      </c>
      <c r="AF18" s="18" t="s">
        <v>6</v>
      </c>
      <c r="AG18" s="29" t="s">
        <v>4</v>
      </c>
      <c r="AH18" s="29" t="s">
        <v>4</v>
      </c>
    </row>
    <row r="20" spans="1:34" x14ac:dyDescent="0.35">
      <c r="A20" s="24" t="s">
        <v>23</v>
      </c>
    </row>
    <row r="21" spans="1:34" x14ac:dyDescent="0.35">
      <c r="A21" s="1" t="s">
        <v>24</v>
      </c>
      <c r="B21" s="22" t="s">
        <v>16</v>
      </c>
    </row>
    <row r="22" spans="1:34" x14ac:dyDescent="0.35">
      <c r="A22" s="1" t="s">
        <v>25</v>
      </c>
      <c r="B22" s="25" t="s">
        <v>6</v>
      </c>
    </row>
    <row r="23" spans="1:34" x14ac:dyDescent="0.35">
      <c r="A23" s="1" t="s">
        <v>47</v>
      </c>
      <c r="B23" s="19" t="s">
        <v>41</v>
      </c>
    </row>
    <row r="24" spans="1:34" x14ac:dyDescent="0.35">
      <c r="A24" s="1" t="s">
        <v>48</v>
      </c>
      <c r="B24" s="10" t="s">
        <v>39</v>
      </c>
    </row>
    <row r="25" spans="1:34" x14ac:dyDescent="0.35">
      <c r="A25" s="26" t="s">
        <v>26</v>
      </c>
      <c r="B25" s="16" t="s">
        <v>8</v>
      </c>
    </row>
    <row r="26" spans="1:34" x14ac:dyDescent="0.35">
      <c r="A26" s="26" t="s">
        <v>27</v>
      </c>
      <c r="B26" s="17" t="s">
        <v>10</v>
      </c>
    </row>
    <row r="27" spans="1:34" x14ac:dyDescent="0.35">
      <c r="A27" s="26" t="s">
        <v>28</v>
      </c>
      <c r="B27" s="14" t="s">
        <v>3</v>
      </c>
    </row>
    <row r="28" spans="1:34" x14ac:dyDescent="0.35">
      <c r="A28" s="26" t="s">
        <v>29</v>
      </c>
      <c r="B28" s="22" t="s">
        <v>30</v>
      </c>
    </row>
    <row r="29" spans="1:34" x14ac:dyDescent="0.35">
      <c r="A29" s="26" t="s">
        <v>49</v>
      </c>
      <c r="B29" s="19" t="s">
        <v>42</v>
      </c>
    </row>
    <row r="30" spans="1:34" x14ac:dyDescent="0.35">
      <c r="A30" s="26" t="s">
        <v>50</v>
      </c>
      <c r="B30" s="10" t="s">
        <v>40</v>
      </c>
    </row>
    <row r="31" spans="1:34" x14ac:dyDescent="0.35">
      <c r="A31" s="26" t="s">
        <v>31</v>
      </c>
      <c r="B31" s="17" t="s">
        <v>11</v>
      </c>
    </row>
    <row r="32" spans="1:34" x14ac:dyDescent="0.35">
      <c r="A32" s="26" t="s">
        <v>32</v>
      </c>
      <c r="B32" s="13" t="s">
        <v>5</v>
      </c>
    </row>
    <row r="33" spans="1:2" x14ac:dyDescent="0.35">
      <c r="A33" s="26" t="s">
        <v>33</v>
      </c>
      <c r="B33" s="27" t="s">
        <v>34</v>
      </c>
    </row>
    <row r="34" spans="1:2" x14ac:dyDescent="0.35">
      <c r="A34" s="26" t="s">
        <v>35</v>
      </c>
      <c r="B34" s="12" t="s">
        <v>2</v>
      </c>
    </row>
    <row r="35" spans="1:2" x14ac:dyDescent="0.35">
      <c r="A35" s="26" t="s">
        <v>36</v>
      </c>
      <c r="B35" s="28" t="s">
        <v>37</v>
      </c>
    </row>
    <row r="36" spans="1:2" x14ac:dyDescent="0.35">
      <c r="A36" s="26" t="s">
        <v>38</v>
      </c>
      <c r="B36" s="29" t="s">
        <v>4</v>
      </c>
    </row>
    <row r="37" spans="1:2" x14ac:dyDescent="0.35">
      <c r="A37" s="26" t="s">
        <v>36</v>
      </c>
      <c r="B37" s="28" t="s">
        <v>37</v>
      </c>
    </row>
    <row r="38" spans="1:2" x14ac:dyDescent="0.35">
      <c r="A38" s="26" t="s">
        <v>38</v>
      </c>
      <c r="B38" s="29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37"/>
  <sheetViews>
    <sheetView zoomScale="80" zoomScaleNormal="80" workbookViewId="0">
      <pane xSplit="1" topLeftCell="I1" activePane="topRight" state="frozen"/>
      <selection pane="topRight" activeCell="U15" sqref="U15"/>
    </sheetView>
  </sheetViews>
  <sheetFormatPr defaultColWidth="9.1796875" defaultRowHeight="14.5" x14ac:dyDescent="0.35"/>
  <cols>
    <col min="1" max="1" width="26.1796875" style="45" bestFit="1" customWidth="1"/>
    <col min="2" max="4" width="7.1796875" style="45" customWidth="1"/>
    <col min="5" max="8" width="6.453125" style="45" customWidth="1"/>
    <col min="9" max="10" width="7.1796875" style="45" customWidth="1"/>
    <col min="11" max="15" width="6.453125" style="45" customWidth="1"/>
    <col min="16" max="17" width="7.1796875" style="45" customWidth="1"/>
    <col min="18" max="22" width="6.453125" style="45" customWidth="1"/>
    <col min="23" max="23" width="7.1796875" style="45" customWidth="1"/>
    <col min="24" max="24" width="7.54296875" style="45" customWidth="1"/>
    <col min="25" max="25" width="6.453125" style="45" bestFit="1" customWidth="1"/>
    <col min="26" max="27" width="7.54296875" style="45" customWidth="1"/>
    <col min="28" max="29" width="6.453125" style="45" bestFit="1" customWidth="1"/>
    <col min="30" max="31" width="7.1796875" style="45" bestFit="1" customWidth="1"/>
    <col min="32" max="32" width="6.453125" style="45" bestFit="1" customWidth="1"/>
    <col min="33" max="33" width="9.1796875" style="45" customWidth="1"/>
    <col min="34" max="16384" width="9.1796875" style="45"/>
  </cols>
  <sheetData>
    <row r="1" spans="1:32" ht="15" customHeight="1" x14ac:dyDescent="0.35">
      <c r="A1" s="30"/>
      <c r="B1" s="4" t="str">
        <f t="shared" ref="B1:C1" si="0">TEXT(B2,"ddd")</f>
        <v>Sat</v>
      </c>
      <c r="C1" s="5" t="str">
        <f t="shared" si="0"/>
        <v>Sun</v>
      </c>
      <c r="D1" s="3" t="str">
        <f t="shared" ref="D1:AF1" si="1">TEXT(D2,"ddd")</f>
        <v>Mon</v>
      </c>
      <c r="E1" s="4" t="str">
        <f t="shared" si="1"/>
        <v>Tue</v>
      </c>
      <c r="F1" s="5" t="str">
        <f t="shared" si="1"/>
        <v>Wed</v>
      </c>
      <c r="G1" s="6" t="str">
        <f t="shared" si="1"/>
        <v>Thu</v>
      </c>
      <c r="H1" s="2" t="str">
        <f t="shared" si="1"/>
        <v>Fri</v>
      </c>
      <c r="I1" s="2" t="str">
        <f t="shared" si="1"/>
        <v>Sat</v>
      </c>
      <c r="J1" s="2" t="str">
        <f t="shared" si="1"/>
        <v>Sun</v>
      </c>
      <c r="K1" s="3" t="str">
        <f t="shared" si="1"/>
        <v>Mon</v>
      </c>
      <c r="L1" s="4" t="str">
        <f t="shared" si="1"/>
        <v>Tue</v>
      </c>
      <c r="M1" s="5" t="str">
        <f t="shared" si="1"/>
        <v>Wed</v>
      </c>
      <c r="N1" s="6" t="str">
        <f t="shared" si="1"/>
        <v>Thu</v>
      </c>
      <c r="O1" s="2" t="str">
        <f t="shared" si="1"/>
        <v>Fri</v>
      </c>
      <c r="P1" s="2" t="str">
        <f t="shared" si="1"/>
        <v>Sat</v>
      </c>
      <c r="Q1" s="2" t="str">
        <f t="shared" si="1"/>
        <v>Sun</v>
      </c>
      <c r="R1" s="3" t="str">
        <f t="shared" si="1"/>
        <v>Mon</v>
      </c>
      <c r="S1" s="4" t="str">
        <f t="shared" si="1"/>
        <v>Tue</v>
      </c>
      <c r="T1" s="5" t="str">
        <f t="shared" si="1"/>
        <v>Wed</v>
      </c>
      <c r="U1" s="6" t="str">
        <f t="shared" si="1"/>
        <v>Thu</v>
      </c>
      <c r="V1" s="2" t="str">
        <f t="shared" si="1"/>
        <v>Fri</v>
      </c>
      <c r="W1" s="2" t="str">
        <f t="shared" si="1"/>
        <v>Sat</v>
      </c>
      <c r="X1" s="2" t="str">
        <f t="shared" si="1"/>
        <v>Sun</v>
      </c>
      <c r="Y1" s="3" t="str">
        <f t="shared" si="1"/>
        <v>Mon</v>
      </c>
      <c r="Z1" s="4" t="str">
        <f t="shared" si="1"/>
        <v>Tue</v>
      </c>
      <c r="AA1" s="5" t="str">
        <f t="shared" si="1"/>
        <v>Wed</v>
      </c>
      <c r="AB1" s="6" t="str">
        <f t="shared" si="1"/>
        <v>Thu</v>
      </c>
      <c r="AC1" s="2" t="str">
        <f t="shared" si="1"/>
        <v>Fri</v>
      </c>
      <c r="AD1" s="2" t="str">
        <f t="shared" si="1"/>
        <v>Sat</v>
      </c>
      <c r="AE1" s="2" t="str">
        <f t="shared" si="1"/>
        <v>Sun</v>
      </c>
      <c r="AF1" s="3" t="str">
        <f t="shared" si="1"/>
        <v>Mon</v>
      </c>
    </row>
    <row r="2" spans="1:32" x14ac:dyDescent="0.35">
      <c r="A2" s="7" t="s">
        <v>0</v>
      </c>
      <c r="B2" s="58">
        <v>44562</v>
      </c>
      <c r="C2" s="59">
        <v>44563</v>
      </c>
      <c r="D2" s="59">
        <v>44564</v>
      </c>
      <c r="E2" s="59">
        <v>44565</v>
      </c>
      <c r="F2" s="59">
        <v>44566</v>
      </c>
      <c r="G2" s="59">
        <v>44567</v>
      </c>
      <c r="H2" s="59">
        <v>44568</v>
      </c>
      <c r="I2" s="59">
        <v>44569</v>
      </c>
      <c r="J2" s="59">
        <v>44570</v>
      </c>
      <c r="K2" s="59">
        <v>44571</v>
      </c>
      <c r="L2" s="59">
        <v>44572</v>
      </c>
      <c r="M2" s="59">
        <v>44573</v>
      </c>
      <c r="N2" s="59">
        <v>44574</v>
      </c>
      <c r="O2" s="59">
        <v>44575</v>
      </c>
      <c r="P2" s="59">
        <v>44576</v>
      </c>
      <c r="Q2" s="59">
        <v>44577</v>
      </c>
      <c r="R2" s="59">
        <v>44578</v>
      </c>
      <c r="S2" s="59">
        <v>44579</v>
      </c>
      <c r="T2" s="59">
        <v>44580</v>
      </c>
      <c r="U2" s="59">
        <v>44581</v>
      </c>
      <c r="V2" s="59">
        <v>44582</v>
      </c>
      <c r="W2" s="59">
        <v>44583</v>
      </c>
      <c r="X2" s="59">
        <v>44584</v>
      </c>
      <c r="Y2" s="59">
        <v>44585</v>
      </c>
      <c r="Z2" s="59">
        <v>44586</v>
      </c>
      <c r="AA2" s="59">
        <v>44587</v>
      </c>
      <c r="AB2" s="59">
        <v>44588</v>
      </c>
      <c r="AC2" s="59">
        <v>44589</v>
      </c>
      <c r="AD2" s="59">
        <v>44590</v>
      </c>
      <c r="AE2" s="59">
        <v>44591</v>
      </c>
      <c r="AF2" s="59">
        <v>44592</v>
      </c>
    </row>
    <row r="3" spans="1:32" x14ac:dyDescent="0.35">
      <c r="A3" s="8"/>
      <c r="B3" s="34"/>
      <c r="C3" s="35"/>
      <c r="D3" s="33"/>
      <c r="E3" s="34"/>
      <c r="F3" s="35"/>
      <c r="G3" s="36"/>
      <c r="H3" s="32"/>
      <c r="I3" s="32"/>
      <c r="J3" s="32"/>
      <c r="K3" s="33"/>
      <c r="L3" s="34"/>
      <c r="M3" s="35"/>
      <c r="N3" s="36"/>
      <c r="O3" s="32"/>
      <c r="P3" s="32"/>
      <c r="Q3" s="32"/>
      <c r="R3" s="33"/>
      <c r="S3" s="34"/>
      <c r="T3" s="35"/>
      <c r="U3" s="36"/>
      <c r="V3" s="32"/>
      <c r="W3" s="32"/>
      <c r="X3" s="32"/>
      <c r="Y3" s="33"/>
      <c r="Z3" s="34"/>
      <c r="AA3" s="35"/>
      <c r="AB3" s="36"/>
      <c r="AC3" s="32"/>
      <c r="AD3" s="32"/>
      <c r="AE3" s="32"/>
      <c r="AF3" s="33"/>
    </row>
    <row r="4" spans="1:32" x14ac:dyDescent="0.35">
      <c r="A4" s="67" t="s">
        <v>1</v>
      </c>
      <c r="B4" s="10" t="s">
        <v>40</v>
      </c>
      <c r="C4" s="10" t="s">
        <v>40</v>
      </c>
      <c r="D4" s="11" t="s">
        <v>2</v>
      </c>
      <c r="E4" s="10" t="s">
        <v>39</v>
      </c>
      <c r="F4" s="10" t="s">
        <v>39</v>
      </c>
      <c r="G4" s="10" t="s">
        <v>39</v>
      </c>
      <c r="H4" s="11" t="s">
        <v>2</v>
      </c>
      <c r="I4" s="60" t="s">
        <v>40</v>
      </c>
      <c r="J4" s="60" t="s">
        <v>40</v>
      </c>
      <c r="K4" s="11" t="s">
        <v>2</v>
      </c>
      <c r="L4" s="25" t="s">
        <v>6</v>
      </c>
      <c r="M4" s="10" t="s">
        <v>39</v>
      </c>
      <c r="N4" s="10" t="s">
        <v>39</v>
      </c>
      <c r="O4" s="10" t="s">
        <v>39</v>
      </c>
      <c r="P4" s="60" t="s">
        <v>40</v>
      </c>
      <c r="Q4" s="29" t="s">
        <v>4</v>
      </c>
      <c r="R4" s="16" t="s">
        <v>8</v>
      </c>
      <c r="S4" s="16" t="s">
        <v>8</v>
      </c>
      <c r="T4" s="16" t="s">
        <v>8</v>
      </c>
      <c r="U4" s="16" t="s">
        <v>8</v>
      </c>
      <c r="V4" s="11" t="s">
        <v>2</v>
      </c>
      <c r="W4" s="60" t="s">
        <v>40</v>
      </c>
      <c r="X4" s="29" t="s">
        <v>4</v>
      </c>
      <c r="Y4" s="10" t="s">
        <v>39</v>
      </c>
      <c r="Z4" s="11" t="s">
        <v>2</v>
      </c>
      <c r="AA4" s="60" t="s">
        <v>40</v>
      </c>
      <c r="AB4" s="16" t="s">
        <v>8</v>
      </c>
      <c r="AC4" s="11" t="s">
        <v>2</v>
      </c>
      <c r="AD4" s="60" t="s">
        <v>40</v>
      </c>
      <c r="AE4" s="25" t="s">
        <v>3</v>
      </c>
      <c r="AF4" s="11" t="s">
        <v>2</v>
      </c>
    </row>
    <row r="5" spans="1:32" x14ac:dyDescent="0.35">
      <c r="A5" s="67" t="s">
        <v>9</v>
      </c>
      <c r="B5" s="25" t="s">
        <v>3</v>
      </c>
      <c r="C5" s="68" t="s">
        <v>4</v>
      </c>
      <c r="D5" s="55" t="s">
        <v>5</v>
      </c>
      <c r="E5" s="55" t="s">
        <v>5</v>
      </c>
      <c r="F5" s="55" t="s">
        <v>5</v>
      </c>
      <c r="G5" s="40" t="s">
        <v>10</v>
      </c>
      <c r="H5" s="40" t="s">
        <v>10</v>
      </c>
      <c r="I5" s="17" t="s">
        <v>11</v>
      </c>
      <c r="J5" s="17" t="s">
        <v>11</v>
      </c>
      <c r="K5" s="54" t="s">
        <v>8</v>
      </c>
      <c r="L5" s="17" t="s">
        <v>10</v>
      </c>
      <c r="M5" s="17" t="s">
        <v>10</v>
      </c>
      <c r="N5" s="17" t="s">
        <v>10</v>
      </c>
      <c r="O5" s="17" t="s">
        <v>10</v>
      </c>
      <c r="P5" s="17" t="s">
        <v>11</v>
      </c>
      <c r="Q5" s="17" t="s">
        <v>11</v>
      </c>
      <c r="R5" s="12" t="s">
        <v>2</v>
      </c>
      <c r="S5" s="12" t="s">
        <v>2</v>
      </c>
      <c r="T5" s="25" t="s">
        <v>6</v>
      </c>
      <c r="U5" s="19" t="s">
        <v>41</v>
      </c>
      <c r="V5" s="25" t="s">
        <v>6</v>
      </c>
      <c r="W5" s="29" t="s">
        <v>4</v>
      </c>
      <c r="X5" s="17" t="s">
        <v>11</v>
      </c>
      <c r="Y5" s="40" t="s">
        <v>10</v>
      </c>
      <c r="Z5" s="40" t="s">
        <v>10</v>
      </c>
      <c r="AA5" s="40" t="s">
        <v>10</v>
      </c>
      <c r="AB5" s="11" t="s">
        <v>2</v>
      </c>
      <c r="AC5" s="11" t="s">
        <v>2</v>
      </c>
      <c r="AD5" s="17" t="s">
        <v>11</v>
      </c>
      <c r="AE5" s="17" t="s">
        <v>11</v>
      </c>
      <c r="AF5" s="17" t="s">
        <v>10</v>
      </c>
    </row>
    <row r="6" spans="1:32" x14ac:dyDescent="0.35">
      <c r="A6" s="67" t="s">
        <v>12</v>
      </c>
      <c r="B6" s="17" t="s">
        <v>11</v>
      </c>
      <c r="C6" s="17" t="s">
        <v>11</v>
      </c>
      <c r="D6" s="11" t="s">
        <v>2</v>
      </c>
      <c r="E6" s="11" t="s">
        <v>2</v>
      </c>
      <c r="F6" s="25" t="s">
        <v>6</v>
      </c>
      <c r="G6" s="25" t="s">
        <v>6</v>
      </c>
      <c r="H6" s="25" t="s">
        <v>6</v>
      </c>
      <c r="I6" s="29" t="s">
        <v>4</v>
      </c>
      <c r="J6" s="29" t="s">
        <v>4</v>
      </c>
      <c r="K6" s="27" t="s">
        <v>34</v>
      </c>
      <c r="L6" s="27" t="s">
        <v>34</v>
      </c>
      <c r="M6" s="27" t="s">
        <v>34</v>
      </c>
      <c r="N6" s="27" t="s">
        <v>34</v>
      </c>
      <c r="O6" s="27" t="s">
        <v>34</v>
      </c>
      <c r="P6" s="29" t="s">
        <v>4</v>
      </c>
      <c r="Q6" s="29" t="s">
        <v>4</v>
      </c>
      <c r="R6" s="40" t="s">
        <v>10</v>
      </c>
      <c r="S6" s="40" t="s">
        <v>10</v>
      </c>
      <c r="T6" s="40" t="s">
        <v>10</v>
      </c>
      <c r="U6" s="12" t="s">
        <v>2</v>
      </c>
      <c r="V6" s="40" t="s">
        <v>10</v>
      </c>
      <c r="W6" s="17" t="s">
        <v>11</v>
      </c>
      <c r="X6" s="17" t="s">
        <v>11</v>
      </c>
      <c r="Y6" s="12" t="s">
        <v>2</v>
      </c>
      <c r="Z6" s="12" t="s">
        <v>2</v>
      </c>
      <c r="AA6" s="25" t="s">
        <v>3</v>
      </c>
      <c r="AB6" s="25" t="s">
        <v>6</v>
      </c>
      <c r="AC6" s="25" t="s">
        <v>6</v>
      </c>
      <c r="AD6" s="29" t="s">
        <v>4</v>
      </c>
      <c r="AE6" s="29" t="s">
        <v>4</v>
      </c>
      <c r="AF6" s="25" t="s">
        <v>6</v>
      </c>
    </row>
    <row r="7" spans="1:32" x14ac:dyDescent="0.35">
      <c r="A7" s="67" t="s">
        <v>13</v>
      </c>
      <c r="B7" s="25" t="s">
        <v>3</v>
      </c>
      <c r="C7" s="29" t="s">
        <v>4</v>
      </c>
      <c r="D7" s="25" t="s">
        <v>6</v>
      </c>
      <c r="E7" s="25" t="s">
        <v>6</v>
      </c>
      <c r="F7" s="11" t="s">
        <v>2</v>
      </c>
      <c r="G7" s="11" t="s">
        <v>2</v>
      </c>
      <c r="H7" s="40" t="s">
        <v>10</v>
      </c>
      <c r="I7" s="17" t="s">
        <v>11</v>
      </c>
      <c r="J7" s="17" t="s">
        <v>11</v>
      </c>
      <c r="K7" s="40" t="s">
        <v>10</v>
      </c>
      <c r="L7" s="11" t="s">
        <v>2</v>
      </c>
      <c r="M7" s="19" t="s">
        <v>41</v>
      </c>
      <c r="N7" s="19" t="s">
        <v>41</v>
      </c>
      <c r="O7" s="19" t="s">
        <v>41</v>
      </c>
      <c r="P7" s="25" t="s">
        <v>3</v>
      </c>
      <c r="Q7" s="25" t="s">
        <v>3</v>
      </c>
      <c r="R7" s="12" t="s">
        <v>2</v>
      </c>
      <c r="S7" s="25" t="s">
        <v>6</v>
      </c>
      <c r="T7" s="19" t="s">
        <v>41</v>
      </c>
      <c r="U7" s="25" t="s">
        <v>6</v>
      </c>
      <c r="V7" s="19" t="s">
        <v>41</v>
      </c>
      <c r="W7" s="25" t="s">
        <v>3</v>
      </c>
      <c r="X7" s="29" t="s">
        <v>4</v>
      </c>
      <c r="Y7" s="25" t="s">
        <v>6</v>
      </c>
      <c r="Z7" s="25" t="s">
        <v>6</v>
      </c>
      <c r="AA7" s="25" t="s">
        <v>3</v>
      </c>
      <c r="AB7" s="40" t="s">
        <v>10</v>
      </c>
      <c r="AC7" s="40" t="s">
        <v>10</v>
      </c>
      <c r="AD7" s="29" t="s">
        <v>4</v>
      </c>
      <c r="AE7" s="29" t="s">
        <v>4</v>
      </c>
      <c r="AF7" s="25" t="s">
        <v>6</v>
      </c>
    </row>
    <row r="8" spans="1:32" x14ac:dyDescent="0.35">
      <c r="A8" s="67" t="s">
        <v>14</v>
      </c>
      <c r="B8" s="68" t="s">
        <v>4</v>
      </c>
      <c r="C8" s="68" t="s">
        <v>4</v>
      </c>
      <c r="D8" s="19" t="s">
        <v>41</v>
      </c>
      <c r="E8" s="40" t="s">
        <v>10</v>
      </c>
      <c r="F8" s="40" t="s">
        <v>10</v>
      </c>
      <c r="G8" s="11" t="s">
        <v>2</v>
      </c>
      <c r="H8" s="11" t="s">
        <v>2</v>
      </c>
      <c r="I8" s="25" t="s">
        <v>3</v>
      </c>
      <c r="J8" s="25" t="s">
        <v>3</v>
      </c>
      <c r="K8" s="25" t="s">
        <v>6</v>
      </c>
      <c r="L8" s="11" t="s">
        <v>2</v>
      </c>
      <c r="M8" s="25" t="s">
        <v>6</v>
      </c>
      <c r="N8" s="25" t="s">
        <v>6</v>
      </c>
      <c r="O8" s="25" t="s">
        <v>6</v>
      </c>
      <c r="P8" s="21" t="s">
        <v>42</v>
      </c>
      <c r="Q8" s="21" t="s">
        <v>42</v>
      </c>
      <c r="R8" s="25" t="s">
        <v>6</v>
      </c>
      <c r="S8" s="55" t="s">
        <v>5</v>
      </c>
      <c r="T8" s="55" t="s">
        <v>5</v>
      </c>
      <c r="U8" s="55" t="s">
        <v>5</v>
      </c>
      <c r="V8" s="55" t="s">
        <v>5</v>
      </c>
      <c r="W8" s="68" t="s">
        <v>4</v>
      </c>
      <c r="X8" s="68" t="s">
        <v>4</v>
      </c>
      <c r="Y8" s="55" t="s">
        <v>5</v>
      </c>
      <c r="Z8" s="19" t="s">
        <v>41</v>
      </c>
      <c r="AA8" s="21" t="s">
        <v>42</v>
      </c>
      <c r="AB8" s="19" t="s">
        <v>41</v>
      </c>
      <c r="AC8" s="19" t="s">
        <v>41</v>
      </c>
      <c r="AD8" s="25" t="s">
        <v>3</v>
      </c>
      <c r="AE8" s="29" t="s">
        <v>4</v>
      </c>
      <c r="AF8" s="19" t="s">
        <v>41</v>
      </c>
    </row>
    <row r="9" spans="1:32" x14ac:dyDescent="0.35">
      <c r="A9" s="67" t="s">
        <v>15</v>
      </c>
      <c r="B9" s="68" t="s">
        <v>4</v>
      </c>
      <c r="C9" s="25" t="s">
        <v>3</v>
      </c>
      <c r="D9" s="40" t="s">
        <v>10</v>
      </c>
      <c r="E9" s="40" t="s">
        <v>10</v>
      </c>
      <c r="F9" s="40" t="s">
        <v>10</v>
      </c>
      <c r="G9" s="40" t="s">
        <v>10</v>
      </c>
      <c r="H9" s="16" t="s">
        <v>8</v>
      </c>
      <c r="I9" s="68" t="s">
        <v>4</v>
      </c>
      <c r="J9" s="68" t="s">
        <v>4</v>
      </c>
      <c r="K9" s="55" t="s">
        <v>5</v>
      </c>
      <c r="L9" s="55" t="s">
        <v>5</v>
      </c>
      <c r="M9" s="55" t="s">
        <v>5</v>
      </c>
      <c r="N9" s="55" t="s">
        <v>5</v>
      </c>
      <c r="O9" s="55" t="s">
        <v>5</v>
      </c>
      <c r="P9" s="68" t="s">
        <v>4</v>
      </c>
      <c r="Q9" s="68" t="s">
        <v>4</v>
      </c>
      <c r="R9" s="40" t="s">
        <v>10</v>
      </c>
      <c r="S9" s="40" t="s">
        <v>10</v>
      </c>
      <c r="T9" s="40" t="s">
        <v>10</v>
      </c>
      <c r="U9" s="40" t="s">
        <v>10</v>
      </c>
      <c r="V9" s="12" t="s">
        <v>2</v>
      </c>
      <c r="W9" s="29" t="s">
        <v>4</v>
      </c>
      <c r="X9" s="25" t="s">
        <v>3</v>
      </c>
      <c r="Y9" s="19" t="s">
        <v>41</v>
      </c>
      <c r="Z9" s="19" t="s">
        <v>41</v>
      </c>
      <c r="AA9" s="13" t="s">
        <v>37</v>
      </c>
      <c r="AB9" s="25" t="s">
        <v>6</v>
      </c>
      <c r="AC9" s="25" t="s">
        <v>6</v>
      </c>
      <c r="AD9" s="21" t="s">
        <v>42</v>
      </c>
      <c r="AE9" s="21" t="s">
        <v>42</v>
      </c>
      <c r="AF9" s="11" t="s">
        <v>2</v>
      </c>
    </row>
    <row r="10" spans="1:32" x14ac:dyDescent="0.35">
      <c r="A10" s="67" t="s">
        <v>18</v>
      </c>
      <c r="B10" s="29" t="s">
        <v>4</v>
      </c>
      <c r="C10" s="25" t="s">
        <v>3</v>
      </c>
      <c r="D10" s="19" t="s">
        <v>41</v>
      </c>
      <c r="E10" s="19" t="s">
        <v>41</v>
      </c>
      <c r="F10" s="19" t="s">
        <v>41</v>
      </c>
      <c r="G10" s="19" t="s">
        <v>41</v>
      </c>
      <c r="H10" s="19" t="s">
        <v>41</v>
      </c>
      <c r="I10" s="68" t="s">
        <v>4</v>
      </c>
      <c r="J10" s="68" t="s">
        <v>4</v>
      </c>
      <c r="K10" s="55" t="s">
        <v>5</v>
      </c>
      <c r="L10" s="55" t="s">
        <v>5</v>
      </c>
      <c r="M10" s="55" t="s">
        <v>5</v>
      </c>
      <c r="N10" s="55" t="s">
        <v>5</v>
      </c>
      <c r="O10" s="13" t="s">
        <v>37</v>
      </c>
      <c r="P10" s="68" t="s">
        <v>4</v>
      </c>
      <c r="Q10" s="68" t="s">
        <v>4</v>
      </c>
      <c r="R10" s="19" t="s">
        <v>41</v>
      </c>
      <c r="S10" s="19" t="s">
        <v>41</v>
      </c>
      <c r="T10" s="27" t="s">
        <v>34</v>
      </c>
      <c r="U10" s="27" t="s">
        <v>34</v>
      </c>
      <c r="V10" s="19" t="s">
        <v>41</v>
      </c>
      <c r="W10" s="29" t="s">
        <v>4</v>
      </c>
      <c r="X10" s="21" t="s">
        <v>42</v>
      </c>
      <c r="Y10" s="12" t="s">
        <v>2</v>
      </c>
      <c r="Z10" s="25" t="s">
        <v>6</v>
      </c>
      <c r="AA10" s="13" t="s">
        <v>37</v>
      </c>
      <c r="AB10" s="19" t="s">
        <v>41</v>
      </c>
      <c r="AC10" s="19" t="s">
        <v>41</v>
      </c>
      <c r="AD10" s="25" t="s">
        <v>3</v>
      </c>
      <c r="AE10" s="29" t="s">
        <v>4</v>
      </c>
      <c r="AF10" s="11" t="s">
        <v>2</v>
      </c>
    </row>
    <row r="11" spans="1:32" ht="14.15" customHeight="1" x14ac:dyDescent="0.35">
      <c r="A11" s="67" t="s">
        <v>21</v>
      </c>
      <c r="B11" s="17" t="s">
        <v>11</v>
      </c>
      <c r="C11" s="17" t="s">
        <v>11</v>
      </c>
      <c r="D11" s="40" t="s">
        <v>10</v>
      </c>
      <c r="E11" s="11" t="s">
        <v>2</v>
      </c>
      <c r="F11" s="11" t="s">
        <v>2</v>
      </c>
      <c r="G11" s="25" t="s">
        <v>6</v>
      </c>
      <c r="H11" s="25" t="s">
        <v>6</v>
      </c>
      <c r="I11" s="25" t="s">
        <v>3</v>
      </c>
      <c r="J11" s="25" t="s">
        <v>3</v>
      </c>
      <c r="K11" s="19" t="s">
        <v>41</v>
      </c>
      <c r="L11" s="19" t="s">
        <v>41</v>
      </c>
      <c r="M11" s="55" t="s">
        <v>5</v>
      </c>
      <c r="N11" s="55" t="s">
        <v>5</v>
      </c>
      <c r="O11" s="55" t="s">
        <v>5</v>
      </c>
      <c r="P11" s="68" t="s">
        <v>4</v>
      </c>
      <c r="Q11" s="68" t="s">
        <v>4</v>
      </c>
      <c r="R11" s="19" t="s">
        <v>41</v>
      </c>
      <c r="S11" s="19" t="s">
        <v>41</v>
      </c>
      <c r="T11" s="11" t="s">
        <v>2</v>
      </c>
      <c r="U11" s="40" t="s">
        <v>10</v>
      </c>
      <c r="V11" s="40" t="s">
        <v>10</v>
      </c>
      <c r="W11" s="17" t="s">
        <v>11</v>
      </c>
      <c r="X11" s="29" t="s">
        <v>4</v>
      </c>
      <c r="Y11" s="25" t="s">
        <v>6</v>
      </c>
      <c r="Z11" s="25" t="s">
        <v>6</v>
      </c>
      <c r="AA11" s="13" t="s">
        <v>37</v>
      </c>
      <c r="AB11" s="12" t="s">
        <v>2</v>
      </c>
      <c r="AC11" s="17" t="s">
        <v>10</v>
      </c>
      <c r="AD11" s="17" t="s">
        <v>11</v>
      </c>
      <c r="AE11" s="17" t="s">
        <v>11</v>
      </c>
      <c r="AF11" s="17" t="s">
        <v>10</v>
      </c>
    </row>
    <row r="12" spans="1:32" x14ac:dyDescent="0.35">
      <c r="A12" s="67" t="s">
        <v>43</v>
      </c>
      <c r="B12" s="21" t="s">
        <v>42</v>
      </c>
      <c r="C12" s="29" t="s">
        <v>4</v>
      </c>
      <c r="D12" s="25" t="s">
        <v>6</v>
      </c>
      <c r="E12" s="25" t="s">
        <v>6</v>
      </c>
      <c r="F12" s="23" t="s">
        <v>17</v>
      </c>
      <c r="G12" s="19" t="s">
        <v>41</v>
      </c>
      <c r="H12" s="19" t="s">
        <v>41</v>
      </c>
      <c r="I12" s="29" t="s">
        <v>4</v>
      </c>
      <c r="J12" s="29" t="s">
        <v>4</v>
      </c>
      <c r="K12" s="17" t="s">
        <v>10</v>
      </c>
      <c r="L12" s="17" t="s">
        <v>10</v>
      </c>
      <c r="M12" s="17" t="s">
        <v>10</v>
      </c>
      <c r="N12" s="17" t="s">
        <v>10</v>
      </c>
      <c r="O12" s="17" t="s">
        <v>10</v>
      </c>
      <c r="P12" s="29" t="s">
        <v>4</v>
      </c>
      <c r="Q12" s="21" t="s">
        <v>42</v>
      </c>
      <c r="R12" s="25" t="s">
        <v>6</v>
      </c>
      <c r="S12" s="25" t="s">
        <v>6</v>
      </c>
      <c r="T12" s="25" t="s">
        <v>6</v>
      </c>
      <c r="U12" s="25" t="s">
        <v>6</v>
      </c>
      <c r="V12" s="11" t="s">
        <v>2</v>
      </c>
      <c r="W12" s="21" t="s">
        <v>42</v>
      </c>
      <c r="X12" s="21" t="s">
        <v>42</v>
      </c>
      <c r="Y12" s="40" t="s">
        <v>10</v>
      </c>
      <c r="Z12" s="40" t="s">
        <v>10</v>
      </c>
      <c r="AA12" s="17" t="s">
        <v>11</v>
      </c>
      <c r="AB12" s="40" t="s">
        <v>10</v>
      </c>
      <c r="AC12" s="12" t="s">
        <v>2</v>
      </c>
      <c r="AD12" s="29" t="s">
        <v>4</v>
      </c>
      <c r="AE12" s="21" t="s">
        <v>42</v>
      </c>
      <c r="AF12" s="19" t="s">
        <v>41</v>
      </c>
    </row>
    <row r="13" spans="1:32" ht="15" thickBot="1" x14ac:dyDescent="0.4">
      <c r="A13" s="67" t="s">
        <v>45</v>
      </c>
      <c r="B13" s="29" t="s">
        <v>4</v>
      </c>
      <c r="C13" s="29" t="s">
        <v>4</v>
      </c>
      <c r="D13" s="23" t="s">
        <v>17</v>
      </c>
      <c r="E13" s="25" t="s">
        <v>6</v>
      </c>
      <c r="F13" s="25" t="s">
        <v>6</v>
      </c>
      <c r="G13" s="25" t="s">
        <v>6</v>
      </c>
      <c r="H13" s="25" t="s">
        <v>6</v>
      </c>
      <c r="I13" s="29" t="s">
        <v>4</v>
      </c>
      <c r="J13" s="29" t="s">
        <v>4</v>
      </c>
      <c r="K13" s="25" t="s">
        <v>6</v>
      </c>
      <c r="L13" s="25" t="s">
        <v>6</v>
      </c>
      <c r="M13" s="25" t="s">
        <v>6</v>
      </c>
      <c r="N13" s="11" t="s">
        <v>2</v>
      </c>
      <c r="O13" s="11" t="s">
        <v>2</v>
      </c>
      <c r="P13" s="17" t="s">
        <v>11</v>
      </c>
      <c r="Q13" s="17" t="s">
        <v>11</v>
      </c>
      <c r="R13" s="11" t="s">
        <v>2</v>
      </c>
      <c r="S13" s="19" t="s">
        <v>41</v>
      </c>
      <c r="T13" s="19" t="s">
        <v>41</v>
      </c>
      <c r="U13" s="19" t="s">
        <v>41</v>
      </c>
      <c r="V13" s="25" t="s">
        <v>6</v>
      </c>
      <c r="W13" s="66" t="s">
        <v>30</v>
      </c>
      <c r="X13" s="29" t="s">
        <v>4</v>
      </c>
      <c r="Y13" s="25" t="s">
        <v>6</v>
      </c>
      <c r="Z13" s="25" t="s">
        <v>6</v>
      </c>
      <c r="AA13" s="28" t="s">
        <v>37</v>
      </c>
      <c r="AB13" s="19" t="s">
        <v>41</v>
      </c>
      <c r="AC13" s="19" t="s">
        <v>41</v>
      </c>
      <c r="AD13" s="66" t="s">
        <v>30</v>
      </c>
      <c r="AE13" s="29" t="s">
        <v>4</v>
      </c>
      <c r="AF13" s="11" t="s">
        <v>2</v>
      </c>
    </row>
    <row r="14" spans="1:32" x14ac:dyDescent="0.35">
      <c r="A14" s="67" t="s">
        <v>22</v>
      </c>
      <c r="B14" s="29" t="s">
        <v>4</v>
      </c>
      <c r="C14" s="19" t="s">
        <v>42</v>
      </c>
      <c r="D14" s="11" t="s">
        <v>2</v>
      </c>
      <c r="E14" s="23" t="s">
        <v>17</v>
      </c>
      <c r="F14" s="25" t="s">
        <v>6</v>
      </c>
      <c r="G14" s="11" t="s">
        <v>2</v>
      </c>
      <c r="H14" s="19" t="s">
        <v>41</v>
      </c>
      <c r="I14" s="19" t="s">
        <v>42</v>
      </c>
      <c r="J14" s="19" t="s">
        <v>42</v>
      </c>
      <c r="K14" s="19" t="s">
        <v>41</v>
      </c>
      <c r="L14" s="19" t="s">
        <v>41</v>
      </c>
      <c r="M14" s="11" t="s">
        <v>2</v>
      </c>
      <c r="N14" s="25" t="s">
        <v>6</v>
      </c>
      <c r="O14" s="25" t="s">
        <v>6</v>
      </c>
      <c r="P14" s="25" t="s">
        <v>3</v>
      </c>
      <c r="Q14" s="25" t="s">
        <v>3</v>
      </c>
      <c r="R14" s="23" t="s">
        <v>17</v>
      </c>
      <c r="S14" s="12" t="s">
        <v>2</v>
      </c>
      <c r="T14" s="12" t="s">
        <v>2</v>
      </c>
      <c r="U14" s="25" t="s">
        <v>6</v>
      </c>
      <c r="V14" s="25" t="s">
        <v>6</v>
      </c>
      <c r="W14" s="29" t="s">
        <v>4</v>
      </c>
      <c r="X14" s="29" t="s">
        <v>4</v>
      </c>
      <c r="Y14" s="19" t="s">
        <v>41</v>
      </c>
      <c r="Z14" s="19" t="s">
        <v>41</v>
      </c>
      <c r="AA14" s="13" t="s">
        <v>37</v>
      </c>
      <c r="AB14" s="25" t="s">
        <v>6</v>
      </c>
      <c r="AC14" s="25" t="s">
        <v>6</v>
      </c>
      <c r="AD14" s="29" t="s">
        <v>4</v>
      </c>
      <c r="AE14" s="25" t="s">
        <v>3</v>
      </c>
      <c r="AF14" s="25" t="s">
        <v>6</v>
      </c>
    </row>
    <row r="15" spans="1:32" ht="15" thickBot="1" x14ac:dyDescent="0.4">
      <c r="A15" s="67" t="s">
        <v>19</v>
      </c>
      <c r="B15" s="29" t="s">
        <v>4</v>
      </c>
      <c r="C15" s="29" t="s">
        <v>4</v>
      </c>
      <c r="D15" s="25" t="s">
        <v>6</v>
      </c>
      <c r="E15" s="55" t="s">
        <v>5</v>
      </c>
      <c r="F15" s="55" t="s">
        <v>5</v>
      </c>
      <c r="G15" s="25" t="s">
        <v>6</v>
      </c>
      <c r="H15" s="25" t="s">
        <v>6</v>
      </c>
      <c r="I15" s="66" t="s">
        <v>30</v>
      </c>
      <c r="J15" s="29" t="s">
        <v>4</v>
      </c>
      <c r="K15" s="25" t="s">
        <v>6</v>
      </c>
      <c r="L15" s="25" t="s">
        <v>6</v>
      </c>
      <c r="M15" s="25" t="s">
        <v>6</v>
      </c>
      <c r="N15" s="25" t="s">
        <v>6</v>
      </c>
      <c r="O15" s="25" t="s">
        <v>6</v>
      </c>
      <c r="P15" s="29" t="s">
        <v>4</v>
      </c>
      <c r="Q15" s="29" t="s">
        <v>4</v>
      </c>
      <c r="R15" s="25" t="s">
        <v>6</v>
      </c>
      <c r="S15" s="25" t="s">
        <v>6</v>
      </c>
      <c r="T15" s="25" t="s">
        <v>6</v>
      </c>
      <c r="U15" s="27" t="s">
        <v>34</v>
      </c>
      <c r="V15" s="12" t="s">
        <v>2</v>
      </c>
      <c r="W15" s="25" t="s">
        <v>3</v>
      </c>
      <c r="X15" s="25" t="s">
        <v>3</v>
      </c>
      <c r="Y15" s="25" t="s">
        <v>6</v>
      </c>
      <c r="Z15" s="12" t="s">
        <v>2</v>
      </c>
      <c r="AA15" s="28" t="s">
        <v>37</v>
      </c>
      <c r="AB15" s="25" t="s">
        <v>6</v>
      </c>
      <c r="AC15" s="25" t="s">
        <v>6</v>
      </c>
      <c r="AD15" s="29" t="s">
        <v>4</v>
      </c>
      <c r="AE15" s="29" t="s">
        <v>4</v>
      </c>
      <c r="AF15" s="19" t="s">
        <v>41</v>
      </c>
    </row>
    <row r="16" spans="1:32" ht="15" thickBot="1" x14ac:dyDescent="0.4">
      <c r="A16" s="67" t="s">
        <v>44</v>
      </c>
      <c r="B16" s="29" t="s">
        <v>4</v>
      </c>
      <c r="C16" s="29" t="s">
        <v>4</v>
      </c>
      <c r="D16" s="19" t="s">
        <v>41</v>
      </c>
      <c r="E16" s="19" t="s">
        <v>41</v>
      </c>
      <c r="F16" s="19" t="s">
        <v>41</v>
      </c>
      <c r="G16" s="19" t="s">
        <v>41</v>
      </c>
      <c r="H16" s="19" t="s">
        <v>41</v>
      </c>
      <c r="I16" s="29" t="s">
        <v>4</v>
      </c>
      <c r="J16" s="29" t="s">
        <v>4</v>
      </c>
      <c r="K16" s="19" t="s">
        <v>41</v>
      </c>
      <c r="L16" s="19" t="s">
        <v>41</v>
      </c>
      <c r="M16" s="19" t="s">
        <v>41</v>
      </c>
      <c r="N16" s="19" t="s">
        <v>41</v>
      </c>
      <c r="O16" s="19" t="s">
        <v>41</v>
      </c>
      <c r="P16" s="66" t="s">
        <v>30</v>
      </c>
      <c r="Q16" s="29" t="s">
        <v>4</v>
      </c>
      <c r="R16" s="19" t="s">
        <v>41</v>
      </c>
      <c r="S16" s="23" t="s">
        <v>17</v>
      </c>
      <c r="T16" s="19" t="s">
        <v>41</v>
      </c>
      <c r="U16" s="19" t="s">
        <v>41</v>
      </c>
      <c r="V16" s="19" t="s">
        <v>41</v>
      </c>
      <c r="W16" s="29" t="s">
        <v>4</v>
      </c>
      <c r="X16" s="29" t="s">
        <v>4</v>
      </c>
      <c r="Y16" s="19" t="s">
        <v>41</v>
      </c>
      <c r="Z16" s="19" t="s">
        <v>41</v>
      </c>
      <c r="AA16" s="66" t="s">
        <v>30</v>
      </c>
      <c r="AB16" s="19" t="s">
        <v>41</v>
      </c>
      <c r="AC16" s="19" t="s">
        <v>41</v>
      </c>
      <c r="AD16" s="29" t="s">
        <v>4</v>
      </c>
      <c r="AE16" s="29" t="s">
        <v>4</v>
      </c>
      <c r="AF16" s="19" t="s">
        <v>41</v>
      </c>
    </row>
    <row r="17" spans="1:32" x14ac:dyDescent="0.35">
      <c r="A17" s="69" t="s">
        <v>72</v>
      </c>
      <c r="B17" s="29" t="s">
        <v>4</v>
      </c>
      <c r="C17" s="29" t="s">
        <v>4</v>
      </c>
      <c r="D17" s="22" t="s">
        <v>16</v>
      </c>
      <c r="E17" s="22" t="s">
        <v>16</v>
      </c>
      <c r="F17" s="22" t="s">
        <v>16</v>
      </c>
      <c r="G17" s="22" t="s">
        <v>16</v>
      </c>
      <c r="H17" s="22" t="s">
        <v>16</v>
      </c>
      <c r="I17" s="29" t="s">
        <v>4</v>
      </c>
      <c r="J17" s="29" t="s">
        <v>4</v>
      </c>
      <c r="K17" s="22" t="s">
        <v>16</v>
      </c>
      <c r="L17" s="22" t="s">
        <v>16</v>
      </c>
      <c r="M17" s="22" t="s">
        <v>16</v>
      </c>
      <c r="N17" s="22" t="s">
        <v>16</v>
      </c>
      <c r="O17" s="22" t="s">
        <v>16</v>
      </c>
      <c r="P17" s="29" t="s">
        <v>4</v>
      </c>
      <c r="Q17" s="29" t="s">
        <v>4</v>
      </c>
      <c r="R17" s="22" t="s">
        <v>16</v>
      </c>
      <c r="S17" s="22" t="s">
        <v>16</v>
      </c>
      <c r="T17" s="22" t="s">
        <v>16</v>
      </c>
      <c r="U17" s="22" t="s">
        <v>16</v>
      </c>
      <c r="V17" s="22" t="s">
        <v>16</v>
      </c>
      <c r="W17" s="29" t="s">
        <v>4</v>
      </c>
      <c r="X17" s="29" t="s">
        <v>4</v>
      </c>
      <c r="Y17" s="22" t="s">
        <v>16</v>
      </c>
      <c r="Z17" s="22" t="s">
        <v>16</v>
      </c>
      <c r="AA17" s="28" t="s">
        <v>37</v>
      </c>
      <c r="AB17" s="22" t="s">
        <v>16</v>
      </c>
      <c r="AC17" s="22" t="s">
        <v>16</v>
      </c>
      <c r="AD17" s="29" t="s">
        <v>4</v>
      </c>
      <c r="AE17" s="29" t="s">
        <v>4</v>
      </c>
      <c r="AF17" s="22" t="s">
        <v>16</v>
      </c>
    </row>
    <row r="19" spans="1:32" x14ac:dyDescent="0.35">
      <c r="A19" s="24" t="s">
        <v>23</v>
      </c>
    </row>
    <row r="20" spans="1:32" x14ac:dyDescent="0.35">
      <c r="A20" s="1" t="s">
        <v>24</v>
      </c>
      <c r="B20" s="22" t="s">
        <v>16</v>
      </c>
      <c r="D20" s="22" t="s">
        <v>16</v>
      </c>
    </row>
    <row r="21" spans="1:32" x14ac:dyDescent="0.35">
      <c r="A21" s="1" t="s">
        <v>25</v>
      </c>
      <c r="B21" s="25" t="s">
        <v>6</v>
      </c>
      <c r="D21" s="25" t="s">
        <v>6</v>
      </c>
    </row>
    <row r="22" spans="1:32" x14ac:dyDescent="0.35">
      <c r="A22" s="1" t="s">
        <v>47</v>
      </c>
      <c r="B22" s="19" t="s">
        <v>41</v>
      </c>
      <c r="D22" s="19" t="s">
        <v>41</v>
      </c>
    </row>
    <row r="23" spans="1:32" x14ac:dyDescent="0.35">
      <c r="A23" s="1" t="s">
        <v>48</v>
      </c>
      <c r="B23" s="10" t="s">
        <v>39</v>
      </c>
      <c r="D23" s="10" t="s">
        <v>39</v>
      </c>
    </row>
    <row r="24" spans="1:32" x14ac:dyDescent="0.35">
      <c r="A24" s="26" t="s">
        <v>26</v>
      </c>
      <c r="B24" s="16" t="s">
        <v>8</v>
      </c>
      <c r="D24" s="16" t="s">
        <v>8</v>
      </c>
    </row>
    <row r="25" spans="1:32" x14ac:dyDescent="0.35">
      <c r="A25" s="26" t="s">
        <v>27</v>
      </c>
      <c r="B25" s="17" t="s">
        <v>10</v>
      </c>
      <c r="D25" s="17" t="s">
        <v>10</v>
      </c>
    </row>
    <row r="26" spans="1:32" x14ac:dyDescent="0.35">
      <c r="A26" s="26" t="s">
        <v>28</v>
      </c>
      <c r="B26" s="14" t="s">
        <v>3</v>
      </c>
      <c r="D26" s="14" t="s">
        <v>3</v>
      </c>
    </row>
    <row r="27" spans="1:32" x14ac:dyDescent="0.35">
      <c r="A27" s="26" t="s">
        <v>29</v>
      </c>
      <c r="B27" s="22" t="s">
        <v>30</v>
      </c>
      <c r="D27" s="22" t="s">
        <v>30</v>
      </c>
    </row>
    <row r="28" spans="1:32" x14ac:dyDescent="0.35">
      <c r="A28" s="26" t="s">
        <v>49</v>
      </c>
      <c r="B28" s="19" t="s">
        <v>42</v>
      </c>
      <c r="D28" s="19" t="s">
        <v>42</v>
      </c>
    </row>
    <row r="29" spans="1:32" x14ac:dyDescent="0.35">
      <c r="A29" s="26" t="s">
        <v>50</v>
      </c>
      <c r="B29" s="10" t="s">
        <v>40</v>
      </c>
      <c r="D29" s="10" t="s">
        <v>40</v>
      </c>
    </row>
    <row r="30" spans="1:32" x14ac:dyDescent="0.35">
      <c r="A30" s="26" t="s">
        <v>31</v>
      </c>
      <c r="B30" s="17" t="s">
        <v>11</v>
      </c>
      <c r="D30" s="17" t="s">
        <v>11</v>
      </c>
    </row>
    <row r="31" spans="1:32" x14ac:dyDescent="0.35">
      <c r="A31" s="26" t="s">
        <v>32</v>
      </c>
      <c r="B31" s="13" t="s">
        <v>5</v>
      </c>
      <c r="D31" s="13" t="s">
        <v>5</v>
      </c>
    </row>
    <row r="32" spans="1:32" x14ac:dyDescent="0.35">
      <c r="A32" s="26" t="s">
        <v>33</v>
      </c>
      <c r="B32" s="27" t="s">
        <v>34</v>
      </c>
      <c r="D32" s="27" t="s">
        <v>34</v>
      </c>
    </row>
    <row r="33" spans="1:4" x14ac:dyDescent="0.35">
      <c r="A33" s="26" t="s">
        <v>35</v>
      </c>
      <c r="B33" s="12" t="s">
        <v>2</v>
      </c>
      <c r="D33" s="12" t="s">
        <v>2</v>
      </c>
    </row>
    <row r="34" spans="1:4" x14ac:dyDescent="0.35">
      <c r="A34" s="26" t="s">
        <v>36</v>
      </c>
      <c r="B34" s="28" t="s">
        <v>37</v>
      </c>
      <c r="D34" s="28" t="s">
        <v>37</v>
      </c>
    </row>
    <row r="35" spans="1:4" x14ac:dyDescent="0.35">
      <c r="A35" s="26" t="s">
        <v>38</v>
      </c>
      <c r="B35" s="29" t="s">
        <v>4</v>
      </c>
      <c r="D35" s="29" t="s">
        <v>4</v>
      </c>
    </row>
    <row r="36" spans="1:4" x14ac:dyDescent="0.35">
      <c r="A36" s="26" t="s">
        <v>36</v>
      </c>
      <c r="B36" s="28" t="s">
        <v>37</v>
      </c>
      <c r="D36" s="28" t="s">
        <v>37</v>
      </c>
    </row>
    <row r="37" spans="1:4" x14ac:dyDescent="0.35">
      <c r="A37" s="26" t="s">
        <v>38</v>
      </c>
      <c r="B37" s="29" t="s">
        <v>4</v>
      </c>
      <c r="D37" s="29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39"/>
  <sheetViews>
    <sheetView zoomScale="80" zoomScaleNormal="80" workbookViewId="0">
      <pane xSplit="1" topLeftCell="C1" activePane="topRight" state="frozen"/>
      <selection pane="topRight" activeCell="D10" sqref="D10"/>
    </sheetView>
  </sheetViews>
  <sheetFormatPr defaultColWidth="9.1796875" defaultRowHeight="14.5" x14ac:dyDescent="0.35"/>
  <cols>
    <col min="1" max="1" width="26.1796875" style="45" bestFit="1" customWidth="1"/>
    <col min="2" max="2" width="6.453125" style="45" hidden="1" customWidth="1"/>
    <col min="3" max="3" width="7.1796875" style="45" customWidth="1"/>
    <col min="4" max="6" width="6.81640625" style="45" customWidth="1"/>
    <col min="7" max="8" width="7.1796875" style="45" customWidth="1"/>
    <col min="9" max="13" width="6.81640625" style="45" customWidth="1"/>
    <col min="14" max="15" width="7.1796875" style="45" customWidth="1"/>
    <col min="16" max="17" width="9.26953125" style="45" customWidth="1"/>
    <col min="18" max="19" width="7.26953125" style="45" customWidth="1"/>
    <col min="20" max="20" width="7.54296875" style="45" customWidth="1"/>
    <col min="21" max="21" width="7.26953125" style="45" customWidth="1"/>
    <col min="22" max="22" width="7.54296875" style="45" customWidth="1"/>
    <col min="23" max="24" width="9.26953125" style="45" customWidth="1"/>
    <col min="25" max="25" width="7.54296875" style="45" customWidth="1"/>
    <col min="26" max="26" width="9.26953125" style="45" customWidth="1"/>
    <col min="27" max="29" width="7.54296875" style="45" customWidth="1"/>
    <col min="30" max="30" width="9.26953125" style="45" customWidth="1"/>
    <col min="31" max="34" width="9.1796875" style="45" customWidth="1"/>
    <col min="35" max="16384" width="9.1796875" style="45"/>
  </cols>
  <sheetData>
    <row r="1" spans="1:30" ht="15" customHeight="1" x14ac:dyDescent="0.35">
      <c r="A1" s="30"/>
      <c r="B1" s="3" t="str">
        <f t="shared" ref="B1" si="0">TEXT(B2,"ddd")</f>
        <v>Mon</v>
      </c>
      <c r="C1" s="4" t="str">
        <f t="shared" ref="C1:AD1" si="1">TEXT(C2,"ddd")</f>
        <v>Tue</v>
      </c>
      <c r="D1" s="5" t="str">
        <f t="shared" si="1"/>
        <v>Wed</v>
      </c>
      <c r="E1" s="3" t="str">
        <f t="shared" si="1"/>
        <v>Thu</v>
      </c>
      <c r="F1" s="4" t="str">
        <f t="shared" si="1"/>
        <v>Fri</v>
      </c>
      <c r="G1" s="5" t="str">
        <f t="shared" si="1"/>
        <v>Sat</v>
      </c>
      <c r="H1" s="6" t="str">
        <f t="shared" si="1"/>
        <v>Sun</v>
      </c>
      <c r="I1" s="2" t="str">
        <f t="shared" si="1"/>
        <v>Mon</v>
      </c>
      <c r="J1" s="2" t="str">
        <f t="shared" si="1"/>
        <v>Tue</v>
      </c>
      <c r="K1" s="2" t="str">
        <f t="shared" si="1"/>
        <v>Wed</v>
      </c>
      <c r="L1" s="3" t="str">
        <f t="shared" si="1"/>
        <v>Thu</v>
      </c>
      <c r="M1" s="4" t="str">
        <f t="shared" si="1"/>
        <v>Fri</v>
      </c>
      <c r="N1" s="5" t="str">
        <f t="shared" si="1"/>
        <v>Sat</v>
      </c>
      <c r="O1" s="6" t="str">
        <f t="shared" si="1"/>
        <v>Sun</v>
      </c>
      <c r="P1" s="2" t="str">
        <f t="shared" si="1"/>
        <v>Mon</v>
      </c>
      <c r="Q1" s="2" t="str">
        <f t="shared" si="1"/>
        <v>Tue</v>
      </c>
      <c r="R1" s="2" t="str">
        <f t="shared" si="1"/>
        <v>Wed</v>
      </c>
      <c r="S1" s="3" t="str">
        <f t="shared" si="1"/>
        <v>Thu</v>
      </c>
      <c r="T1" s="4" t="str">
        <f t="shared" si="1"/>
        <v>Fri</v>
      </c>
      <c r="U1" s="5" t="str">
        <f t="shared" si="1"/>
        <v>Sat</v>
      </c>
      <c r="V1" s="6" t="str">
        <f t="shared" si="1"/>
        <v>Sun</v>
      </c>
      <c r="W1" s="2" t="str">
        <f t="shared" si="1"/>
        <v>Mon</v>
      </c>
      <c r="X1" s="2" t="str">
        <f t="shared" si="1"/>
        <v>Tue</v>
      </c>
      <c r="Y1" s="2" t="str">
        <f t="shared" si="1"/>
        <v>Wed</v>
      </c>
      <c r="Z1" s="3" t="str">
        <f t="shared" si="1"/>
        <v>Thu</v>
      </c>
      <c r="AA1" s="4" t="str">
        <f t="shared" si="1"/>
        <v>Fri</v>
      </c>
      <c r="AB1" s="5" t="str">
        <f t="shared" si="1"/>
        <v>Sat</v>
      </c>
      <c r="AC1" s="6" t="str">
        <f t="shared" si="1"/>
        <v>Sun</v>
      </c>
      <c r="AD1" s="2" t="str">
        <f t="shared" si="1"/>
        <v>Mon</v>
      </c>
    </row>
    <row r="2" spans="1:30" x14ac:dyDescent="0.35">
      <c r="A2" s="7" t="s">
        <v>0</v>
      </c>
      <c r="B2" s="59">
        <v>44592</v>
      </c>
      <c r="C2" s="58">
        <v>44593</v>
      </c>
      <c r="D2" s="58">
        <v>44594</v>
      </c>
      <c r="E2" s="58">
        <v>44595</v>
      </c>
      <c r="F2" s="58">
        <v>44596</v>
      </c>
      <c r="G2" s="58">
        <v>44597</v>
      </c>
      <c r="H2" s="58">
        <v>44598</v>
      </c>
      <c r="I2" s="58">
        <v>44599</v>
      </c>
      <c r="J2" s="58">
        <v>44600</v>
      </c>
      <c r="K2" s="58">
        <v>44601</v>
      </c>
      <c r="L2" s="58">
        <v>44602</v>
      </c>
      <c r="M2" s="58">
        <v>44603</v>
      </c>
      <c r="N2" s="58">
        <v>44604</v>
      </c>
      <c r="O2" s="58">
        <v>44605</v>
      </c>
      <c r="P2" s="58">
        <v>44606</v>
      </c>
      <c r="Q2" s="58">
        <v>44607</v>
      </c>
      <c r="R2" s="58">
        <v>44608</v>
      </c>
      <c r="S2" s="58">
        <v>44609</v>
      </c>
      <c r="T2" s="58">
        <v>44610</v>
      </c>
      <c r="U2" s="58">
        <v>44611</v>
      </c>
      <c r="V2" s="58">
        <v>44612</v>
      </c>
      <c r="W2" s="58">
        <v>44613</v>
      </c>
      <c r="X2" s="58">
        <v>44614</v>
      </c>
      <c r="Y2" s="58">
        <v>44615</v>
      </c>
      <c r="Z2" s="58">
        <v>44616</v>
      </c>
      <c r="AA2" s="58">
        <v>44617</v>
      </c>
      <c r="AB2" s="58">
        <v>44618</v>
      </c>
      <c r="AC2" s="58">
        <v>44619</v>
      </c>
      <c r="AD2" s="58">
        <v>44620</v>
      </c>
    </row>
    <row r="3" spans="1:30" x14ac:dyDescent="0.35">
      <c r="A3" s="8"/>
      <c r="B3" s="33"/>
      <c r="C3" s="34"/>
      <c r="D3" s="35"/>
      <c r="E3" s="33"/>
      <c r="F3" s="34"/>
      <c r="G3" s="35"/>
      <c r="H3" s="36"/>
      <c r="I3" s="32"/>
      <c r="J3" s="32"/>
      <c r="K3" s="32"/>
      <c r="L3" s="33"/>
      <c r="M3" s="34"/>
      <c r="N3" s="35"/>
      <c r="O3" s="36"/>
      <c r="P3" s="32"/>
      <c r="Q3" s="32"/>
      <c r="R3" s="32"/>
      <c r="S3" s="33"/>
      <c r="T3" s="34"/>
      <c r="U3" s="35"/>
      <c r="V3" s="36"/>
      <c r="W3" s="32"/>
      <c r="X3" s="32"/>
      <c r="Y3" s="32"/>
      <c r="Z3" s="33"/>
      <c r="AA3" s="34"/>
      <c r="AB3" s="35"/>
      <c r="AC3" s="36"/>
      <c r="AD3" s="32"/>
    </row>
    <row r="4" spans="1:30" x14ac:dyDescent="0.35">
      <c r="A4" s="9" t="s">
        <v>1</v>
      </c>
      <c r="B4" s="11" t="s">
        <v>2</v>
      </c>
      <c r="C4" s="13" t="s">
        <v>5</v>
      </c>
      <c r="D4" s="13" t="s">
        <v>5</v>
      </c>
      <c r="E4" s="13" t="s">
        <v>5</v>
      </c>
      <c r="F4" s="13" t="s">
        <v>5</v>
      </c>
      <c r="G4" s="29" t="s">
        <v>4</v>
      </c>
      <c r="H4" s="29" t="s">
        <v>4</v>
      </c>
      <c r="I4" s="10" t="s">
        <v>39</v>
      </c>
      <c r="J4" s="16" t="s">
        <v>8</v>
      </c>
      <c r="K4" s="16" t="s">
        <v>8</v>
      </c>
      <c r="L4" s="16" t="s">
        <v>8</v>
      </c>
      <c r="M4" s="12" t="s">
        <v>2</v>
      </c>
      <c r="N4" s="60" t="s">
        <v>40</v>
      </c>
      <c r="O4" s="25" t="s">
        <v>3</v>
      </c>
      <c r="P4" s="10" t="s">
        <v>39</v>
      </c>
      <c r="Q4" s="10" t="s">
        <v>39</v>
      </c>
      <c r="R4" s="16" t="s">
        <v>8</v>
      </c>
      <c r="S4" s="16" t="s">
        <v>8</v>
      </c>
      <c r="T4" s="12" t="s">
        <v>2</v>
      </c>
      <c r="U4" s="60" t="s">
        <v>40</v>
      </c>
      <c r="V4" s="60" t="s">
        <v>40</v>
      </c>
      <c r="W4" s="25" t="s">
        <v>6</v>
      </c>
      <c r="X4" s="12" t="s">
        <v>2</v>
      </c>
      <c r="Y4" s="19" t="s">
        <v>41</v>
      </c>
      <c r="Z4" s="19" t="s">
        <v>41</v>
      </c>
      <c r="AA4" s="12" t="s">
        <v>2</v>
      </c>
      <c r="AB4" s="60" t="s">
        <v>40</v>
      </c>
      <c r="AC4" s="60" t="s">
        <v>40</v>
      </c>
      <c r="AD4" s="12" t="s">
        <v>2</v>
      </c>
    </row>
    <row r="5" spans="1:30" x14ac:dyDescent="0.35">
      <c r="A5" s="9" t="s">
        <v>9</v>
      </c>
      <c r="B5" s="17" t="s">
        <v>10</v>
      </c>
      <c r="C5" s="17" t="s">
        <v>10</v>
      </c>
      <c r="D5" s="11" t="s">
        <v>2</v>
      </c>
      <c r="E5" s="25" t="s">
        <v>6</v>
      </c>
      <c r="F5" s="25" t="s">
        <v>6</v>
      </c>
      <c r="G5" s="17" t="s">
        <v>11</v>
      </c>
      <c r="H5" s="17" t="s">
        <v>11</v>
      </c>
      <c r="I5" s="17" t="s">
        <v>10</v>
      </c>
      <c r="J5" s="12" t="s">
        <v>2</v>
      </c>
      <c r="K5" s="25" t="s">
        <v>6</v>
      </c>
      <c r="L5" s="25" t="s">
        <v>6</v>
      </c>
      <c r="M5" s="25" t="s">
        <v>6</v>
      </c>
      <c r="N5" s="68" t="s">
        <v>4</v>
      </c>
      <c r="O5" s="17" t="s">
        <v>11</v>
      </c>
      <c r="P5" s="17" t="s">
        <v>10</v>
      </c>
      <c r="Q5" s="17" t="s">
        <v>10</v>
      </c>
      <c r="R5" s="13" t="s">
        <v>5</v>
      </c>
      <c r="S5" s="13" t="s">
        <v>5</v>
      </c>
      <c r="T5" s="13" t="s">
        <v>5</v>
      </c>
      <c r="U5" s="68" t="s">
        <v>4</v>
      </c>
      <c r="V5" s="68" t="s">
        <v>4</v>
      </c>
      <c r="W5" s="13" t="s">
        <v>5</v>
      </c>
      <c r="X5" s="17" t="s">
        <v>10</v>
      </c>
      <c r="Y5" s="17" t="s">
        <v>10</v>
      </c>
      <c r="Z5" s="17" t="s">
        <v>10</v>
      </c>
      <c r="AA5" s="17" t="s">
        <v>10</v>
      </c>
      <c r="AB5" s="68" t="s">
        <v>4</v>
      </c>
      <c r="AC5" s="17" t="s">
        <v>11</v>
      </c>
      <c r="AD5" s="17" t="s">
        <v>10</v>
      </c>
    </row>
    <row r="6" spans="1:30" x14ac:dyDescent="0.35">
      <c r="A6" s="9" t="s">
        <v>12</v>
      </c>
      <c r="B6" s="25" t="s">
        <v>6</v>
      </c>
      <c r="C6" s="25" t="s">
        <v>6</v>
      </c>
      <c r="D6" s="19" t="s">
        <v>41</v>
      </c>
      <c r="E6" s="13" t="s">
        <v>5</v>
      </c>
      <c r="F6" s="13" t="s">
        <v>5</v>
      </c>
      <c r="G6" s="29" t="s">
        <v>4</v>
      </c>
      <c r="H6" s="29" t="s">
        <v>4</v>
      </c>
      <c r="I6" s="13" t="s">
        <v>5</v>
      </c>
      <c r="J6" s="13" t="s">
        <v>5</v>
      </c>
      <c r="K6" s="13" t="s">
        <v>5</v>
      </c>
      <c r="L6" s="17" t="s">
        <v>10</v>
      </c>
      <c r="M6" s="17" t="s">
        <v>10</v>
      </c>
      <c r="N6" s="17" t="s">
        <v>11</v>
      </c>
      <c r="O6" s="17" t="s">
        <v>11</v>
      </c>
      <c r="P6" s="12" t="s">
        <v>2</v>
      </c>
      <c r="Q6" s="12" t="s">
        <v>2</v>
      </c>
      <c r="R6" s="25" t="s">
        <v>6</v>
      </c>
      <c r="S6" s="25" t="s">
        <v>6</v>
      </c>
      <c r="T6" s="25" t="s">
        <v>6</v>
      </c>
      <c r="U6" s="25" t="s">
        <v>3</v>
      </c>
      <c r="V6" s="25" t="s">
        <v>3</v>
      </c>
      <c r="W6" s="12" t="s">
        <v>2</v>
      </c>
      <c r="X6" s="25" t="s">
        <v>6</v>
      </c>
      <c r="Y6" s="25" t="s">
        <v>6</v>
      </c>
      <c r="Z6" s="25" t="s">
        <v>6</v>
      </c>
      <c r="AA6" s="25" t="s">
        <v>6</v>
      </c>
      <c r="AB6" s="17" t="s">
        <v>11</v>
      </c>
      <c r="AC6" s="29" t="s">
        <v>4</v>
      </c>
      <c r="AD6" s="25" t="s">
        <v>6</v>
      </c>
    </row>
    <row r="7" spans="1:30" x14ac:dyDescent="0.35">
      <c r="A7" s="9" t="s">
        <v>13</v>
      </c>
      <c r="B7" s="25" t="s">
        <v>6</v>
      </c>
      <c r="C7" s="25" t="s">
        <v>6</v>
      </c>
      <c r="D7" s="17" t="s">
        <v>10</v>
      </c>
      <c r="E7" s="17" t="s">
        <v>10</v>
      </c>
      <c r="F7" s="17" t="s">
        <v>10</v>
      </c>
      <c r="G7" s="29" t="s">
        <v>4</v>
      </c>
      <c r="H7" s="29" t="s">
        <v>4</v>
      </c>
      <c r="I7" s="25" t="s">
        <v>6</v>
      </c>
      <c r="J7" s="25" t="s">
        <v>6</v>
      </c>
      <c r="K7" s="19" t="s">
        <v>41</v>
      </c>
      <c r="L7" s="12" t="s">
        <v>2</v>
      </c>
      <c r="M7" s="19" t="s">
        <v>41</v>
      </c>
      <c r="N7" s="21" t="s">
        <v>42</v>
      </c>
      <c r="O7" s="21" t="s">
        <v>42</v>
      </c>
      <c r="P7" s="12" t="s">
        <v>2</v>
      </c>
      <c r="Q7" s="10" t="s">
        <v>39</v>
      </c>
      <c r="R7" s="17" t="s">
        <v>10</v>
      </c>
      <c r="S7" s="17" t="s">
        <v>10</v>
      </c>
      <c r="T7" s="17" t="s">
        <v>10</v>
      </c>
      <c r="U7" s="29" t="s">
        <v>4</v>
      </c>
      <c r="V7" s="29" t="s">
        <v>4</v>
      </c>
      <c r="W7" s="19" t="s">
        <v>41</v>
      </c>
      <c r="X7" s="19" t="s">
        <v>41</v>
      </c>
      <c r="Y7" s="19" t="s">
        <v>41</v>
      </c>
      <c r="Z7" s="12" t="s">
        <v>2</v>
      </c>
      <c r="AA7" s="25" t="s">
        <v>6</v>
      </c>
      <c r="AB7" s="25" t="s">
        <v>3</v>
      </c>
      <c r="AC7" s="25" t="s">
        <v>3</v>
      </c>
      <c r="AD7" s="12" t="s">
        <v>2</v>
      </c>
    </row>
    <row r="8" spans="1:30" x14ac:dyDescent="0.35">
      <c r="A8" s="9" t="s">
        <v>14</v>
      </c>
      <c r="B8" s="19" t="s">
        <v>41</v>
      </c>
      <c r="C8" s="19" t="s">
        <v>41</v>
      </c>
      <c r="D8" s="25" t="s">
        <v>6</v>
      </c>
      <c r="E8" s="11" t="s">
        <v>2</v>
      </c>
      <c r="F8" s="19" t="s">
        <v>41</v>
      </c>
      <c r="G8" s="25" t="s">
        <v>3</v>
      </c>
      <c r="H8" s="25" t="s">
        <v>3</v>
      </c>
      <c r="I8" s="25" t="s">
        <v>6</v>
      </c>
      <c r="J8" s="17" t="s">
        <v>10</v>
      </c>
      <c r="K8" s="17" t="s">
        <v>10</v>
      </c>
      <c r="L8" s="12" t="s">
        <v>2</v>
      </c>
      <c r="M8" s="19" t="s">
        <v>41</v>
      </c>
      <c r="N8" s="21" t="s">
        <v>42</v>
      </c>
      <c r="O8" s="25" t="s">
        <v>3</v>
      </c>
      <c r="P8" s="12" t="s">
        <v>2</v>
      </c>
      <c r="Q8" s="25" t="s">
        <v>6</v>
      </c>
      <c r="R8" s="25" t="s">
        <v>6</v>
      </c>
      <c r="S8" s="19" t="s">
        <v>41</v>
      </c>
      <c r="T8" s="19" t="s">
        <v>41</v>
      </c>
      <c r="U8" s="68" t="s">
        <v>4</v>
      </c>
      <c r="V8" s="68" t="s">
        <v>4</v>
      </c>
      <c r="W8" s="13" t="s">
        <v>5</v>
      </c>
      <c r="X8" s="19" t="s">
        <v>41</v>
      </c>
      <c r="Y8" s="25" t="s">
        <v>6</v>
      </c>
      <c r="Z8" s="25" t="s">
        <v>6</v>
      </c>
      <c r="AA8" s="13" t="s">
        <v>5</v>
      </c>
      <c r="AB8" s="68" t="s">
        <v>4</v>
      </c>
      <c r="AC8" s="68" t="s">
        <v>4</v>
      </c>
      <c r="AD8" s="13" t="s">
        <v>5</v>
      </c>
    </row>
    <row r="9" spans="1:30" x14ac:dyDescent="0.35">
      <c r="A9" s="9" t="s">
        <v>15</v>
      </c>
      <c r="B9" s="11" t="s">
        <v>2</v>
      </c>
      <c r="C9" s="11" t="s">
        <v>2</v>
      </c>
      <c r="D9" s="25" t="s">
        <v>6</v>
      </c>
      <c r="E9" s="19" t="s">
        <v>41</v>
      </c>
      <c r="F9" s="19" t="s">
        <v>41</v>
      </c>
      <c r="G9" s="21" t="s">
        <v>42</v>
      </c>
      <c r="H9" s="21" t="s">
        <v>42</v>
      </c>
      <c r="I9" s="12" t="s">
        <v>2</v>
      </c>
      <c r="J9" s="19" t="s">
        <v>41</v>
      </c>
      <c r="K9" s="19" t="s">
        <v>41</v>
      </c>
      <c r="L9" s="19" t="s">
        <v>41</v>
      </c>
      <c r="M9" s="19" t="s">
        <v>41</v>
      </c>
      <c r="N9" s="29" t="s">
        <v>4</v>
      </c>
      <c r="O9" s="29" t="s">
        <v>4</v>
      </c>
      <c r="P9" s="25" t="s">
        <v>6</v>
      </c>
      <c r="Q9" s="25" t="s">
        <v>6</v>
      </c>
      <c r="R9" s="19" t="s">
        <v>41</v>
      </c>
      <c r="S9" s="12" t="s">
        <v>2</v>
      </c>
      <c r="T9" s="25" t="s">
        <v>6</v>
      </c>
      <c r="U9" s="17" t="s">
        <v>11</v>
      </c>
      <c r="V9" s="17" t="s">
        <v>11</v>
      </c>
      <c r="W9" s="17" t="s">
        <v>10</v>
      </c>
      <c r="X9" s="17" t="s">
        <v>10</v>
      </c>
      <c r="Y9" s="17" t="s">
        <v>10</v>
      </c>
      <c r="Z9" s="12" t="s">
        <v>2</v>
      </c>
      <c r="AA9" s="19" t="s">
        <v>41</v>
      </c>
      <c r="AB9" s="29" t="s">
        <v>4</v>
      </c>
      <c r="AC9" s="29" t="s">
        <v>4</v>
      </c>
      <c r="AD9" s="19" t="s">
        <v>41</v>
      </c>
    </row>
    <row r="10" spans="1:30" x14ac:dyDescent="0.35">
      <c r="A10" s="9" t="s">
        <v>18</v>
      </c>
      <c r="B10" s="11" t="s">
        <v>2</v>
      </c>
      <c r="C10" s="19" t="s">
        <v>41</v>
      </c>
      <c r="D10" s="22" t="s">
        <v>16</v>
      </c>
      <c r="E10" s="25" t="s">
        <v>6</v>
      </c>
      <c r="F10" s="25" t="s">
        <v>6</v>
      </c>
      <c r="G10" s="21" t="s">
        <v>42</v>
      </c>
      <c r="H10" s="21" t="s">
        <v>42</v>
      </c>
      <c r="I10" s="11" t="s">
        <v>2</v>
      </c>
      <c r="J10" s="25" t="s">
        <v>6</v>
      </c>
      <c r="K10" s="25" t="s">
        <v>6</v>
      </c>
      <c r="L10" s="25" t="s">
        <v>6</v>
      </c>
      <c r="M10" s="25" t="s">
        <v>6</v>
      </c>
      <c r="N10" s="29" t="s">
        <v>4</v>
      </c>
      <c r="O10" s="21" t="s">
        <v>42</v>
      </c>
      <c r="P10" s="25" t="s">
        <v>6</v>
      </c>
      <c r="Q10" s="17" t="s">
        <v>10</v>
      </c>
      <c r="R10" s="17" t="s">
        <v>10</v>
      </c>
      <c r="S10" s="17" t="s">
        <v>10</v>
      </c>
      <c r="T10" s="17" t="s">
        <v>10</v>
      </c>
      <c r="U10" s="29" t="s">
        <v>4</v>
      </c>
      <c r="V10" s="29" t="s">
        <v>4</v>
      </c>
      <c r="W10" s="19" t="s">
        <v>41</v>
      </c>
      <c r="X10" s="19" t="s">
        <v>41</v>
      </c>
      <c r="Y10" s="12" t="s">
        <v>2</v>
      </c>
      <c r="Z10" s="12" t="s">
        <v>2</v>
      </c>
      <c r="AA10" s="19" t="s">
        <v>41</v>
      </c>
      <c r="AB10" s="21" t="s">
        <v>42</v>
      </c>
      <c r="AC10" s="21" t="s">
        <v>42</v>
      </c>
      <c r="AD10" s="25" t="s">
        <v>6</v>
      </c>
    </row>
    <row r="11" spans="1:30" ht="14.15" customHeight="1" thickBot="1" x14ac:dyDescent="0.4">
      <c r="A11" s="9" t="s">
        <v>21</v>
      </c>
      <c r="B11" s="17" t="s">
        <v>10</v>
      </c>
      <c r="C11" s="11" t="s">
        <v>2</v>
      </c>
      <c r="D11" s="19" t="s">
        <v>41</v>
      </c>
      <c r="E11" s="19" t="s">
        <v>41</v>
      </c>
      <c r="F11" s="17" t="s">
        <v>10</v>
      </c>
      <c r="G11" s="17" t="s">
        <v>11</v>
      </c>
      <c r="H11" s="17" t="s">
        <v>11</v>
      </c>
      <c r="I11" s="17" t="s">
        <v>10</v>
      </c>
      <c r="J11" s="11" t="s">
        <v>2</v>
      </c>
      <c r="K11" s="19" t="s">
        <v>41</v>
      </c>
      <c r="L11" s="19" t="s">
        <v>41</v>
      </c>
      <c r="M11" s="19" t="s">
        <v>41</v>
      </c>
      <c r="N11" s="25" t="s">
        <v>3</v>
      </c>
      <c r="O11" s="29" t="s">
        <v>4</v>
      </c>
      <c r="P11" s="13" t="s">
        <v>5</v>
      </c>
      <c r="Q11" s="19" t="s">
        <v>41</v>
      </c>
      <c r="R11" s="19" t="s">
        <v>41</v>
      </c>
      <c r="S11" s="19" t="s">
        <v>41</v>
      </c>
      <c r="T11" s="19" t="s">
        <v>41</v>
      </c>
      <c r="U11" s="66" t="s">
        <v>30</v>
      </c>
      <c r="V11" s="29" t="s">
        <v>4</v>
      </c>
      <c r="W11" s="25" t="s">
        <v>6</v>
      </c>
      <c r="X11" s="25" t="s">
        <v>6</v>
      </c>
      <c r="Y11" s="12" t="s">
        <v>2</v>
      </c>
      <c r="Z11" s="17" t="s">
        <v>10</v>
      </c>
      <c r="AA11" s="17" t="s">
        <v>10</v>
      </c>
      <c r="AB11" s="17" t="s">
        <v>11</v>
      </c>
      <c r="AC11" s="17" t="s">
        <v>11</v>
      </c>
      <c r="AD11" s="17" t="s">
        <v>10</v>
      </c>
    </row>
    <row r="12" spans="1:30" x14ac:dyDescent="0.35">
      <c r="A12" s="9" t="s">
        <v>43</v>
      </c>
      <c r="B12" s="19" t="s">
        <v>41</v>
      </c>
      <c r="C12" s="19" t="s">
        <v>41</v>
      </c>
      <c r="D12" s="19" t="s">
        <v>41</v>
      </c>
      <c r="E12" s="11" t="s">
        <v>2</v>
      </c>
      <c r="F12" s="25" t="s">
        <v>6</v>
      </c>
      <c r="G12" s="25" t="s">
        <v>3</v>
      </c>
      <c r="H12" s="29" t="s">
        <v>4</v>
      </c>
      <c r="I12" s="19" t="s">
        <v>41</v>
      </c>
      <c r="J12" s="17" t="s">
        <v>10</v>
      </c>
      <c r="K12" s="17" t="s">
        <v>10</v>
      </c>
      <c r="L12" s="17" t="s">
        <v>10</v>
      </c>
      <c r="M12" s="13" t="s">
        <v>5</v>
      </c>
      <c r="N12" s="68" t="s">
        <v>4</v>
      </c>
      <c r="O12" s="68" t="s">
        <v>4</v>
      </c>
      <c r="P12" s="19" t="s">
        <v>41</v>
      </c>
      <c r="Q12" s="25" t="s">
        <v>6</v>
      </c>
      <c r="R12" s="25" t="s">
        <v>6</v>
      </c>
      <c r="S12" s="12" t="s">
        <v>2</v>
      </c>
      <c r="T12" s="12" t="s">
        <v>2</v>
      </c>
      <c r="U12" s="17" t="s">
        <v>11</v>
      </c>
      <c r="V12" s="17" t="s">
        <v>11</v>
      </c>
      <c r="W12" s="17" t="s">
        <v>10</v>
      </c>
      <c r="X12" s="12" t="s">
        <v>2</v>
      </c>
      <c r="Y12" s="19" t="s">
        <v>41</v>
      </c>
      <c r="Z12" s="19" t="s">
        <v>41</v>
      </c>
      <c r="AA12" s="12" t="s">
        <v>2</v>
      </c>
      <c r="AB12" s="25" t="s">
        <v>3</v>
      </c>
      <c r="AC12" s="25" t="s">
        <v>3</v>
      </c>
      <c r="AD12" s="23" t="s">
        <v>17</v>
      </c>
    </row>
    <row r="13" spans="1:30" x14ac:dyDescent="0.35">
      <c r="A13" s="9" t="s">
        <v>75</v>
      </c>
      <c r="B13" s="11" t="s">
        <v>2</v>
      </c>
      <c r="C13" s="17" t="s">
        <v>10</v>
      </c>
      <c r="D13" s="17" t="s">
        <v>10</v>
      </c>
      <c r="E13" s="17" t="s">
        <v>10</v>
      </c>
      <c r="F13" s="13" t="s">
        <v>5</v>
      </c>
      <c r="G13" s="29" t="s">
        <v>4</v>
      </c>
      <c r="H13" s="29" t="s">
        <v>4</v>
      </c>
      <c r="I13" s="13" t="s">
        <v>5</v>
      </c>
      <c r="J13" s="13" t="s">
        <v>5</v>
      </c>
      <c r="K13" s="13" t="s">
        <v>5</v>
      </c>
      <c r="L13" s="19" t="s">
        <v>41</v>
      </c>
      <c r="M13" s="17" t="s">
        <v>10</v>
      </c>
      <c r="N13" s="17" t="s">
        <v>11</v>
      </c>
      <c r="O13" s="29" t="s">
        <v>4</v>
      </c>
      <c r="P13" s="17" t="s">
        <v>10</v>
      </c>
      <c r="Q13" s="12" t="s">
        <v>2</v>
      </c>
      <c r="R13" s="19" t="s">
        <v>41</v>
      </c>
      <c r="S13" s="19" t="s">
        <v>41</v>
      </c>
      <c r="T13" s="19" t="s">
        <v>41</v>
      </c>
      <c r="U13" s="21" t="s">
        <v>42</v>
      </c>
      <c r="V13" s="21" t="s">
        <v>42</v>
      </c>
      <c r="W13" s="12" t="s">
        <v>2</v>
      </c>
      <c r="X13" s="25" t="s">
        <v>6</v>
      </c>
      <c r="Y13" s="25" t="s">
        <v>6</v>
      </c>
      <c r="Z13" s="25" t="s">
        <v>6</v>
      </c>
      <c r="AA13" s="25" t="s">
        <v>6</v>
      </c>
      <c r="AB13" s="29" t="s">
        <v>4</v>
      </c>
      <c r="AC13" s="29" t="s">
        <v>4</v>
      </c>
      <c r="AD13" s="19" t="s">
        <v>41</v>
      </c>
    </row>
    <row r="14" spans="1:30" x14ac:dyDescent="0.35">
      <c r="A14" s="9" t="s">
        <v>22</v>
      </c>
      <c r="B14" s="25" t="s">
        <v>6</v>
      </c>
      <c r="C14" s="25" t="s">
        <v>6</v>
      </c>
      <c r="D14" s="11" t="s">
        <v>2</v>
      </c>
      <c r="E14" s="25" t="s">
        <v>6</v>
      </c>
      <c r="F14" s="11" t="s">
        <v>2</v>
      </c>
      <c r="G14" s="29" t="s">
        <v>4</v>
      </c>
      <c r="H14" s="25" t="s">
        <v>3</v>
      </c>
      <c r="I14" s="25" t="s">
        <v>6</v>
      </c>
      <c r="J14" s="25" t="s">
        <v>6</v>
      </c>
      <c r="K14" s="11" t="s">
        <v>2</v>
      </c>
      <c r="L14" s="25" t="s">
        <v>6</v>
      </c>
      <c r="M14" s="25" t="s">
        <v>6</v>
      </c>
      <c r="N14" s="29" t="s">
        <v>4</v>
      </c>
      <c r="O14" s="29" t="s">
        <v>4</v>
      </c>
      <c r="P14" s="19" t="s">
        <v>41</v>
      </c>
      <c r="Q14" s="19" t="s">
        <v>41</v>
      </c>
      <c r="R14" s="19" t="s">
        <v>41</v>
      </c>
      <c r="S14" s="25" t="s">
        <v>6</v>
      </c>
      <c r="T14" s="12" t="s">
        <v>2</v>
      </c>
      <c r="U14" s="25" t="s">
        <v>3</v>
      </c>
      <c r="V14" s="25" t="s">
        <v>3</v>
      </c>
      <c r="W14" s="25" t="s">
        <v>6</v>
      </c>
      <c r="X14" s="12" t="s">
        <v>2</v>
      </c>
      <c r="Y14" s="12" t="s">
        <v>2</v>
      </c>
      <c r="Z14" s="19" t="s">
        <v>41</v>
      </c>
      <c r="AA14" s="19" t="s">
        <v>41</v>
      </c>
      <c r="AB14" s="29" t="s">
        <v>4</v>
      </c>
      <c r="AC14" s="29" t="s">
        <v>4</v>
      </c>
      <c r="AD14" s="19" t="s">
        <v>41</v>
      </c>
    </row>
    <row r="15" spans="1:30" ht="15" thickBot="1" x14ac:dyDescent="0.4">
      <c r="A15" s="9" t="s">
        <v>62</v>
      </c>
      <c r="B15" s="19" t="s">
        <v>41</v>
      </c>
      <c r="C15" s="19" t="s">
        <v>41</v>
      </c>
      <c r="D15" s="25" t="s">
        <v>6</v>
      </c>
      <c r="E15" s="19" t="s">
        <v>41</v>
      </c>
      <c r="F15" s="19" t="s">
        <v>41</v>
      </c>
      <c r="G15" s="66" t="s">
        <v>30</v>
      </c>
      <c r="H15" s="29" t="s">
        <v>4</v>
      </c>
      <c r="I15" s="19" t="s">
        <v>41</v>
      </c>
      <c r="J15" s="19" t="s">
        <v>41</v>
      </c>
      <c r="K15" s="25" t="s">
        <v>6</v>
      </c>
      <c r="L15" s="19" t="s">
        <v>41</v>
      </c>
      <c r="M15" s="11" t="s">
        <v>2</v>
      </c>
      <c r="N15" s="66" t="s">
        <v>30</v>
      </c>
      <c r="O15" s="29" t="s">
        <v>4</v>
      </c>
      <c r="P15" s="25" t="s">
        <v>6</v>
      </c>
      <c r="Q15" s="13" t="s">
        <v>5</v>
      </c>
      <c r="R15" s="13" t="s">
        <v>5</v>
      </c>
      <c r="S15" s="13" t="s">
        <v>5</v>
      </c>
      <c r="T15" s="13" t="s">
        <v>5</v>
      </c>
      <c r="U15" s="68" t="s">
        <v>4</v>
      </c>
      <c r="V15" s="68" t="s">
        <v>4</v>
      </c>
      <c r="W15" s="19" t="s">
        <v>41</v>
      </c>
      <c r="X15" s="19" t="s">
        <v>41</v>
      </c>
      <c r="Y15" s="19" t="s">
        <v>41</v>
      </c>
      <c r="Z15" s="19" t="s">
        <v>41</v>
      </c>
      <c r="AA15" s="19" t="s">
        <v>41</v>
      </c>
      <c r="AB15" s="66" t="s">
        <v>30</v>
      </c>
      <c r="AC15" s="29" t="s">
        <v>4</v>
      </c>
      <c r="AD15" s="12" t="s">
        <v>2</v>
      </c>
    </row>
    <row r="16" spans="1:30" x14ac:dyDescent="0.35">
      <c r="A16" s="9" t="s">
        <v>76</v>
      </c>
      <c r="B16" s="22" t="s">
        <v>16</v>
      </c>
      <c r="C16" s="22" t="s">
        <v>16</v>
      </c>
      <c r="D16" s="27" t="s">
        <v>34</v>
      </c>
      <c r="E16" s="22" t="s">
        <v>16</v>
      </c>
      <c r="F16" s="22" t="s">
        <v>16</v>
      </c>
      <c r="G16" s="29" t="s">
        <v>4</v>
      </c>
      <c r="H16" s="29" t="s">
        <v>4</v>
      </c>
      <c r="I16" s="22" t="s">
        <v>16</v>
      </c>
      <c r="J16" s="22" t="s">
        <v>16</v>
      </c>
      <c r="K16" s="22" t="s">
        <v>16</v>
      </c>
      <c r="L16" s="22" t="s">
        <v>16</v>
      </c>
      <c r="M16" s="22" t="s">
        <v>16</v>
      </c>
      <c r="N16" s="29" t="s">
        <v>4</v>
      </c>
      <c r="O16" s="29" t="s">
        <v>4</v>
      </c>
      <c r="P16" s="25" t="s">
        <v>6</v>
      </c>
      <c r="Q16" s="25" t="s">
        <v>6</v>
      </c>
      <c r="R16" s="25" t="s">
        <v>6</v>
      </c>
      <c r="S16" s="25" t="s">
        <v>6</v>
      </c>
      <c r="T16" s="25" t="s">
        <v>6</v>
      </c>
      <c r="U16" s="29" t="s">
        <v>4</v>
      </c>
      <c r="V16" s="29" t="s">
        <v>4</v>
      </c>
      <c r="W16" s="19" t="s">
        <v>41</v>
      </c>
      <c r="X16" s="25" t="s">
        <v>6</v>
      </c>
      <c r="Y16" s="25" t="s">
        <v>6</v>
      </c>
      <c r="Z16" s="25" t="s">
        <v>6</v>
      </c>
      <c r="AA16" s="25" t="s">
        <v>6</v>
      </c>
      <c r="AB16" s="29" t="s">
        <v>4</v>
      </c>
      <c r="AC16" s="29" t="s">
        <v>4</v>
      </c>
      <c r="AD16" s="25" t="s">
        <v>6</v>
      </c>
    </row>
    <row r="17" spans="1:30" x14ac:dyDescent="0.35">
      <c r="A17" s="9" t="s">
        <v>74</v>
      </c>
      <c r="B17" s="22" t="s">
        <v>16</v>
      </c>
      <c r="C17" s="22" t="s">
        <v>16</v>
      </c>
      <c r="D17" s="22" t="s">
        <v>16</v>
      </c>
      <c r="E17" s="22" t="s">
        <v>16</v>
      </c>
      <c r="F17" s="22" t="s">
        <v>16</v>
      </c>
      <c r="G17" s="29" t="s">
        <v>4</v>
      </c>
      <c r="H17" s="29" t="s">
        <v>4</v>
      </c>
      <c r="I17" s="22" t="s">
        <v>16</v>
      </c>
      <c r="J17" s="22" t="s">
        <v>16</v>
      </c>
      <c r="K17" s="22" t="s">
        <v>16</v>
      </c>
      <c r="L17" s="22" t="s">
        <v>16</v>
      </c>
      <c r="M17" s="22" t="s">
        <v>16</v>
      </c>
      <c r="N17" s="29" t="s">
        <v>4</v>
      </c>
      <c r="O17" s="29" t="s">
        <v>4</v>
      </c>
      <c r="P17" s="22" t="s">
        <v>16</v>
      </c>
      <c r="Q17" s="22" t="s">
        <v>16</v>
      </c>
      <c r="R17" s="22" t="s">
        <v>16</v>
      </c>
      <c r="S17" s="22" t="s">
        <v>16</v>
      </c>
      <c r="T17" s="22" t="s">
        <v>16</v>
      </c>
      <c r="U17" s="29" t="s">
        <v>4</v>
      </c>
      <c r="V17" s="29" t="s">
        <v>4</v>
      </c>
      <c r="W17" s="22" t="s">
        <v>16</v>
      </c>
      <c r="X17" s="22" t="s">
        <v>16</v>
      </c>
      <c r="Y17" s="22" t="s">
        <v>16</v>
      </c>
      <c r="Z17" s="22" t="s">
        <v>16</v>
      </c>
      <c r="AA17" s="22" t="s">
        <v>16</v>
      </c>
      <c r="AB17" s="29" t="s">
        <v>4</v>
      </c>
      <c r="AC17" s="29" t="s">
        <v>4</v>
      </c>
      <c r="AD17" s="22" t="s">
        <v>16</v>
      </c>
    </row>
    <row r="18" spans="1:30" x14ac:dyDescent="0.35">
      <c r="A18" s="9" t="s">
        <v>77</v>
      </c>
      <c r="B18" s="22" t="s">
        <v>16</v>
      </c>
      <c r="C18" s="22" t="s">
        <v>16</v>
      </c>
      <c r="D18" s="22" t="s">
        <v>16</v>
      </c>
      <c r="E18" s="22" t="s">
        <v>16</v>
      </c>
      <c r="F18" s="22" t="s">
        <v>16</v>
      </c>
      <c r="G18" s="29" t="s">
        <v>4</v>
      </c>
      <c r="H18" s="29" t="s">
        <v>4</v>
      </c>
      <c r="I18" s="22" t="s">
        <v>16</v>
      </c>
      <c r="J18" s="22" t="s">
        <v>16</v>
      </c>
      <c r="K18" s="22" t="s">
        <v>16</v>
      </c>
      <c r="L18" s="22" t="s">
        <v>16</v>
      </c>
      <c r="M18" s="22" t="s">
        <v>16</v>
      </c>
      <c r="N18" s="29" t="s">
        <v>4</v>
      </c>
      <c r="O18" s="29" t="s">
        <v>4</v>
      </c>
      <c r="P18" s="22" t="s">
        <v>16</v>
      </c>
      <c r="Q18" s="22" t="s">
        <v>16</v>
      </c>
      <c r="R18" s="22" t="s">
        <v>16</v>
      </c>
      <c r="S18" s="22" t="s">
        <v>16</v>
      </c>
      <c r="T18" s="22" t="s">
        <v>16</v>
      </c>
      <c r="U18" s="29" t="s">
        <v>4</v>
      </c>
      <c r="V18" s="29" t="s">
        <v>4</v>
      </c>
      <c r="W18" s="22" t="s">
        <v>16</v>
      </c>
      <c r="X18" s="22" t="s">
        <v>16</v>
      </c>
      <c r="Y18" s="22" t="s">
        <v>16</v>
      </c>
      <c r="Z18" s="22" t="s">
        <v>16</v>
      </c>
      <c r="AA18" s="22" t="s">
        <v>16</v>
      </c>
      <c r="AB18" s="29" t="s">
        <v>4</v>
      </c>
      <c r="AC18" s="29" t="s">
        <v>4</v>
      </c>
      <c r="AD18" s="22" t="s">
        <v>16</v>
      </c>
    </row>
    <row r="19" spans="1:30" x14ac:dyDescent="0.35">
      <c r="A19" s="9" t="s">
        <v>78</v>
      </c>
      <c r="B19" s="22" t="s">
        <v>16</v>
      </c>
      <c r="C19" s="22" t="s">
        <v>16</v>
      </c>
      <c r="D19" s="22" t="s">
        <v>16</v>
      </c>
      <c r="E19" s="22" t="s">
        <v>16</v>
      </c>
      <c r="F19" s="22" t="s">
        <v>16</v>
      </c>
      <c r="G19" s="29" t="s">
        <v>4</v>
      </c>
      <c r="H19" s="29" t="s">
        <v>4</v>
      </c>
      <c r="I19" s="22" t="s">
        <v>16</v>
      </c>
      <c r="J19" s="22" t="s">
        <v>16</v>
      </c>
      <c r="K19" s="22" t="s">
        <v>16</v>
      </c>
      <c r="L19" s="22" t="s">
        <v>16</v>
      </c>
      <c r="M19" s="22" t="s">
        <v>16</v>
      </c>
      <c r="N19" s="29" t="s">
        <v>4</v>
      </c>
      <c r="O19" s="29" t="s">
        <v>4</v>
      </c>
      <c r="P19" s="22" t="s">
        <v>16</v>
      </c>
      <c r="Q19" s="22" t="s">
        <v>16</v>
      </c>
      <c r="R19" s="22" t="s">
        <v>16</v>
      </c>
      <c r="S19" s="22" t="s">
        <v>16</v>
      </c>
      <c r="T19" s="22" t="s">
        <v>16</v>
      </c>
      <c r="U19" s="29" t="s">
        <v>4</v>
      </c>
      <c r="V19" s="29" t="s">
        <v>4</v>
      </c>
      <c r="W19" s="22" t="s">
        <v>16</v>
      </c>
      <c r="X19" s="22" t="s">
        <v>16</v>
      </c>
      <c r="Y19" s="22" t="s">
        <v>16</v>
      </c>
      <c r="Z19" s="22" t="s">
        <v>16</v>
      </c>
      <c r="AA19" s="22" t="s">
        <v>16</v>
      </c>
      <c r="AB19" s="29" t="s">
        <v>4</v>
      </c>
      <c r="AC19" s="29" t="s">
        <v>4</v>
      </c>
      <c r="AD19" s="22" t="s">
        <v>16</v>
      </c>
    </row>
    <row r="21" spans="1:30" x14ac:dyDescent="0.35">
      <c r="A21" s="24" t="s">
        <v>23</v>
      </c>
      <c r="B21" s="71"/>
    </row>
    <row r="22" spans="1:30" x14ac:dyDescent="0.35">
      <c r="A22" s="1" t="s">
        <v>24</v>
      </c>
      <c r="B22" s="1"/>
      <c r="C22" s="22" t="s">
        <v>16</v>
      </c>
    </row>
    <row r="23" spans="1:30" x14ac:dyDescent="0.35">
      <c r="A23" s="1" t="s">
        <v>25</v>
      </c>
      <c r="B23" s="1"/>
      <c r="C23" s="25" t="s">
        <v>6</v>
      </c>
    </row>
    <row r="24" spans="1:30" x14ac:dyDescent="0.35">
      <c r="A24" s="1" t="s">
        <v>47</v>
      </c>
      <c r="B24" s="1"/>
      <c r="C24" s="19" t="s">
        <v>41</v>
      </c>
    </row>
    <row r="25" spans="1:30" x14ac:dyDescent="0.35">
      <c r="A25" s="1" t="s">
        <v>48</v>
      </c>
      <c r="B25" s="1"/>
      <c r="C25" s="10" t="s">
        <v>39</v>
      </c>
    </row>
    <row r="26" spans="1:30" x14ac:dyDescent="0.35">
      <c r="A26" s="26" t="s">
        <v>26</v>
      </c>
      <c r="B26" s="26"/>
      <c r="C26" s="16" t="s">
        <v>8</v>
      </c>
    </row>
    <row r="27" spans="1:30" x14ac:dyDescent="0.35">
      <c r="A27" s="26" t="s">
        <v>27</v>
      </c>
      <c r="B27" s="26"/>
      <c r="C27" s="17" t="s">
        <v>10</v>
      </c>
    </row>
    <row r="28" spans="1:30" x14ac:dyDescent="0.35">
      <c r="A28" s="26" t="s">
        <v>28</v>
      </c>
      <c r="B28" s="26"/>
      <c r="C28" s="14" t="s">
        <v>3</v>
      </c>
    </row>
    <row r="29" spans="1:30" x14ac:dyDescent="0.35">
      <c r="A29" s="26" t="s">
        <v>29</v>
      </c>
      <c r="B29" s="26"/>
      <c r="C29" s="22" t="s">
        <v>30</v>
      </c>
    </row>
    <row r="30" spans="1:30" x14ac:dyDescent="0.35">
      <c r="A30" s="26" t="s">
        <v>49</v>
      </c>
      <c r="B30" s="26"/>
      <c r="C30" s="19" t="s">
        <v>42</v>
      </c>
    </row>
    <row r="31" spans="1:30" x14ac:dyDescent="0.35">
      <c r="A31" s="26" t="s">
        <v>50</v>
      </c>
      <c r="B31" s="26"/>
      <c r="C31" s="10" t="s">
        <v>40</v>
      </c>
    </row>
    <row r="32" spans="1:30" x14ac:dyDescent="0.35">
      <c r="A32" s="26" t="s">
        <v>31</v>
      </c>
      <c r="B32" s="26"/>
      <c r="C32" s="17" t="s">
        <v>11</v>
      </c>
    </row>
    <row r="33" spans="1:3" x14ac:dyDescent="0.35">
      <c r="A33" s="26" t="s">
        <v>32</v>
      </c>
      <c r="B33" s="26"/>
      <c r="C33" s="13" t="s">
        <v>5</v>
      </c>
    </row>
    <row r="34" spans="1:3" x14ac:dyDescent="0.35">
      <c r="A34" s="26" t="s">
        <v>33</v>
      </c>
      <c r="B34" s="26"/>
      <c r="C34" s="27" t="s">
        <v>34</v>
      </c>
    </row>
    <row r="35" spans="1:3" x14ac:dyDescent="0.35">
      <c r="A35" s="26" t="s">
        <v>35</v>
      </c>
      <c r="B35" s="26"/>
      <c r="C35" s="12" t="s">
        <v>2</v>
      </c>
    </row>
    <row r="36" spans="1:3" x14ac:dyDescent="0.35">
      <c r="A36" s="26" t="s">
        <v>36</v>
      </c>
      <c r="B36" s="26"/>
      <c r="C36" s="28" t="s">
        <v>37</v>
      </c>
    </row>
    <row r="37" spans="1:3" x14ac:dyDescent="0.35">
      <c r="A37" s="26" t="s">
        <v>38</v>
      </c>
      <c r="B37" s="26"/>
      <c r="C37" s="29" t="s">
        <v>4</v>
      </c>
    </row>
    <row r="38" spans="1:3" x14ac:dyDescent="0.35">
      <c r="A38" s="26" t="s">
        <v>36</v>
      </c>
      <c r="B38" s="26"/>
      <c r="C38" s="28" t="s">
        <v>37</v>
      </c>
    </row>
    <row r="39" spans="1:3" x14ac:dyDescent="0.35">
      <c r="A39" s="26" t="s">
        <v>38</v>
      </c>
      <c r="B39" s="26"/>
      <c r="C39" s="29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39"/>
  <sheetViews>
    <sheetView zoomScale="80" zoomScaleNormal="80" workbookViewId="0">
      <pane xSplit="1" topLeftCell="M1" activePane="topRight" state="frozen"/>
      <selection pane="topRight" activeCell="AF17" sqref="AF17"/>
    </sheetView>
  </sheetViews>
  <sheetFormatPr defaultColWidth="9.1796875" defaultRowHeight="14.5" x14ac:dyDescent="0.35"/>
  <cols>
    <col min="1" max="1" width="26.1796875" style="45" bestFit="1" customWidth="1"/>
    <col min="2" max="2" width="6.81640625" style="45" customWidth="1"/>
    <col min="3" max="4" width="7.1796875" style="45" customWidth="1"/>
    <col min="5" max="5" width="7.54296875" style="45" customWidth="1"/>
    <col min="6" max="7" width="9.26953125" style="45" customWidth="1"/>
    <col min="8" max="12" width="7.26953125" style="45" customWidth="1"/>
    <col min="13" max="14" width="9.26953125" style="45" customWidth="1"/>
    <col min="15" max="16" width="7.26953125" style="45" customWidth="1"/>
    <col min="17" max="17" width="7.54296875" style="45" customWidth="1"/>
    <col min="18" max="18" width="7.26953125" style="45" customWidth="1"/>
    <col min="19" max="19" width="7.54296875" style="45" customWidth="1"/>
    <col min="20" max="21" width="9.26953125" style="45" customWidth="1"/>
    <col min="22" max="22" width="7.54296875" style="45" customWidth="1"/>
    <col min="23" max="23" width="9.26953125" style="45" customWidth="1"/>
    <col min="24" max="26" width="7.54296875" style="45" customWidth="1"/>
    <col min="27" max="27" width="9.26953125" style="45" customWidth="1"/>
    <col min="28" max="30" width="6.7265625" style="45" customWidth="1"/>
    <col min="31" max="33" width="9.1796875" style="45" customWidth="1"/>
    <col min="34" max="16384" width="9.1796875" style="45"/>
  </cols>
  <sheetData>
    <row r="1" spans="1:33" ht="15" customHeight="1" x14ac:dyDescent="0.35">
      <c r="A1" s="30"/>
      <c r="B1" s="2" t="str">
        <f t="shared" ref="B1" si="0">TEXT(B2,"ddd")</f>
        <v>Mon</v>
      </c>
      <c r="C1" s="4" t="str">
        <f t="shared" ref="C1:AC1" si="1">TEXT(C2,"ddd")</f>
        <v>Tue</v>
      </c>
      <c r="D1" s="4" t="str">
        <f t="shared" si="1"/>
        <v>Wed</v>
      </c>
      <c r="E1" s="4" t="str">
        <f t="shared" si="1"/>
        <v>Thu</v>
      </c>
      <c r="F1" s="4" t="str">
        <f t="shared" si="1"/>
        <v>Fri</v>
      </c>
      <c r="G1" s="4" t="str">
        <f t="shared" si="1"/>
        <v>Sat</v>
      </c>
      <c r="H1" s="4" t="str">
        <f t="shared" si="1"/>
        <v>Sun</v>
      </c>
      <c r="I1" s="4" t="str">
        <f t="shared" si="1"/>
        <v>Mon</v>
      </c>
      <c r="J1" s="4" t="str">
        <f t="shared" si="1"/>
        <v>Tue</v>
      </c>
      <c r="K1" s="4" t="str">
        <f t="shared" si="1"/>
        <v>Wed</v>
      </c>
      <c r="L1" s="4" t="str">
        <f t="shared" si="1"/>
        <v>Thu</v>
      </c>
      <c r="M1" s="4" t="str">
        <f t="shared" si="1"/>
        <v>Fri</v>
      </c>
      <c r="N1" s="4" t="str">
        <f t="shared" si="1"/>
        <v>Sat</v>
      </c>
      <c r="O1" s="4" t="str">
        <f t="shared" si="1"/>
        <v>Sun</v>
      </c>
      <c r="P1" s="4" t="str">
        <f t="shared" si="1"/>
        <v>Mon</v>
      </c>
      <c r="Q1" s="4" t="str">
        <f t="shared" si="1"/>
        <v>Tue</v>
      </c>
      <c r="R1" s="4" t="str">
        <f t="shared" si="1"/>
        <v>Wed</v>
      </c>
      <c r="S1" s="4" t="str">
        <f t="shared" si="1"/>
        <v>Thu</v>
      </c>
      <c r="T1" s="4" t="str">
        <f t="shared" si="1"/>
        <v>Fri</v>
      </c>
      <c r="U1" s="4" t="str">
        <f t="shared" si="1"/>
        <v>Sat</v>
      </c>
      <c r="V1" s="4" t="str">
        <f t="shared" si="1"/>
        <v>Sun</v>
      </c>
      <c r="W1" s="4" t="str">
        <f t="shared" si="1"/>
        <v>Mon</v>
      </c>
      <c r="X1" s="4" t="str">
        <f t="shared" si="1"/>
        <v>Tue</v>
      </c>
      <c r="Y1" s="4" t="str">
        <f t="shared" si="1"/>
        <v>Wed</v>
      </c>
      <c r="Z1" s="4" t="str">
        <f t="shared" si="1"/>
        <v>Thu</v>
      </c>
      <c r="AA1" s="4" t="str">
        <f t="shared" si="1"/>
        <v>Fri</v>
      </c>
      <c r="AB1" s="4" t="str">
        <f t="shared" si="1"/>
        <v>Sat</v>
      </c>
      <c r="AC1" s="4" t="str">
        <f t="shared" si="1"/>
        <v>Sun</v>
      </c>
      <c r="AD1" s="4" t="s">
        <v>107</v>
      </c>
      <c r="AE1" s="4" t="str">
        <f t="shared" ref="AE1:AG1" si="2">TEXT(AE2,"ddd")</f>
        <v>Tue</v>
      </c>
      <c r="AF1" s="4" t="str">
        <f t="shared" si="2"/>
        <v>Wed</v>
      </c>
      <c r="AG1" s="4" t="str">
        <f t="shared" si="2"/>
        <v>Thu</v>
      </c>
    </row>
    <row r="2" spans="1:33" x14ac:dyDescent="0.35">
      <c r="A2" s="7" t="s">
        <v>0</v>
      </c>
      <c r="B2" s="58">
        <v>44620</v>
      </c>
      <c r="C2" s="58">
        <v>44621</v>
      </c>
      <c r="D2" s="58">
        <v>44622</v>
      </c>
      <c r="E2" s="58">
        <v>44623</v>
      </c>
      <c r="F2" s="58">
        <v>44624</v>
      </c>
      <c r="G2" s="58">
        <v>44625</v>
      </c>
      <c r="H2" s="58">
        <v>44626</v>
      </c>
      <c r="I2" s="58">
        <v>44627</v>
      </c>
      <c r="J2" s="58">
        <v>44628</v>
      </c>
      <c r="K2" s="58">
        <v>44629</v>
      </c>
      <c r="L2" s="58">
        <v>44630</v>
      </c>
      <c r="M2" s="58">
        <v>44631</v>
      </c>
      <c r="N2" s="58">
        <v>44632</v>
      </c>
      <c r="O2" s="58">
        <v>44633</v>
      </c>
      <c r="P2" s="58">
        <v>44634</v>
      </c>
      <c r="Q2" s="58">
        <v>44635</v>
      </c>
      <c r="R2" s="58">
        <v>44636</v>
      </c>
      <c r="S2" s="58">
        <v>44637</v>
      </c>
      <c r="T2" s="58">
        <v>44638</v>
      </c>
      <c r="U2" s="58">
        <v>44639</v>
      </c>
      <c r="V2" s="58">
        <v>44640</v>
      </c>
      <c r="W2" s="58">
        <v>44641</v>
      </c>
      <c r="X2" s="58">
        <v>44642</v>
      </c>
      <c r="Y2" s="58">
        <v>44643</v>
      </c>
      <c r="Z2" s="58">
        <v>44644</v>
      </c>
      <c r="AA2" s="58">
        <v>44645</v>
      </c>
      <c r="AB2" s="58">
        <v>44646</v>
      </c>
      <c r="AC2" s="58">
        <v>44647</v>
      </c>
      <c r="AD2" s="58">
        <v>44648</v>
      </c>
      <c r="AE2" s="58">
        <v>44649</v>
      </c>
      <c r="AF2" s="58">
        <v>44650</v>
      </c>
      <c r="AG2" s="58">
        <v>44651</v>
      </c>
    </row>
    <row r="3" spans="1:33" x14ac:dyDescent="0.35">
      <c r="A3" s="8"/>
      <c r="B3" s="32"/>
      <c r="C3" s="34"/>
      <c r="D3" s="35"/>
      <c r="E3" s="33"/>
      <c r="F3" s="34"/>
      <c r="G3" s="35"/>
      <c r="H3" s="36"/>
      <c r="I3" s="32"/>
      <c r="J3" s="32"/>
      <c r="K3" s="32"/>
      <c r="L3" s="33"/>
      <c r="M3" s="34"/>
      <c r="N3" s="35"/>
      <c r="O3" s="36"/>
      <c r="P3" s="32"/>
      <c r="Q3" s="32"/>
      <c r="R3" s="32"/>
      <c r="S3" s="33"/>
      <c r="T3" s="34"/>
      <c r="U3" s="35"/>
      <c r="V3" s="36"/>
      <c r="W3" s="32"/>
      <c r="X3" s="32"/>
      <c r="Y3" s="32"/>
      <c r="Z3" s="33"/>
      <c r="AA3" s="34"/>
      <c r="AB3" s="35"/>
      <c r="AC3" s="36"/>
      <c r="AD3" s="32"/>
      <c r="AE3" s="32"/>
      <c r="AF3" s="32"/>
      <c r="AG3" s="32"/>
    </row>
    <row r="4" spans="1:33" x14ac:dyDescent="0.35">
      <c r="A4" s="9" t="s">
        <v>1</v>
      </c>
      <c r="B4" s="12" t="s">
        <v>2</v>
      </c>
      <c r="C4" s="60" t="s">
        <v>40</v>
      </c>
      <c r="D4" s="16" t="s">
        <v>8</v>
      </c>
      <c r="E4" s="16" t="s">
        <v>8</v>
      </c>
      <c r="F4" s="16" t="s">
        <v>8</v>
      </c>
      <c r="G4" s="29" t="s">
        <v>4</v>
      </c>
      <c r="H4" s="60" t="s">
        <v>40</v>
      </c>
      <c r="I4" s="12" t="s">
        <v>2</v>
      </c>
      <c r="J4" s="10" t="s">
        <v>39</v>
      </c>
      <c r="K4" s="10" t="s">
        <v>39</v>
      </c>
      <c r="L4" s="10" t="s">
        <v>39</v>
      </c>
      <c r="M4" s="12" t="s">
        <v>2</v>
      </c>
      <c r="N4" s="60" t="s">
        <v>40</v>
      </c>
      <c r="O4" s="25" t="s">
        <v>3</v>
      </c>
      <c r="P4" s="16" t="s">
        <v>8</v>
      </c>
      <c r="Q4" s="16" t="s">
        <v>8</v>
      </c>
      <c r="R4" s="12" t="s">
        <v>2</v>
      </c>
      <c r="S4" s="10" t="s">
        <v>39</v>
      </c>
      <c r="T4" s="25" t="s">
        <v>3</v>
      </c>
      <c r="U4" s="60" t="s">
        <v>40</v>
      </c>
      <c r="V4" s="60" t="s">
        <v>40</v>
      </c>
      <c r="W4" s="12" t="s">
        <v>2</v>
      </c>
      <c r="X4" s="10" t="s">
        <v>39</v>
      </c>
      <c r="Y4" s="25" t="s">
        <v>6</v>
      </c>
      <c r="Z4" s="10" t="s">
        <v>39</v>
      </c>
      <c r="AA4" s="13" t="s">
        <v>5</v>
      </c>
      <c r="AB4" s="68" t="s">
        <v>4</v>
      </c>
      <c r="AC4" s="68" t="s">
        <v>4</v>
      </c>
      <c r="AD4" s="13" t="s">
        <v>5</v>
      </c>
      <c r="AE4" s="10" t="s">
        <v>39</v>
      </c>
      <c r="AF4" s="10" t="s">
        <v>39</v>
      </c>
      <c r="AG4" s="22" t="s">
        <v>16</v>
      </c>
    </row>
    <row r="5" spans="1:33" x14ac:dyDescent="0.35">
      <c r="A5" s="9" t="s">
        <v>9</v>
      </c>
      <c r="B5" s="17" t="s">
        <v>10</v>
      </c>
      <c r="C5" s="17" t="s">
        <v>11</v>
      </c>
      <c r="D5" s="12" t="s">
        <v>2</v>
      </c>
      <c r="E5" s="25" t="s">
        <v>6</v>
      </c>
      <c r="F5" s="25" t="s">
        <v>6</v>
      </c>
      <c r="G5" s="25" t="s">
        <v>3</v>
      </c>
      <c r="H5" s="17" t="s">
        <v>11</v>
      </c>
      <c r="I5" s="17" t="s">
        <v>10</v>
      </c>
      <c r="J5" s="17" t="s">
        <v>10</v>
      </c>
      <c r="K5" s="17" t="s">
        <v>10</v>
      </c>
      <c r="L5" s="12" t="s">
        <v>2</v>
      </c>
      <c r="M5" s="13" t="s">
        <v>5</v>
      </c>
      <c r="N5" s="68" t="s">
        <v>4</v>
      </c>
      <c r="O5" s="68" t="s">
        <v>4</v>
      </c>
      <c r="P5" s="13" t="s">
        <v>5</v>
      </c>
      <c r="Q5" s="13" t="s">
        <v>5</v>
      </c>
      <c r="R5" s="17" t="s">
        <v>10</v>
      </c>
      <c r="S5" s="13" t="s">
        <v>5</v>
      </c>
      <c r="T5" s="25" t="s">
        <v>3</v>
      </c>
      <c r="U5" s="25" t="s">
        <v>3</v>
      </c>
      <c r="V5" s="17" t="s">
        <v>11</v>
      </c>
      <c r="W5" s="17" t="s">
        <v>10</v>
      </c>
      <c r="X5" s="17" t="s">
        <v>10</v>
      </c>
      <c r="Y5" s="17" t="s">
        <v>10</v>
      </c>
      <c r="Z5" s="17" t="s">
        <v>10</v>
      </c>
      <c r="AA5" s="12" t="s">
        <v>2</v>
      </c>
      <c r="AB5" s="25" t="s">
        <v>3</v>
      </c>
      <c r="AC5" s="25" t="s">
        <v>3</v>
      </c>
      <c r="AD5" s="25" t="s">
        <v>6</v>
      </c>
      <c r="AE5" s="12" t="s">
        <v>2</v>
      </c>
      <c r="AF5" s="25" t="s">
        <v>6</v>
      </c>
      <c r="AG5" s="25" t="s">
        <v>6</v>
      </c>
    </row>
    <row r="6" spans="1:33" x14ac:dyDescent="0.35">
      <c r="A6" s="9" t="s">
        <v>12</v>
      </c>
      <c r="B6" s="25" t="s">
        <v>6</v>
      </c>
      <c r="C6" s="25" t="s">
        <v>3</v>
      </c>
      <c r="D6" s="25" t="s">
        <v>6</v>
      </c>
      <c r="E6" s="12" t="s">
        <v>2</v>
      </c>
      <c r="F6" s="12" t="s">
        <v>2</v>
      </c>
      <c r="G6" s="29" t="s">
        <v>4</v>
      </c>
      <c r="H6" s="29" t="s">
        <v>4</v>
      </c>
      <c r="I6" s="25" t="s">
        <v>6</v>
      </c>
      <c r="J6" s="13" t="s">
        <v>81</v>
      </c>
      <c r="K6" s="10" t="s">
        <v>41</v>
      </c>
      <c r="L6" s="17" t="s">
        <v>10</v>
      </c>
      <c r="M6" s="17" t="s">
        <v>10</v>
      </c>
      <c r="N6" s="29" t="s">
        <v>4</v>
      </c>
      <c r="O6" s="60" t="s">
        <v>42</v>
      </c>
      <c r="P6" s="25" t="s">
        <v>6</v>
      </c>
      <c r="Q6" s="25" t="s">
        <v>6</v>
      </c>
      <c r="R6" s="25" t="s">
        <v>6</v>
      </c>
      <c r="S6" s="13" t="s">
        <v>5</v>
      </c>
      <c r="T6" s="28" t="s">
        <v>37</v>
      </c>
      <c r="U6" s="68" t="s">
        <v>4</v>
      </c>
      <c r="V6" s="68" t="s">
        <v>4</v>
      </c>
      <c r="W6" s="25" t="s">
        <v>6</v>
      </c>
      <c r="X6" s="25" t="s">
        <v>6</v>
      </c>
      <c r="Y6" s="12" t="s">
        <v>2</v>
      </c>
      <c r="Z6" s="25" t="s">
        <v>6</v>
      </c>
      <c r="AA6" s="25" t="s">
        <v>6</v>
      </c>
      <c r="AB6" s="60" t="s">
        <v>42</v>
      </c>
      <c r="AC6" s="60" t="s">
        <v>42</v>
      </c>
      <c r="AD6" s="12" t="s">
        <v>2</v>
      </c>
      <c r="AE6" s="17" t="s">
        <v>10</v>
      </c>
      <c r="AF6" s="17" t="s">
        <v>10</v>
      </c>
      <c r="AG6" s="17" t="s">
        <v>10</v>
      </c>
    </row>
    <row r="7" spans="1:33" x14ac:dyDescent="0.35">
      <c r="A7" s="9" t="s">
        <v>13</v>
      </c>
      <c r="B7" s="12" t="s">
        <v>2</v>
      </c>
      <c r="C7" s="60" t="s">
        <v>42</v>
      </c>
      <c r="D7" s="17" t="s">
        <v>10</v>
      </c>
      <c r="E7" s="17" t="s">
        <v>10</v>
      </c>
      <c r="F7" s="17" t="s">
        <v>10</v>
      </c>
      <c r="G7" s="17" t="s">
        <v>11</v>
      </c>
      <c r="H7" s="29" t="s">
        <v>4</v>
      </c>
      <c r="I7" s="12" t="s">
        <v>2</v>
      </c>
      <c r="J7" s="25" t="s">
        <v>6</v>
      </c>
      <c r="K7" s="25" t="s">
        <v>6</v>
      </c>
      <c r="L7" s="25" t="s">
        <v>6</v>
      </c>
      <c r="M7" s="25" t="s">
        <v>6</v>
      </c>
      <c r="N7" s="68" t="s">
        <v>4</v>
      </c>
      <c r="O7" s="68" t="s">
        <v>4</v>
      </c>
      <c r="P7" s="10" t="s">
        <v>41</v>
      </c>
      <c r="Q7" s="10" t="s">
        <v>41</v>
      </c>
      <c r="R7" s="12" t="s">
        <v>2</v>
      </c>
      <c r="S7" s="25" t="s">
        <v>3</v>
      </c>
      <c r="T7" s="60" t="s">
        <v>42</v>
      </c>
      <c r="U7" s="25" t="s">
        <v>3</v>
      </c>
      <c r="V7" s="25" t="s">
        <v>3</v>
      </c>
      <c r="W7" s="12" t="s">
        <v>2</v>
      </c>
      <c r="X7" s="12" t="s">
        <v>2</v>
      </c>
      <c r="Y7" s="13" t="s">
        <v>5</v>
      </c>
      <c r="Z7" s="25" t="s">
        <v>6</v>
      </c>
      <c r="AA7" s="10" t="s">
        <v>41</v>
      </c>
      <c r="AB7" s="29" t="s">
        <v>4</v>
      </c>
      <c r="AC7" s="29" t="s">
        <v>4</v>
      </c>
      <c r="AD7" s="25" t="s">
        <v>6</v>
      </c>
      <c r="AE7" s="25" t="s">
        <v>6</v>
      </c>
      <c r="AF7" s="12" t="s">
        <v>2</v>
      </c>
      <c r="AG7" s="10" t="s">
        <v>41</v>
      </c>
    </row>
    <row r="8" spans="1:33" x14ac:dyDescent="0.35">
      <c r="A8" s="9" t="s">
        <v>14</v>
      </c>
      <c r="B8" s="13" t="s">
        <v>5</v>
      </c>
      <c r="C8" s="13" t="s">
        <v>37</v>
      </c>
      <c r="D8" s="10" t="s">
        <v>41</v>
      </c>
      <c r="E8" s="10" t="s">
        <v>41</v>
      </c>
      <c r="F8" s="10" t="s">
        <v>41</v>
      </c>
      <c r="G8" s="60" t="s">
        <v>42</v>
      </c>
      <c r="H8" s="68" t="s">
        <v>4</v>
      </c>
      <c r="I8" s="13" t="s">
        <v>5</v>
      </c>
      <c r="J8" s="13" t="s">
        <v>5</v>
      </c>
      <c r="K8" s="25" t="s">
        <v>6</v>
      </c>
      <c r="L8" s="25" t="s">
        <v>6</v>
      </c>
      <c r="M8" s="10" t="s">
        <v>41</v>
      </c>
      <c r="N8" s="25" t="s">
        <v>3</v>
      </c>
      <c r="O8" s="60" t="s">
        <v>42</v>
      </c>
      <c r="P8" s="12" t="s">
        <v>2</v>
      </c>
      <c r="Q8" s="10" t="s">
        <v>41</v>
      </c>
      <c r="R8" s="10" t="s">
        <v>41</v>
      </c>
      <c r="S8" s="17" t="s">
        <v>10</v>
      </c>
      <c r="T8" s="17" t="s">
        <v>11</v>
      </c>
      <c r="U8" s="17" t="s">
        <v>11</v>
      </c>
      <c r="V8" s="17" t="s">
        <v>11</v>
      </c>
      <c r="W8" s="13" t="s">
        <v>5</v>
      </c>
      <c r="X8" s="13" t="s">
        <v>5</v>
      </c>
      <c r="Y8" s="13" t="s">
        <v>5</v>
      </c>
      <c r="Z8" s="13" t="s">
        <v>5</v>
      </c>
      <c r="AA8" s="13" t="s">
        <v>5</v>
      </c>
      <c r="AB8" s="29" t="s">
        <v>4</v>
      </c>
      <c r="AC8" s="29" t="s">
        <v>4</v>
      </c>
      <c r="AD8" s="10" t="s">
        <v>41</v>
      </c>
      <c r="AE8" s="10" t="s">
        <v>41</v>
      </c>
      <c r="AF8" s="10" t="s">
        <v>41</v>
      </c>
      <c r="AG8" s="12" t="s">
        <v>2</v>
      </c>
    </row>
    <row r="9" spans="1:33" ht="15" thickBot="1" x14ac:dyDescent="0.4">
      <c r="A9" s="9" t="s">
        <v>15</v>
      </c>
      <c r="B9" s="19" t="s">
        <v>41</v>
      </c>
      <c r="C9" s="17" t="s">
        <v>11</v>
      </c>
      <c r="D9" s="17" t="s">
        <v>10</v>
      </c>
      <c r="E9" s="17" t="s">
        <v>10</v>
      </c>
      <c r="F9" s="17" t="s">
        <v>10</v>
      </c>
      <c r="G9" s="29" t="s">
        <v>4</v>
      </c>
      <c r="H9" s="25" t="s">
        <v>3</v>
      </c>
      <c r="I9" s="10" t="s">
        <v>41</v>
      </c>
      <c r="J9" s="10" t="s">
        <v>41</v>
      </c>
      <c r="K9" s="10" t="s">
        <v>41</v>
      </c>
      <c r="L9" s="12" t="s">
        <v>2</v>
      </c>
      <c r="M9" s="12" t="s">
        <v>2</v>
      </c>
      <c r="N9" s="17" t="s">
        <v>11</v>
      </c>
      <c r="O9" s="17" t="s">
        <v>11</v>
      </c>
      <c r="P9" s="17" t="s">
        <v>10</v>
      </c>
      <c r="Q9" s="17" t="s">
        <v>10</v>
      </c>
      <c r="R9" s="17" t="s">
        <v>10</v>
      </c>
      <c r="S9" s="12" t="s">
        <v>2</v>
      </c>
      <c r="T9" s="28" t="s">
        <v>37</v>
      </c>
      <c r="U9" s="29" t="s">
        <v>4</v>
      </c>
      <c r="V9" s="25" t="s">
        <v>3</v>
      </c>
      <c r="W9" s="25" t="s">
        <v>6</v>
      </c>
      <c r="X9" s="12" t="s">
        <v>2</v>
      </c>
      <c r="Y9" s="25" t="s">
        <v>6</v>
      </c>
      <c r="Z9" s="10" t="s">
        <v>41</v>
      </c>
      <c r="AA9" s="10" t="s">
        <v>41</v>
      </c>
      <c r="AB9" s="66" t="s">
        <v>30</v>
      </c>
      <c r="AC9" s="60" t="s">
        <v>42</v>
      </c>
      <c r="AD9" s="12" t="s">
        <v>2</v>
      </c>
      <c r="AE9" s="12" t="s">
        <v>2</v>
      </c>
      <c r="AF9" s="10" t="s">
        <v>41</v>
      </c>
      <c r="AG9" s="10" t="s">
        <v>41</v>
      </c>
    </row>
    <row r="10" spans="1:33" x14ac:dyDescent="0.35">
      <c r="A10" s="9" t="s">
        <v>18</v>
      </c>
      <c r="B10" s="25" t="s">
        <v>6</v>
      </c>
      <c r="C10" s="13" t="s">
        <v>37</v>
      </c>
      <c r="D10" s="10" t="s">
        <v>41</v>
      </c>
      <c r="E10" s="10" t="s">
        <v>41</v>
      </c>
      <c r="F10" s="10" t="s">
        <v>41</v>
      </c>
      <c r="G10" s="25" t="s">
        <v>3</v>
      </c>
      <c r="H10" s="29" t="s">
        <v>4</v>
      </c>
      <c r="I10" s="25" t="s">
        <v>6</v>
      </c>
      <c r="J10" s="25" t="s">
        <v>6</v>
      </c>
      <c r="K10" s="25" t="s">
        <v>6</v>
      </c>
      <c r="L10" s="12" t="s">
        <v>2</v>
      </c>
      <c r="M10" s="25" t="s">
        <v>6</v>
      </c>
      <c r="N10" s="60" t="s">
        <v>42</v>
      </c>
      <c r="O10" s="29" t="s">
        <v>4</v>
      </c>
      <c r="P10" s="10" t="s">
        <v>41</v>
      </c>
      <c r="Q10" s="12" t="s">
        <v>2</v>
      </c>
      <c r="R10" s="25" t="s">
        <v>6</v>
      </c>
      <c r="S10" s="25" t="s">
        <v>6</v>
      </c>
      <c r="T10" s="25" t="s">
        <v>3</v>
      </c>
      <c r="U10" s="29" t="s">
        <v>4</v>
      </c>
      <c r="V10" s="29" t="s">
        <v>4</v>
      </c>
      <c r="W10" s="10" t="s">
        <v>41</v>
      </c>
      <c r="X10" s="10" t="s">
        <v>41</v>
      </c>
      <c r="Y10" s="10" t="s">
        <v>41</v>
      </c>
      <c r="Z10" s="12" t="s">
        <v>2</v>
      </c>
      <c r="AA10" s="17" t="s">
        <v>10</v>
      </c>
      <c r="AB10" s="17" t="s">
        <v>11</v>
      </c>
      <c r="AC10" s="17" t="s">
        <v>11</v>
      </c>
      <c r="AD10" s="17" t="s">
        <v>10</v>
      </c>
      <c r="AE10" s="12" t="s">
        <v>2</v>
      </c>
      <c r="AF10" s="12" t="s">
        <v>2</v>
      </c>
      <c r="AG10" s="10" t="s">
        <v>41</v>
      </c>
    </row>
    <row r="11" spans="1:33" ht="14.15" customHeight="1" x14ac:dyDescent="0.35">
      <c r="A11" s="9" t="s">
        <v>21</v>
      </c>
      <c r="B11" s="17" t="s">
        <v>10</v>
      </c>
      <c r="C11" s="13" t="s">
        <v>37</v>
      </c>
      <c r="D11" s="12" t="s">
        <v>2</v>
      </c>
      <c r="E11" s="25" t="s">
        <v>6</v>
      </c>
      <c r="F11" s="25" t="s">
        <v>6</v>
      </c>
      <c r="G11" s="60" t="s">
        <v>42</v>
      </c>
      <c r="H11" s="60" t="s">
        <v>42</v>
      </c>
      <c r="I11" s="10" t="s">
        <v>41</v>
      </c>
      <c r="J11" s="12" t="s">
        <v>2</v>
      </c>
      <c r="K11" s="10" t="s">
        <v>41</v>
      </c>
      <c r="L11" s="10" t="s">
        <v>41</v>
      </c>
      <c r="M11" s="10" t="s">
        <v>41</v>
      </c>
      <c r="N11" s="29" t="s">
        <v>4</v>
      </c>
      <c r="O11" s="29" t="s">
        <v>4</v>
      </c>
      <c r="P11" s="25" t="s">
        <v>6</v>
      </c>
      <c r="Q11" s="25" t="s">
        <v>6</v>
      </c>
      <c r="R11" s="25" t="s">
        <v>6</v>
      </c>
      <c r="S11" s="25" t="s">
        <v>6</v>
      </c>
      <c r="T11" s="28" t="s">
        <v>37</v>
      </c>
      <c r="U11" s="60" t="s">
        <v>42</v>
      </c>
      <c r="V11" s="60" t="s">
        <v>42</v>
      </c>
      <c r="W11" s="12" t="s">
        <v>2</v>
      </c>
      <c r="X11" s="17" t="s">
        <v>10</v>
      </c>
      <c r="Y11" s="17" t="s">
        <v>10</v>
      </c>
      <c r="Z11" s="17" t="s">
        <v>10</v>
      </c>
      <c r="AA11" s="17" t="s">
        <v>10</v>
      </c>
      <c r="AB11" s="29" t="s">
        <v>4</v>
      </c>
      <c r="AC11" s="29" t="s">
        <v>4</v>
      </c>
      <c r="AD11" s="17" t="s">
        <v>10</v>
      </c>
      <c r="AE11" s="17" t="s">
        <v>10</v>
      </c>
      <c r="AF11" s="17" t="s">
        <v>10</v>
      </c>
      <c r="AG11" s="17" t="s">
        <v>10</v>
      </c>
    </row>
    <row r="12" spans="1:33" x14ac:dyDescent="0.35">
      <c r="A12" s="9" t="s">
        <v>43</v>
      </c>
      <c r="B12" s="23" t="s">
        <v>17</v>
      </c>
      <c r="C12" s="13" t="s">
        <v>37</v>
      </c>
      <c r="D12" s="25" t="s">
        <v>6</v>
      </c>
      <c r="E12" s="25" t="s">
        <v>6</v>
      </c>
      <c r="F12" s="12" t="s">
        <v>2</v>
      </c>
      <c r="G12" s="17" t="s">
        <v>11</v>
      </c>
      <c r="H12" s="17" t="s">
        <v>11</v>
      </c>
      <c r="I12" s="17" t="s">
        <v>10</v>
      </c>
      <c r="J12" s="17" t="s">
        <v>10</v>
      </c>
      <c r="K12" s="17" t="s">
        <v>10</v>
      </c>
      <c r="L12" s="12" t="s">
        <v>2</v>
      </c>
      <c r="M12" s="10" t="s">
        <v>41</v>
      </c>
      <c r="N12" s="29" t="s">
        <v>4</v>
      </c>
      <c r="O12" s="29" t="s">
        <v>4</v>
      </c>
      <c r="P12" s="10" t="s">
        <v>41</v>
      </c>
      <c r="Q12" s="10" t="s">
        <v>41</v>
      </c>
      <c r="R12" s="10" t="s">
        <v>41</v>
      </c>
      <c r="S12" s="10" t="s">
        <v>41</v>
      </c>
      <c r="T12" s="60" t="s">
        <v>42</v>
      </c>
      <c r="U12" s="29" t="s">
        <v>4</v>
      </c>
      <c r="V12" s="29" t="s">
        <v>4</v>
      </c>
      <c r="W12" s="10" t="s">
        <v>41</v>
      </c>
      <c r="X12" s="25" t="s">
        <v>6</v>
      </c>
      <c r="Y12" s="25" t="s">
        <v>6</v>
      </c>
      <c r="Z12" s="12" t="s">
        <v>2</v>
      </c>
      <c r="AA12" s="12" t="s">
        <v>2</v>
      </c>
      <c r="AB12" s="17" t="s">
        <v>11</v>
      </c>
      <c r="AC12" s="17" t="s">
        <v>11</v>
      </c>
      <c r="AD12" s="12" t="s">
        <v>2</v>
      </c>
      <c r="AE12" s="10" t="s">
        <v>41</v>
      </c>
      <c r="AF12" s="25" t="s">
        <v>6</v>
      </c>
      <c r="AG12" s="25" t="s">
        <v>6</v>
      </c>
    </row>
    <row r="13" spans="1:33" x14ac:dyDescent="0.35">
      <c r="A13" s="9" t="s">
        <v>75</v>
      </c>
      <c r="B13" s="19" t="s">
        <v>41</v>
      </c>
      <c r="C13" s="25" t="s">
        <v>3</v>
      </c>
      <c r="D13" s="25" t="s">
        <v>6</v>
      </c>
      <c r="E13" s="25" t="s">
        <v>6</v>
      </c>
      <c r="F13" s="25" t="s">
        <v>6</v>
      </c>
      <c r="G13" s="29" t="s">
        <v>4</v>
      </c>
      <c r="H13" s="25" t="s">
        <v>3</v>
      </c>
      <c r="I13" s="25" t="s">
        <v>6</v>
      </c>
      <c r="J13" s="25" t="s">
        <v>6</v>
      </c>
      <c r="K13" s="12" t="s">
        <v>2</v>
      </c>
      <c r="L13" s="17" t="s">
        <v>10</v>
      </c>
      <c r="M13" s="17" t="s">
        <v>10</v>
      </c>
      <c r="N13" s="17" t="s">
        <v>11</v>
      </c>
      <c r="O13" s="17" t="s">
        <v>11</v>
      </c>
      <c r="P13" s="17" t="s">
        <v>10</v>
      </c>
      <c r="Q13" s="17" t="s">
        <v>10</v>
      </c>
      <c r="R13" s="12" t="s">
        <v>2</v>
      </c>
      <c r="S13" s="17" t="s">
        <v>10</v>
      </c>
      <c r="T13" s="17" t="s">
        <v>11</v>
      </c>
      <c r="U13" s="17" t="s">
        <v>11</v>
      </c>
      <c r="V13" s="29" t="s">
        <v>4</v>
      </c>
      <c r="W13" s="17" t="s">
        <v>10</v>
      </c>
      <c r="X13" s="12" t="s">
        <v>2</v>
      </c>
      <c r="Y13" s="10" t="s">
        <v>41</v>
      </c>
      <c r="Z13" s="10" t="s">
        <v>41</v>
      </c>
      <c r="AA13" s="10" t="s">
        <v>41</v>
      </c>
      <c r="AB13" s="29" t="s">
        <v>4</v>
      </c>
      <c r="AC13" s="29" t="s">
        <v>4</v>
      </c>
      <c r="AD13" s="10" t="s">
        <v>41</v>
      </c>
      <c r="AE13" s="25" t="s">
        <v>6</v>
      </c>
      <c r="AF13" s="12" t="s">
        <v>2</v>
      </c>
      <c r="AG13" s="25" t="s">
        <v>6</v>
      </c>
    </row>
    <row r="14" spans="1:33" x14ac:dyDescent="0.35">
      <c r="A14" s="9" t="s">
        <v>22</v>
      </c>
      <c r="B14" s="19" t="s">
        <v>41</v>
      </c>
      <c r="C14" s="13" t="s">
        <v>5</v>
      </c>
      <c r="D14" s="10" t="s">
        <v>41</v>
      </c>
      <c r="E14" s="10" t="s">
        <v>41</v>
      </c>
      <c r="F14" s="10" t="s">
        <v>41</v>
      </c>
      <c r="G14" s="29" t="s">
        <v>4</v>
      </c>
      <c r="H14" s="29" t="s">
        <v>4</v>
      </c>
      <c r="I14" s="10" t="s">
        <v>41</v>
      </c>
      <c r="J14" s="10" t="s">
        <v>41</v>
      </c>
      <c r="K14" s="12" t="s">
        <v>2</v>
      </c>
      <c r="L14" s="25" t="s">
        <v>6</v>
      </c>
      <c r="M14" s="25" t="s">
        <v>6</v>
      </c>
      <c r="N14" s="25" t="s">
        <v>3</v>
      </c>
      <c r="O14" s="25" t="s">
        <v>3</v>
      </c>
      <c r="P14" s="12" t="s">
        <v>2</v>
      </c>
      <c r="Q14" s="25" t="s">
        <v>6</v>
      </c>
      <c r="R14" s="10" t="s">
        <v>41</v>
      </c>
      <c r="S14" s="10" t="s">
        <v>41</v>
      </c>
      <c r="T14" s="60" t="s">
        <v>42</v>
      </c>
      <c r="U14" s="29" t="s">
        <v>4</v>
      </c>
      <c r="V14" s="29" t="s">
        <v>4</v>
      </c>
      <c r="W14" s="25" t="s">
        <v>6</v>
      </c>
      <c r="X14" s="25" t="s">
        <v>6</v>
      </c>
      <c r="Y14" s="12" t="s">
        <v>2</v>
      </c>
      <c r="Z14" s="25" t="s">
        <v>6</v>
      </c>
      <c r="AA14" s="25" t="s">
        <v>6</v>
      </c>
      <c r="AB14" s="25" t="s">
        <v>3</v>
      </c>
      <c r="AC14" s="25" t="s">
        <v>3</v>
      </c>
      <c r="AD14" s="12" t="s">
        <v>2</v>
      </c>
      <c r="AE14" s="25" t="s">
        <v>6</v>
      </c>
      <c r="AF14" s="10" t="s">
        <v>41</v>
      </c>
      <c r="AG14" s="25" t="s">
        <v>6</v>
      </c>
    </row>
    <row r="15" spans="1:33" ht="15" thickBot="1" x14ac:dyDescent="0.4">
      <c r="A15" s="9" t="s">
        <v>62</v>
      </c>
      <c r="B15" s="12" t="s">
        <v>2</v>
      </c>
      <c r="C15" s="60" t="s">
        <v>42</v>
      </c>
      <c r="D15" s="10" t="s">
        <v>41</v>
      </c>
      <c r="E15" s="10" t="s">
        <v>41</v>
      </c>
      <c r="F15" s="10" t="s">
        <v>41</v>
      </c>
      <c r="G15" s="66" t="s">
        <v>30</v>
      </c>
      <c r="H15" s="29" t="s">
        <v>4</v>
      </c>
      <c r="I15" s="12" t="s">
        <v>2</v>
      </c>
      <c r="J15" s="10" t="s">
        <v>41</v>
      </c>
      <c r="K15" s="10" t="s">
        <v>41</v>
      </c>
      <c r="L15" s="10" t="s">
        <v>41</v>
      </c>
      <c r="M15" s="10" t="s">
        <v>41</v>
      </c>
      <c r="N15" s="66" t="s">
        <v>30</v>
      </c>
      <c r="O15" s="29" t="s">
        <v>4</v>
      </c>
      <c r="P15" s="13" t="s">
        <v>5</v>
      </c>
      <c r="Q15" s="13" t="s">
        <v>5</v>
      </c>
      <c r="R15" s="13" t="s">
        <v>5</v>
      </c>
      <c r="S15" s="13" t="s">
        <v>5</v>
      </c>
      <c r="T15" s="13" t="s">
        <v>37</v>
      </c>
      <c r="U15" s="68" t="s">
        <v>4</v>
      </c>
      <c r="V15" s="68" t="s">
        <v>4</v>
      </c>
      <c r="W15" s="10" t="s">
        <v>41</v>
      </c>
      <c r="X15" s="10" t="s">
        <v>41</v>
      </c>
      <c r="Y15" s="10" t="s">
        <v>41</v>
      </c>
      <c r="Z15" s="10" t="s">
        <v>41</v>
      </c>
      <c r="AA15" s="10" t="s">
        <v>41</v>
      </c>
      <c r="AB15" s="60" t="s">
        <v>42</v>
      </c>
      <c r="AC15" s="29" t="s">
        <v>4</v>
      </c>
      <c r="AD15" s="10" t="s">
        <v>41</v>
      </c>
      <c r="AE15" s="10" t="s">
        <v>41</v>
      </c>
      <c r="AF15" s="12" t="s">
        <v>2</v>
      </c>
      <c r="AG15" s="10" t="s">
        <v>41</v>
      </c>
    </row>
    <row r="16" spans="1:33" ht="15" thickBot="1" x14ac:dyDescent="0.4">
      <c r="A16" s="9" t="s">
        <v>76</v>
      </c>
      <c r="B16" s="25" t="s">
        <v>6</v>
      </c>
      <c r="C16" s="66" t="s">
        <v>30</v>
      </c>
      <c r="D16" s="25" t="s">
        <v>6</v>
      </c>
      <c r="E16" s="25" t="s">
        <v>6</v>
      </c>
      <c r="F16" s="13" t="s">
        <v>5</v>
      </c>
      <c r="G16" s="29" t="s">
        <v>4</v>
      </c>
      <c r="H16" s="29" t="s">
        <v>4</v>
      </c>
      <c r="I16" s="25" t="s">
        <v>6</v>
      </c>
      <c r="J16" s="25" t="s">
        <v>6</v>
      </c>
      <c r="K16" s="25" t="s">
        <v>6</v>
      </c>
      <c r="L16" s="25" t="s">
        <v>6</v>
      </c>
      <c r="M16" s="25" t="s">
        <v>6</v>
      </c>
      <c r="N16" s="29" t="s">
        <v>4</v>
      </c>
      <c r="O16" s="29" t="s">
        <v>4</v>
      </c>
      <c r="P16" s="25" t="s">
        <v>6</v>
      </c>
      <c r="Q16" s="25" t="s">
        <v>6</v>
      </c>
      <c r="R16" s="25" t="s">
        <v>6</v>
      </c>
      <c r="S16" s="13" t="s">
        <v>5</v>
      </c>
      <c r="T16" s="28" t="s">
        <v>37</v>
      </c>
      <c r="U16" s="66" t="s">
        <v>30</v>
      </c>
      <c r="V16" s="29" t="s">
        <v>4</v>
      </c>
      <c r="W16" s="25" t="s">
        <v>6</v>
      </c>
      <c r="X16" s="25" t="s">
        <v>6</v>
      </c>
      <c r="Y16" s="25" t="s">
        <v>6</v>
      </c>
      <c r="Z16" s="25" t="s">
        <v>6</v>
      </c>
      <c r="AA16" s="25" t="s">
        <v>6</v>
      </c>
      <c r="AB16" s="29" t="s">
        <v>4</v>
      </c>
      <c r="AC16" s="29" t="s">
        <v>4</v>
      </c>
      <c r="AD16" s="27" t="s">
        <v>34</v>
      </c>
      <c r="AE16" s="27" t="s">
        <v>34</v>
      </c>
      <c r="AF16" s="25" t="s">
        <v>6</v>
      </c>
      <c r="AG16" s="25" t="s">
        <v>6</v>
      </c>
    </row>
    <row r="17" spans="1:33" x14ac:dyDescent="0.35">
      <c r="A17" s="9" t="s">
        <v>74</v>
      </c>
      <c r="B17" s="22" t="s">
        <v>16</v>
      </c>
      <c r="C17" s="28" t="s">
        <v>37</v>
      </c>
      <c r="D17" s="22" t="s">
        <v>16</v>
      </c>
      <c r="E17" s="22" t="s">
        <v>16</v>
      </c>
      <c r="F17" s="22" t="s">
        <v>16</v>
      </c>
      <c r="G17" s="29" t="s">
        <v>4</v>
      </c>
      <c r="H17" s="29" t="s">
        <v>4</v>
      </c>
      <c r="I17" s="22" t="s">
        <v>16</v>
      </c>
      <c r="J17" s="22" t="s">
        <v>16</v>
      </c>
      <c r="K17" s="22" t="s">
        <v>16</v>
      </c>
      <c r="L17" s="22" t="s">
        <v>16</v>
      </c>
      <c r="M17" s="22" t="s">
        <v>16</v>
      </c>
      <c r="N17" s="29" t="s">
        <v>4</v>
      </c>
      <c r="O17" s="29" t="s">
        <v>4</v>
      </c>
      <c r="P17" s="25" t="s">
        <v>6</v>
      </c>
      <c r="Q17" s="22" t="s">
        <v>16</v>
      </c>
      <c r="R17" s="10" t="s">
        <v>41</v>
      </c>
      <c r="S17" s="25" t="s">
        <v>6</v>
      </c>
      <c r="T17" s="28" t="s">
        <v>37</v>
      </c>
      <c r="U17" s="29" t="s">
        <v>4</v>
      </c>
      <c r="V17" s="29" t="s">
        <v>4</v>
      </c>
      <c r="W17" s="10" t="s">
        <v>41</v>
      </c>
      <c r="X17" s="10" t="s">
        <v>41</v>
      </c>
      <c r="Y17" s="22" t="s">
        <v>16</v>
      </c>
      <c r="Z17" s="22" t="s">
        <v>16</v>
      </c>
      <c r="AA17" s="22" t="s">
        <v>16</v>
      </c>
      <c r="AB17" s="29" t="s">
        <v>4</v>
      </c>
      <c r="AC17" s="29" t="s">
        <v>4</v>
      </c>
      <c r="AD17" s="10" t="s">
        <v>41</v>
      </c>
      <c r="AE17" s="10" t="s">
        <v>41</v>
      </c>
      <c r="AF17" s="16" t="s">
        <v>8</v>
      </c>
      <c r="AG17" s="16" t="s">
        <v>8</v>
      </c>
    </row>
    <row r="18" spans="1:33" x14ac:dyDescent="0.35">
      <c r="A18" s="9" t="s">
        <v>77</v>
      </c>
      <c r="B18" s="22" t="s">
        <v>16</v>
      </c>
      <c r="C18" s="28" t="s">
        <v>37</v>
      </c>
      <c r="D18" s="22" t="s">
        <v>16</v>
      </c>
      <c r="E18" s="22" t="s">
        <v>16</v>
      </c>
      <c r="F18" s="22" t="s">
        <v>16</v>
      </c>
      <c r="G18" s="29" t="s">
        <v>4</v>
      </c>
      <c r="H18" s="29" t="s">
        <v>4</v>
      </c>
      <c r="I18" s="22" t="s">
        <v>16</v>
      </c>
      <c r="J18" s="22" t="s">
        <v>16</v>
      </c>
      <c r="K18" s="22" t="s">
        <v>16</v>
      </c>
      <c r="L18" s="10" t="s">
        <v>41</v>
      </c>
      <c r="M18" s="22" t="s">
        <v>16</v>
      </c>
      <c r="N18" s="29" t="s">
        <v>4</v>
      </c>
      <c r="O18" s="29" t="s">
        <v>4</v>
      </c>
      <c r="P18" s="10" t="s">
        <v>41</v>
      </c>
      <c r="Q18" s="10" t="s">
        <v>41</v>
      </c>
      <c r="R18" s="16" t="s">
        <v>8</v>
      </c>
      <c r="S18" s="16" t="s">
        <v>8</v>
      </c>
      <c r="T18" s="28" t="s">
        <v>37</v>
      </c>
      <c r="U18" s="29" t="s">
        <v>4</v>
      </c>
      <c r="V18" s="29" t="s">
        <v>4</v>
      </c>
      <c r="W18" s="16" t="s">
        <v>8</v>
      </c>
      <c r="X18" s="16" t="s">
        <v>8</v>
      </c>
      <c r="Y18" s="16" t="s">
        <v>8</v>
      </c>
      <c r="Z18" s="16" t="s">
        <v>8</v>
      </c>
      <c r="AA18" s="16" t="s">
        <v>8</v>
      </c>
      <c r="AB18" s="29" t="s">
        <v>4</v>
      </c>
      <c r="AC18" s="29" t="s">
        <v>4</v>
      </c>
      <c r="AD18" s="25" t="s">
        <v>6</v>
      </c>
      <c r="AE18" s="25" t="s">
        <v>6</v>
      </c>
      <c r="AF18" s="25" t="s">
        <v>6</v>
      </c>
      <c r="AG18" s="22" t="s">
        <v>16</v>
      </c>
    </row>
    <row r="19" spans="1:33" x14ac:dyDescent="0.35">
      <c r="A19" s="9" t="s">
        <v>78</v>
      </c>
      <c r="B19" s="22" t="s">
        <v>16</v>
      </c>
      <c r="C19" s="28" t="s">
        <v>37</v>
      </c>
      <c r="D19" s="22" t="s">
        <v>16</v>
      </c>
      <c r="E19" s="22" t="s">
        <v>16</v>
      </c>
      <c r="F19" s="22" t="s">
        <v>16</v>
      </c>
      <c r="G19" s="29" t="s">
        <v>4</v>
      </c>
      <c r="H19" s="29" t="s">
        <v>4</v>
      </c>
      <c r="I19" s="22" t="s">
        <v>16</v>
      </c>
      <c r="J19" s="13" t="s">
        <v>81</v>
      </c>
      <c r="K19" s="22" t="s">
        <v>16</v>
      </c>
      <c r="L19" s="22" t="s">
        <v>16</v>
      </c>
      <c r="M19" s="22" t="s">
        <v>16</v>
      </c>
      <c r="N19" s="29" t="s">
        <v>4</v>
      </c>
      <c r="O19" s="29" t="s">
        <v>4</v>
      </c>
      <c r="P19" s="22" t="s">
        <v>16</v>
      </c>
      <c r="Q19" s="22" t="s">
        <v>16</v>
      </c>
      <c r="R19" s="22" t="s">
        <v>16</v>
      </c>
      <c r="S19" s="22" t="s">
        <v>16</v>
      </c>
      <c r="T19" s="28" t="s">
        <v>37</v>
      </c>
      <c r="U19" s="29" t="s">
        <v>4</v>
      </c>
      <c r="V19" s="29" t="s">
        <v>4</v>
      </c>
      <c r="W19" s="22" t="s">
        <v>16</v>
      </c>
      <c r="X19" s="22" t="s">
        <v>16</v>
      </c>
      <c r="Y19" s="22" t="s">
        <v>16</v>
      </c>
      <c r="Z19" s="22" t="s">
        <v>16</v>
      </c>
      <c r="AA19" s="25" t="s">
        <v>6</v>
      </c>
      <c r="AB19" s="29" t="s">
        <v>4</v>
      </c>
      <c r="AC19" s="29" t="s">
        <v>4</v>
      </c>
      <c r="AD19" s="25" t="s">
        <v>6</v>
      </c>
      <c r="AE19" s="22" t="s">
        <v>16</v>
      </c>
      <c r="AF19" s="22" t="s">
        <v>16</v>
      </c>
      <c r="AG19" s="22" t="s">
        <v>16</v>
      </c>
    </row>
    <row r="21" spans="1:33" x14ac:dyDescent="0.35">
      <c r="A21" s="24" t="s">
        <v>23</v>
      </c>
    </row>
    <row r="22" spans="1:33" x14ac:dyDescent="0.35">
      <c r="A22" s="1" t="s">
        <v>24</v>
      </c>
    </row>
    <row r="23" spans="1:33" x14ac:dyDescent="0.35">
      <c r="A23" s="1" t="s">
        <v>25</v>
      </c>
    </row>
    <row r="24" spans="1:33" x14ac:dyDescent="0.35">
      <c r="A24" s="1" t="s">
        <v>47</v>
      </c>
    </row>
    <row r="25" spans="1:33" x14ac:dyDescent="0.35">
      <c r="A25" s="1" t="s">
        <v>48</v>
      </c>
    </row>
    <row r="26" spans="1:33" x14ac:dyDescent="0.35">
      <c r="A26" s="26" t="s">
        <v>26</v>
      </c>
    </row>
    <row r="27" spans="1:33" x14ac:dyDescent="0.35">
      <c r="A27" s="26" t="s">
        <v>27</v>
      </c>
    </row>
    <row r="28" spans="1:33" x14ac:dyDescent="0.35">
      <c r="A28" s="26" t="s">
        <v>28</v>
      </c>
    </row>
    <row r="29" spans="1:33" x14ac:dyDescent="0.35">
      <c r="A29" s="26" t="s">
        <v>29</v>
      </c>
    </row>
    <row r="30" spans="1:33" x14ac:dyDescent="0.35">
      <c r="A30" s="26" t="s">
        <v>49</v>
      </c>
    </row>
    <row r="31" spans="1:33" x14ac:dyDescent="0.35">
      <c r="A31" s="26" t="s">
        <v>50</v>
      </c>
    </row>
    <row r="32" spans="1:33" x14ac:dyDescent="0.35">
      <c r="A32" s="26" t="s">
        <v>31</v>
      </c>
    </row>
    <row r="33" spans="1:1" x14ac:dyDescent="0.35">
      <c r="A33" s="26" t="s">
        <v>32</v>
      </c>
    </row>
    <row r="34" spans="1:1" x14ac:dyDescent="0.35">
      <c r="A34" s="26" t="s">
        <v>33</v>
      </c>
    </row>
    <row r="35" spans="1:1" x14ac:dyDescent="0.35">
      <c r="A35" s="26" t="s">
        <v>35</v>
      </c>
    </row>
    <row r="36" spans="1:1" x14ac:dyDescent="0.35">
      <c r="A36" s="26" t="s">
        <v>36</v>
      </c>
    </row>
    <row r="37" spans="1:1" x14ac:dyDescent="0.35">
      <c r="A37" s="26" t="s">
        <v>38</v>
      </c>
    </row>
    <row r="38" spans="1:1" x14ac:dyDescent="0.35">
      <c r="A38" s="26" t="s">
        <v>36</v>
      </c>
    </row>
    <row r="39" spans="1:1" x14ac:dyDescent="0.35">
      <c r="A39" s="26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39"/>
  <sheetViews>
    <sheetView zoomScale="80" zoomScaleNormal="80" workbookViewId="0">
      <pane xSplit="1" topLeftCell="B1" activePane="topRight" state="frozen"/>
      <selection pane="topRight" activeCell="I18" sqref="I18"/>
    </sheetView>
  </sheetViews>
  <sheetFormatPr defaultColWidth="9.1796875" defaultRowHeight="14.5" x14ac:dyDescent="0.35"/>
  <cols>
    <col min="1" max="1" width="26.1796875" style="45" bestFit="1" customWidth="1"/>
    <col min="2" max="2" width="9.26953125" style="45" customWidth="1"/>
    <col min="3" max="4" width="7.1796875" style="45" customWidth="1"/>
    <col min="5" max="5" width="7.26953125" style="45" customWidth="1"/>
    <col min="6" max="6" width="7.54296875" style="45" customWidth="1"/>
    <col min="7" max="7" width="7.26953125" style="45" customWidth="1"/>
    <col min="8" max="8" width="7.54296875" style="45" customWidth="1"/>
    <col min="9" max="10" width="9.26953125" style="45" customWidth="1"/>
    <col min="11" max="11" width="7.54296875" style="45" customWidth="1"/>
    <col min="12" max="12" width="9.26953125" style="45" customWidth="1"/>
    <col min="13" max="15" width="7.54296875" style="45" customWidth="1"/>
    <col min="16" max="16" width="9.26953125" style="45" customWidth="1"/>
    <col min="17" max="19" width="6.7265625" style="45" customWidth="1"/>
    <col min="20" max="32" width="9.1796875" style="45" customWidth="1"/>
    <col min="33" max="16384" width="9.1796875" style="45"/>
  </cols>
  <sheetData>
    <row r="1" spans="1:32" ht="15" customHeight="1" x14ac:dyDescent="0.35">
      <c r="A1" s="30"/>
      <c r="B1" s="2" t="str">
        <f t="shared" ref="B1:AF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si="0"/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 t="shared" si="0"/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Sun</v>
      </c>
    </row>
    <row r="2" spans="1:32" x14ac:dyDescent="0.35">
      <c r="A2" s="7" t="s">
        <v>0</v>
      </c>
      <c r="B2" s="31">
        <v>44652</v>
      </c>
      <c r="C2" s="31">
        <v>44653</v>
      </c>
      <c r="D2" s="31">
        <v>44654</v>
      </c>
      <c r="E2" s="31">
        <v>44655</v>
      </c>
      <c r="F2" s="31">
        <v>44656</v>
      </c>
      <c r="G2" s="31">
        <v>44657</v>
      </c>
      <c r="H2" s="31">
        <v>44658</v>
      </c>
      <c r="I2" s="31">
        <v>44659</v>
      </c>
      <c r="J2" s="31">
        <v>44660</v>
      </c>
      <c r="K2" s="31">
        <v>44661</v>
      </c>
      <c r="L2" s="31">
        <v>44662</v>
      </c>
      <c r="M2" s="31">
        <v>44663</v>
      </c>
      <c r="N2" s="31">
        <v>44664</v>
      </c>
      <c r="O2" s="31">
        <v>44665</v>
      </c>
      <c r="P2" s="31">
        <v>44666</v>
      </c>
      <c r="Q2" s="31">
        <v>44667</v>
      </c>
      <c r="R2" s="31">
        <v>44668</v>
      </c>
      <c r="S2" s="31">
        <v>44669</v>
      </c>
      <c r="T2" s="31">
        <v>44670</v>
      </c>
      <c r="U2" s="31">
        <v>44671</v>
      </c>
      <c r="V2" s="31">
        <v>44672</v>
      </c>
      <c r="W2" s="31">
        <v>44673</v>
      </c>
      <c r="X2" s="31">
        <v>44674</v>
      </c>
      <c r="Y2" s="31">
        <v>44675</v>
      </c>
      <c r="Z2" s="31">
        <v>44676</v>
      </c>
      <c r="AA2" s="31">
        <v>44677</v>
      </c>
      <c r="AB2" s="31">
        <v>44678</v>
      </c>
      <c r="AC2" s="31">
        <v>44679</v>
      </c>
      <c r="AD2" s="31">
        <v>44680</v>
      </c>
      <c r="AE2" s="31">
        <v>44681</v>
      </c>
      <c r="AF2" s="31">
        <v>44682</v>
      </c>
    </row>
    <row r="3" spans="1:32" x14ac:dyDescent="0.35">
      <c r="A3" s="8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</row>
    <row r="4" spans="1:32" x14ac:dyDescent="0.35">
      <c r="A4" s="9" t="s">
        <v>1</v>
      </c>
      <c r="B4" s="12" t="s">
        <v>2</v>
      </c>
      <c r="C4" s="25" t="s">
        <v>3</v>
      </c>
      <c r="D4" s="25" t="s">
        <v>3</v>
      </c>
      <c r="E4" s="12" t="s">
        <v>2</v>
      </c>
      <c r="F4" s="25" t="s">
        <v>6</v>
      </c>
      <c r="G4" s="25" t="s">
        <v>6</v>
      </c>
      <c r="H4" s="25" t="s">
        <v>6</v>
      </c>
      <c r="I4" s="12" t="s">
        <v>2</v>
      </c>
      <c r="J4" s="25" t="s">
        <v>3</v>
      </c>
      <c r="K4" s="25" t="s">
        <v>3</v>
      </c>
      <c r="L4" s="25" t="s">
        <v>6</v>
      </c>
      <c r="M4" s="12" t="s">
        <v>2</v>
      </c>
      <c r="N4" s="25" t="s">
        <v>6</v>
      </c>
      <c r="O4" s="25" t="s">
        <v>6</v>
      </c>
      <c r="P4" s="13" t="s">
        <v>81</v>
      </c>
      <c r="Q4" s="25" t="s">
        <v>3</v>
      </c>
      <c r="R4" s="25" t="s">
        <v>3</v>
      </c>
      <c r="S4" s="25" t="s">
        <v>6</v>
      </c>
      <c r="T4" s="25" t="s">
        <v>6</v>
      </c>
      <c r="U4" s="17" t="s">
        <v>10</v>
      </c>
      <c r="V4" s="17" t="s">
        <v>10</v>
      </c>
      <c r="W4" s="12" t="s">
        <v>2</v>
      </c>
      <c r="X4" s="25" t="s">
        <v>3</v>
      </c>
      <c r="Y4" s="25" t="s">
        <v>3</v>
      </c>
      <c r="Z4" s="25" t="s">
        <v>6</v>
      </c>
      <c r="AA4" s="17" t="s">
        <v>10</v>
      </c>
      <c r="AB4" s="17" t="s">
        <v>10</v>
      </c>
      <c r="AC4" s="68" t="s">
        <v>2</v>
      </c>
      <c r="AD4" s="68" t="s">
        <v>2</v>
      </c>
      <c r="AE4" s="60" t="s">
        <v>40</v>
      </c>
      <c r="AF4" s="25" t="s">
        <v>3</v>
      </c>
    </row>
    <row r="5" spans="1:32" x14ac:dyDescent="0.35">
      <c r="A5" s="9" t="s">
        <v>9</v>
      </c>
      <c r="B5" s="25" t="s">
        <v>6</v>
      </c>
      <c r="C5" s="19" t="s">
        <v>42</v>
      </c>
      <c r="D5" s="29" t="s">
        <v>4</v>
      </c>
      <c r="E5" s="25" t="s">
        <v>6</v>
      </c>
      <c r="F5" s="12" t="s">
        <v>2</v>
      </c>
      <c r="G5" s="12" t="s">
        <v>2</v>
      </c>
      <c r="H5" s="13" t="s">
        <v>5</v>
      </c>
      <c r="I5" s="13" t="s">
        <v>5</v>
      </c>
      <c r="J5" s="17" t="s">
        <v>11</v>
      </c>
      <c r="K5" s="17" t="s">
        <v>11</v>
      </c>
      <c r="L5" s="17" t="s">
        <v>10</v>
      </c>
      <c r="M5" s="17" t="s">
        <v>10</v>
      </c>
      <c r="N5" s="17" t="s">
        <v>10</v>
      </c>
      <c r="O5" s="17" t="s">
        <v>10</v>
      </c>
      <c r="P5" s="13" t="s">
        <v>5</v>
      </c>
      <c r="Q5" s="68" t="s">
        <v>4</v>
      </c>
      <c r="R5" s="17" t="s">
        <v>11</v>
      </c>
      <c r="S5" s="17" t="s">
        <v>10</v>
      </c>
      <c r="T5" s="17" t="s">
        <v>10</v>
      </c>
      <c r="U5" s="12" t="s">
        <v>2</v>
      </c>
      <c r="V5" s="25" t="s">
        <v>6</v>
      </c>
      <c r="W5" s="25" t="s">
        <v>6</v>
      </c>
      <c r="X5" s="17" t="s">
        <v>11</v>
      </c>
      <c r="Y5" s="17" t="s">
        <v>11</v>
      </c>
      <c r="Z5" s="17" t="s">
        <v>10</v>
      </c>
      <c r="AA5" s="12" t="s">
        <v>2</v>
      </c>
      <c r="AB5" s="25" t="s">
        <v>6</v>
      </c>
      <c r="AC5" s="25" t="s">
        <v>6</v>
      </c>
      <c r="AD5" s="25" t="s">
        <v>6</v>
      </c>
      <c r="AE5" s="25" t="s">
        <v>3</v>
      </c>
      <c r="AF5" s="19" t="s">
        <v>42</v>
      </c>
    </row>
    <row r="6" spans="1:32" x14ac:dyDescent="0.35">
      <c r="A6" s="9" t="s">
        <v>12</v>
      </c>
      <c r="B6" s="17" t="s">
        <v>10</v>
      </c>
      <c r="C6" s="29" t="s">
        <v>4</v>
      </c>
      <c r="D6" s="29" t="s">
        <v>4</v>
      </c>
      <c r="E6" s="10" t="s">
        <v>41</v>
      </c>
      <c r="F6" s="10" t="s">
        <v>41</v>
      </c>
      <c r="G6" s="10" t="s">
        <v>41</v>
      </c>
      <c r="H6" s="12" t="s">
        <v>2</v>
      </c>
      <c r="I6" s="25" t="s">
        <v>6</v>
      </c>
      <c r="J6" s="19" t="s">
        <v>42</v>
      </c>
      <c r="K6" s="19" t="s">
        <v>42</v>
      </c>
      <c r="L6" s="10" t="s">
        <v>41</v>
      </c>
      <c r="M6" s="12" t="s">
        <v>2</v>
      </c>
      <c r="N6" s="10" t="s">
        <v>41</v>
      </c>
      <c r="O6" s="10" t="s">
        <v>41</v>
      </c>
      <c r="P6" s="25" t="s">
        <v>6</v>
      </c>
      <c r="Q6" s="19" t="s">
        <v>42</v>
      </c>
      <c r="R6" s="29" t="s">
        <v>4</v>
      </c>
      <c r="S6" s="17" t="s">
        <v>10</v>
      </c>
      <c r="T6" s="17" t="s">
        <v>10</v>
      </c>
      <c r="U6" s="17" t="s">
        <v>10</v>
      </c>
      <c r="V6" s="17" t="s">
        <v>10</v>
      </c>
      <c r="W6" s="17" t="s">
        <v>10</v>
      </c>
      <c r="X6" s="29" t="s">
        <v>4</v>
      </c>
      <c r="Y6" s="29" t="s">
        <v>4</v>
      </c>
      <c r="Z6" s="16" t="s">
        <v>8</v>
      </c>
      <c r="AA6" s="16" t="s">
        <v>8</v>
      </c>
      <c r="AB6" s="16" t="s">
        <v>8</v>
      </c>
      <c r="AC6" s="17" t="s">
        <v>10</v>
      </c>
      <c r="AD6" s="17" t="s">
        <v>10</v>
      </c>
      <c r="AE6" s="29" t="s">
        <v>4</v>
      </c>
      <c r="AF6" s="29" t="s">
        <v>4</v>
      </c>
    </row>
    <row r="7" spans="1:32" x14ac:dyDescent="0.35">
      <c r="A7" s="9" t="s">
        <v>13</v>
      </c>
      <c r="B7" s="10" t="s">
        <v>41</v>
      </c>
      <c r="C7" s="29" t="s">
        <v>4</v>
      </c>
      <c r="D7" s="19" t="s">
        <v>42</v>
      </c>
      <c r="E7" s="12" t="s">
        <v>2</v>
      </c>
      <c r="F7" s="10" t="s">
        <v>41</v>
      </c>
      <c r="G7" s="10" t="s">
        <v>41</v>
      </c>
      <c r="H7" s="10" t="s">
        <v>41</v>
      </c>
      <c r="I7" s="10" t="s">
        <v>41</v>
      </c>
      <c r="J7" s="29" t="s">
        <v>4</v>
      </c>
      <c r="K7" s="29" t="s">
        <v>4</v>
      </c>
      <c r="L7" s="10" t="s">
        <v>41</v>
      </c>
      <c r="M7" s="10" t="s">
        <v>41</v>
      </c>
      <c r="N7" s="17" t="s">
        <v>10</v>
      </c>
      <c r="O7" s="17" t="s">
        <v>10</v>
      </c>
      <c r="P7" s="17" t="s">
        <v>10</v>
      </c>
      <c r="Q7" s="17" t="s">
        <v>11</v>
      </c>
      <c r="R7" s="29" t="s">
        <v>4</v>
      </c>
      <c r="S7" s="10" t="s">
        <v>41</v>
      </c>
      <c r="T7" s="10" t="s">
        <v>41</v>
      </c>
      <c r="U7" s="10" t="s">
        <v>41</v>
      </c>
      <c r="V7" s="10" t="s">
        <v>41</v>
      </c>
      <c r="W7" s="12" t="s">
        <v>2</v>
      </c>
      <c r="X7" s="29" t="s">
        <v>4</v>
      </c>
      <c r="Y7" s="19" t="s">
        <v>42</v>
      </c>
      <c r="Z7" s="10" t="s">
        <v>41</v>
      </c>
      <c r="AA7" s="10" t="s">
        <v>41</v>
      </c>
      <c r="AB7" s="12" t="s">
        <v>2</v>
      </c>
      <c r="AC7" s="10" t="s">
        <v>41</v>
      </c>
      <c r="AD7" s="10" t="s">
        <v>41</v>
      </c>
      <c r="AE7" s="29" t="s">
        <v>4</v>
      </c>
      <c r="AF7" s="29" t="s">
        <v>4</v>
      </c>
    </row>
    <row r="8" spans="1:32" x14ac:dyDescent="0.35">
      <c r="A8" s="9" t="s">
        <v>14</v>
      </c>
      <c r="B8" s="10" t="s">
        <v>41</v>
      </c>
      <c r="C8" s="17" t="s">
        <v>11</v>
      </c>
      <c r="D8" s="17" t="s">
        <v>11</v>
      </c>
      <c r="E8" s="17" t="s">
        <v>10</v>
      </c>
      <c r="F8" s="17" t="s">
        <v>10</v>
      </c>
      <c r="G8" s="12" t="s">
        <v>2</v>
      </c>
      <c r="H8" s="17" t="s">
        <v>10</v>
      </c>
      <c r="I8" s="17" t="s">
        <v>10</v>
      </c>
      <c r="J8" s="68" t="s">
        <v>4</v>
      </c>
      <c r="K8" s="68" t="s">
        <v>4</v>
      </c>
      <c r="L8" s="25" t="s">
        <v>6</v>
      </c>
      <c r="M8" s="25" t="s">
        <v>6</v>
      </c>
      <c r="N8" s="25" t="s">
        <v>6</v>
      </c>
      <c r="O8" s="25" t="s">
        <v>6</v>
      </c>
      <c r="P8" s="13" t="s">
        <v>81</v>
      </c>
      <c r="Q8" s="68" t="s">
        <v>4</v>
      </c>
      <c r="R8" s="68" t="s">
        <v>4</v>
      </c>
      <c r="S8" s="13" t="s">
        <v>5</v>
      </c>
      <c r="T8" s="13" t="s">
        <v>5</v>
      </c>
      <c r="U8" s="13" t="s">
        <v>5</v>
      </c>
      <c r="V8" s="10" t="s">
        <v>41</v>
      </c>
      <c r="W8" s="10" t="s">
        <v>41</v>
      </c>
      <c r="X8" s="19" t="s">
        <v>42</v>
      </c>
      <c r="Y8" s="29" t="s">
        <v>4</v>
      </c>
      <c r="Z8" s="25" t="s">
        <v>6</v>
      </c>
      <c r="AA8" s="25" t="s">
        <v>6</v>
      </c>
      <c r="AB8" s="25" t="s">
        <v>6</v>
      </c>
      <c r="AC8" s="10" t="s">
        <v>41</v>
      </c>
      <c r="AD8" s="13" t="s">
        <v>5</v>
      </c>
      <c r="AE8" s="68" t="s">
        <v>4</v>
      </c>
      <c r="AF8" s="68" t="s">
        <v>4</v>
      </c>
    </row>
    <row r="9" spans="1:32" x14ac:dyDescent="0.35">
      <c r="A9" s="9" t="s">
        <v>15</v>
      </c>
      <c r="B9" s="12" t="s">
        <v>2</v>
      </c>
      <c r="C9" s="17" t="s">
        <v>11</v>
      </c>
      <c r="D9" s="17" t="s">
        <v>11</v>
      </c>
      <c r="E9" s="17" t="s">
        <v>10</v>
      </c>
      <c r="F9" s="17" t="s">
        <v>10</v>
      </c>
      <c r="G9" s="17" t="s">
        <v>10</v>
      </c>
      <c r="H9" s="12" t="s">
        <v>2</v>
      </c>
      <c r="I9" s="12" t="s">
        <v>2</v>
      </c>
      <c r="J9" s="19" t="s">
        <v>42</v>
      </c>
      <c r="K9" s="19" t="s">
        <v>42</v>
      </c>
      <c r="L9" s="12" t="s">
        <v>2</v>
      </c>
      <c r="M9" s="10" t="s">
        <v>41</v>
      </c>
      <c r="N9" s="10" t="s">
        <v>41</v>
      </c>
      <c r="O9" s="10" t="s">
        <v>41</v>
      </c>
      <c r="P9" s="19" t="s">
        <v>42</v>
      </c>
      <c r="Q9" s="29" t="s">
        <v>4</v>
      </c>
      <c r="R9" s="29" t="s">
        <v>4</v>
      </c>
      <c r="S9" s="25" t="s">
        <v>6</v>
      </c>
      <c r="T9" s="25" t="s">
        <v>6</v>
      </c>
      <c r="U9" s="25" t="s">
        <v>6</v>
      </c>
      <c r="V9" s="12" t="s">
        <v>2</v>
      </c>
      <c r="W9" s="25" t="s">
        <v>6</v>
      </c>
      <c r="X9" s="25" t="s">
        <v>3</v>
      </c>
      <c r="Y9" s="29" t="s">
        <v>4</v>
      </c>
      <c r="Z9" s="10" t="s">
        <v>41</v>
      </c>
      <c r="AA9" s="10" t="s">
        <v>41</v>
      </c>
      <c r="AB9" s="10" t="s">
        <v>41</v>
      </c>
      <c r="AC9" s="10" t="s">
        <v>41</v>
      </c>
      <c r="AD9" s="10" t="s">
        <v>41</v>
      </c>
      <c r="AE9" s="29" t="s">
        <v>4</v>
      </c>
      <c r="AF9" s="29" t="s">
        <v>4</v>
      </c>
    </row>
    <row r="10" spans="1:32" x14ac:dyDescent="0.35">
      <c r="A10" s="9" t="s">
        <v>18</v>
      </c>
      <c r="B10" s="10" t="s">
        <v>41</v>
      </c>
      <c r="C10" s="68" t="s">
        <v>4</v>
      </c>
      <c r="D10" s="68" t="s">
        <v>4</v>
      </c>
      <c r="E10" s="13" t="s">
        <v>5</v>
      </c>
      <c r="F10" s="10" t="s">
        <v>41</v>
      </c>
      <c r="G10" s="10" t="s">
        <v>41</v>
      </c>
      <c r="H10" s="10" t="s">
        <v>41</v>
      </c>
      <c r="I10" s="10" t="s">
        <v>41</v>
      </c>
      <c r="J10" s="29" t="s">
        <v>4</v>
      </c>
      <c r="K10" s="29" t="s">
        <v>4</v>
      </c>
      <c r="L10" s="10" t="s">
        <v>41</v>
      </c>
      <c r="M10" s="10" t="s">
        <v>41</v>
      </c>
      <c r="N10" s="12" t="s">
        <v>2</v>
      </c>
      <c r="O10" s="12" t="s">
        <v>2</v>
      </c>
      <c r="P10" s="10" t="s">
        <v>41</v>
      </c>
      <c r="Q10" s="29" t="s">
        <v>4</v>
      </c>
      <c r="R10" s="19" t="s">
        <v>42</v>
      </c>
      <c r="S10" s="10" t="s">
        <v>41</v>
      </c>
      <c r="T10" s="10" t="s">
        <v>41</v>
      </c>
      <c r="U10" s="12" t="s">
        <v>2</v>
      </c>
      <c r="V10" s="25" t="s">
        <v>6</v>
      </c>
      <c r="W10" s="19" t="s">
        <v>41</v>
      </c>
      <c r="X10" s="19" t="s">
        <v>42</v>
      </c>
      <c r="Y10" s="29" t="s">
        <v>4</v>
      </c>
      <c r="Z10" s="25" t="s">
        <v>6</v>
      </c>
      <c r="AA10" s="25" t="s">
        <v>6</v>
      </c>
      <c r="AB10" s="12" t="s">
        <v>2</v>
      </c>
      <c r="AC10" s="25" t="s">
        <v>6</v>
      </c>
      <c r="AD10" s="25" t="s">
        <v>6</v>
      </c>
      <c r="AE10" s="17" t="s">
        <v>11</v>
      </c>
      <c r="AF10" s="17" t="s">
        <v>11</v>
      </c>
    </row>
    <row r="11" spans="1:32" ht="14.15" customHeight="1" x14ac:dyDescent="0.35">
      <c r="A11" s="9" t="s">
        <v>21</v>
      </c>
      <c r="B11" s="17" t="s">
        <v>10</v>
      </c>
      <c r="C11" s="29" t="s">
        <v>4</v>
      </c>
      <c r="D11" s="19" t="s">
        <v>42</v>
      </c>
      <c r="E11" s="10" t="s">
        <v>41</v>
      </c>
      <c r="F11" s="10" t="s">
        <v>41</v>
      </c>
      <c r="G11" s="12" t="s">
        <v>2</v>
      </c>
      <c r="H11" s="25" t="s">
        <v>6</v>
      </c>
      <c r="I11" s="25" t="s">
        <v>6</v>
      </c>
      <c r="J11" s="29" t="s">
        <v>4</v>
      </c>
      <c r="K11" s="25" t="s">
        <v>3</v>
      </c>
      <c r="L11" s="12" t="s">
        <v>2</v>
      </c>
      <c r="M11" s="25" t="s">
        <v>6</v>
      </c>
      <c r="N11" s="13" t="s">
        <v>5</v>
      </c>
      <c r="O11" s="13" t="s">
        <v>37</v>
      </c>
      <c r="P11" s="25" t="s">
        <v>6</v>
      </c>
      <c r="Q11" s="19" t="s">
        <v>42</v>
      </c>
      <c r="R11" s="19" t="s">
        <v>42</v>
      </c>
      <c r="S11" s="12" t="s">
        <v>2</v>
      </c>
      <c r="T11" s="10" t="s">
        <v>41</v>
      </c>
      <c r="U11" s="10" t="s">
        <v>41</v>
      </c>
      <c r="V11" s="12" t="s">
        <v>2</v>
      </c>
      <c r="W11" s="17" t="s">
        <v>10</v>
      </c>
      <c r="X11" s="17" t="s">
        <v>11</v>
      </c>
      <c r="Y11" s="17" t="s">
        <v>11</v>
      </c>
      <c r="Z11" s="12" t="s">
        <v>2</v>
      </c>
      <c r="AA11" s="12" t="s">
        <v>2</v>
      </c>
      <c r="AB11" s="10" t="s">
        <v>41</v>
      </c>
      <c r="AC11" s="17" t="s">
        <v>10</v>
      </c>
      <c r="AD11" s="17" t="s">
        <v>10</v>
      </c>
      <c r="AE11" s="17" t="s">
        <v>11</v>
      </c>
      <c r="AF11" s="17" t="s">
        <v>11</v>
      </c>
    </row>
    <row r="12" spans="1:32" x14ac:dyDescent="0.35">
      <c r="A12" s="9" t="s">
        <v>43</v>
      </c>
      <c r="B12" s="25" t="s">
        <v>6</v>
      </c>
      <c r="C12" s="25" t="s">
        <v>3</v>
      </c>
      <c r="D12" s="29" t="s">
        <v>4</v>
      </c>
      <c r="E12" s="10" t="s">
        <v>41</v>
      </c>
      <c r="F12" s="12" t="s">
        <v>2</v>
      </c>
      <c r="G12" s="17" t="s">
        <v>10</v>
      </c>
      <c r="H12" s="17" t="s">
        <v>10</v>
      </c>
      <c r="I12" s="17" t="s">
        <v>10</v>
      </c>
      <c r="J12" s="17" t="s">
        <v>11</v>
      </c>
      <c r="K12" s="17" t="s">
        <v>11</v>
      </c>
      <c r="L12" s="17" t="s">
        <v>10</v>
      </c>
      <c r="M12" s="17" t="s">
        <v>10</v>
      </c>
      <c r="N12" s="12" t="s">
        <v>2</v>
      </c>
      <c r="O12" s="13" t="s">
        <v>81</v>
      </c>
      <c r="P12" s="17" t="s">
        <v>10</v>
      </c>
      <c r="Q12" s="17" t="s">
        <v>11</v>
      </c>
      <c r="R12" s="17" t="s">
        <v>11</v>
      </c>
      <c r="S12" s="12" t="s">
        <v>2</v>
      </c>
      <c r="T12" s="12" t="s">
        <v>2</v>
      </c>
      <c r="U12" s="10" t="s">
        <v>41</v>
      </c>
      <c r="V12" s="10" t="s">
        <v>41</v>
      </c>
      <c r="W12" s="10" t="s">
        <v>41</v>
      </c>
      <c r="X12" s="29" t="s">
        <v>4</v>
      </c>
      <c r="Y12" s="29" t="s">
        <v>4</v>
      </c>
      <c r="Z12" s="10" t="s">
        <v>41</v>
      </c>
      <c r="AA12" s="10" t="s">
        <v>41</v>
      </c>
      <c r="AB12" s="10" t="s">
        <v>41</v>
      </c>
      <c r="AC12" s="25" t="s">
        <v>6</v>
      </c>
      <c r="AD12" s="25" t="s">
        <v>6</v>
      </c>
      <c r="AE12" s="29" t="s">
        <v>4</v>
      </c>
      <c r="AF12" s="29" t="s">
        <v>4</v>
      </c>
    </row>
    <row r="13" spans="1:32" ht="15" thickBot="1" x14ac:dyDescent="0.4">
      <c r="A13" s="9" t="s">
        <v>75</v>
      </c>
      <c r="B13" s="25" t="s">
        <v>6</v>
      </c>
      <c r="C13" s="19" t="s">
        <v>42</v>
      </c>
      <c r="D13" s="25" t="s">
        <v>3</v>
      </c>
      <c r="E13" s="25" t="s">
        <v>6</v>
      </c>
      <c r="F13" s="12" t="s">
        <v>2</v>
      </c>
      <c r="G13" s="25" t="s">
        <v>6</v>
      </c>
      <c r="H13" s="10" t="s">
        <v>41</v>
      </c>
      <c r="I13" s="10" t="s">
        <v>41</v>
      </c>
      <c r="J13" s="29" t="s">
        <v>4</v>
      </c>
      <c r="K13" s="29" t="s">
        <v>4</v>
      </c>
      <c r="L13" s="10" t="s">
        <v>41</v>
      </c>
      <c r="M13" s="10" t="s">
        <v>41</v>
      </c>
      <c r="N13" s="10" t="s">
        <v>41</v>
      </c>
      <c r="O13" s="10" t="s">
        <v>41</v>
      </c>
      <c r="P13" s="13" t="s">
        <v>81</v>
      </c>
      <c r="Q13" s="29" t="s">
        <v>4</v>
      </c>
      <c r="R13" s="29" t="s">
        <v>4</v>
      </c>
      <c r="S13" s="25" t="s">
        <v>6</v>
      </c>
      <c r="T13" s="25" t="s">
        <v>6</v>
      </c>
      <c r="U13" s="25" t="s">
        <v>6</v>
      </c>
      <c r="V13" s="12" t="s">
        <v>2</v>
      </c>
      <c r="W13" s="25" t="s">
        <v>6</v>
      </c>
      <c r="X13" s="66" t="s">
        <v>30</v>
      </c>
      <c r="Y13" s="29" t="s">
        <v>4</v>
      </c>
      <c r="Z13" s="17" t="s">
        <v>10</v>
      </c>
      <c r="AA13" s="17" t="s">
        <v>10</v>
      </c>
      <c r="AB13" s="17" t="s">
        <v>10</v>
      </c>
      <c r="AC13" s="12" t="s">
        <v>2</v>
      </c>
      <c r="AD13" s="12" t="s">
        <v>2</v>
      </c>
      <c r="AE13" s="19" t="s">
        <v>42</v>
      </c>
      <c r="AF13" s="19" t="s">
        <v>42</v>
      </c>
    </row>
    <row r="14" spans="1:32" x14ac:dyDescent="0.35">
      <c r="A14" s="9" t="s">
        <v>22</v>
      </c>
      <c r="B14" s="10" t="s">
        <v>41</v>
      </c>
      <c r="C14" s="29" t="s">
        <v>4</v>
      </c>
      <c r="D14" s="29" t="s">
        <v>4</v>
      </c>
      <c r="E14" s="25" t="s">
        <v>6</v>
      </c>
      <c r="F14" s="25" t="s">
        <v>6</v>
      </c>
      <c r="G14" s="25" t="s">
        <v>6</v>
      </c>
      <c r="H14" s="25" t="s">
        <v>6</v>
      </c>
      <c r="I14" s="25" t="s">
        <v>6</v>
      </c>
      <c r="J14" s="25" t="s">
        <v>3</v>
      </c>
      <c r="K14" s="29" t="s">
        <v>4</v>
      </c>
      <c r="L14" s="25" t="s">
        <v>6</v>
      </c>
      <c r="M14" s="25" t="s">
        <v>6</v>
      </c>
      <c r="N14" s="25" t="s">
        <v>6</v>
      </c>
      <c r="O14" s="13" t="s">
        <v>37</v>
      </c>
      <c r="P14" s="25" t="s">
        <v>3</v>
      </c>
      <c r="Q14" s="25" t="s">
        <v>3</v>
      </c>
      <c r="R14" s="25" t="s">
        <v>3</v>
      </c>
      <c r="S14" s="12" t="s">
        <v>2</v>
      </c>
      <c r="T14" s="12" t="s">
        <v>2</v>
      </c>
      <c r="U14" s="25" t="s">
        <v>6</v>
      </c>
      <c r="V14" s="25" t="s">
        <v>6</v>
      </c>
      <c r="W14" s="10" t="s">
        <v>41</v>
      </c>
      <c r="X14" s="29" t="s">
        <v>4</v>
      </c>
      <c r="Y14" s="25" t="s">
        <v>3</v>
      </c>
      <c r="Z14" s="12" t="s">
        <v>2</v>
      </c>
      <c r="AA14" s="12" t="s">
        <v>2</v>
      </c>
      <c r="AB14" s="25" t="s">
        <v>6</v>
      </c>
      <c r="AC14" s="25" t="s">
        <v>6</v>
      </c>
      <c r="AD14" s="13" t="s">
        <v>5</v>
      </c>
      <c r="AE14" s="68" t="s">
        <v>4</v>
      </c>
      <c r="AF14" s="68" t="s">
        <v>4</v>
      </c>
    </row>
    <row r="15" spans="1:32" ht="15" thickBot="1" x14ac:dyDescent="0.4">
      <c r="A15" s="9" t="s">
        <v>62</v>
      </c>
      <c r="B15" s="22" t="s">
        <v>16</v>
      </c>
      <c r="C15" s="66" t="s">
        <v>30</v>
      </c>
      <c r="D15" s="29" t="s">
        <v>4</v>
      </c>
      <c r="E15" s="10" t="s">
        <v>41</v>
      </c>
      <c r="F15" s="25" t="s">
        <v>6</v>
      </c>
      <c r="G15" s="10" t="s">
        <v>41</v>
      </c>
      <c r="H15" s="10" t="s">
        <v>41</v>
      </c>
      <c r="I15" s="10" t="s">
        <v>41</v>
      </c>
      <c r="J15" s="68" t="s">
        <v>4</v>
      </c>
      <c r="K15" s="29" t="s">
        <v>4</v>
      </c>
      <c r="L15" s="13" t="s">
        <v>5</v>
      </c>
      <c r="M15" s="13" t="s">
        <v>5</v>
      </c>
      <c r="N15" s="13" t="s">
        <v>5</v>
      </c>
      <c r="O15" s="25" t="s">
        <v>6</v>
      </c>
      <c r="P15" s="10" t="s">
        <v>41</v>
      </c>
      <c r="Q15" s="68" t="s">
        <v>4</v>
      </c>
      <c r="R15" s="29" t="s">
        <v>4</v>
      </c>
      <c r="S15" s="10" t="s">
        <v>41</v>
      </c>
      <c r="T15" s="10" t="s">
        <v>41</v>
      </c>
      <c r="U15" s="10" t="s">
        <v>41</v>
      </c>
      <c r="V15" s="10" t="s">
        <v>41</v>
      </c>
      <c r="W15" s="12" t="s">
        <v>2</v>
      </c>
      <c r="X15" s="29" t="s">
        <v>4</v>
      </c>
      <c r="Y15" s="19" t="s">
        <v>42</v>
      </c>
      <c r="Z15" s="10" t="s">
        <v>41</v>
      </c>
      <c r="AA15" s="12" t="s">
        <v>2</v>
      </c>
      <c r="AB15" s="25" t="s">
        <v>6</v>
      </c>
      <c r="AC15" s="10" t="s">
        <v>41</v>
      </c>
      <c r="AD15" s="10" t="s">
        <v>41</v>
      </c>
      <c r="AE15" s="66" t="s">
        <v>30</v>
      </c>
      <c r="AF15" s="29" t="s">
        <v>4</v>
      </c>
    </row>
    <row r="16" spans="1:32" ht="15" thickBot="1" x14ac:dyDescent="0.4">
      <c r="A16" s="9" t="s">
        <v>76</v>
      </c>
      <c r="B16" s="25" t="s">
        <v>6</v>
      </c>
      <c r="C16" s="29" t="s">
        <v>4</v>
      </c>
      <c r="D16" s="29" t="s">
        <v>4</v>
      </c>
      <c r="E16" s="25" t="s">
        <v>6</v>
      </c>
      <c r="F16" s="25" t="s">
        <v>6</v>
      </c>
      <c r="G16" s="25" t="s">
        <v>6</v>
      </c>
      <c r="H16" s="12" t="s">
        <v>2</v>
      </c>
      <c r="I16" s="25" t="s">
        <v>6</v>
      </c>
      <c r="J16" s="66" t="s">
        <v>30</v>
      </c>
      <c r="K16" s="29" t="s">
        <v>4</v>
      </c>
      <c r="L16" s="25" t="s">
        <v>6</v>
      </c>
      <c r="M16" s="25" t="s">
        <v>6</v>
      </c>
      <c r="N16" s="10" t="s">
        <v>41</v>
      </c>
      <c r="O16" s="10" t="s">
        <v>41</v>
      </c>
      <c r="P16" s="10" t="s">
        <v>41</v>
      </c>
      <c r="Q16" s="29" t="s">
        <v>4</v>
      </c>
      <c r="R16" s="29" t="s">
        <v>4</v>
      </c>
      <c r="S16" s="25" t="s">
        <v>6</v>
      </c>
      <c r="T16" s="25" t="s">
        <v>6</v>
      </c>
      <c r="U16" s="25" t="s">
        <v>6</v>
      </c>
      <c r="V16" s="25" t="s">
        <v>6</v>
      </c>
      <c r="W16" s="25" t="s">
        <v>6</v>
      </c>
      <c r="X16" s="29" t="s">
        <v>4</v>
      </c>
      <c r="Y16" s="29" t="s">
        <v>4</v>
      </c>
      <c r="Z16" s="25" t="s">
        <v>6</v>
      </c>
      <c r="AA16" s="25" t="s">
        <v>6</v>
      </c>
      <c r="AB16" s="22" t="s">
        <v>16</v>
      </c>
      <c r="AC16" s="12" t="s">
        <v>2</v>
      </c>
      <c r="AD16" s="25" t="s">
        <v>6</v>
      </c>
      <c r="AE16" s="25" t="s">
        <v>3</v>
      </c>
      <c r="AF16" s="25" t="s">
        <v>3</v>
      </c>
    </row>
    <row r="17" spans="1:32" x14ac:dyDescent="0.35">
      <c r="A17" s="9" t="s">
        <v>74</v>
      </c>
      <c r="B17" s="16" t="s">
        <v>8</v>
      </c>
      <c r="C17" s="29" t="s">
        <v>4</v>
      </c>
      <c r="D17" s="29" t="s">
        <v>4</v>
      </c>
      <c r="E17" s="22" t="s">
        <v>16</v>
      </c>
      <c r="F17" s="22" t="s">
        <v>16</v>
      </c>
      <c r="G17" s="22" t="s">
        <v>16</v>
      </c>
      <c r="H17" s="25" t="s">
        <v>6</v>
      </c>
      <c r="I17" s="22" t="s">
        <v>16</v>
      </c>
      <c r="J17" s="29" t="s">
        <v>4</v>
      </c>
      <c r="K17" s="29" t="s">
        <v>4</v>
      </c>
      <c r="L17" s="16" t="s">
        <v>8</v>
      </c>
      <c r="M17" s="16" t="s">
        <v>8</v>
      </c>
      <c r="N17" s="16" t="s">
        <v>8</v>
      </c>
      <c r="O17" s="16" t="s">
        <v>8</v>
      </c>
      <c r="P17" s="16" t="s">
        <v>8</v>
      </c>
      <c r="Q17" s="29" t="s">
        <v>4</v>
      </c>
      <c r="R17" s="29" t="s">
        <v>4</v>
      </c>
      <c r="S17" s="10" t="s">
        <v>41</v>
      </c>
      <c r="T17" s="22" t="s">
        <v>16</v>
      </c>
      <c r="U17" s="22" t="s">
        <v>16</v>
      </c>
      <c r="V17" s="22" t="s">
        <v>16</v>
      </c>
      <c r="W17" s="22" t="s">
        <v>16</v>
      </c>
      <c r="X17" s="29" t="s">
        <v>4</v>
      </c>
      <c r="Y17" s="29" t="s">
        <v>4</v>
      </c>
      <c r="Z17" s="22" t="s">
        <v>16</v>
      </c>
      <c r="AA17" s="10" t="s">
        <v>41</v>
      </c>
      <c r="AB17" s="22" t="s">
        <v>16</v>
      </c>
      <c r="AC17" s="16" t="s">
        <v>8</v>
      </c>
      <c r="AD17" s="16" t="s">
        <v>8</v>
      </c>
      <c r="AE17" s="29" t="s">
        <v>4</v>
      </c>
      <c r="AF17" s="29" t="s">
        <v>4</v>
      </c>
    </row>
    <row r="18" spans="1:32" ht="15" thickBot="1" x14ac:dyDescent="0.4">
      <c r="A18" s="9" t="s">
        <v>77</v>
      </c>
      <c r="B18" s="22" t="s">
        <v>16</v>
      </c>
      <c r="C18" s="29" t="s">
        <v>4</v>
      </c>
      <c r="D18" s="29" t="s">
        <v>4</v>
      </c>
      <c r="E18" s="16" t="s">
        <v>8</v>
      </c>
      <c r="F18" s="16" t="s">
        <v>8</v>
      </c>
      <c r="G18" s="16" t="s">
        <v>8</v>
      </c>
      <c r="H18" s="16" t="s">
        <v>8</v>
      </c>
      <c r="I18" s="16" t="s">
        <v>8</v>
      </c>
      <c r="J18" s="29" t="s">
        <v>4</v>
      </c>
      <c r="K18" s="29" t="s">
        <v>4</v>
      </c>
      <c r="L18" s="22" t="s">
        <v>16</v>
      </c>
      <c r="M18" s="22" t="s">
        <v>16</v>
      </c>
      <c r="N18" s="13" t="s">
        <v>5</v>
      </c>
      <c r="O18" s="13" t="s">
        <v>81</v>
      </c>
      <c r="P18" s="25" t="s">
        <v>6</v>
      </c>
      <c r="Q18" s="66" t="s">
        <v>30</v>
      </c>
      <c r="R18" s="29" t="s">
        <v>4</v>
      </c>
      <c r="S18" s="16" t="s">
        <v>8</v>
      </c>
      <c r="T18" s="16" t="s">
        <v>8</v>
      </c>
      <c r="U18" s="16" t="s">
        <v>8</v>
      </c>
      <c r="V18" s="16" t="s">
        <v>8</v>
      </c>
      <c r="W18" s="16" t="s">
        <v>8</v>
      </c>
      <c r="X18" s="29" t="s">
        <v>4</v>
      </c>
      <c r="Y18" s="29" t="s">
        <v>4</v>
      </c>
      <c r="Z18" s="22" t="s">
        <v>16</v>
      </c>
      <c r="AA18" s="25" t="s">
        <v>6</v>
      </c>
      <c r="AB18" s="10" t="s">
        <v>41</v>
      </c>
      <c r="AC18" s="22" t="s">
        <v>16</v>
      </c>
      <c r="AD18" s="10" t="s">
        <v>41</v>
      </c>
      <c r="AE18" s="29" t="s">
        <v>4</v>
      </c>
      <c r="AF18" s="29" t="s">
        <v>4</v>
      </c>
    </row>
    <row r="19" spans="1:32" x14ac:dyDescent="0.35">
      <c r="A19" s="9" t="s">
        <v>78</v>
      </c>
      <c r="B19" s="22" t="s">
        <v>16</v>
      </c>
      <c r="C19" s="29" t="s">
        <v>4</v>
      </c>
      <c r="D19" s="29" t="s">
        <v>4</v>
      </c>
      <c r="E19" s="22" t="s">
        <v>16</v>
      </c>
      <c r="F19" s="22" t="s">
        <v>16</v>
      </c>
      <c r="G19" s="22" t="s">
        <v>16</v>
      </c>
      <c r="H19" s="22" t="s">
        <v>16</v>
      </c>
      <c r="I19" s="22" t="s">
        <v>16</v>
      </c>
      <c r="J19" s="29" t="s">
        <v>4</v>
      </c>
      <c r="K19" s="29" t="s">
        <v>4</v>
      </c>
      <c r="L19" s="22" t="s">
        <v>16</v>
      </c>
      <c r="M19" s="22" t="s">
        <v>16</v>
      </c>
      <c r="N19" s="25" t="s">
        <v>6</v>
      </c>
      <c r="O19" s="25" t="s">
        <v>6</v>
      </c>
      <c r="P19" s="13" t="s">
        <v>81</v>
      </c>
      <c r="Q19" s="29" t="s">
        <v>4</v>
      </c>
      <c r="R19" s="29" t="s">
        <v>4</v>
      </c>
      <c r="S19" s="22" t="s">
        <v>16</v>
      </c>
      <c r="T19" s="22" t="s">
        <v>16</v>
      </c>
      <c r="U19" s="22" t="s">
        <v>16</v>
      </c>
      <c r="V19" s="22" t="s">
        <v>16</v>
      </c>
      <c r="W19" s="22" t="s">
        <v>16</v>
      </c>
      <c r="X19" s="29" t="s">
        <v>4</v>
      </c>
      <c r="Y19" s="29" t="s">
        <v>4</v>
      </c>
      <c r="Z19" s="22" t="s">
        <v>16</v>
      </c>
      <c r="AA19" s="22" t="s">
        <v>16</v>
      </c>
      <c r="AB19" s="22" t="s">
        <v>16</v>
      </c>
      <c r="AC19" s="22" t="s">
        <v>16</v>
      </c>
      <c r="AD19" s="22" t="s">
        <v>16</v>
      </c>
      <c r="AE19" s="29" t="s">
        <v>4</v>
      </c>
      <c r="AF19" s="29" t="s">
        <v>4</v>
      </c>
    </row>
    <row r="21" spans="1:32" x14ac:dyDescent="0.35">
      <c r="A21" s="24" t="s">
        <v>23</v>
      </c>
    </row>
    <row r="22" spans="1:32" x14ac:dyDescent="0.35">
      <c r="A22" s="1" t="s">
        <v>24</v>
      </c>
    </row>
    <row r="23" spans="1:32" x14ac:dyDescent="0.35">
      <c r="A23" s="1" t="s">
        <v>25</v>
      </c>
    </row>
    <row r="24" spans="1:32" x14ac:dyDescent="0.35">
      <c r="A24" s="1" t="s">
        <v>47</v>
      </c>
    </row>
    <row r="25" spans="1:32" x14ac:dyDescent="0.35">
      <c r="A25" s="1" t="s">
        <v>48</v>
      </c>
    </row>
    <row r="26" spans="1:32" x14ac:dyDescent="0.35">
      <c r="A26" s="26" t="s">
        <v>26</v>
      </c>
    </row>
    <row r="27" spans="1:32" x14ac:dyDescent="0.35">
      <c r="A27" s="26" t="s">
        <v>27</v>
      </c>
    </row>
    <row r="28" spans="1:32" x14ac:dyDescent="0.35">
      <c r="A28" s="26" t="s">
        <v>28</v>
      </c>
    </row>
    <row r="29" spans="1:32" x14ac:dyDescent="0.35">
      <c r="A29" s="26" t="s">
        <v>29</v>
      </c>
    </row>
    <row r="30" spans="1:32" x14ac:dyDescent="0.35">
      <c r="A30" s="26" t="s">
        <v>49</v>
      </c>
    </row>
    <row r="31" spans="1:32" x14ac:dyDescent="0.35">
      <c r="A31" s="26" t="s">
        <v>50</v>
      </c>
    </row>
    <row r="32" spans="1:32" x14ac:dyDescent="0.35">
      <c r="A32" s="26" t="s">
        <v>31</v>
      </c>
    </row>
    <row r="33" spans="1:1" x14ac:dyDescent="0.35">
      <c r="A33" s="26" t="s">
        <v>32</v>
      </c>
    </row>
    <row r="34" spans="1:1" x14ac:dyDescent="0.35">
      <c r="A34" s="26" t="s">
        <v>33</v>
      </c>
    </row>
    <row r="35" spans="1:1" x14ac:dyDescent="0.35">
      <c r="A35" s="26" t="s">
        <v>35</v>
      </c>
    </row>
    <row r="36" spans="1:1" x14ac:dyDescent="0.35">
      <c r="A36" s="26" t="s">
        <v>36</v>
      </c>
    </row>
    <row r="37" spans="1:1" x14ac:dyDescent="0.35">
      <c r="A37" s="26" t="s">
        <v>38</v>
      </c>
    </row>
    <row r="38" spans="1:1" x14ac:dyDescent="0.35">
      <c r="A38" s="26" t="s">
        <v>36</v>
      </c>
    </row>
    <row r="39" spans="1:1" x14ac:dyDescent="0.35">
      <c r="A39" s="26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39"/>
  <sheetViews>
    <sheetView zoomScale="80" zoomScaleNormal="80" workbookViewId="0">
      <pane xSplit="1" topLeftCell="C1" activePane="topRight" state="frozen"/>
      <selection pane="topRight" activeCell="P11" sqref="P11"/>
    </sheetView>
  </sheetViews>
  <sheetFormatPr defaultColWidth="9.1796875" defaultRowHeight="14.5" x14ac:dyDescent="0.35"/>
  <cols>
    <col min="1" max="1" width="30.54296875" style="45" customWidth="1"/>
    <col min="2" max="2" width="7.26953125" style="45" hidden="1" customWidth="1"/>
    <col min="3" max="4" width="7.26953125" style="45" customWidth="1"/>
    <col min="5" max="6" width="9.26953125" style="45" customWidth="1"/>
    <col min="7" max="8" width="7.26953125" style="45" customWidth="1"/>
    <col min="9" max="9" width="7.54296875" style="45" customWidth="1"/>
    <col min="10" max="10" width="7.26953125" style="45" customWidth="1"/>
    <col min="11" max="11" width="7.54296875" style="45" customWidth="1"/>
    <col min="12" max="13" width="9.26953125" style="45" customWidth="1"/>
    <col min="14" max="14" width="7.54296875" style="45" customWidth="1"/>
    <col min="15" max="15" width="9.26953125" style="45" customWidth="1"/>
    <col min="16" max="18" width="7.54296875" style="45" customWidth="1"/>
    <col min="19" max="19" width="9.26953125" style="45" customWidth="1"/>
    <col min="20" max="22" width="6.7265625" style="45" customWidth="1"/>
    <col min="23" max="25" width="9.1796875" style="45" customWidth="1"/>
    <col min="26" max="16384" width="9.1796875" style="45"/>
  </cols>
  <sheetData>
    <row r="1" spans="1:33" ht="15" customHeight="1" x14ac:dyDescent="0.35">
      <c r="A1" s="30"/>
      <c r="B1" s="2" t="str">
        <f t="shared" ref="B1:C1" si="0">TEXT(B2,"ddd")</f>
        <v>Sat</v>
      </c>
      <c r="C1" s="2" t="str">
        <f t="shared" si="0"/>
        <v>Sun</v>
      </c>
      <c r="D1" s="2" t="str">
        <f t="shared" ref="D1:AG1" si="1">TEXT(D2,"ddd")</f>
        <v>Mon</v>
      </c>
      <c r="E1" s="2" t="str">
        <f t="shared" si="1"/>
        <v>Tue</v>
      </c>
      <c r="F1" s="2" t="str">
        <f t="shared" si="1"/>
        <v>Wed</v>
      </c>
      <c r="G1" s="2" t="str">
        <f t="shared" si="1"/>
        <v>Thu</v>
      </c>
      <c r="H1" s="2" t="str">
        <f t="shared" si="1"/>
        <v>Fri</v>
      </c>
      <c r="I1" s="2" t="str">
        <f t="shared" si="1"/>
        <v>Sat</v>
      </c>
      <c r="J1" s="2" t="str">
        <f t="shared" si="1"/>
        <v>Sun</v>
      </c>
      <c r="K1" s="2" t="str">
        <f t="shared" si="1"/>
        <v>Mon</v>
      </c>
      <c r="L1" s="2" t="str">
        <f t="shared" si="1"/>
        <v>Tue</v>
      </c>
      <c r="M1" s="2" t="str">
        <f t="shared" si="1"/>
        <v>Wed</v>
      </c>
      <c r="N1" s="2" t="str">
        <f t="shared" si="1"/>
        <v>Thu</v>
      </c>
      <c r="O1" s="2" t="str">
        <f t="shared" si="1"/>
        <v>Fri</v>
      </c>
      <c r="P1" s="2" t="str">
        <f t="shared" si="1"/>
        <v>Sat</v>
      </c>
      <c r="Q1" s="2" t="str">
        <f t="shared" si="1"/>
        <v>Sun</v>
      </c>
      <c r="R1" s="2" t="str">
        <f t="shared" si="1"/>
        <v>Mon</v>
      </c>
      <c r="S1" s="2" t="str">
        <f t="shared" si="1"/>
        <v>Tue</v>
      </c>
      <c r="T1" s="2" t="str">
        <f t="shared" si="1"/>
        <v>Wed</v>
      </c>
      <c r="U1" s="2" t="str">
        <f t="shared" si="1"/>
        <v>Thu</v>
      </c>
      <c r="V1" s="2" t="str">
        <f t="shared" si="1"/>
        <v>Fri</v>
      </c>
      <c r="W1" s="2" t="str">
        <f t="shared" si="1"/>
        <v>Sat</v>
      </c>
      <c r="X1" s="2" t="str">
        <f t="shared" si="1"/>
        <v>Sun</v>
      </c>
      <c r="Y1" s="2" t="str">
        <f t="shared" si="1"/>
        <v>Mon</v>
      </c>
      <c r="Z1" s="2" t="str">
        <f t="shared" si="1"/>
        <v>Tue</v>
      </c>
      <c r="AA1" s="2" t="str">
        <f t="shared" si="1"/>
        <v>Wed</v>
      </c>
      <c r="AB1" s="2" t="str">
        <f t="shared" si="1"/>
        <v>Thu</v>
      </c>
      <c r="AC1" s="2" t="str">
        <f t="shared" si="1"/>
        <v>Fri</v>
      </c>
      <c r="AD1" s="2" t="str">
        <f t="shared" si="1"/>
        <v>Sat</v>
      </c>
      <c r="AE1" s="2" t="str">
        <f t="shared" si="1"/>
        <v>Sun</v>
      </c>
      <c r="AF1" s="2" t="str">
        <f t="shared" si="1"/>
        <v>Mon</v>
      </c>
      <c r="AG1" s="2" t="str">
        <f t="shared" si="1"/>
        <v>Tue</v>
      </c>
    </row>
    <row r="2" spans="1:33" x14ac:dyDescent="0.35">
      <c r="A2" s="7" t="s">
        <v>0</v>
      </c>
      <c r="B2" s="31">
        <v>44681</v>
      </c>
      <c r="C2" s="31">
        <v>44682</v>
      </c>
      <c r="D2" s="31">
        <v>44683</v>
      </c>
      <c r="E2" s="31">
        <v>44684</v>
      </c>
      <c r="F2" s="31">
        <v>44685</v>
      </c>
      <c r="G2" s="31">
        <v>44686</v>
      </c>
      <c r="H2" s="31">
        <v>44687</v>
      </c>
      <c r="I2" s="31">
        <v>44688</v>
      </c>
      <c r="J2" s="31">
        <v>44689</v>
      </c>
      <c r="K2" s="31">
        <v>44690</v>
      </c>
      <c r="L2" s="31">
        <v>44691</v>
      </c>
      <c r="M2" s="31">
        <v>44692</v>
      </c>
      <c r="N2" s="31">
        <v>44693</v>
      </c>
      <c r="O2" s="31">
        <v>44694</v>
      </c>
      <c r="P2" s="31">
        <v>44695</v>
      </c>
      <c r="Q2" s="31">
        <v>44696</v>
      </c>
      <c r="R2" s="31">
        <v>44697</v>
      </c>
      <c r="S2" s="31">
        <v>44698</v>
      </c>
      <c r="T2" s="31">
        <v>44699</v>
      </c>
      <c r="U2" s="31">
        <v>44700</v>
      </c>
      <c r="V2" s="31">
        <v>44701</v>
      </c>
      <c r="W2" s="31">
        <v>44702</v>
      </c>
      <c r="X2" s="31">
        <v>44703</v>
      </c>
      <c r="Y2" s="31">
        <v>44704</v>
      </c>
      <c r="Z2" s="31">
        <v>44705</v>
      </c>
      <c r="AA2" s="31">
        <v>44706</v>
      </c>
      <c r="AB2" s="31">
        <v>44707</v>
      </c>
      <c r="AC2" s="31">
        <v>44708</v>
      </c>
      <c r="AD2" s="31">
        <v>44709</v>
      </c>
      <c r="AE2" s="31">
        <v>44710</v>
      </c>
      <c r="AF2" s="31">
        <v>44711</v>
      </c>
      <c r="AG2" s="31">
        <v>44712</v>
      </c>
    </row>
    <row r="3" spans="1:33" x14ac:dyDescent="0.35">
      <c r="A3" s="8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</row>
    <row r="4" spans="1:33" x14ac:dyDescent="0.35">
      <c r="A4" s="67" t="s">
        <v>1</v>
      </c>
      <c r="B4" s="60" t="s">
        <v>40</v>
      </c>
      <c r="C4" s="25" t="s">
        <v>3</v>
      </c>
      <c r="D4" s="12" t="s">
        <v>2</v>
      </c>
      <c r="E4" s="13" t="s">
        <v>37</v>
      </c>
      <c r="F4" s="13" t="s">
        <v>5</v>
      </c>
      <c r="G4" s="13" t="s">
        <v>5</v>
      </c>
      <c r="H4" s="13" t="s">
        <v>5</v>
      </c>
      <c r="I4" s="68" t="s">
        <v>4</v>
      </c>
      <c r="J4" s="68" t="s">
        <v>4</v>
      </c>
      <c r="K4" s="13" t="s">
        <v>5</v>
      </c>
      <c r="L4" s="12" t="s">
        <v>2</v>
      </c>
      <c r="M4" s="12" t="s">
        <v>2</v>
      </c>
      <c r="N4" s="10" t="s">
        <v>41</v>
      </c>
      <c r="O4" s="10" t="s">
        <v>41</v>
      </c>
      <c r="P4" s="19" t="s">
        <v>42</v>
      </c>
      <c r="Q4" s="19" t="s">
        <v>42</v>
      </c>
      <c r="R4" s="10" t="s">
        <v>41</v>
      </c>
      <c r="S4" s="10" t="s">
        <v>41</v>
      </c>
      <c r="T4" s="12" t="s">
        <v>2</v>
      </c>
      <c r="U4" s="10" t="s">
        <v>41</v>
      </c>
      <c r="V4" s="12" t="s">
        <v>2</v>
      </c>
      <c r="W4" s="19" t="s">
        <v>42</v>
      </c>
      <c r="X4" s="19" t="s">
        <v>42</v>
      </c>
      <c r="Y4" s="16" t="s">
        <v>8</v>
      </c>
      <c r="Z4" s="16" t="s">
        <v>8</v>
      </c>
      <c r="AA4" s="16" t="s">
        <v>8</v>
      </c>
      <c r="AB4" s="16" t="s">
        <v>8</v>
      </c>
      <c r="AC4" s="12" t="s">
        <v>2</v>
      </c>
      <c r="AD4" s="19" t="s">
        <v>42</v>
      </c>
      <c r="AE4" s="19" t="s">
        <v>42</v>
      </c>
      <c r="AF4" s="16" t="s">
        <v>8</v>
      </c>
      <c r="AG4" s="16" t="s">
        <v>8</v>
      </c>
    </row>
    <row r="5" spans="1:33" x14ac:dyDescent="0.35">
      <c r="A5" s="67" t="s">
        <v>9</v>
      </c>
      <c r="B5" s="25" t="s">
        <v>3</v>
      </c>
      <c r="C5" s="19" t="s">
        <v>42</v>
      </c>
      <c r="D5" s="25" t="s">
        <v>6</v>
      </c>
      <c r="E5" s="25" t="s">
        <v>3</v>
      </c>
      <c r="F5" s="25" t="s">
        <v>6</v>
      </c>
      <c r="G5" s="22" t="s">
        <v>16</v>
      </c>
      <c r="H5" s="12" t="s">
        <v>2</v>
      </c>
      <c r="I5" s="25" t="s">
        <v>3</v>
      </c>
      <c r="J5" s="17" t="s">
        <v>11</v>
      </c>
      <c r="K5" s="12" t="s">
        <v>2</v>
      </c>
      <c r="L5" s="25" t="s">
        <v>6</v>
      </c>
      <c r="M5" s="25" t="s">
        <v>6</v>
      </c>
      <c r="N5" s="17" t="s">
        <v>10</v>
      </c>
      <c r="O5" s="17" t="s">
        <v>10</v>
      </c>
      <c r="P5" s="68" t="s">
        <v>4</v>
      </c>
      <c r="Q5" s="68" t="s">
        <v>4</v>
      </c>
      <c r="R5" s="17" t="s">
        <v>10</v>
      </c>
      <c r="S5" s="17" t="s">
        <v>10</v>
      </c>
      <c r="T5" s="17" t="s">
        <v>10</v>
      </c>
      <c r="U5" s="17" t="s">
        <v>10</v>
      </c>
      <c r="V5" s="17" t="s">
        <v>10</v>
      </c>
      <c r="W5" s="17" t="s">
        <v>11</v>
      </c>
      <c r="X5" s="17" t="s">
        <v>11</v>
      </c>
      <c r="Y5" s="12" t="s">
        <v>2</v>
      </c>
      <c r="Z5" s="12" t="s">
        <v>2</v>
      </c>
      <c r="AA5" s="25" t="s">
        <v>6</v>
      </c>
      <c r="AB5" s="25" t="s">
        <v>6</v>
      </c>
      <c r="AC5" s="25" t="s">
        <v>6</v>
      </c>
      <c r="AD5" s="25" t="s">
        <v>3</v>
      </c>
      <c r="AE5" s="68" t="s">
        <v>4</v>
      </c>
      <c r="AF5" s="25" t="s">
        <v>6</v>
      </c>
      <c r="AG5" s="25" t="s">
        <v>6</v>
      </c>
    </row>
    <row r="6" spans="1:33" x14ac:dyDescent="0.35">
      <c r="A6" s="67" t="s">
        <v>12</v>
      </c>
      <c r="B6" s="29" t="s">
        <v>4</v>
      </c>
      <c r="C6" s="29" t="s">
        <v>4</v>
      </c>
      <c r="D6" s="10" t="s">
        <v>41</v>
      </c>
      <c r="E6" s="10" t="s">
        <v>41</v>
      </c>
      <c r="F6" s="10" t="s">
        <v>41</v>
      </c>
      <c r="G6" s="10" t="s">
        <v>41</v>
      </c>
      <c r="H6" s="10" t="s">
        <v>41</v>
      </c>
      <c r="I6" s="29" t="s">
        <v>4</v>
      </c>
      <c r="J6" s="25" t="s">
        <v>3</v>
      </c>
      <c r="K6" s="17" t="s">
        <v>10</v>
      </c>
      <c r="L6" s="17" t="s">
        <v>10</v>
      </c>
      <c r="M6" s="17" t="s">
        <v>10</v>
      </c>
      <c r="N6" s="17" t="s">
        <v>10</v>
      </c>
      <c r="O6" s="12" t="s">
        <v>2</v>
      </c>
      <c r="P6" s="17" t="s">
        <v>11</v>
      </c>
      <c r="Q6" s="29" t="s">
        <v>4</v>
      </c>
      <c r="R6" s="25" t="s">
        <v>6</v>
      </c>
      <c r="S6" s="25" t="s">
        <v>6</v>
      </c>
      <c r="T6" s="25" t="s">
        <v>6</v>
      </c>
      <c r="U6" s="25" t="s">
        <v>6</v>
      </c>
      <c r="V6" s="12" t="s">
        <v>2</v>
      </c>
      <c r="W6" s="25" t="s">
        <v>3</v>
      </c>
      <c r="X6" s="25" t="s">
        <v>3</v>
      </c>
      <c r="Y6" s="25" t="s">
        <v>6</v>
      </c>
      <c r="Z6" s="25" t="s">
        <v>6</v>
      </c>
      <c r="AA6" s="13" t="s">
        <v>5</v>
      </c>
      <c r="AB6" s="13" t="s">
        <v>5</v>
      </c>
      <c r="AC6" s="13" t="s">
        <v>5</v>
      </c>
      <c r="AD6" s="68" t="s">
        <v>4</v>
      </c>
      <c r="AE6" s="68" t="s">
        <v>4</v>
      </c>
      <c r="AF6" s="13" t="s">
        <v>5</v>
      </c>
      <c r="AG6" s="13" t="s">
        <v>5</v>
      </c>
    </row>
    <row r="7" spans="1:33" x14ac:dyDescent="0.35">
      <c r="A7" s="67" t="s">
        <v>13</v>
      </c>
      <c r="B7" s="29" t="s">
        <v>4</v>
      </c>
      <c r="C7" s="29" t="s">
        <v>4</v>
      </c>
      <c r="D7" s="22" t="s">
        <v>16</v>
      </c>
      <c r="E7" s="22" t="s">
        <v>16</v>
      </c>
      <c r="F7" s="22" t="s">
        <v>16</v>
      </c>
      <c r="G7" s="22" t="s">
        <v>16</v>
      </c>
      <c r="H7" s="22" t="s">
        <v>16</v>
      </c>
      <c r="I7" s="29" t="s">
        <v>4</v>
      </c>
      <c r="J7" s="29" t="s">
        <v>4</v>
      </c>
      <c r="K7" s="22" t="s">
        <v>16</v>
      </c>
      <c r="L7" s="22" t="s">
        <v>16</v>
      </c>
      <c r="M7" s="22" t="s">
        <v>16</v>
      </c>
      <c r="N7" s="22" t="s">
        <v>16</v>
      </c>
      <c r="O7" s="22" t="s">
        <v>16</v>
      </c>
      <c r="P7" s="29" t="s">
        <v>4</v>
      </c>
      <c r="Q7" s="29" t="s">
        <v>4</v>
      </c>
      <c r="R7" s="22" t="s">
        <v>16</v>
      </c>
      <c r="S7" s="22" t="s">
        <v>16</v>
      </c>
      <c r="T7" s="22" t="s">
        <v>16</v>
      </c>
      <c r="U7" s="22" t="s">
        <v>16</v>
      </c>
      <c r="V7" s="22" t="s">
        <v>16</v>
      </c>
      <c r="W7" s="29" t="s">
        <v>4</v>
      </c>
      <c r="X7" s="29" t="s">
        <v>4</v>
      </c>
      <c r="Y7" s="22" t="s">
        <v>16</v>
      </c>
      <c r="Z7" s="22" t="s">
        <v>16</v>
      </c>
      <c r="AA7" s="22" t="s">
        <v>16</v>
      </c>
      <c r="AB7" s="22" t="s">
        <v>16</v>
      </c>
      <c r="AC7" s="22" t="s">
        <v>16</v>
      </c>
      <c r="AD7" s="29" t="s">
        <v>4</v>
      </c>
      <c r="AE7" s="29" t="s">
        <v>4</v>
      </c>
      <c r="AF7" s="22" t="s">
        <v>16</v>
      </c>
      <c r="AG7" s="22" t="s">
        <v>16</v>
      </c>
    </row>
    <row r="8" spans="1:33" x14ac:dyDescent="0.35">
      <c r="A8" s="67" t="s">
        <v>14</v>
      </c>
      <c r="B8" s="68" t="s">
        <v>4</v>
      </c>
      <c r="C8" s="68" t="s">
        <v>4</v>
      </c>
      <c r="D8" s="13" t="s">
        <v>5</v>
      </c>
      <c r="E8" s="13" t="s">
        <v>37</v>
      </c>
      <c r="F8" s="13" t="s">
        <v>5</v>
      </c>
      <c r="G8" s="25" t="s">
        <v>6</v>
      </c>
      <c r="H8" s="25" t="s">
        <v>6</v>
      </c>
      <c r="I8" s="19" t="s">
        <v>42</v>
      </c>
      <c r="J8" s="19" t="s">
        <v>42</v>
      </c>
      <c r="K8" s="25" t="s">
        <v>6</v>
      </c>
      <c r="L8" s="25" t="s">
        <v>6</v>
      </c>
      <c r="M8" s="12" t="s">
        <v>2</v>
      </c>
      <c r="N8" s="25" t="s">
        <v>6</v>
      </c>
      <c r="O8" s="13" t="s">
        <v>5</v>
      </c>
      <c r="P8" s="68" t="s">
        <v>4</v>
      </c>
      <c r="Q8" s="68" t="s">
        <v>4</v>
      </c>
      <c r="R8" s="13" t="s">
        <v>5</v>
      </c>
      <c r="S8" s="13" t="s">
        <v>5</v>
      </c>
      <c r="T8" s="10" t="s">
        <v>41</v>
      </c>
      <c r="U8" s="10" t="s">
        <v>41</v>
      </c>
      <c r="V8" s="10" t="s">
        <v>41</v>
      </c>
      <c r="W8" s="25" t="s">
        <v>3</v>
      </c>
      <c r="X8" s="29" t="s">
        <v>4</v>
      </c>
      <c r="Y8" s="12" t="s">
        <v>2</v>
      </c>
      <c r="Z8" s="10" t="s">
        <v>41</v>
      </c>
      <c r="AA8" s="17" t="s">
        <v>10</v>
      </c>
      <c r="AB8" s="17" t="s">
        <v>10</v>
      </c>
      <c r="AC8" s="17" t="s">
        <v>10</v>
      </c>
      <c r="AD8" s="17" t="s">
        <v>11</v>
      </c>
      <c r="AE8" s="17" t="s">
        <v>11</v>
      </c>
      <c r="AF8" s="12" t="s">
        <v>2</v>
      </c>
      <c r="AG8" s="12" t="s">
        <v>2</v>
      </c>
    </row>
    <row r="9" spans="1:33" x14ac:dyDescent="0.35">
      <c r="A9" s="67" t="s">
        <v>15</v>
      </c>
      <c r="B9" s="29" t="s">
        <v>4</v>
      </c>
      <c r="C9" s="29" t="s">
        <v>4</v>
      </c>
      <c r="D9" s="17" t="s">
        <v>10</v>
      </c>
      <c r="E9" s="17" t="s">
        <v>10</v>
      </c>
      <c r="F9" s="17" t="s">
        <v>10</v>
      </c>
      <c r="G9" s="17" t="s">
        <v>10</v>
      </c>
      <c r="H9" s="17" t="s">
        <v>10</v>
      </c>
      <c r="I9" s="29" t="s">
        <v>4</v>
      </c>
      <c r="J9" s="29" t="s">
        <v>4</v>
      </c>
      <c r="K9" s="10" t="s">
        <v>41</v>
      </c>
      <c r="L9" s="10" t="s">
        <v>41</v>
      </c>
      <c r="M9" s="10" t="s">
        <v>41</v>
      </c>
      <c r="N9" s="10" t="s">
        <v>41</v>
      </c>
      <c r="O9" s="10" t="s">
        <v>41</v>
      </c>
      <c r="P9" s="29" t="s">
        <v>4</v>
      </c>
      <c r="Q9" s="29" t="s">
        <v>4</v>
      </c>
      <c r="R9" s="25" t="s">
        <v>6</v>
      </c>
      <c r="S9" s="25" t="s">
        <v>6</v>
      </c>
      <c r="T9" s="25" t="s">
        <v>6</v>
      </c>
      <c r="U9" s="12" t="s">
        <v>2</v>
      </c>
      <c r="V9" s="25" t="s">
        <v>6</v>
      </c>
      <c r="W9" s="19" t="s">
        <v>42</v>
      </c>
      <c r="X9" s="19" t="s">
        <v>42</v>
      </c>
      <c r="Y9" s="17" t="s">
        <v>10</v>
      </c>
      <c r="Z9" s="17" t="s">
        <v>10</v>
      </c>
      <c r="AA9" s="12" t="s">
        <v>2</v>
      </c>
      <c r="AB9" s="12" t="s">
        <v>2</v>
      </c>
      <c r="AC9" s="10" t="s">
        <v>41</v>
      </c>
      <c r="AD9" s="19" t="s">
        <v>42</v>
      </c>
      <c r="AE9" s="25" t="s">
        <v>3</v>
      </c>
      <c r="AF9" s="17" t="s">
        <v>10</v>
      </c>
      <c r="AG9" s="17" t="s">
        <v>10</v>
      </c>
    </row>
    <row r="10" spans="1:33" x14ac:dyDescent="0.35">
      <c r="A10" s="67" t="s">
        <v>18</v>
      </c>
      <c r="B10" s="17" t="s">
        <v>11</v>
      </c>
      <c r="C10" s="17" t="s">
        <v>11</v>
      </c>
      <c r="D10" s="17" t="s">
        <v>10</v>
      </c>
      <c r="E10" s="17" t="s">
        <v>10</v>
      </c>
      <c r="F10" s="12" t="s">
        <v>2</v>
      </c>
      <c r="G10" s="10" t="s">
        <v>41</v>
      </c>
      <c r="H10" s="10" t="s">
        <v>41</v>
      </c>
      <c r="I10" s="19" t="s">
        <v>42</v>
      </c>
      <c r="J10" s="19" t="s">
        <v>42</v>
      </c>
      <c r="K10" s="10" t="s">
        <v>41</v>
      </c>
      <c r="L10" s="12" t="s">
        <v>2</v>
      </c>
      <c r="M10" s="12" t="s">
        <v>2</v>
      </c>
      <c r="N10" s="25" t="s">
        <v>6</v>
      </c>
      <c r="O10" s="25" t="s">
        <v>6</v>
      </c>
      <c r="P10" s="25" t="s">
        <v>3</v>
      </c>
      <c r="Q10" s="25" t="s">
        <v>3</v>
      </c>
      <c r="R10" s="10" t="s">
        <v>41</v>
      </c>
      <c r="S10" s="12" t="s">
        <v>2</v>
      </c>
      <c r="T10" s="12" t="s">
        <v>2</v>
      </c>
      <c r="U10" s="25" t="s">
        <v>6</v>
      </c>
      <c r="V10" s="25" t="s">
        <v>6</v>
      </c>
      <c r="W10" s="68" t="s">
        <v>4</v>
      </c>
      <c r="X10" s="68" t="s">
        <v>4</v>
      </c>
      <c r="Y10" s="10" t="s">
        <v>41</v>
      </c>
      <c r="Z10" s="13" t="s">
        <v>5</v>
      </c>
      <c r="AA10" s="13" t="s">
        <v>5</v>
      </c>
      <c r="AB10" s="13" t="s">
        <v>5</v>
      </c>
      <c r="AC10" s="13" t="s">
        <v>5</v>
      </c>
      <c r="AD10" s="68" t="s">
        <v>4</v>
      </c>
      <c r="AE10" s="68" t="s">
        <v>4</v>
      </c>
      <c r="AF10" s="13" t="s">
        <v>5</v>
      </c>
      <c r="AG10" s="17" t="s">
        <v>10</v>
      </c>
    </row>
    <row r="11" spans="1:33" ht="14.15" customHeight="1" x14ac:dyDescent="0.35">
      <c r="A11" s="67" t="s">
        <v>21</v>
      </c>
      <c r="B11" s="17" t="s">
        <v>11</v>
      </c>
      <c r="C11" s="17" t="s">
        <v>11</v>
      </c>
      <c r="D11" s="12" t="s">
        <v>2</v>
      </c>
      <c r="E11" s="12" t="s">
        <v>2</v>
      </c>
      <c r="F11" s="17" t="s">
        <v>10</v>
      </c>
      <c r="G11" s="17" t="s">
        <v>10</v>
      </c>
      <c r="H11" s="17" t="s">
        <v>10</v>
      </c>
      <c r="I11" s="17" t="s">
        <v>11</v>
      </c>
      <c r="J11" s="29" t="s">
        <v>4</v>
      </c>
      <c r="K11" s="13" t="s">
        <v>5</v>
      </c>
      <c r="L11" s="10" t="s">
        <v>41</v>
      </c>
      <c r="M11" s="10" t="s">
        <v>41</v>
      </c>
      <c r="N11" s="10" t="s">
        <v>41</v>
      </c>
      <c r="O11" s="13" t="s">
        <v>5</v>
      </c>
      <c r="P11" s="17" t="s">
        <v>11</v>
      </c>
      <c r="Q11" s="17" t="s">
        <v>11</v>
      </c>
      <c r="R11" s="13" t="s">
        <v>81</v>
      </c>
      <c r="S11" s="12" t="s">
        <v>2</v>
      </c>
      <c r="T11" s="10" t="s">
        <v>41</v>
      </c>
      <c r="U11" s="10" t="s">
        <v>41</v>
      </c>
      <c r="V11" s="10" t="s">
        <v>41</v>
      </c>
      <c r="W11" s="68" t="s">
        <v>4</v>
      </c>
      <c r="X11" s="29" t="s">
        <v>4</v>
      </c>
      <c r="Y11" s="17" t="s">
        <v>10</v>
      </c>
      <c r="Z11" s="17" t="s">
        <v>10</v>
      </c>
      <c r="AA11" s="17" t="s">
        <v>10</v>
      </c>
      <c r="AB11" s="12" t="s">
        <v>2</v>
      </c>
      <c r="AC11" s="12" t="s">
        <v>2</v>
      </c>
      <c r="AD11" s="25" t="s">
        <v>3</v>
      </c>
      <c r="AE11" s="25" t="s">
        <v>3</v>
      </c>
      <c r="AF11" s="10" t="s">
        <v>41</v>
      </c>
      <c r="AG11" s="10" t="s">
        <v>41</v>
      </c>
    </row>
    <row r="12" spans="1:33" x14ac:dyDescent="0.35">
      <c r="A12" s="67" t="s">
        <v>43</v>
      </c>
      <c r="B12" s="29" t="s">
        <v>4</v>
      </c>
      <c r="C12" s="29" t="s">
        <v>4</v>
      </c>
      <c r="D12" s="25" t="s">
        <v>6</v>
      </c>
      <c r="E12" s="25" t="s">
        <v>6</v>
      </c>
      <c r="F12" s="25" t="s">
        <v>6</v>
      </c>
      <c r="G12" s="12" t="s">
        <v>2</v>
      </c>
      <c r="H12" s="10" t="s">
        <v>41</v>
      </c>
      <c r="I12" s="25" t="s">
        <v>3</v>
      </c>
      <c r="J12" s="25" t="s">
        <v>3</v>
      </c>
      <c r="K12" s="25" t="s">
        <v>6</v>
      </c>
      <c r="L12" s="12" t="s">
        <v>2</v>
      </c>
      <c r="M12" s="25" t="s">
        <v>6</v>
      </c>
      <c r="N12" s="25" t="s">
        <v>6</v>
      </c>
      <c r="O12" s="25" t="s">
        <v>6</v>
      </c>
      <c r="P12" s="19" t="s">
        <v>42</v>
      </c>
      <c r="Q12" s="29" t="s">
        <v>4</v>
      </c>
      <c r="R12" s="17" t="s">
        <v>10</v>
      </c>
      <c r="S12" s="17" t="s">
        <v>10</v>
      </c>
      <c r="T12" s="17" t="s">
        <v>10</v>
      </c>
      <c r="U12" s="17" t="s">
        <v>10</v>
      </c>
      <c r="V12" s="17" t="s">
        <v>10</v>
      </c>
      <c r="W12" s="29" t="s">
        <v>4</v>
      </c>
      <c r="X12" s="29" t="s">
        <v>4</v>
      </c>
      <c r="Y12" s="10" t="s">
        <v>41</v>
      </c>
      <c r="Z12" s="10" t="s">
        <v>41</v>
      </c>
      <c r="AA12" s="12" t="s">
        <v>2</v>
      </c>
      <c r="AB12" s="17" t="s">
        <v>10</v>
      </c>
      <c r="AC12" s="17" t="s">
        <v>10</v>
      </c>
      <c r="AD12" s="17" t="s">
        <v>11</v>
      </c>
      <c r="AE12" s="17" t="s">
        <v>11</v>
      </c>
      <c r="AF12" s="17" t="s">
        <v>10</v>
      </c>
      <c r="AG12" s="12" t="s">
        <v>2</v>
      </c>
    </row>
    <row r="13" spans="1:33" x14ac:dyDescent="0.35">
      <c r="A13" s="67" t="s">
        <v>75</v>
      </c>
      <c r="B13" s="19" t="s">
        <v>42</v>
      </c>
      <c r="C13" s="19" t="s">
        <v>42</v>
      </c>
      <c r="D13" s="12" t="s">
        <v>2</v>
      </c>
      <c r="E13" s="12" t="s">
        <v>2</v>
      </c>
      <c r="F13" s="10" t="s">
        <v>41</v>
      </c>
      <c r="G13" s="25" t="s">
        <v>6</v>
      </c>
      <c r="H13" s="12" t="s">
        <v>2</v>
      </c>
      <c r="I13" s="17" t="s">
        <v>11</v>
      </c>
      <c r="J13" s="17" t="s">
        <v>11</v>
      </c>
      <c r="K13" s="17" t="s">
        <v>10</v>
      </c>
      <c r="L13" s="17" t="s">
        <v>10</v>
      </c>
      <c r="M13" s="17" t="s">
        <v>10</v>
      </c>
      <c r="N13" s="12" t="s">
        <v>2</v>
      </c>
      <c r="O13" s="17" t="s">
        <v>10</v>
      </c>
      <c r="P13" s="68" t="s">
        <v>4</v>
      </c>
      <c r="Q13" s="68" t="s">
        <v>4</v>
      </c>
      <c r="R13" s="13" t="s">
        <v>5</v>
      </c>
      <c r="S13" s="13" t="s">
        <v>5</v>
      </c>
      <c r="T13" s="13" t="s">
        <v>5</v>
      </c>
      <c r="U13" s="13" t="s">
        <v>5</v>
      </c>
      <c r="V13" s="13" t="s">
        <v>5</v>
      </c>
      <c r="W13" s="17" t="s">
        <v>11</v>
      </c>
      <c r="X13" s="17" t="s">
        <v>11</v>
      </c>
      <c r="Y13" s="12" t="s">
        <v>2</v>
      </c>
      <c r="Z13" s="10" t="s">
        <v>41</v>
      </c>
      <c r="AA13" s="10" t="s">
        <v>41</v>
      </c>
      <c r="AB13" s="10" t="s">
        <v>41</v>
      </c>
      <c r="AC13" s="10" t="s">
        <v>41</v>
      </c>
      <c r="AD13" s="29" t="s">
        <v>4</v>
      </c>
      <c r="AE13" s="29" t="s">
        <v>4</v>
      </c>
      <c r="AF13" s="25" t="s">
        <v>6</v>
      </c>
      <c r="AG13" s="25" t="s">
        <v>6</v>
      </c>
    </row>
    <row r="14" spans="1:33" ht="15" thickBot="1" x14ac:dyDescent="0.4">
      <c r="A14" s="67" t="s">
        <v>22</v>
      </c>
      <c r="B14" s="68" t="s">
        <v>4</v>
      </c>
      <c r="C14" s="68" t="s">
        <v>4</v>
      </c>
      <c r="D14" s="10" t="s">
        <v>41</v>
      </c>
      <c r="E14" s="10" t="s">
        <v>41</v>
      </c>
      <c r="F14" s="10" t="s">
        <v>41</v>
      </c>
      <c r="G14" s="25" t="s">
        <v>6</v>
      </c>
      <c r="H14" s="25" t="s">
        <v>6</v>
      </c>
      <c r="I14" s="68" t="s">
        <v>4</v>
      </c>
      <c r="J14" s="68" t="s">
        <v>4</v>
      </c>
      <c r="K14" s="25" t="s">
        <v>6</v>
      </c>
      <c r="L14" s="25" t="s">
        <v>6</v>
      </c>
      <c r="M14" s="12" t="s">
        <v>2</v>
      </c>
      <c r="N14" s="12" t="s">
        <v>2</v>
      </c>
      <c r="O14" s="25" t="s">
        <v>6</v>
      </c>
      <c r="P14" s="25" t="s">
        <v>3</v>
      </c>
      <c r="Q14" s="25" t="s">
        <v>3</v>
      </c>
      <c r="R14" s="25" t="s">
        <v>6</v>
      </c>
      <c r="S14" s="25" t="s">
        <v>6</v>
      </c>
      <c r="T14" s="25" t="s">
        <v>6</v>
      </c>
      <c r="U14" s="13" t="s">
        <v>5</v>
      </c>
      <c r="V14" s="13" t="s">
        <v>5</v>
      </c>
      <c r="W14" s="68" t="s">
        <v>4</v>
      </c>
      <c r="X14" s="68" t="s">
        <v>4</v>
      </c>
      <c r="Y14" s="25" t="s">
        <v>6</v>
      </c>
      <c r="Z14" s="25" t="s">
        <v>6</v>
      </c>
      <c r="AA14" s="25" t="s">
        <v>6</v>
      </c>
      <c r="AB14" s="12" t="s">
        <v>2</v>
      </c>
      <c r="AC14" s="25" t="s">
        <v>6</v>
      </c>
      <c r="AD14" s="66" t="s">
        <v>30</v>
      </c>
      <c r="AE14" s="19" t="s">
        <v>42</v>
      </c>
      <c r="AF14" s="10" t="s">
        <v>41</v>
      </c>
      <c r="AG14" s="13" t="s">
        <v>5</v>
      </c>
    </row>
    <row r="15" spans="1:33" ht="15" thickBot="1" x14ac:dyDescent="0.4">
      <c r="A15" s="67" t="s">
        <v>62</v>
      </c>
      <c r="B15" s="66" t="s">
        <v>30</v>
      </c>
      <c r="C15" s="29" t="s">
        <v>4</v>
      </c>
      <c r="D15" s="10" t="s">
        <v>41</v>
      </c>
      <c r="E15" s="10" t="s">
        <v>41</v>
      </c>
      <c r="F15" s="12" t="s">
        <v>2</v>
      </c>
      <c r="G15" s="10" t="s">
        <v>41</v>
      </c>
      <c r="H15" s="10" t="s">
        <v>41</v>
      </c>
      <c r="I15" s="22" t="s">
        <v>30</v>
      </c>
      <c r="J15" s="29" t="s">
        <v>4</v>
      </c>
      <c r="K15" s="13" t="s">
        <v>5</v>
      </c>
      <c r="L15" s="10" t="s">
        <v>41</v>
      </c>
      <c r="M15" s="10" t="s">
        <v>41</v>
      </c>
      <c r="N15" s="10" t="s">
        <v>41</v>
      </c>
      <c r="O15" s="10" t="s">
        <v>41</v>
      </c>
      <c r="P15" s="29" t="s">
        <v>4</v>
      </c>
      <c r="Q15" s="68" t="s">
        <v>4</v>
      </c>
      <c r="R15" s="13" t="s">
        <v>5</v>
      </c>
      <c r="S15" s="10" t="s">
        <v>41</v>
      </c>
      <c r="T15" s="10" t="s">
        <v>41</v>
      </c>
      <c r="U15" s="12" t="s">
        <v>2</v>
      </c>
      <c r="V15" s="10" t="s">
        <v>41</v>
      </c>
      <c r="W15" s="66" t="s">
        <v>30</v>
      </c>
      <c r="X15" s="25" t="s">
        <v>3</v>
      </c>
      <c r="Y15" s="10" t="s">
        <v>41</v>
      </c>
      <c r="Z15" s="12" t="s">
        <v>2</v>
      </c>
      <c r="AA15" s="10" t="s">
        <v>41</v>
      </c>
      <c r="AB15" s="10" t="s">
        <v>41</v>
      </c>
      <c r="AC15" s="10" t="s">
        <v>41</v>
      </c>
      <c r="AD15" s="29" t="s">
        <v>4</v>
      </c>
      <c r="AE15" s="29" t="s">
        <v>4</v>
      </c>
      <c r="AF15" s="10" t="s">
        <v>41</v>
      </c>
      <c r="AG15" s="10" t="s">
        <v>41</v>
      </c>
    </row>
    <row r="16" spans="1:33" x14ac:dyDescent="0.35">
      <c r="A16" s="67" t="s">
        <v>76</v>
      </c>
      <c r="B16" s="25" t="s">
        <v>3</v>
      </c>
      <c r="C16" s="25" t="s">
        <v>3</v>
      </c>
      <c r="D16" s="12" t="s">
        <v>2</v>
      </c>
      <c r="E16" s="25" t="s">
        <v>6</v>
      </c>
      <c r="F16" s="25" t="s">
        <v>6</v>
      </c>
      <c r="G16" s="25" t="s">
        <v>6</v>
      </c>
      <c r="H16" s="25" t="s">
        <v>6</v>
      </c>
      <c r="I16" s="29" t="s">
        <v>4</v>
      </c>
      <c r="J16" s="29" t="s">
        <v>4</v>
      </c>
      <c r="K16" s="25" t="s">
        <v>6</v>
      </c>
      <c r="L16" s="25" t="s">
        <v>6</v>
      </c>
      <c r="M16" s="25" t="s">
        <v>6</v>
      </c>
      <c r="N16" s="25" t="s">
        <v>6</v>
      </c>
      <c r="O16" s="25" t="s">
        <v>6</v>
      </c>
      <c r="P16" s="22" t="s">
        <v>30</v>
      </c>
      <c r="Q16" s="29" t="s">
        <v>4</v>
      </c>
      <c r="R16" s="12" t="s">
        <v>2</v>
      </c>
      <c r="S16" s="25" t="s">
        <v>6</v>
      </c>
      <c r="T16" s="25" t="s">
        <v>6</v>
      </c>
      <c r="U16" s="25" t="s">
        <v>6</v>
      </c>
      <c r="V16" s="25" t="s">
        <v>6</v>
      </c>
      <c r="W16" s="29" t="s">
        <v>4</v>
      </c>
      <c r="X16" s="29" t="s">
        <v>4</v>
      </c>
      <c r="Y16" s="25" t="s">
        <v>6</v>
      </c>
      <c r="Z16" s="25" t="s">
        <v>6</v>
      </c>
      <c r="AA16" s="25" t="s">
        <v>6</v>
      </c>
      <c r="AB16" s="25" t="s">
        <v>6</v>
      </c>
      <c r="AC16" s="25" t="s">
        <v>6</v>
      </c>
      <c r="AD16" s="29" t="s">
        <v>4</v>
      </c>
      <c r="AE16" s="29" t="s">
        <v>4</v>
      </c>
      <c r="AF16" s="25" t="s">
        <v>6</v>
      </c>
      <c r="AG16" s="25" t="s">
        <v>6</v>
      </c>
    </row>
    <row r="17" spans="1:33" x14ac:dyDescent="0.35">
      <c r="A17" s="67" t="s">
        <v>74</v>
      </c>
      <c r="B17" s="29" t="s">
        <v>4</v>
      </c>
      <c r="C17" s="29" t="s">
        <v>4</v>
      </c>
      <c r="D17" s="25" t="s">
        <v>6</v>
      </c>
      <c r="E17" s="25" t="s">
        <v>6</v>
      </c>
      <c r="F17" s="25" t="s">
        <v>6</v>
      </c>
      <c r="G17" s="16" t="s">
        <v>8</v>
      </c>
      <c r="H17" s="16" t="s">
        <v>8</v>
      </c>
      <c r="I17" s="29" t="s">
        <v>4</v>
      </c>
      <c r="J17" s="29" t="s">
        <v>4</v>
      </c>
      <c r="K17" s="10" t="s">
        <v>41</v>
      </c>
      <c r="L17" s="10" t="s">
        <v>41</v>
      </c>
      <c r="M17" s="25" t="s">
        <v>6</v>
      </c>
      <c r="N17" s="10" t="s">
        <v>41</v>
      </c>
      <c r="O17" s="10" t="s">
        <v>41</v>
      </c>
      <c r="P17" s="29" t="s">
        <v>4</v>
      </c>
      <c r="Q17" s="29" t="s">
        <v>4</v>
      </c>
      <c r="R17" s="10" t="s">
        <v>41</v>
      </c>
      <c r="S17" s="10" t="s">
        <v>41</v>
      </c>
      <c r="T17" s="16" t="s">
        <v>8</v>
      </c>
      <c r="U17" s="16" t="s">
        <v>8</v>
      </c>
      <c r="V17" s="16" t="s">
        <v>8</v>
      </c>
      <c r="W17" s="68" t="s">
        <v>4</v>
      </c>
      <c r="X17" s="68" t="s">
        <v>4</v>
      </c>
      <c r="Y17" s="13" t="s">
        <v>5</v>
      </c>
      <c r="Z17" s="13" t="s">
        <v>5</v>
      </c>
      <c r="AA17" s="10" t="s">
        <v>41</v>
      </c>
      <c r="AB17" s="10" t="s">
        <v>41</v>
      </c>
      <c r="AC17" s="10" t="s">
        <v>41</v>
      </c>
      <c r="AD17" s="29" t="s">
        <v>4</v>
      </c>
      <c r="AE17" s="29" t="s">
        <v>4</v>
      </c>
      <c r="AF17" s="25" t="s">
        <v>6</v>
      </c>
      <c r="AG17" s="25" t="s">
        <v>6</v>
      </c>
    </row>
    <row r="18" spans="1:33" x14ac:dyDescent="0.35">
      <c r="A18" s="67" t="s">
        <v>77</v>
      </c>
      <c r="B18" s="29" t="s">
        <v>4</v>
      </c>
      <c r="C18" s="29" t="s">
        <v>4</v>
      </c>
      <c r="D18" s="10" t="s">
        <v>41</v>
      </c>
      <c r="E18" s="10" t="s">
        <v>41</v>
      </c>
      <c r="F18" s="10" t="s">
        <v>41</v>
      </c>
      <c r="G18" s="10" t="s">
        <v>41</v>
      </c>
      <c r="H18" s="25" t="s">
        <v>6</v>
      </c>
      <c r="I18" s="29" t="s">
        <v>4</v>
      </c>
      <c r="J18" s="29" t="s">
        <v>4</v>
      </c>
      <c r="K18" s="10" t="s">
        <v>41</v>
      </c>
      <c r="L18" s="16" t="s">
        <v>8</v>
      </c>
      <c r="M18" s="16" t="s">
        <v>8</v>
      </c>
      <c r="N18" s="16" t="s">
        <v>8</v>
      </c>
      <c r="O18" s="16" t="s">
        <v>8</v>
      </c>
      <c r="P18" s="29" t="s">
        <v>4</v>
      </c>
      <c r="Q18" s="19" t="s">
        <v>42</v>
      </c>
      <c r="R18" s="10" t="s">
        <v>41</v>
      </c>
      <c r="S18" s="10" t="s">
        <v>41</v>
      </c>
      <c r="T18" s="10" t="s">
        <v>41</v>
      </c>
      <c r="U18" s="10" t="s">
        <v>41</v>
      </c>
      <c r="V18" s="10" t="s">
        <v>41</v>
      </c>
      <c r="W18" s="29" t="s">
        <v>4</v>
      </c>
      <c r="X18" s="29" t="s">
        <v>4</v>
      </c>
      <c r="Y18" s="25" t="s">
        <v>6</v>
      </c>
      <c r="Z18" s="25" t="s">
        <v>6</v>
      </c>
      <c r="AA18" s="25" t="s">
        <v>6</v>
      </c>
      <c r="AB18" s="25" t="s">
        <v>6</v>
      </c>
      <c r="AC18" s="25" t="s">
        <v>6</v>
      </c>
      <c r="AD18" s="29" t="s">
        <v>4</v>
      </c>
      <c r="AE18" s="29" t="s">
        <v>4</v>
      </c>
      <c r="AF18" s="10" t="s">
        <v>41</v>
      </c>
      <c r="AG18" s="10" t="s">
        <v>41</v>
      </c>
    </row>
    <row r="19" spans="1:33" x14ac:dyDescent="0.35">
      <c r="A19" s="67" t="s">
        <v>78</v>
      </c>
      <c r="B19" s="29" t="s">
        <v>4</v>
      </c>
      <c r="C19" s="29" t="s">
        <v>4</v>
      </c>
      <c r="D19" s="25" t="s">
        <v>6</v>
      </c>
      <c r="E19" s="22" t="s">
        <v>16</v>
      </c>
      <c r="F19" s="22" t="s">
        <v>16</v>
      </c>
      <c r="G19" s="22" t="s">
        <v>16</v>
      </c>
      <c r="H19" s="22" t="s">
        <v>16</v>
      </c>
      <c r="I19" s="29" t="s">
        <v>4</v>
      </c>
      <c r="J19" s="29" t="s">
        <v>4</v>
      </c>
      <c r="K19" s="13" t="s">
        <v>5</v>
      </c>
      <c r="L19" s="13" t="s">
        <v>5</v>
      </c>
      <c r="M19" s="13" t="s">
        <v>5</v>
      </c>
      <c r="N19" s="13" t="s">
        <v>5</v>
      </c>
      <c r="O19" s="13" t="s">
        <v>5</v>
      </c>
      <c r="P19" s="29" t="s">
        <v>4</v>
      </c>
      <c r="Q19" s="29" t="s">
        <v>4</v>
      </c>
      <c r="R19" s="25" t="s">
        <v>6</v>
      </c>
      <c r="S19" s="22" t="s">
        <v>16</v>
      </c>
      <c r="T19" s="22" t="s">
        <v>16</v>
      </c>
      <c r="U19" s="25" t="s">
        <v>6</v>
      </c>
      <c r="V19" s="25" t="s">
        <v>6</v>
      </c>
      <c r="W19" s="29" t="s">
        <v>4</v>
      </c>
      <c r="X19" s="29" t="s">
        <v>4</v>
      </c>
      <c r="Y19" s="10" t="s">
        <v>41</v>
      </c>
      <c r="Z19" s="10" t="s">
        <v>41</v>
      </c>
      <c r="AA19" s="10" t="s">
        <v>41</v>
      </c>
      <c r="AB19" s="25" t="s">
        <v>6</v>
      </c>
      <c r="AC19" s="22" t="s">
        <v>16</v>
      </c>
      <c r="AD19" s="29" t="s">
        <v>4</v>
      </c>
      <c r="AE19" s="29" t="s">
        <v>4</v>
      </c>
      <c r="AF19" s="22" t="s">
        <v>16</v>
      </c>
      <c r="AG19" s="10" t="s">
        <v>41</v>
      </c>
    </row>
    <row r="21" spans="1:33" x14ac:dyDescent="0.35">
      <c r="A21" s="24" t="s">
        <v>23</v>
      </c>
    </row>
    <row r="22" spans="1:33" x14ac:dyDescent="0.35">
      <c r="A22" s="1" t="s">
        <v>24</v>
      </c>
    </row>
    <row r="23" spans="1:33" x14ac:dyDescent="0.35">
      <c r="A23" s="1" t="s">
        <v>25</v>
      </c>
    </row>
    <row r="24" spans="1:33" x14ac:dyDescent="0.35">
      <c r="A24" s="1" t="s">
        <v>47</v>
      </c>
    </row>
    <row r="25" spans="1:33" x14ac:dyDescent="0.35">
      <c r="A25" s="1" t="s">
        <v>48</v>
      </c>
    </row>
    <row r="26" spans="1:33" x14ac:dyDescent="0.35">
      <c r="A26" s="26" t="s">
        <v>26</v>
      </c>
    </row>
    <row r="27" spans="1:33" x14ac:dyDescent="0.35">
      <c r="A27" s="26" t="s">
        <v>27</v>
      </c>
    </row>
    <row r="28" spans="1:33" x14ac:dyDescent="0.35">
      <c r="A28" s="26" t="s">
        <v>28</v>
      </c>
    </row>
    <row r="29" spans="1:33" x14ac:dyDescent="0.35">
      <c r="A29" s="26" t="s">
        <v>29</v>
      </c>
    </row>
    <row r="30" spans="1:33" x14ac:dyDescent="0.35">
      <c r="A30" s="26" t="s">
        <v>49</v>
      </c>
    </row>
    <row r="31" spans="1:33" x14ac:dyDescent="0.35">
      <c r="A31" s="26" t="s">
        <v>50</v>
      </c>
    </row>
    <row r="32" spans="1:33" x14ac:dyDescent="0.35">
      <c r="A32" s="26" t="s">
        <v>31</v>
      </c>
    </row>
    <row r="33" spans="1:1" x14ac:dyDescent="0.35">
      <c r="A33" s="26" t="s">
        <v>32</v>
      </c>
    </row>
    <row r="34" spans="1:1" x14ac:dyDescent="0.35">
      <c r="A34" s="26" t="s">
        <v>33</v>
      </c>
    </row>
    <row r="35" spans="1:1" x14ac:dyDescent="0.35">
      <c r="A35" s="26" t="s">
        <v>35</v>
      </c>
    </row>
    <row r="36" spans="1:1" x14ac:dyDescent="0.35">
      <c r="A36" s="26" t="s">
        <v>36</v>
      </c>
    </row>
    <row r="37" spans="1:1" x14ac:dyDescent="0.35">
      <c r="A37" s="26" t="s">
        <v>38</v>
      </c>
    </row>
    <row r="38" spans="1:1" x14ac:dyDescent="0.35">
      <c r="A38" s="26" t="s">
        <v>36</v>
      </c>
    </row>
    <row r="39" spans="1:1" x14ac:dyDescent="0.35">
      <c r="A39" s="26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38"/>
  <sheetViews>
    <sheetView zoomScale="80" zoomScaleNormal="80" workbookViewId="0">
      <pane xSplit="1" topLeftCell="B1" activePane="topRight" state="frozen"/>
      <selection pane="topRight" activeCell="C10" sqref="C10"/>
    </sheetView>
  </sheetViews>
  <sheetFormatPr defaultColWidth="9.1796875" defaultRowHeight="14.5" x14ac:dyDescent="0.35"/>
  <cols>
    <col min="1" max="1" width="30.54296875" style="45" customWidth="1"/>
    <col min="2" max="4" width="7.26953125" style="45" customWidth="1"/>
    <col min="5" max="6" width="9.26953125" style="45" customWidth="1"/>
    <col min="7" max="7" width="7.54296875" style="45" customWidth="1"/>
    <col min="8" max="8" width="7.26953125" style="45" customWidth="1"/>
    <col min="9" max="9" width="7.54296875" style="45" customWidth="1"/>
    <col min="10" max="10" width="7.26953125" style="45" customWidth="1"/>
    <col min="11" max="11" width="7.54296875" style="45" customWidth="1"/>
    <col min="12" max="13" width="9.26953125" style="45" customWidth="1"/>
    <col min="14" max="14" width="7.54296875" style="45" customWidth="1"/>
    <col min="15" max="15" width="9.26953125" style="45" customWidth="1"/>
    <col min="16" max="18" width="7.54296875" style="45" customWidth="1"/>
    <col min="19" max="19" width="9.26953125" style="45" customWidth="1"/>
    <col min="20" max="22" width="6.7265625" style="45" customWidth="1"/>
    <col min="23" max="33" width="9.1796875" style="45" customWidth="1"/>
    <col min="34" max="16384" width="9.1796875" style="45"/>
  </cols>
  <sheetData>
    <row r="1" spans="1:33" ht="15" customHeight="1" x14ac:dyDescent="0.35">
      <c r="A1" s="30"/>
      <c r="B1" s="2" t="str">
        <f t="shared" ref="B1:AG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si="0"/>
        <v>Tue</v>
      </c>
      <c r="F1" s="2" t="str">
        <f t="shared" si="0"/>
        <v>Wed</v>
      </c>
      <c r="G1" s="2" t="str">
        <f t="shared" si="0"/>
        <v>Thu</v>
      </c>
      <c r="H1" s="2" t="str">
        <f t="shared" si="0"/>
        <v>Fri</v>
      </c>
      <c r="I1" s="2" t="str">
        <f t="shared" si="0"/>
        <v>Sat</v>
      </c>
      <c r="J1" s="2" t="str">
        <f t="shared" si="0"/>
        <v>Sun</v>
      </c>
      <c r="K1" s="2" t="str">
        <f t="shared" si="0"/>
        <v>Mon</v>
      </c>
      <c r="L1" s="2" t="str">
        <f t="shared" si="0"/>
        <v>Tue</v>
      </c>
      <c r="M1" s="2" t="str">
        <f t="shared" si="0"/>
        <v>Wed</v>
      </c>
      <c r="N1" s="2" t="str">
        <f t="shared" si="0"/>
        <v>Thu</v>
      </c>
      <c r="O1" s="2" t="str">
        <f t="shared" si="0"/>
        <v>Fri</v>
      </c>
      <c r="P1" s="2" t="str">
        <f t="shared" si="0"/>
        <v>Sat</v>
      </c>
      <c r="Q1" s="2" t="str">
        <f t="shared" si="0"/>
        <v>Sun</v>
      </c>
      <c r="R1" s="2" t="str">
        <f t="shared" si="0"/>
        <v>Mon</v>
      </c>
      <c r="S1" s="2" t="str">
        <f t="shared" si="0"/>
        <v>Tue</v>
      </c>
      <c r="T1" s="2" t="str">
        <f t="shared" si="0"/>
        <v>Wed</v>
      </c>
      <c r="U1" s="2" t="str">
        <f t="shared" si="0"/>
        <v>Thu</v>
      </c>
      <c r="V1" s="2" t="str">
        <f t="shared" si="0"/>
        <v>Fri</v>
      </c>
      <c r="W1" s="2" t="str">
        <f t="shared" si="0"/>
        <v>Sat</v>
      </c>
      <c r="X1" s="2" t="str">
        <f t="shared" si="0"/>
        <v>Sun</v>
      </c>
      <c r="Y1" s="2" t="str">
        <f t="shared" si="0"/>
        <v>Mon</v>
      </c>
      <c r="Z1" s="2" t="str">
        <f t="shared" si="0"/>
        <v>Tue</v>
      </c>
      <c r="AA1" s="2" t="str">
        <f t="shared" si="0"/>
        <v>Wed</v>
      </c>
      <c r="AB1" s="2" t="str">
        <f t="shared" si="0"/>
        <v>Thu</v>
      </c>
      <c r="AC1" s="2" t="str">
        <f t="shared" si="0"/>
        <v>Fri</v>
      </c>
      <c r="AD1" s="2" t="str">
        <f t="shared" si="0"/>
        <v>Sat</v>
      </c>
      <c r="AE1" s="2" t="str">
        <f t="shared" si="0"/>
        <v>Sun</v>
      </c>
      <c r="AF1" s="2" t="str">
        <f t="shared" si="0"/>
        <v>Mon</v>
      </c>
      <c r="AG1" s="2" t="str">
        <f t="shared" si="0"/>
        <v>Tue</v>
      </c>
    </row>
    <row r="2" spans="1:33" x14ac:dyDescent="0.35">
      <c r="A2" s="7" t="s">
        <v>0</v>
      </c>
      <c r="B2" s="31">
        <v>44681</v>
      </c>
      <c r="C2" s="31">
        <v>44682</v>
      </c>
      <c r="D2" s="31">
        <v>44683</v>
      </c>
      <c r="E2" s="31">
        <v>44684</v>
      </c>
      <c r="F2" s="31">
        <v>44685</v>
      </c>
      <c r="G2" s="31">
        <v>44686</v>
      </c>
      <c r="H2" s="31">
        <v>44687</v>
      </c>
      <c r="I2" s="31">
        <v>44688</v>
      </c>
      <c r="J2" s="31">
        <v>44689</v>
      </c>
      <c r="K2" s="31">
        <v>44690</v>
      </c>
      <c r="L2" s="31">
        <v>44691</v>
      </c>
      <c r="M2" s="31">
        <v>44692</v>
      </c>
      <c r="N2" s="31">
        <v>44693</v>
      </c>
      <c r="O2" s="31">
        <v>44694</v>
      </c>
      <c r="P2" s="31">
        <v>44695</v>
      </c>
      <c r="Q2" s="31">
        <v>44696</v>
      </c>
      <c r="R2" s="31">
        <v>44697</v>
      </c>
      <c r="S2" s="31">
        <v>44698</v>
      </c>
      <c r="T2" s="31">
        <v>44699</v>
      </c>
      <c r="U2" s="31">
        <v>44700</v>
      </c>
      <c r="V2" s="31">
        <v>44701</v>
      </c>
      <c r="W2" s="31">
        <v>44702</v>
      </c>
      <c r="X2" s="31">
        <v>44703</v>
      </c>
      <c r="Y2" s="31">
        <v>44704</v>
      </c>
      <c r="Z2" s="31">
        <v>44705</v>
      </c>
      <c r="AA2" s="31">
        <v>44706</v>
      </c>
      <c r="AB2" s="31">
        <v>44707</v>
      </c>
      <c r="AC2" s="31">
        <v>44708</v>
      </c>
      <c r="AD2" s="31">
        <v>44709</v>
      </c>
      <c r="AE2" s="31">
        <v>44710</v>
      </c>
      <c r="AF2" s="31">
        <v>44711</v>
      </c>
      <c r="AG2" s="31">
        <v>44712</v>
      </c>
    </row>
    <row r="3" spans="1:33" x14ac:dyDescent="0.35">
      <c r="A3" s="8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</row>
    <row r="4" spans="1:33" x14ac:dyDescent="0.35">
      <c r="A4" s="67" t="s">
        <v>1</v>
      </c>
      <c r="B4" s="60" t="s">
        <v>40</v>
      </c>
      <c r="C4" s="25" t="s">
        <v>3</v>
      </c>
      <c r="D4" s="12" t="s">
        <v>2</v>
      </c>
      <c r="E4" s="80" t="s">
        <v>37</v>
      </c>
      <c r="F4" s="13" t="s">
        <v>5</v>
      </c>
      <c r="G4" s="13" t="s">
        <v>5</v>
      </c>
      <c r="H4" s="13" t="s">
        <v>5</v>
      </c>
      <c r="I4" s="68" t="s">
        <v>4</v>
      </c>
      <c r="J4" s="68" t="s">
        <v>4</v>
      </c>
      <c r="K4" s="13" t="s">
        <v>5</v>
      </c>
      <c r="L4" s="10" t="s">
        <v>41</v>
      </c>
      <c r="M4" s="10" t="s">
        <v>41</v>
      </c>
      <c r="N4" s="79" t="s">
        <v>16</v>
      </c>
      <c r="O4" s="78" t="s">
        <v>41</v>
      </c>
      <c r="P4" s="78" t="s">
        <v>42</v>
      </c>
      <c r="Q4" s="19" t="s">
        <v>42</v>
      </c>
      <c r="R4" s="78" t="s">
        <v>41</v>
      </c>
      <c r="S4" s="12" t="s">
        <v>2</v>
      </c>
      <c r="T4" s="78" t="s">
        <v>41</v>
      </c>
      <c r="U4" s="78" t="s">
        <v>41</v>
      </c>
      <c r="V4" s="12" t="s">
        <v>2</v>
      </c>
      <c r="W4" s="19" t="s">
        <v>42</v>
      </c>
      <c r="X4" s="19" t="s">
        <v>42</v>
      </c>
      <c r="Y4" s="16" t="s">
        <v>8</v>
      </c>
      <c r="Z4" s="16" t="s">
        <v>8</v>
      </c>
      <c r="AA4" s="16" t="s">
        <v>8</v>
      </c>
      <c r="AB4" s="16" t="s">
        <v>8</v>
      </c>
      <c r="AC4" s="12" t="s">
        <v>2</v>
      </c>
      <c r="AD4" s="19" t="s">
        <v>42</v>
      </c>
      <c r="AE4" s="19" t="s">
        <v>42</v>
      </c>
      <c r="AF4" s="16" t="s">
        <v>8</v>
      </c>
      <c r="AG4" s="16" t="s">
        <v>8</v>
      </c>
    </row>
    <row r="5" spans="1:33" x14ac:dyDescent="0.35">
      <c r="A5" s="67" t="s">
        <v>9</v>
      </c>
      <c r="B5" s="25" t="s">
        <v>3</v>
      </c>
      <c r="C5" s="19" t="s">
        <v>42</v>
      </c>
      <c r="D5" s="25" t="s">
        <v>6</v>
      </c>
      <c r="E5" s="25" t="s">
        <v>3</v>
      </c>
      <c r="F5" s="25" t="s">
        <v>6</v>
      </c>
      <c r="G5" s="79" t="s">
        <v>16</v>
      </c>
      <c r="H5" s="12" t="s">
        <v>2</v>
      </c>
      <c r="I5" s="25" t="s">
        <v>3</v>
      </c>
      <c r="J5" s="17" t="s">
        <v>11</v>
      </c>
      <c r="K5" s="12" t="s">
        <v>2</v>
      </c>
      <c r="L5" s="78" t="s">
        <v>6</v>
      </c>
      <c r="M5" s="78" t="s">
        <v>6</v>
      </c>
      <c r="N5" s="17" t="s">
        <v>10</v>
      </c>
      <c r="O5" s="17" t="s">
        <v>10</v>
      </c>
      <c r="P5" s="68" t="s">
        <v>4</v>
      </c>
      <c r="Q5" s="17" t="s">
        <v>11</v>
      </c>
      <c r="R5" s="17" t="s">
        <v>10</v>
      </c>
      <c r="S5" s="16" t="s">
        <v>8</v>
      </c>
      <c r="T5" s="17" t="s">
        <v>10</v>
      </c>
      <c r="U5" s="17" t="s">
        <v>10</v>
      </c>
      <c r="V5" s="17" t="s">
        <v>10</v>
      </c>
      <c r="W5" s="17" t="s">
        <v>11</v>
      </c>
      <c r="X5" s="17" t="s">
        <v>11</v>
      </c>
      <c r="Y5" s="12" t="s">
        <v>2</v>
      </c>
      <c r="Z5" s="12" t="s">
        <v>2</v>
      </c>
      <c r="AA5" s="78" t="s">
        <v>6</v>
      </c>
      <c r="AB5" s="78" t="s">
        <v>6</v>
      </c>
      <c r="AC5" s="78" t="s">
        <v>6</v>
      </c>
      <c r="AD5" s="68" t="s">
        <v>4</v>
      </c>
      <c r="AE5" s="17" t="s">
        <v>11</v>
      </c>
      <c r="AF5" s="12" t="s">
        <v>2</v>
      </c>
      <c r="AG5" s="25" t="s">
        <v>6</v>
      </c>
    </row>
    <row r="6" spans="1:33" x14ac:dyDescent="0.35">
      <c r="A6" s="67" t="s">
        <v>12</v>
      </c>
      <c r="B6" s="29" t="s">
        <v>4</v>
      </c>
      <c r="C6" s="29" t="s">
        <v>4</v>
      </c>
      <c r="D6" s="10" t="s">
        <v>41</v>
      </c>
      <c r="E6" s="10" t="s">
        <v>41</v>
      </c>
      <c r="F6" s="10" t="s">
        <v>41</v>
      </c>
      <c r="G6" s="10" t="s">
        <v>41</v>
      </c>
      <c r="H6" s="10" t="s">
        <v>41</v>
      </c>
      <c r="I6" s="29" t="s">
        <v>4</v>
      </c>
      <c r="J6" s="19" t="s">
        <v>42</v>
      </c>
      <c r="K6" s="17" t="s">
        <v>10</v>
      </c>
      <c r="L6" s="17" t="s">
        <v>10</v>
      </c>
      <c r="M6" s="17" t="s">
        <v>10</v>
      </c>
      <c r="N6" s="12" t="s">
        <v>2</v>
      </c>
      <c r="O6" s="17" t="s">
        <v>10</v>
      </c>
      <c r="P6" s="17" t="s">
        <v>11</v>
      </c>
      <c r="Q6" s="29" t="s">
        <v>4</v>
      </c>
      <c r="R6" s="12" t="s">
        <v>2</v>
      </c>
      <c r="S6" s="25" t="s">
        <v>6</v>
      </c>
      <c r="T6" s="12" t="s">
        <v>2</v>
      </c>
      <c r="U6" s="25" t="s">
        <v>6</v>
      </c>
      <c r="V6" s="25" t="s">
        <v>6</v>
      </c>
      <c r="W6" s="25" t="s">
        <v>3</v>
      </c>
      <c r="X6" s="25" t="s">
        <v>3</v>
      </c>
      <c r="Y6" s="25" t="s">
        <v>6</v>
      </c>
      <c r="Z6" s="13" t="s">
        <v>5</v>
      </c>
      <c r="AA6" s="13" t="s">
        <v>5</v>
      </c>
      <c r="AB6" s="79" t="s">
        <v>16</v>
      </c>
      <c r="AC6" s="79" t="s">
        <v>16</v>
      </c>
      <c r="AD6" s="83" t="s">
        <v>3</v>
      </c>
      <c r="AE6" s="83" t="s">
        <v>3</v>
      </c>
      <c r="AF6" s="79" t="s">
        <v>16</v>
      </c>
      <c r="AG6" s="79" t="s">
        <v>16</v>
      </c>
    </row>
    <row r="7" spans="1:33" x14ac:dyDescent="0.35">
      <c r="A7" s="67" t="s">
        <v>14</v>
      </c>
      <c r="B7" s="68" t="s">
        <v>4</v>
      </c>
      <c r="C7" s="68" t="s">
        <v>4</v>
      </c>
      <c r="D7" s="13" t="s">
        <v>5</v>
      </c>
      <c r="E7" s="80" t="s">
        <v>37</v>
      </c>
      <c r="F7" s="13" t="s">
        <v>5</v>
      </c>
      <c r="G7" s="25" t="s">
        <v>6</v>
      </c>
      <c r="H7" s="25" t="s">
        <v>6</v>
      </c>
      <c r="I7" s="19" t="s">
        <v>42</v>
      </c>
      <c r="J7" s="25" t="s">
        <v>3</v>
      </c>
      <c r="K7" s="25" t="s">
        <v>6</v>
      </c>
      <c r="L7" s="10" t="s">
        <v>41</v>
      </c>
      <c r="M7" s="12" t="s">
        <v>2</v>
      </c>
      <c r="N7" s="25" t="s">
        <v>6</v>
      </c>
      <c r="O7" s="13" t="s">
        <v>5</v>
      </c>
      <c r="P7" s="68" t="s">
        <v>4</v>
      </c>
      <c r="Q7" s="68" t="s">
        <v>4</v>
      </c>
      <c r="R7" s="13" t="s">
        <v>5</v>
      </c>
      <c r="S7" s="79" t="s">
        <v>16</v>
      </c>
      <c r="T7" s="79" t="s">
        <v>16</v>
      </c>
      <c r="U7" s="79" t="s">
        <v>16</v>
      </c>
      <c r="V7" s="79" t="s">
        <v>16</v>
      </c>
      <c r="W7" s="84" t="s">
        <v>30</v>
      </c>
      <c r="X7" s="29" t="s">
        <v>4</v>
      </c>
      <c r="Y7" s="79" t="s">
        <v>16</v>
      </c>
      <c r="Z7" s="25" t="s">
        <v>6</v>
      </c>
      <c r="AA7" s="17" t="s">
        <v>10</v>
      </c>
      <c r="AB7" s="17" t="s">
        <v>10</v>
      </c>
      <c r="AC7" s="17" t="s">
        <v>10</v>
      </c>
      <c r="AD7" s="17" t="s">
        <v>11</v>
      </c>
      <c r="AE7" s="29" t="s">
        <v>4</v>
      </c>
      <c r="AF7" s="10" t="s">
        <v>41</v>
      </c>
      <c r="AG7" s="25" t="s">
        <v>6</v>
      </c>
    </row>
    <row r="8" spans="1:33" x14ac:dyDescent="0.35">
      <c r="A8" s="67" t="s">
        <v>15</v>
      </c>
      <c r="B8" s="29" t="s">
        <v>4</v>
      </c>
      <c r="C8" s="29" t="s">
        <v>4</v>
      </c>
      <c r="D8" s="17" t="s">
        <v>10</v>
      </c>
      <c r="E8" s="17" t="s">
        <v>10</v>
      </c>
      <c r="F8" s="17" t="s">
        <v>10</v>
      </c>
      <c r="G8" s="17" t="s">
        <v>10</v>
      </c>
      <c r="H8" s="17" t="s">
        <v>10</v>
      </c>
      <c r="I8" s="29" t="s">
        <v>4</v>
      </c>
      <c r="J8" s="29" t="s">
        <v>4</v>
      </c>
      <c r="K8" s="10" t="s">
        <v>41</v>
      </c>
      <c r="L8" s="10" t="s">
        <v>41</v>
      </c>
      <c r="M8" s="10" t="s">
        <v>41</v>
      </c>
      <c r="N8" s="10" t="s">
        <v>41</v>
      </c>
      <c r="O8" s="10" t="s">
        <v>41</v>
      </c>
      <c r="P8" s="19" t="s">
        <v>42</v>
      </c>
      <c r="Q8" s="29" t="s">
        <v>4</v>
      </c>
      <c r="R8" s="10" t="s">
        <v>41</v>
      </c>
      <c r="S8" s="10" t="s">
        <v>41</v>
      </c>
      <c r="T8" s="10" t="s">
        <v>41</v>
      </c>
      <c r="U8" s="12" t="s">
        <v>2</v>
      </c>
      <c r="V8" s="10" t="s">
        <v>41</v>
      </c>
      <c r="W8" s="19" t="s">
        <v>42</v>
      </c>
      <c r="X8" s="19" t="s">
        <v>42</v>
      </c>
      <c r="Y8" s="17" t="s">
        <v>10</v>
      </c>
      <c r="Z8" s="17" t="s">
        <v>10</v>
      </c>
      <c r="AA8" s="12" t="s">
        <v>2</v>
      </c>
      <c r="AB8" s="25" t="s">
        <v>6</v>
      </c>
      <c r="AC8" s="10" t="s">
        <v>41</v>
      </c>
      <c r="AD8" s="29" t="s">
        <v>4</v>
      </c>
      <c r="AE8" s="25" t="s">
        <v>3</v>
      </c>
      <c r="AF8" s="17" t="s">
        <v>10</v>
      </c>
      <c r="AG8" s="17" t="s">
        <v>10</v>
      </c>
    </row>
    <row r="9" spans="1:33" x14ac:dyDescent="0.35">
      <c r="A9" s="67" t="s">
        <v>18</v>
      </c>
      <c r="B9" s="17" t="s">
        <v>11</v>
      </c>
      <c r="C9" s="17" t="s">
        <v>11</v>
      </c>
      <c r="D9" s="17" t="s">
        <v>10</v>
      </c>
      <c r="E9" s="17" t="s">
        <v>10</v>
      </c>
      <c r="F9" s="12" t="s">
        <v>2</v>
      </c>
      <c r="G9" s="79" t="s">
        <v>16</v>
      </c>
      <c r="H9" s="79" t="s">
        <v>16</v>
      </c>
      <c r="I9" s="78" t="s">
        <v>30</v>
      </c>
      <c r="J9" s="78" t="s">
        <v>42</v>
      </c>
      <c r="K9" s="78" t="s">
        <v>41</v>
      </c>
      <c r="L9" s="79" t="s">
        <v>16</v>
      </c>
      <c r="M9" s="12" t="s">
        <v>2</v>
      </c>
      <c r="N9" s="10" t="s">
        <v>41</v>
      </c>
      <c r="O9" s="25" t="s">
        <v>6</v>
      </c>
      <c r="P9" s="25" t="s">
        <v>3</v>
      </c>
      <c r="Q9" s="25" t="s">
        <v>3</v>
      </c>
      <c r="R9" s="25" t="s">
        <v>6</v>
      </c>
      <c r="S9" s="12" t="s">
        <v>2</v>
      </c>
      <c r="T9" s="25" t="s">
        <v>6</v>
      </c>
      <c r="U9" s="25" t="s">
        <v>6</v>
      </c>
      <c r="V9" s="25" t="s">
        <v>6</v>
      </c>
      <c r="W9" s="68" t="s">
        <v>4</v>
      </c>
      <c r="X9" s="68" t="s">
        <v>4</v>
      </c>
      <c r="Y9" s="10" t="s">
        <v>41</v>
      </c>
      <c r="Z9" s="13" t="s">
        <v>5</v>
      </c>
      <c r="AA9" s="13" t="s">
        <v>5</v>
      </c>
      <c r="AB9" s="13" t="s">
        <v>5</v>
      </c>
      <c r="AC9" s="13" t="s">
        <v>5</v>
      </c>
      <c r="AD9" s="68" t="s">
        <v>4</v>
      </c>
      <c r="AE9" s="68" t="s">
        <v>4</v>
      </c>
      <c r="AF9" s="13" t="s">
        <v>5</v>
      </c>
      <c r="AG9" s="17" t="s">
        <v>10</v>
      </c>
    </row>
    <row r="10" spans="1:33" ht="14.15" customHeight="1" x14ac:dyDescent="0.35">
      <c r="A10" s="67" t="s">
        <v>21</v>
      </c>
      <c r="B10" s="17" t="s">
        <v>11</v>
      </c>
      <c r="C10" s="17" t="s">
        <v>11</v>
      </c>
      <c r="D10" s="12" t="s">
        <v>2</v>
      </c>
      <c r="E10" s="12" t="s">
        <v>2</v>
      </c>
      <c r="F10" s="17" t="s">
        <v>10</v>
      </c>
      <c r="G10" s="17" t="s">
        <v>10</v>
      </c>
      <c r="H10" s="17" t="s">
        <v>10</v>
      </c>
      <c r="I10" s="17" t="s">
        <v>11</v>
      </c>
      <c r="J10" s="29" t="s">
        <v>4</v>
      </c>
      <c r="K10" s="79" t="s">
        <v>16</v>
      </c>
      <c r="L10" s="79" t="s">
        <v>16</v>
      </c>
      <c r="M10" s="78" t="s">
        <v>41</v>
      </c>
      <c r="N10" s="78" t="s">
        <v>6</v>
      </c>
      <c r="O10" s="78" t="s">
        <v>41</v>
      </c>
      <c r="P10" s="78" t="s">
        <v>30</v>
      </c>
      <c r="Q10" s="17" t="s">
        <v>11</v>
      </c>
      <c r="R10" s="13" t="s">
        <v>81</v>
      </c>
      <c r="S10" s="12" t="s">
        <v>2</v>
      </c>
      <c r="T10" s="25" t="s">
        <v>6</v>
      </c>
      <c r="U10" s="10" t="s">
        <v>41</v>
      </c>
      <c r="V10" s="10" t="s">
        <v>41</v>
      </c>
      <c r="W10" s="68" t="s">
        <v>4</v>
      </c>
      <c r="X10" s="29" t="s">
        <v>4</v>
      </c>
      <c r="Y10" s="17" t="s">
        <v>10</v>
      </c>
      <c r="Z10" s="17" t="s">
        <v>10</v>
      </c>
      <c r="AA10" s="17" t="s">
        <v>10</v>
      </c>
      <c r="AB10" s="12" t="s">
        <v>2</v>
      </c>
      <c r="AC10" s="10" t="s">
        <v>41</v>
      </c>
      <c r="AD10" s="25" t="s">
        <v>3</v>
      </c>
      <c r="AE10" s="19" t="s">
        <v>42</v>
      </c>
      <c r="AF10" s="25" t="s">
        <v>6</v>
      </c>
      <c r="AG10" s="10" t="s">
        <v>41</v>
      </c>
    </row>
    <row r="11" spans="1:33" x14ac:dyDescent="0.35">
      <c r="A11" s="67" t="s">
        <v>43</v>
      </c>
      <c r="B11" s="29" t="s">
        <v>4</v>
      </c>
      <c r="C11" s="29" t="s">
        <v>4</v>
      </c>
      <c r="D11" s="79" t="s">
        <v>16</v>
      </c>
      <c r="E11" s="78" t="s">
        <v>6</v>
      </c>
      <c r="F11" s="78" t="s">
        <v>41</v>
      </c>
      <c r="G11" s="12" t="s">
        <v>2</v>
      </c>
      <c r="H11" s="79" t="s">
        <v>16</v>
      </c>
      <c r="I11" s="78" t="s">
        <v>3</v>
      </c>
      <c r="J11" s="78" t="s">
        <v>3</v>
      </c>
      <c r="K11" s="10" t="s">
        <v>41</v>
      </c>
      <c r="L11" s="12" t="s">
        <v>2</v>
      </c>
      <c r="M11" s="25" t="s">
        <v>6</v>
      </c>
      <c r="N11" s="25" t="s">
        <v>6</v>
      </c>
      <c r="O11" s="25" t="s">
        <v>6</v>
      </c>
      <c r="P11" s="17" t="s">
        <v>11</v>
      </c>
      <c r="Q11" s="29" t="s">
        <v>4</v>
      </c>
      <c r="R11" s="17" t="s">
        <v>10</v>
      </c>
      <c r="S11" s="17" t="s">
        <v>10</v>
      </c>
      <c r="T11" s="17" t="s">
        <v>10</v>
      </c>
      <c r="U11" s="17" t="s">
        <v>10</v>
      </c>
      <c r="V11" s="17" t="s">
        <v>10</v>
      </c>
      <c r="W11" s="29" t="s">
        <v>4</v>
      </c>
      <c r="X11" s="29" t="s">
        <v>4</v>
      </c>
      <c r="Y11" s="10" t="s">
        <v>41</v>
      </c>
      <c r="Z11" s="10" t="s">
        <v>41</v>
      </c>
      <c r="AA11" s="12" t="s">
        <v>2</v>
      </c>
      <c r="AB11" s="17" t="s">
        <v>10</v>
      </c>
      <c r="AC11" s="17" t="s">
        <v>10</v>
      </c>
      <c r="AD11" s="17" t="s">
        <v>11</v>
      </c>
      <c r="AE11" s="17" t="s">
        <v>11</v>
      </c>
      <c r="AF11" s="17" t="s">
        <v>10</v>
      </c>
      <c r="AG11" s="12" t="s">
        <v>2</v>
      </c>
    </row>
    <row r="12" spans="1:33" x14ac:dyDescent="0.35">
      <c r="A12" s="67" t="s">
        <v>75</v>
      </c>
      <c r="B12" s="19" t="s">
        <v>42</v>
      </c>
      <c r="C12" s="19" t="s">
        <v>42</v>
      </c>
      <c r="D12" s="12" t="s">
        <v>2</v>
      </c>
      <c r="E12" s="80" t="s">
        <v>37</v>
      </c>
      <c r="F12" s="25" t="s">
        <v>6</v>
      </c>
      <c r="G12" s="25" t="s">
        <v>6</v>
      </c>
      <c r="H12" s="12" t="s">
        <v>2</v>
      </c>
      <c r="I12" s="17" t="s">
        <v>11</v>
      </c>
      <c r="J12" s="17" t="s">
        <v>11</v>
      </c>
      <c r="K12" s="17" t="s">
        <v>10</v>
      </c>
      <c r="L12" s="17" t="s">
        <v>10</v>
      </c>
      <c r="M12" s="17" t="s">
        <v>10</v>
      </c>
      <c r="N12" s="17" t="s">
        <v>10</v>
      </c>
      <c r="O12" s="12" t="s">
        <v>2</v>
      </c>
      <c r="P12" s="68" t="s">
        <v>4</v>
      </c>
      <c r="Q12" s="68" t="s">
        <v>4</v>
      </c>
      <c r="R12" s="13" t="s">
        <v>5</v>
      </c>
      <c r="S12" s="13" t="s">
        <v>5</v>
      </c>
      <c r="T12" s="13" t="s">
        <v>5</v>
      </c>
      <c r="U12" s="13" t="s">
        <v>5</v>
      </c>
      <c r="V12" s="13" t="s">
        <v>5</v>
      </c>
      <c r="W12" s="17" t="s">
        <v>11</v>
      </c>
      <c r="X12" s="17" t="s">
        <v>11</v>
      </c>
      <c r="Y12" s="12" t="s">
        <v>2</v>
      </c>
      <c r="Z12" s="10" t="s">
        <v>41</v>
      </c>
      <c r="AA12" s="12" t="s">
        <v>2</v>
      </c>
      <c r="AB12" s="79" t="s">
        <v>16</v>
      </c>
      <c r="AC12" s="79" t="s">
        <v>16</v>
      </c>
      <c r="AD12" s="84" t="s">
        <v>30</v>
      </c>
      <c r="AE12" s="84" t="s">
        <v>30</v>
      </c>
      <c r="AF12" s="79" t="s">
        <v>16</v>
      </c>
      <c r="AG12" s="79" t="s">
        <v>16</v>
      </c>
    </row>
    <row r="13" spans="1:33" x14ac:dyDescent="0.35">
      <c r="A13" s="67" t="s">
        <v>22</v>
      </c>
      <c r="B13" s="68" t="s">
        <v>4</v>
      </c>
      <c r="C13" s="68" t="s">
        <v>4</v>
      </c>
      <c r="D13" s="10" t="s">
        <v>41</v>
      </c>
      <c r="E13" s="10" t="s">
        <v>41</v>
      </c>
      <c r="F13" s="10" t="s">
        <v>41</v>
      </c>
      <c r="G13" s="10" t="s">
        <v>41</v>
      </c>
      <c r="H13" s="25" t="s">
        <v>6</v>
      </c>
      <c r="I13" s="68" t="s">
        <v>4</v>
      </c>
      <c r="J13" s="68" t="s">
        <v>4</v>
      </c>
      <c r="K13" s="27" t="s">
        <v>34</v>
      </c>
      <c r="L13" s="79" t="s">
        <v>16</v>
      </c>
      <c r="M13" s="22" t="s">
        <v>16</v>
      </c>
      <c r="N13" s="12" t="s">
        <v>2</v>
      </c>
      <c r="O13" s="25" t="s">
        <v>6</v>
      </c>
      <c r="P13" s="25" t="s">
        <v>3</v>
      </c>
      <c r="Q13" s="25" t="s">
        <v>3</v>
      </c>
      <c r="R13" s="25" t="s">
        <v>6</v>
      </c>
      <c r="S13" s="10" t="s">
        <v>41</v>
      </c>
      <c r="T13" s="25" t="s">
        <v>6</v>
      </c>
      <c r="U13" s="13" t="s">
        <v>5</v>
      </c>
      <c r="V13" s="13" t="s">
        <v>5</v>
      </c>
      <c r="W13" s="68" t="s">
        <v>4</v>
      </c>
      <c r="X13" s="68" t="s">
        <v>4</v>
      </c>
      <c r="Y13" s="10" t="s">
        <v>41</v>
      </c>
      <c r="Z13" s="25" t="s">
        <v>6</v>
      </c>
      <c r="AA13" s="25" t="s">
        <v>6</v>
      </c>
      <c r="AB13" s="12" t="s">
        <v>2</v>
      </c>
      <c r="AC13" s="27" t="s">
        <v>34</v>
      </c>
      <c r="AD13" s="29" t="s">
        <v>4</v>
      </c>
      <c r="AE13" s="29" t="s">
        <v>4</v>
      </c>
      <c r="AF13" s="25" t="s">
        <v>6</v>
      </c>
      <c r="AG13" s="13" t="s">
        <v>5</v>
      </c>
    </row>
    <row r="14" spans="1:33" ht="15" thickBot="1" x14ac:dyDescent="0.4">
      <c r="A14" s="67" t="s">
        <v>62</v>
      </c>
      <c r="B14" s="66" t="s">
        <v>30</v>
      </c>
      <c r="C14" s="29" t="s">
        <v>4</v>
      </c>
      <c r="D14" s="10" t="s">
        <v>41</v>
      </c>
      <c r="E14" s="10" t="s">
        <v>41</v>
      </c>
      <c r="F14" s="12" t="s">
        <v>2</v>
      </c>
      <c r="G14" s="79" t="s">
        <v>16</v>
      </c>
      <c r="H14" s="79" t="s">
        <v>16</v>
      </c>
      <c r="I14" s="19" t="s">
        <v>42</v>
      </c>
      <c r="J14" s="29" t="s">
        <v>4</v>
      </c>
      <c r="K14" s="13" t="s">
        <v>5</v>
      </c>
      <c r="L14" s="10" t="s">
        <v>41</v>
      </c>
      <c r="M14" s="10" t="s">
        <v>41</v>
      </c>
      <c r="N14" s="79" t="s">
        <v>16</v>
      </c>
      <c r="O14" s="79" t="s">
        <v>16</v>
      </c>
      <c r="P14" s="29" t="s">
        <v>4</v>
      </c>
      <c r="Q14" s="68" t="s">
        <v>4</v>
      </c>
      <c r="R14" s="13" t="s">
        <v>5</v>
      </c>
      <c r="S14" s="10" t="s">
        <v>41</v>
      </c>
      <c r="T14" s="10" t="s">
        <v>41</v>
      </c>
      <c r="U14" s="12" t="s">
        <v>2</v>
      </c>
      <c r="V14" s="79" t="s">
        <v>16</v>
      </c>
      <c r="W14" s="25" t="s">
        <v>3</v>
      </c>
      <c r="X14" s="25" t="s">
        <v>3</v>
      </c>
      <c r="Y14" s="25" t="s">
        <v>6</v>
      </c>
      <c r="Z14" s="12" t="s">
        <v>2</v>
      </c>
      <c r="AA14" s="10" t="s">
        <v>41</v>
      </c>
      <c r="AB14" s="10" t="s">
        <v>41</v>
      </c>
      <c r="AC14" s="79" t="s">
        <v>16</v>
      </c>
      <c r="AD14" s="19" t="s">
        <v>42</v>
      </c>
      <c r="AE14" s="29" t="s">
        <v>4</v>
      </c>
      <c r="AF14" s="10" t="s">
        <v>41</v>
      </c>
      <c r="AG14" s="25" t="s">
        <v>6</v>
      </c>
    </row>
    <row r="15" spans="1:33" x14ac:dyDescent="0.35">
      <c r="A15" s="67" t="s">
        <v>76</v>
      </c>
      <c r="B15" s="25" t="s">
        <v>3</v>
      </c>
      <c r="C15" s="25" t="s">
        <v>3</v>
      </c>
      <c r="D15" s="12" t="s">
        <v>2</v>
      </c>
      <c r="E15" s="25" t="s">
        <v>6</v>
      </c>
      <c r="F15" s="25" t="s">
        <v>6</v>
      </c>
      <c r="G15" s="25" t="s">
        <v>6</v>
      </c>
      <c r="H15" s="25" t="s">
        <v>6</v>
      </c>
      <c r="I15" s="29" t="s">
        <v>4</v>
      </c>
      <c r="J15" s="29" t="s">
        <v>4</v>
      </c>
      <c r="K15" s="25" t="s">
        <v>6</v>
      </c>
      <c r="L15" s="25" t="s">
        <v>6</v>
      </c>
      <c r="M15" s="25" t="s">
        <v>6</v>
      </c>
      <c r="N15" s="25" t="s">
        <v>6</v>
      </c>
      <c r="O15" s="25" t="s">
        <v>6</v>
      </c>
      <c r="P15" s="29" t="s">
        <v>4</v>
      </c>
      <c r="Q15" s="29" t="s">
        <v>4</v>
      </c>
      <c r="R15" s="25" t="s">
        <v>6</v>
      </c>
      <c r="S15" s="25" t="s">
        <v>6</v>
      </c>
      <c r="T15" s="25" t="s">
        <v>6</v>
      </c>
      <c r="U15" s="25" t="s">
        <v>6</v>
      </c>
      <c r="V15" s="13" t="s">
        <v>5</v>
      </c>
      <c r="W15" s="29" t="s">
        <v>4</v>
      </c>
      <c r="X15" s="29" t="s">
        <v>4</v>
      </c>
      <c r="Y15" s="79" t="s">
        <v>16</v>
      </c>
      <c r="Z15" s="79" t="s">
        <v>16</v>
      </c>
      <c r="AA15" s="79" t="s">
        <v>16</v>
      </c>
      <c r="AB15" s="79" t="s">
        <v>16</v>
      </c>
      <c r="AC15" s="79" t="s">
        <v>16</v>
      </c>
      <c r="AD15" s="29" t="s">
        <v>4</v>
      </c>
      <c r="AE15" s="29" t="s">
        <v>4</v>
      </c>
      <c r="AF15" s="25" t="s">
        <v>6</v>
      </c>
      <c r="AG15" s="79" t="s">
        <v>16</v>
      </c>
    </row>
    <row r="16" spans="1:33" x14ac:dyDescent="0.35">
      <c r="A16" s="67" t="s">
        <v>74</v>
      </c>
      <c r="B16" s="29" t="s">
        <v>4</v>
      </c>
      <c r="C16" s="29" t="s">
        <v>4</v>
      </c>
      <c r="D16" s="25" t="s">
        <v>6</v>
      </c>
      <c r="E16" s="25" t="s">
        <v>6</v>
      </c>
      <c r="F16" s="25" t="s">
        <v>6</v>
      </c>
      <c r="G16" s="16" t="s">
        <v>8</v>
      </c>
      <c r="H16" s="16" t="s">
        <v>8</v>
      </c>
      <c r="I16" s="29" t="s">
        <v>4</v>
      </c>
      <c r="J16" s="29" t="s">
        <v>4</v>
      </c>
      <c r="K16" s="10" t="s">
        <v>41</v>
      </c>
      <c r="L16" s="25" t="s">
        <v>6</v>
      </c>
      <c r="M16" s="25" t="s">
        <v>6</v>
      </c>
      <c r="N16" s="10" t="s">
        <v>41</v>
      </c>
      <c r="O16" s="10" t="s">
        <v>41</v>
      </c>
      <c r="P16" s="29" t="s">
        <v>4</v>
      </c>
      <c r="Q16" s="29" t="s">
        <v>4</v>
      </c>
      <c r="R16" s="10" t="s">
        <v>41</v>
      </c>
      <c r="S16" s="17" t="s">
        <v>10</v>
      </c>
      <c r="T16" s="16" t="s">
        <v>8</v>
      </c>
      <c r="U16" s="16" t="s">
        <v>8</v>
      </c>
      <c r="V16" s="16" t="s">
        <v>8</v>
      </c>
      <c r="W16" s="68" t="s">
        <v>4</v>
      </c>
      <c r="X16" s="68" t="s">
        <v>4</v>
      </c>
      <c r="Y16" s="10" t="s">
        <v>41</v>
      </c>
      <c r="Z16" s="13" t="s">
        <v>5</v>
      </c>
      <c r="AA16" s="10" t="s">
        <v>41</v>
      </c>
      <c r="AB16" s="10" t="s">
        <v>41</v>
      </c>
      <c r="AC16" s="10" t="s">
        <v>41</v>
      </c>
      <c r="AD16" s="29" t="s">
        <v>4</v>
      </c>
      <c r="AE16" s="29" t="s">
        <v>4</v>
      </c>
      <c r="AF16" s="27" t="s">
        <v>34</v>
      </c>
      <c r="AG16" s="10" t="s">
        <v>41</v>
      </c>
    </row>
    <row r="17" spans="1:33" x14ac:dyDescent="0.35">
      <c r="A17" s="67" t="s">
        <v>77</v>
      </c>
      <c r="B17" s="29" t="s">
        <v>4</v>
      </c>
      <c r="C17" s="29" t="s">
        <v>4</v>
      </c>
      <c r="D17" s="10" t="s">
        <v>41</v>
      </c>
      <c r="E17" s="10" t="s">
        <v>41</v>
      </c>
      <c r="F17" s="10" t="s">
        <v>41</v>
      </c>
      <c r="G17" s="10" t="s">
        <v>41</v>
      </c>
      <c r="H17" s="10" t="s">
        <v>41</v>
      </c>
      <c r="I17" s="29" t="s">
        <v>4</v>
      </c>
      <c r="J17" s="29" t="s">
        <v>4</v>
      </c>
      <c r="K17" s="13" t="s">
        <v>5</v>
      </c>
      <c r="L17" s="10" t="s">
        <v>41</v>
      </c>
      <c r="M17" s="16" t="s">
        <v>8</v>
      </c>
      <c r="N17" s="16" t="s">
        <v>8</v>
      </c>
      <c r="O17" s="16" t="s">
        <v>8</v>
      </c>
      <c r="P17" s="29" t="s">
        <v>4</v>
      </c>
      <c r="Q17" s="19" t="s">
        <v>42</v>
      </c>
      <c r="R17" s="10" t="s">
        <v>41</v>
      </c>
      <c r="S17" s="25" t="s">
        <v>6</v>
      </c>
      <c r="T17" s="10" t="s">
        <v>41</v>
      </c>
      <c r="U17" s="10" t="s">
        <v>41</v>
      </c>
      <c r="V17" s="10" t="s">
        <v>41</v>
      </c>
      <c r="W17" s="29" t="s">
        <v>4</v>
      </c>
      <c r="X17" s="29" t="s">
        <v>4</v>
      </c>
      <c r="Y17" s="25" t="s">
        <v>6</v>
      </c>
      <c r="Z17" s="79" t="s">
        <v>16</v>
      </c>
      <c r="AA17" s="79" t="s">
        <v>16</v>
      </c>
      <c r="AB17" s="79" t="s">
        <v>16</v>
      </c>
      <c r="AC17" s="79" t="s">
        <v>16</v>
      </c>
      <c r="AD17" s="29" t="s">
        <v>4</v>
      </c>
      <c r="AE17" s="29" t="s">
        <v>4</v>
      </c>
      <c r="AF17" s="79" t="s">
        <v>16</v>
      </c>
      <c r="AG17" s="79" t="s">
        <v>16</v>
      </c>
    </row>
    <row r="18" spans="1:33" x14ac:dyDescent="0.35">
      <c r="A18" s="67" t="s">
        <v>78</v>
      </c>
      <c r="B18" s="29" t="s">
        <v>4</v>
      </c>
      <c r="C18" s="29" t="s">
        <v>4</v>
      </c>
      <c r="D18" s="25" t="s">
        <v>6</v>
      </c>
      <c r="E18" s="25" t="s">
        <v>6</v>
      </c>
      <c r="F18" s="10" t="s">
        <v>41</v>
      </c>
      <c r="G18" s="25" t="s">
        <v>6</v>
      </c>
      <c r="H18" s="25" t="s">
        <v>6</v>
      </c>
      <c r="I18" s="29" t="s">
        <v>4</v>
      </c>
      <c r="J18" s="29" t="s">
        <v>4</v>
      </c>
      <c r="K18" s="13" t="s">
        <v>5</v>
      </c>
      <c r="L18" s="13" t="s">
        <v>5</v>
      </c>
      <c r="M18" s="13" t="s">
        <v>5</v>
      </c>
      <c r="N18" s="13" t="s">
        <v>5</v>
      </c>
      <c r="O18" s="13" t="s">
        <v>5</v>
      </c>
      <c r="P18" s="29" t="s">
        <v>4</v>
      </c>
      <c r="Q18" s="29" t="s">
        <v>4</v>
      </c>
      <c r="R18" s="25" t="s">
        <v>6</v>
      </c>
      <c r="S18" s="25" t="s">
        <v>6</v>
      </c>
      <c r="T18" s="22" t="s">
        <v>16</v>
      </c>
      <c r="U18" s="25" t="s">
        <v>6</v>
      </c>
      <c r="V18" s="25" t="s">
        <v>6</v>
      </c>
      <c r="W18" s="29" t="s">
        <v>4</v>
      </c>
      <c r="X18" s="29" t="s">
        <v>4</v>
      </c>
      <c r="Y18" s="25" t="s">
        <v>6</v>
      </c>
      <c r="Z18" s="25" t="s">
        <v>6</v>
      </c>
      <c r="AA18" s="25" t="s">
        <v>6</v>
      </c>
      <c r="AB18" s="25" t="s">
        <v>6</v>
      </c>
      <c r="AC18" s="25" t="s">
        <v>6</v>
      </c>
      <c r="AD18" s="29" t="s">
        <v>4</v>
      </c>
      <c r="AE18" s="29" t="s">
        <v>4</v>
      </c>
      <c r="AF18" s="27" t="s">
        <v>34</v>
      </c>
      <c r="AG18" s="10" t="s">
        <v>41</v>
      </c>
    </row>
    <row r="20" spans="1:33" x14ac:dyDescent="0.35">
      <c r="A20" s="24" t="s">
        <v>23</v>
      </c>
    </row>
    <row r="21" spans="1:33" x14ac:dyDescent="0.35">
      <c r="A21" s="1" t="s">
        <v>24</v>
      </c>
    </row>
    <row r="22" spans="1:33" x14ac:dyDescent="0.35">
      <c r="A22" s="1" t="s">
        <v>25</v>
      </c>
    </row>
    <row r="23" spans="1:33" x14ac:dyDescent="0.35">
      <c r="A23" s="1" t="s">
        <v>47</v>
      </c>
    </row>
    <row r="24" spans="1:33" x14ac:dyDescent="0.35">
      <c r="A24" s="1" t="s">
        <v>48</v>
      </c>
    </row>
    <row r="25" spans="1:33" x14ac:dyDescent="0.35">
      <c r="A25" s="26" t="s">
        <v>26</v>
      </c>
    </row>
    <row r="26" spans="1:33" x14ac:dyDescent="0.35">
      <c r="A26" s="26" t="s">
        <v>27</v>
      </c>
    </row>
    <row r="27" spans="1:33" x14ac:dyDescent="0.35">
      <c r="A27" s="26" t="s">
        <v>28</v>
      </c>
    </row>
    <row r="28" spans="1:33" x14ac:dyDescent="0.35">
      <c r="A28" s="26" t="s">
        <v>29</v>
      </c>
    </row>
    <row r="29" spans="1:33" x14ac:dyDescent="0.35">
      <c r="A29" s="26" t="s">
        <v>49</v>
      </c>
    </row>
    <row r="30" spans="1:33" x14ac:dyDescent="0.35">
      <c r="A30" s="26" t="s">
        <v>50</v>
      </c>
    </row>
    <row r="31" spans="1:33" x14ac:dyDescent="0.35">
      <c r="A31" s="26" t="s">
        <v>31</v>
      </c>
    </row>
    <row r="32" spans="1:33" x14ac:dyDescent="0.35">
      <c r="A32" s="26" t="s">
        <v>32</v>
      </c>
    </row>
    <row r="33" spans="1:1" x14ac:dyDescent="0.35">
      <c r="A33" s="26" t="s">
        <v>33</v>
      </c>
    </row>
    <row r="34" spans="1:1" x14ac:dyDescent="0.35">
      <c r="A34" s="26" t="s">
        <v>35</v>
      </c>
    </row>
    <row r="35" spans="1:1" x14ac:dyDescent="0.35">
      <c r="A35" s="26" t="s">
        <v>36</v>
      </c>
    </row>
    <row r="36" spans="1:1" x14ac:dyDescent="0.35">
      <c r="A36" s="26" t="s">
        <v>38</v>
      </c>
    </row>
    <row r="37" spans="1:1" x14ac:dyDescent="0.35">
      <c r="A37" s="26" t="s">
        <v>36</v>
      </c>
    </row>
    <row r="38" spans="1:1" x14ac:dyDescent="0.35">
      <c r="A38" s="26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38"/>
  <sheetViews>
    <sheetView zoomScale="80" zoomScaleNormal="80" workbookViewId="0">
      <pane xSplit="1" topLeftCell="J1" activePane="topRight" state="frozen"/>
      <selection pane="topRight" activeCell="W18" sqref="W18"/>
    </sheetView>
  </sheetViews>
  <sheetFormatPr defaultColWidth="9.1796875" defaultRowHeight="14.5" x14ac:dyDescent="0.35"/>
  <cols>
    <col min="1" max="1" width="26.1796875" style="45" bestFit="1" customWidth="1"/>
    <col min="2" max="3" width="7.26953125" style="45" customWidth="1"/>
    <col min="4" max="5" width="9.26953125" style="45" customWidth="1"/>
    <col min="6" max="7" width="7.26953125" style="45" customWidth="1"/>
    <col min="8" max="8" width="7.54296875" style="45" customWidth="1"/>
    <col min="9" max="9" width="7.26953125" style="45" customWidth="1"/>
    <col min="10" max="10" width="7.54296875" style="45" customWidth="1"/>
    <col min="11" max="12" width="9.26953125" style="45" customWidth="1"/>
    <col min="13" max="13" width="7.54296875" style="45" customWidth="1"/>
    <col min="14" max="14" width="9.26953125" style="45" customWidth="1"/>
    <col min="15" max="17" width="7.54296875" style="45" customWidth="1"/>
    <col min="18" max="18" width="9.26953125" style="45" customWidth="1"/>
    <col min="19" max="21" width="6.7265625" style="45" customWidth="1"/>
    <col min="22" max="24" width="9.1796875" style="45" customWidth="1"/>
    <col min="25" max="25" width="6.36328125" style="45" bestFit="1" customWidth="1"/>
    <col min="26" max="26" width="7.1796875" style="45" bestFit="1" customWidth="1"/>
    <col min="27" max="31" width="9.1796875" style="45" customWidth="1"/>
    <col min="32" max="34" width="9.1796875" style="45" hidden="1" customWidth="1"/>
    <col min="35" max="16384" width="9.1796875" style="45"/>
  </cols>
  <sheetData>
    <row r="1" spans="1:34" ht="15" customHeight="1" x14ac:dyDescent="0.35">
      <c r="A1" s="30"/>
      <c r="B1" s="2" t="str">
        <f t="shared" ref="B1:AH1" si="0">TEXT(B2,"ddd")</f>
        <v>Wed</v>
      </c>
      <c r="C1" s="2" t="str">
        <f t="shared" si="0"/>
        <v>Thu</v>
      </c>
      <c r="D1" s="2" t="str">
        <f t="shared" si="0"/>
        <v>Fri</v>
      </c>
      <c r="E1" s="2" t="str">
        <f t="shared" si="0"/>
        <v>Sat</v>
      </c>
      <c r="F1" s="2" t="str">
        <f t="shared" si="0"/>
        <v>Sun</v>
      </c>
      <c r="G1" s="2" t="str">
        <f t="shared" si="0"/>
        <v>Mon</v>
      </c>
      <c r="H1" s="2" t="str">
        <f t="shared" si="0"/>
        <v>Tue</v>
      </c>
      <c r="I1" s="2" t="str">
        <f t="shared" si="0"/>
        <v>Wed</v>
      </c>
      <c r="J1" s="2" t="str">
        <f t="shared" si="0"/>
        <v>Thu</v>
      </c>
      <c r="K1" s="2" t="str">
        <f t="shared" si="0"/>
        <v>Fri</v>
      </c>
      <c r="L1" s="2" t="str">
        <f t="shared" si="0"/>
        <v>Sat</v>
      </c>
      <c r="M1" s="2" t="str">
        <f t="shared" si="0"/>
        <v>Sun</v>
      </c>
      <c r="N1" s="2" t="str">
        <f t="shared" si="0"/>
        <v>Mon</v>
      </c>
      <c r="O1" s="2" t="str">
        <f t="shared" si="0"/>
        <v>Tue</v>
      </c>
      <c r="P1" s="2" t="str">
        <f t="shared" si="0"/>
        <v>Wed</v>
      </c>
      <c r="Q1" s="2" t="str">
        <f t="shared" si="0"/>
        <v>Thu</v>
      </c>
      <c r="R1" s="2" t="str">
        <f t="shared" si="0"/>
        <v>Fri</v>
      </c>
      <c r="S1" s="2" t="str">
        <f t="shared" si="0"/>
        <v>Sat</v>
      </c>
      <c r="T1" s="2" t="str">
        <f t="shared" si="0"/>
        <v>Sun</v>
      </c>
      <c r="U1" s="2" t="str">
        <f t="shared" si="0"/>
        <v>Mon</v>
      </c>
      <c r="V1" s="2" t="str">
        <f t="shared" si="0"/>
        <v>Tue</v>
      </c>
      <c r="W1" s="2" t="str">
        <f t="shared" si="0"/>
        <v>Wed</v>
      </c>
      <c r="X1" s="2" t="str">
        <f t="shared" si="0"/>
        <v>Thu</v>
      </c>
      <c r="Y1" s="2" t="str">
        <f t="shared" si="0"/>
        <v>Fri</v>
      </c>
      <c r="Z1" s="2" t="str">
        <f t="shared" si="0"/>
        <v>Sat</v>
      </c>
      <c r="AA1" s="2" t="str">
        <f t="shared" si="0"/>
        <v>Sun</v>
      </c>
      <c r="AB1" s="2" t="str">
        <f t="shared" si="0"/>
        <v>Mon</v>
      </c>
      <c r="AC1" s="2" t="str">
        <f t="shared" si="0"/>
        <v>Tue</v>
      </c>
      <c r="AD1" s="2" t="str">
        <f t="shared" si="0"/>
        <v>Wed</v>
      </c>
      <c r="AE1" s="2" t="str">
        <f t="shared" si="0"/>
        <v>Thu</v>
      </c>
      <c r="AF1" s="2" t="str">
        <f t="shared" si="0"/>
        <v>Fri</v>
      </c>
      <c r="AG1" s="2" t="str">
        <f t="shared" si="0"/>
        <v>Sat</v>
      </c>
      <c r="AH1" s="2" t="str">
        <f t="shared" si="0"/>
        <v>Sun</v>
      </c>
    </row>
    <row r="2" spans="1:34" x14ac:dyDescent="0.35">
      <c r="A2" s="7" t="s">
        <v>0</v>
      </c>
      <c r="B2" s="31">
        <v>44713</v>
      </c>
      <c r="C2" s="31">
        <v>44714</v>
      </c>
      <c r="D2" s="31">
        <v>44715</v>
      </c>
      <c r="E2" s="31">
        <v>44716</v>
      </c>
      <c r="F2" s="31">
        <v>44717</v>
      </c>
      <c r="G2" s="31">
        <v>44718</v>
      </c>
      <c r="H2" s="31">
        <v>44719</v>
      </c>
      <c r="I2" s="31">
        <v>44720</v>
      </c>
      <c r="J2" s="31">
        <v>44721</v>
      </c>
      <c r="K2" s="31">
        <v>44722</v>
      </c>
      <c r="L2" s="31">
        <v>44723</v>
      </c>
      <c r="M2" s="31">
        <v>44724</v>
      </c>
      <c r="N2" s="31">
        <v>44725</v>
      </c>
      <c r="O2" s="31">
        <v>44726</v>
      </c>
      <c r="P2" s="31">
        <v>44727</v>
      </c>
      <c r="Q2" s="31">
        <v>44728</v>
      </c>
      <c r="R2" s="31">
        <v>44729</v>
      </c>
      <c r="S2" s="31">
        <v>44730</v>
      </c>
      <c r="T2" s="31">
        <v>44731</v>
      </c>
      <c r="U2" s="31">
        <v>44732</v>
      </c>
      <c r="V2" s="31">
        <v>44733</v>
      </c>
      <c r="W2" s="31">
        <v>44734</v>
      </c>
      <c r="X2" s="31">
        <v>44735</v>
      </c>
      <c r="Y2" s="31">
        <v>44736</v>
      </c>
      <c r="Z2" s="31">
        <v>44737</v>
      </c>
      <c r="AA2" s="31">
        <v>44738</v>
      </c>
      <c r="AB2" s="31">
        <v>44739</v>
      </c>
      <c r="AC2" s="31">
        <v>44740</v>
      </c>
      <c r="AD2" s="31">
        <v>44741</v>
      </c>
      <c r="AE2" s="31">
        <v>44742</v>
      </c>
      <c r="AF2" s="31">
        <v>44743</v>
      </c>
      <c r="AG2" s="31">
        <v>44744</v>
      </c>
      <c r="AH2" s="31">
        <v>44745</v>
      </c>
    </row>
    <row r="3" spans="1:34" x14ac:dyDescent="0.35">
      <c r="A3" s="8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</row>
    <row r="4" spans="1:34" x14ac:dyDescent="0.35">
      <c r="A4" s="67" t="s">
        <v>1</v>
      </c>
      <c r="B4" s="16" t="s">
        <v>8</v>
      </c>
      <c r="C4" s="16" t="s">
        <v>8</v>
      </c>
      <c r="D4" s="12" t="s">
        <v>2</v>
      </c>
      <c r="E4" s="17" t="s">
        <v>11</v>
      </c>
      <c r="F4" s="29" t="s">
        <v>4</v>
      </c>
      <c r="G4" s="10" t="s">
        <v>41</v>
      </c>
      <c r="H4" s="10" t="s">
        <v>41</v>
      </c>
      <c r="I4" s="78" t="s">
        <v>41</v>
      </c>
      <c r="J4" s="78" t="s">
        <v>41</v>
      </c>
      <c r="K4" s="12" t="s">
        <v>2</v>
      </c>
      <c r="L4" s="19" t="s">
        <v>42</v>
      </c>
      <c r="M4" s="19" t="s">
        <v>42</v>
      </c>
      <c r="N4" s="78" t="s">
        <v>41</v>
      </c>
      <c r="O4" s="10" t="s">
        <v>41</v>
      </c>
      <c r="P4" s="78" t="s">
        <v>41</v>
      </c>
      <c r="Q4" s="10" t="s">
        <v>41</v>
      </c>
      <c r="R4" s="12" t="s">
        <v>2</v>
      </c>
      <c r="S4" s="29" t="s">
        <v>4</v>
      </c>
      <c r="T4" s="29" t="s">
        <v>4</v>
      </c>
      <c r="U4" s="10" t="s">
        <v>41</v>
      </c>
      <c r="V4" s="13" t="s">
        <v>5</v>
      </c>
      <c r="W4" s="13" t="s">
        <v>5</v>
      </c>
      <c r="X4" s="10" t="s">
        <v>41</v>
      </c>
      <c r="Y4" s="12" t="s">
        <v>2</v>
      </c>
      <c r="Z4" s="19" t="s">
        <v>42</v>
      </c>
      <c r="AA4" s="68" t="s">
        <v>4</v>
      </c>
      <c r="AB4" s="10" t="s">
        <v>41</v>
      </c>
      <c r="AC4" s="78" t="s">
        <v>41</v>
      </c>
      <c r="AD4" s="12" t="s">
        <v>2</v>
      </c>
      <c r="AE4" s="12" t="s">
        <v>2</v>
      </c>
      <c r="AF4" s="12" t="s">
        <v>2</v>
      </c>
      <c r="AG4" s="19" t="s">
        <v>42</v>
      </c>
      <c r="AH4" s="19" t="s">
        <v>42</v>
      </c>
    </row>
    <row r="5" spans="1:34" x14ac:dyDescent="0.35">
      <c r="A5" s="67" t="s">
        <v>9</v>
      </c>
      <c r="B5" s="78" t="s">
        <v>6</v>
      </c>
      <c r="C5" s="78" t="s">
        <v>6</v>
      </c>
      <c r="D5" s="78" t="s">
        <v>6</v>
      </c>
      <c r="E5" s="25" t="s">
        <v>3</v>
      </c>
      <c r="F5" s="17" t="s">
        <v>11</v>
      </c>
      <c r="G5" s="17" t="s">
        <v>10</v>
      </c>
      <c r="H5" s="17" t="s">
        <v>10</v>
      </c>
      <c r="I5" s="17" t="s">
        <v>10</v>
      </c>
      <c r="J5" s="17" t="s">
        <v>10</v>
      </c>
      <c r="K5" s="17" t="s">
        <v>10</v>
      </c>
      <c r="L5" s="13" t="s">
        <v>4</v>
      </c>
      <c r="M5" s="17" t="s">
        <v>11</v>
      </c>
      <c r="N5" s="17" t="s">
        <v>10</v>
      </c>
      <c r="O5" s="17" t="s">
        <v>10</v>
      </c>
      <c r="P5" s="12" t="s">
        <v>2</v>
      </c>
      <c r="Q5" s="78" t="s">
        <v>6</v>
      </c>
      <c r="R5" s="78" t="s">
        <v>6</v>
      </c>
      <c r="S5" s="25" t="s">
        <v>3</v>
      </c>
      <c r="T5" s="68" t="s">
        <v>4</v>
      </c>
      <c r="U5" s="13" t="s">
        <v>5</v>
      </c>
      <c r="V5" s="13" t="s">
        <v>5</v>
      </c>
      <c r="W5" s="17" t="s">
        <v>10</v>
      </c>
      <c r="X5" s="13" t="s">
        <v>5</v>
      </c>
      <c r="Y5" s="13" t="s">
        <v>5</v>
      </c>
      <c r="Z5" s="17" t="s">
        <v>11</v>
      </c>
      <c r="AA5" s="17" t="s">
        <v>11</v>
      </c>
      <c r="AB5" s="13" t="s">
        <v>5</v>
      </c>
      <c r="AC5" s="13" t="s">
        <v>5</v>
      </c>
      <c r="AD5" s="13" t="s">
        <v>5</v>
      </c>
      <c r="AE5" s="13" t="s">
        <v>5</v>
      </c>
      <c r="AF5" s="13" t="s">
        <v>5</v>
      </c>
      <c r="AG5" s="68" t="s">
        <v>4</v>
      </c>
      <c r="AH5" s="17" t="s">
        <v>11</v>
      </c>
    </row>
    <row r="6" spans="1:34" x14ac:dyDescent="0.35">
      <c r="A6" s="67" t="s">
        <v>12</v>
      </c>
      <c r="B6" s="78" t="s">
        <v>41</v>
      </c>
      <c r="C6" s="78" t="s">
        <v>41</v>
      </c>
      <c r="D6" s="78" t="s">
        <v>41</v>
      </c>
      <c r="E6" s="19" t="s">
        <v>42</v>
      </c>
      <c r="F6" s="83" t="s">
        <v>3</v>
      </c>
      <c r="G6" s="78" t="s">
        <v>41</v>
      </c>
      <c r="H6" s="79" t="s">
        <v>16</v>
      </c>
      <c r="I6" s="13" t="s">
        <v>5</v>
      </c>
      <c r="J6" s="13" t="s">
        <v>5</v>
      </c>
      <c r="K6" s="13" t="s">
        <v>5</v>
      </c>
      <c r="L6" s="13" t="s">
        <v>4</v>
      </c>
      <c r="M6" s="13" t="s">
        <v>4</v>
      </c>
      <c r="N6" s="13" t="s">
        <v>5</v>
      </c>
      <c r="O6" s="13" t="s">
        <v>5</v>
      </c>
      <c r="P6" s="13" t="s">
        <v>5</v>
      </c>
      <c r="Q6" s="13" t="s">
        <v>5</v>
      </c>
      <c r="R6" s="13" t="s">
        <v>5</v>
      </c>
      <c r="S6" s="19" t="s">
        <v>42</v>
      </c>
      <c r="T6" s="19" t="s">
        <v>42</v>
      </c>
      <c r="U6" s="25" t="s">
        <v>6</v>
      </c>
      <c r="V6" s="25" t="s">
        <v>6</v>
      </c>
      <c r="W6" s="10" t="s">
        <v>41</v>
      </c>
      <c r="X6" s="17" t="s">
        <v>10</v>
      </c>
      <c r="Y6" s="17" t="s">
        <v>10</v>
      </c>
      <c r="Z6" s="29" t="s">
        <v>4</v>
      </c>
      <c r="AA6" s="19" t="s">
        <v>42</v>
      </c>
      <c r="AB6" s="17" t="s">
        <v>10</v>
      </c>
      <c r="AC6" s="17" t="s">
        <v>10</v>
      </c>
      <c r="AD6" s="17" t="s">
        <v>10</v>
      </c>
      <c r="AE6" s="17" t="s">
        <v>10</v>
      </c>
      <c r="AF6" s="17" t="s">
        <v>10</v>
      </c>
      <c r="AG6" s="29" t="s">
        <v>4</v>
      </c>
      <c r="AH6" s="29" t="s">
        <v>4</v>
      </c>
    </row>
    <row r="7" spans="1:34" x14ac:dyDescent="0.35">
      <c r="A7" s="67" t="s">
        <v>14</v>
      </c>
      <c r="B7" s="17" t="s">
        <v>10</v>
      </c>
      <c r="C7" s="17" t="s">
        <v>10</v>
      </c>
      <c r="D7" s="17" t="s">
        <v>10</v>
      </c>
      <c r="E7" s="29" t="s">
        <v>4</v>
      </c>
      <c r="F7" s="19" t="s">
        <v>42</v>
      </c>
      <c r="G7" s="25" t="s">
        <v>6</v>
      </c>
      <c r="H7" s="25" t="s">
        <v>6</v>
      </c>
      <c r="I7" s="25" t="s">
        <v>6</v>
      </c>
      <c r="J7" s="25" t="s">
        <v>6</v>
      </c>
      <c r="K7" s="25" t="s">
        <v>6</v>
      </c>
      <c r="L7" s="29" t="s">
        <v>4</v>
      </c>
      <c r="M7" s="29" t="s">
        <v>4</v>
      </c>
      <c r="N7" s="25" t="s">
        <v>6</v>
      </c>
      <c r="O7" s="25" t="s">
        <v>6</v>
      </c>
      <c r="P7" s="25" t="s">
        <v>6</v>
      </c>
      <c r="Q7" s="13" t="s">
        <v>5</v>
      </c>
      <c r="R7" s="13" t="s">
        <v>5</v>
      </c>
      <c r="S7" s="13" t="s">
        <v>4</v>
      </c>
      <c r="T7" s="13" t="s">
        <v>4</v>
      </c>
      <c r="U7" s="13" t="s">
        <v>5</v>
      </c>
      <c r="V7" s="10" t="s">
        <v>41</v>
      </c>
      <c r="W7" s="25" t="s">
        <v>6</v>
      </c>
      <c r="X7" s="13" t="s">
        <v>2</v>
      </c>
      <c r="Y7" s="79" t="s">
        <v>16</v>
      </c>
      <c r="Z7" s="84" t="s">
        <v>30</v>
      </c>
      <c r="AA7" s="29" t="s">
        <v>4</v>
      </c>
      <c r="AB7" s="22" t="s">
        <v>16</v>
      </c>
      <c r="AC7" s="79" t="s">
        <v>16</v>
      </c>
      <c r="AD7" s="79" t="s">
        <v>16</v>
      </c>
      <c r="AE7" s="79" t="s">
        <v>16</v>
      </c>
      <c r="AF7" s="79" t="s">
        <v>16</v>
      </c>
      <c r="AG7" s="84" t="s">
        <v>30</v>
      </c>
      <c r="AH7" s="29" t="s">
        <v>4</v>
      </c>
    </row>
    <row r="8" spans="1:34" x14ac:dyDescent="0.35">
      <c r="A8" s="67" t="s">
        <v>15</v>
      </c>
      <c r="B8" s="17" t="s">
        <v>10</v>
      </c>
      <c r="C8" s="13" t="s">
        <v>81</v>
      </c>
      <c r="D8" s="12" t="s">
        <v>2</v>
      </c>
      <c r="E8" s="29" t="s">
        <v>4</v>
      </c>
      <c r="F8" s="29" t="s">
        <v>4</v>
      </c>
      <c r="G8" s="25" t="s">
        <v>6</v>
      </c>
      <c r="H8" s="25" t="s">
        <v>6</v>
      </c>
      <c r="I8" s="25" t="s">
        <v>6</v>
      </c>
      <c r="J8" s="10" t="s">
        <v>41</v>
      </c>
      <c r="K8" s="25" t="s">
        <v>6</v>
      </c>
      <c r="L8" s="29" t="s">
        <v>4</v>
      </c>
      <c r="M8" s="29" t="s">
        <v>4</v>
      </c>
      <c r="N8" s="25" t="s">
        <v>6</v>
      </c>
      <c r="O8" s="12" t="s">
        <v>2</v>
      </c>
      <c r="P8" s="17" t="s">
        <v>10</v>
      </c>
      <c r="Q8" s="17" t="s">
        <v>10</v>
      </c>
      <c r="R8" s="17" t="s">
        <v>10</v>
      </c>
      <c r="S8" s="17" t="s">
        <v>11</v>
      </c>
      <c r="T8" s="29" t="s">
        <v>4</v>
      </c>
      <c r="U8" s="79" t="s">
        <v>41</v>
      </c>
      <c r="V8" s="79" t="s">
        <v>41</v>
      </c>
      <c r="W8" s="79" t="s">
        <v>41</v>
      </c>
      <c r="X8" s="12" t="s">
        <v>2</v>
      </c>
      <c r="Y8" s="79" t="s">
        <v>6</v>
      </c>
      <c r="Z8" s="25" t="s">
        <v>3</v>
      </c>
      <c r="AA8" s="25" t="s">
        <v>3</v>
      </c>
      <c r="AB8" s="25" t="s">
        <v>6</v>
      </c>
      <c r="AC8" s="25" t="s">
        <v>6</v>
      </c>
      <c r="AD8" s="12" t="s">
        <v>2</v>
      </c>
      <c r="AE8" s="25" t="s">
        <v>6</v>
      </c>
      <c r="AF8" s="25" t="s">
        <v>6</v>
      </c>
      <c r="AG8" s="17" t="s">
        <v>11</v>
      </c>
      <c r="AH8" s="29" t="s">
        <v>4</v>
      </c>
    </row>
    <row r="9" spans="1:34" x14ac:dyDescent="0.35">
      <c r="A9" s="67" t="s">
        <v>18</v>
      </c>
      <c r="B9" s="27" t="s">
        <v>34</v>
      </c>
      <c r="C9" s="17" t="s">
        <v>10</v>
      </c>
      <c r="D9" s="17" t="s">
        <v>10</v>
      </c>
      <c r="E9" s="17" t="s">
        <v>11</v>
      </c>
      <c r="F9" s="17" t="s">
        <v>11</v>
      </c>
      <c r="G9" s="12" t="s">
        <v>2</v>
      </c>
      <c r="H9" s="12" t="s">
        <v>2</v>
      </c>
      <c r="I9" s="10" t="s">
        <v>41</v>
      </c>
      <c r="J9" s="25" t="s">
        <v>6</v>
      </c>
      <c r="K9" s="10" t="s">
        <v>41</v>
      </c>
      <c r="L9" s="25" t="s">
        <v>3</v>
      </c>
      <c r="M9" s="25" t="s">
        <v>3</v>
      </c>
      <c r="N9" s="12" t="s">
        <v>2</v>
      </c>
      <c r="O9" s="78" t="s">
        <v>41</v>
      </c>
      <c r="P9" s="78" t="s">
        <v>41</v>
      </c>
      <c r="Q9" s="78" t="s">
        <v>41</v>
      </c>
      <c r="R9" s="78" t="s">
        <v>41</v>
      </c>
      <c r="S9" s="84" t="s">
        <v>30</v>
      </c>
      <c r="T9" s="83" t="s">
        <v>3</v>
      </c>
      <c r="U9" s="12" t="s">
        <v>2</v>
      </c>
      <c r="V9" s="10" t="s">
        <v>41</v>
      </c>
      <c r="W9" s="25" t="s">
        <v>6</v>
      </c>
      <c r="X9" s="25" t="s">
        <v>6</v>
      </c>
      <c r="Y9" s="27" t="s">
        <v>34</v>
      </c>
      <c r="Z9" s="29" t="s">
        <v>4</v>
      </c>
      <c r="AA9" s="29" t="s">
        <v>4</v>
      </c>
      <c r="AB9" s="25" t="s">
        <v>6</v>
      </c>
      <c r="AC9" s="25" t="s">
        <v>6</v>
      </c>
      <c r="AD9" s="25" t="s">
        <v>6</v>
      </c>
      <c r="AE9" s="12" t="s">
        <v>2</v>
      </c>
      <c r="AF9" s="10" t="s">
        <v>41</v>
      </c>
      <c r="AG9" s="25" t="s">
        <v>3</v>
      </c>
      <c r="AH9" s="25" t="s">
        <v>3</v>
      </c>
    </row>
    <row r="10" spans="1:34" ht="14.15" customHeight="1" x14ac:dyDescent="0.35">
      <c r="A10" s="67" t="s">
        <v>21</v>
      </c>
      <c r="B10" s="13" t="s">
        <v>5</v>
      </c>
      <c r="C10" s="13" t="s">
        <v>5</v>
      </c>
      <c r="D10" s="13" t="s">
        <v>5</v>
      </c>
      <c r="E10" s="13" t="s">
        <v>4</v>
      </c>
      <c r="F10" s="13" t="s">
        <v>4</v>
      </c>
      <c r="G10" s="17" t="s">
        <v>10</v>
      </c>
      <c r="H10" s="17" t="s">
        <v>10</v>
      </c>
      <c r="I10" s="17" t="s">
        <v>10</v>
      </c>
      <c r="J10" s="17" t="s">
        <v>10</v>
      </c>
      <c r="K10" s="17" t="s">
        <v>10</v>
      </c>
      <c r="L10" s="17" t="s">
        <v>11</v>
      </c>
      <c r="M10" s="13" t="s">
        <v>4</v>
      </c>
      <c r="N10" s="13" t="s">
        <v>5</v>
      </c>
      <c r="O10" s="13" t="s">
        <v>5</v>
      </c>
      <c r="P10" s="13" t="s">
        <v>5</v>
      </c>
      <c r="Q10" s="10" t="s">
        <v>41</v>
      </c>
      <c r="R10" s="10" t="s">
        <v>41</v>
      </c>
      <c r="S10" s="29" t="s">
        <v>4</v>
      </c>
      <c r="T10" s="29" t="s">
        <v>4</v>
      </c>
      <c r="U10" s="78" t="s">
        <v>41</v>
      </c>
      <c r="V10" s="78" t="s">
        <v>6</v>
      </c>
      <c r="W10" s="78" t="s">
        <v>6</v>
      </c>
      <c r="X10" s="78" t="s">
        <v>6</v>
      </c>
      <c r="Y10" s="78" t="s">
        <v>6</v>
      </c>
      <c r="Z10" s="83" t="s">
        <v>3</v>
      </c>
      <c r="AA10" s="29" t="s">
        <v>4</v>
      </c>
      <c r="AB10" s="17" t="s">
        <v>10</v>
      </c>
      <c r="AC10" s="17" t="s">
        <v>10</v>
      </c>
      <c r="AD10" s="17" t="s">
        <v>10</v>
      </c>
      <c r="AE10" s="17" t="s">
        <v>10</v>
      </c>
      <c r="AF10" s="12" t="s">
        <v>2</v>
      </c>
      <c r="AG10" s="17" t="s">
        <v>11</v>
      </c>
      <c r="AH10" s="17" t="s">
        <v>11</v>
      </c>
    </row>
    <row r="11" spans="1:34" x14ac:dyDescent="0.35">
      <c r="A11" s="67" t="s">
        <v>43</v>
      </c>
      <c r="B11" s="78" t="s">
        <v>41</v>
      </c>
      <c r="C11" s="78" t="s">
        <v>41</v>
      </c>
      <c r="D11" s="78" t="s">
        <v>41</v>
      </c>
      <c r="E11" s="19" t="s">
        <v>42</v>
      </c>
      <c r="F11" s="13" t="s">
        <v>4</v>
      </c>
      <c r="G11" s="78" t="s">
        <v>6</v>
      </c>
      <c r="H11" s="78" t="s">
        <v>41</v>
      </c>
      <c r="I11" s="78" t="s">
        <v>6</v>
      </c>
      <c r="J11" s="10" t="s">
        <v>41</v>
      </c>
      <c r="K11" s="10" t="s">
        <v>41</v>
      </c>
      <c r="L11" s="17" t="s">
        <v>11</v>
      </c>
      <c r="M11" s="29" t="s">
        <v>4</v>
      </c>
      <c r="N11" s="10" t="s">
        <v>41</v>
      </c>
      <c r="O11" s="10" t="s">
        <v>41</v>
      </c>
      <c r="P11" s="17" t="s">
        <v>10</v>
      </c>
      <c r="Q11" s="17" t="s">
        <v>10</v>
      </c>
      <c r="R11" s="17" t="s">
        <v>10</v>
      </c>
      <c r="S11" s="29" t="s">
        <v>4</v>
      </c>
      <c r="T11" s="17" t="s">
        <v>11</v>
      </c>
      <c r="U11" s="17" t="s">
        <v>10</v>
      </c>
      <c r="V11" s="17" t="s">
        <v>10</v>
      </c>
      <c r="W11" s="12" t="s">
        <v>2</v>
      </c>
      <c r="X11" s="10" t="s">
        <v>41</v>
      </c>
      <c r="Y11" s="10" t="s">
        <v>41</v>
      </c>
      <c r="Z11" s="17" t="s">
        <v>11</v>
      </c>
      <c r="AA11" s="17" t="s">
        <v>11</v>
      </c>
      <c r="AB11" s="12" t="s">
        <v>2</v>
      </c>
      <c r="AC11" s="12" t="s">
        <v>2</v>
      </c>
      <c r="AD11" s="25" t="s">
        <v>6</v>
      </c>
      <c r="AE11" s="25" t="s">
        <v>6</v>
      </c>
      <c r="AF11" s="25" t="s">
        <v>6</v>
      </c>
      <c r="AG11" s="29" t="s">
        <v>4</v>
      </c>
      <c r="AH11" s="29" t="s">
        <v>4</v>
      </c>
    </row>
    <row r="12" spans="1:34" x14ac:dyDescent="0.35">
      <c r="A12" s="67" t="s">
        <v>75</v>
      </c>
      <c r="B12" s="12" t="s">
        <v>2</v>
      </c>
      <c r="C12" s="78" t="s">
        <v>41</v>
      </c>
      <c r="D12" s="78" t="s">
        <v>41</v>
      </c>
      <c r="E12" s="84" t="s">
        <v>30</v>
      </c>
      <c r="F12" s="29" t="s">
        <v>4</v>
      </c>
      <c r="G12" s="78" t="s">
        <v>41</v>
      </c>
      <c r="H12" s="78" t="s">
        <v>41</v>
      </c>
      <c r="I12" s="79" t="s">
        <v>16</v>
      </c>
      <c r="J12" s="12" t="s">
        <v>2</v>
      </c>
      <c r="K12" s="10" t="s">
        <v>41</v>
      </c>
      <c r="L12" s="13" t="s">
        <v>4</v>
      </c>
      <c r="M12" s="13" t="s">
        <v>4</v>
      </c>
      <c r="N12" s="13" t="s">
        <v>5</v>
      </c>
      <c r="O12" s="13" t="s">
        <v>5</v>
      </c>
      <c r="P12" s="13" t="s">
        <v>5</v>
      </c>
      <c r="Q12" s="16" t="s">
        <v>8</v>
      </c>
      <c r="R12" s="16" t="s">
        <v>8</v>
      </c>
      <c r="S12" s="17" t="s">
        <v>11</v>
      </c>
      <c r="T12" s="17" t="s">
        <v>11</v>
      </c>
      <c r="U12" s="17" t="s">
        <v>10</v>
      </c>
      <c r="V12" s="17" t="s">
        <v>10</v>
      </c>
      <c r="W12" s="12" t="s">
        <v>2</v>
      </c>
      <c r="X12" s="10" t="s">
        <v>41</v>
      </c>
      <c r="Y12" s="10" t="s">
        <v>41</v>
      </c>
      <c r="Z12" s="29" t="s">
        <v>4</v>
      </c>
      <c r="AA12" s="25" t="s">
        <v>3</v>
      </c>
      <c r="AB12" s="10" t="s">
        <v>41</v>
      </c>
      <c r="AC12" s="10" t="s">
        <v>41</v>
      </c>
      <c r="AD12" s="10" t="s">
        <v>41</v>
      </c>
      <c r="AE12" s="10" t="s">
        <v>41</v>
      </c>
      <c r="AF12" s="78" t="s">
        <v>41</v>
      </c>
      <c r="AG12" s="29" t="s">
        <v>4</v>
      </c>
      <c r="AH12" s="29" t="s">
        <v>4</v>
      </c>
    </row>
    <row r="13" spans="1:34" x14ac:dyDescent="0.35">
      <c r="A13" s="67" t="s">
        <v>22</v>
      </c>
      <c r="B13" s="13" t="s">
        <v>5</v>
      </c>
      <c r="C13" s="25" t="s">
        <v>6</v>
      </c>
      <c r="D13" s="25" t="s">
        <v>6</v>
      </c>
      <c r="E13" s="25" t="s">
        <v>3</v>
      </c>
      <c r="F13" s="25" t="s">
        <v>3</v>
      </c>
      <c r="G13" s="12" t="s">
        <v>2</v>
      </c>
      <c r="H13" s="12" t="s">
        <v>2</v>
      </c>
      <c r="I13" s="25" t="s">
        <v>6</v>
      </c>
      <c r="J13" s="25" t="s">
        <v>6</v>
      </c>
      <c r="K13" s="25" t="s">
        <v>6</v>
      </c>
      <c r="L13" s="25" t="s">
        <v>3</v>
      </c>
      <c r="M13" s="29" t="s">
        <v>4</v>
      </c>
      <c r="N13" s="25" t="s">
        <v>6</v>
      </c>
      <c r="O13" s="25" t="s">
        <v>6</v>
      </c>
      <c r="P13" s="25" t="s">
        <v>6</v>
      </c>
      <c r="Q13" s="25" t="s">
        <v>6</v>
      </c>
      <c r="R13" s="25" t="s">
        <v>6</v>
      </c>
      <c r="S13" s="25" t="s">
        <v>3</v>
      </c>
      <c r="T13" s="29" t="s">
        <v>4</v>
      </c>
      <c r="U13" s="79" t="s">
        <v>16</v>
      </c>
      <c r="V13" s="79" t="s">
        <v>16</v>
      </c>
      <c r="W13" s="79" t="s">
        <v>16</v>
      </c>
      <c r="X13" s="79" t="s">
        <v>16</v>
      </c>
      <c r="Y13" s="79" t="s">
        <v>16</v>
      </c>
      <c r="Z13" s="68" t="s">
        <v>4</v>
      </c>
      <c r="AA13" s="68" t="s">
        <v>4</v>
      </c>
      <c r="AB13" s="10" t="s">
        <v>41</v>
      </c>
      <c r="AC13" s="25" t="s">
        <v>6</v>
      </c>
      <c r="AD13" s="12" t="s">
        <v>2</v>
      </c>
      <c r="AE13" s="25" t="s">
        <v>6</v>
      </c>
      <c r="AF13" s="25" t="s">
        <v>6</v>
      </c>
      <c r="AG13" s="25" t="s">
        <v>3</v>
      </c>
      <c r="AH13" s="25" t="s">
        <v>3</v>
      </c>
    </row>
    <row r="14" spans="1:34" x14ac:dyDescent="0.35">
      <c r="A14" s="67" t="s">
        <v>62</v>
      </c>
      <c r="B14" s="25" t="s">
        <v>6</v>
      </c>
      <c r="C14" s="12" t="s">
        <v>2</v>
      </c>
      <c r="D14" s="10" t="s">
        <v>41</v>
      </c>
      <c r="E14" s="29" t="s">
        <v>4</v>
      </c>
      <c r="F14" s="19" t="s">
        <v>42</v>
      </c>
      <c r="G14" s="12" t="s">
        <v>2</v>
      </c>
      <c r="H14" s="10" t="s">
        <v>41</v>
      </c>
      <c r="I14" s="12" t="s">
        <v>2</v>
      </c>
      <c r="J14" s="79" t="s">
        <v>16</v>
      </c>
      <c r="K14" s="79" t="s">
        <v>16</v>
      </c>
      <c r="L14" s="19" t="s">
        <v>42</v>
      </c>
      <c r="M14" s="25" t="s">
        <v>3</v>
      </c>
      <c r="N14" s="10" t="s">
        <v>41</v>
      </c>
      <c r="O14" s="12" t="s">
        <v>2</v>
      </c>
      <c r="P14" s="10" t="s">
        <v>41</v>
      </c>
      <c r="Q14" s="10" t="s">
        <v>41</v>
      </c>
      <c r="R14" s="10" t="s">
        <v>41</v>
      </c>
      <c r="S14" s="29" t="s">
        <v>4</v>
      </c>
      <c r="T14" s="13" t="s">
        <v>4</v>
      </c>
      <c r="U14" s="10" t="s">
        <v>41</v>
      </c>
      <c r="V14" s="10" t="s">
        <v>41</v>
      </c>
      <c r="W14" s="27" t="s">
        <v>34</v>
      </c>
      <c r="X14" s="27" t="s">
        <v>34</v>
      </c>
      <c r="Y14" s="10" t="s">
        <v>41</v>
      </c>
      <c r="Z14" s="29" t="s">
        <v>4</v>
      </c>
      <c r="AA14" s="29" t="s">
        <v>4</v>
      </c>
      <c r="AB14" s="79" t="s">
        <v>16</v>
      </c>
      <c r="AC14" s="79" t="s">
        <v>16</v>
      </c>
      <c r="AD14" s="79" t="s">
        <v>16</v>
      </c>
      <c r="AE14" s="12" t="s">
        <v>2</v>
      </c>
      <c r="AF14" s="10" t="s">
        <v>41</v>
      </c>
      <c r="AG14" s="19" t="s">
        <v>42</v>
      </c>
      <c r="AH14" s="19" t="s">
        <v>42</v>
      </c>
    </row>
    <row r="15" spans="1:34" ht="15" thickBot="1" x14ac:dyDescent="0.4">
      <c r="A15" s="67" t="s">
        <v>76</v>
      </c>
      <c r="B15" s="79" t="s">
        <v>16</v>
      </c>
      <c r="C15" s="79" t="s">
        <v>16</v>
      </c>
      <c r="D15" s="79" t="s">
        <v>16</v>
      </c>
      <c r="E15" s="29" t="s">
        <v>4</v>
      </c>
      <c r="F15" s="29" t="s">
        <v>4</v>
      </c>
      <c r="G15" s="79" t="s">
        <v>16</v>
      </c>
      <c r="H15" s="79" t="s">
        <v>16</v>
      </c>
      <c r="I15" s="79" t="s">
        <v>16</v>
      </c>
      <c r="J15" s="12" t="s">
        <v>2</v>
      </c>
      <c r="K15" s="12" t="s">
        <v>2</v>
      </c>
      <c r="L15" s="66" t="s">
        <v>30</v>
      </c>
      <c r="M15" s="19" t="s">
        <v>42</v>
      </c>
      <c r="N15" s="25" t="s">
        <v>6</v>
      </c>
      <c r="O15" s="25" t="s">
        <v>6</v>
      </c>
      <c r="P15" s="12" t="s">
        <v>2</v>
      </c>
      <c r="Q15" s="25" t="s">
        <v>6</v>
      </c>
      <c r="R15" s="25" t="s">
        <v>6</v>
      </c>
      <c r="S15" s="29" t="s">
        <v>4</v>
      </c>
      <c r="T15" s="25" t="s">
        <v>3</v>
      </c>
      <c r="U15" s="25" t="s">
        <v>6</v>
      </c>
      <c r="V15" s="25" t="s">
        <v>6</v>
      </c>
      <c r="W15" s="25" t="s">
        <v>6</v>
      </c>
      <c r="X15" s="12" t="s">
        <v>2</v>
      </c>
      <c r="Y15" s="25" t="s">
        <v>6</v>
      </c>
      <c r="Z15" s="19" t="s">
        <v>42</v>
      </c>
      <c r="AA15" s="19" t="s">
        <v>42</v>
      </c>
      <c r="AB15" s="25" t="s">
        <v>6</v>
      </c>
      <c r="AC15" s="12" t="s">
        <v>2</v>
      </c>
      <c r="AD15" s="25" t="s">
        <v>6</v>
      </c>
      <c r="AE15" s="13" t="s">
        <v>5</v>
      </c>
      <c r="AF15" s="13" t="s">
        <v>5</v>
      </c>
      <c r="AG15" s="29" t="s">
        <v>4</v>
      </c>
      <c r="AH15" s="29" t="s">
        <v>4</v>
      </c>
    </row>
    <row r="16" spans="1:34" x14ac:dyDescent="0.35">
      <c r="A16" s="67" t="s">
        <v>74</v>
      </c>
      <c r="B16" s="25" t="s">
        <v>6</v>
      </c>
      <c r="C16" s="25" t="s">
        <v>6</v>
      </c>
      <c r="D16" s="25" t="s">
        <v>6</v>
      </c>
      <c r="E16" s="29" t="s">
        <v>4</v>
      </c>
      <c r="F16" s="29" t="s">
        <v>4</v>
      </c>
      <c r="G16" s="25" t="s">
        <v>6</v>
      </c>
      <c r="H16" s="25" t="s">
        <v>6</v>
      </c>
      <c r="I16" s="10" t="s">
        <v>41</v>
      </c>
      <c r="J16" s="10" t="s">
        <v>41</v>
      </c>
      <c r="K16" s="25" t="s">
        <v>6</v>
      </c>
      <c r="L16" s="29" t="s">
        <v>4</v>
      </c>
      <c r="M16" s="29" t="s">
        <v>4</v>
      </c>
      <c r="N16" s="10" t="s">
        <v>41</v>
      </c>
      <c r="O16" s="25" t="s">
        <v>6</v>
      </c>
      <c r="P16" s="25" t="s">
        <v>6</v>
      </c>
      <c r="Q16" s="25" t="s">
        <v>6</v>
      </c>
      <c r="R16" s="10" t="s">
        <v>41</v>
      </c>
      <c r="S16" s="29" t="s">
        <v>4</v>
      </c>
      <c r="T16" s="29" t="s">
        <v>4</v>
      </c>
      <c r="U16" s="25" t="s">
        <v>6</v>
      </c>
      <c r="V16" s="10" t="s">
        <v>41</v>
      </c>
      <c r="W16" s="10" t="s">
        <v>41</v>
      </c>
      <c r="X16" s="79" t="s">
        <v>16</v>
      </c>
      <c r="Y16" s="79" t="s">
        <v>16</v>
      </c>
      <c r="Z16" s="29" t="s">
        <v>4</v>
      </c>
      <c r="AA16" s="29" t="s">
        <v>4</v>
      </c>
      <c r="AB16" s="79" t="s">
        <v>16</v>
      </c>
      <c r="AC16" s="79" t="s">
        <v>16</v>
      </c>
      <c r="AD16" s="79" t="s">
        <v>16</v>
      </c>
      <c r="AE16" s="79" t="s">
        <v>16</v>
      </c>
      <c r="AF16" s="79" t="s">
        <v>16</v>
      </c>
      <c r="AG16" s="29" t="s">
        <v>4</v>
      </c>
      <c r="AH16" s="29" t="s">
        <v>4</v>
      </c>
    </row>
    <row r="17" spans="1:34" x14ac:dyDescent="0.35">
      <c r="A17" s="67" t="s">
        <v>77</v>
      </c>
      <c r="B17" s="79" t="s">
        <v>16</v>
      </c>
      <c r="C17" s="79" t="s">
        <v>16</v>
      </c>
      <c r="D17" s="79" t="s">
        <v>16</v>
      </c>
      <c r="E17" s="13" t="s">
        <v>4</v>
      </c>
      <c r="F17" s="13" t="s">
        <v>4</v>
      </c>
      <c r="G17" s="16" t="s">
        <v>8</v>
      </c>
      <c r="H17" s="16" t="s">
        <v>8</v>
      </c>
      <c r="I17" s="16" t="s">
        <v>8</v>
      </c>
      <c r="J17" s="16" t="s">
        <v>8</v>
      </c>
      <c r="K17" s="16" t="s">
        <v>8</v>
      </c>
      <c r="L17" s="29" t="s">
        <v>4</v>
      </c>
      <c r="M17" s="17" t="s">
        <v>11</v>
      </c>
      <c r="N17" s="17" t="s">
        <v>10</v>
      </c>
      <c r="O17" s="17" t="s">
        <v>10</v>
      </c>
      <c r="P17" s="12" t="s">
        <v>2</v>
      </c>
      <c r="Q17" s="12" t="s">
        <v>2</v>
      </c>
      <c r="R17" s="78" t="s">
        <v>6</v>
      </c>
      <c r="S17" s="19" t="s">
        <v>42</v>
      </c>
      <c r="T17" s="19" t="s">
        <v>42</v>
      </c>
      <c r="U17" s="79" t="s">
        <v>16</v>
      </c>
      <c r="V17" s="79" t="s">
        <v>16</v>
      </c>
      <c r="W17" s="17" t="s">
        <v>10</v>
      </c>
      <c r="X17" s="17" t="s">
        <v>10</v>
      </c>
      <c r="Y17" s="17" t="s">
        <v>10</v>
      </c>
      <c r="Z17" s="29" t="s">
        <v>4</v>
      </c>
      <c r="AA17" s="29" t="s">
        <v>4</v>
      </c>
      <c r="AB17" s="10" t="s">
        <v>41</v>
      </c>
      <c r="AC17" s="10" t="s">
        <v>41</v>
      </c>
      <c r="AD17" s="10" t="s">
        <v>41</v>
      </c>
      <c r="AE17" s="10" t="s">
        <v>41</v>
      </c>
      <c r="AF17" s="17" t="s">
        <v>10</v>
      </c>
      <c r="AG17" s="29" t="s">
        <v>4</v>
      </c>
      <c r="AH17" s="29" t="s">
        <v>4</v>
      </c>
    </row>
    <row r="18" spans="1:34" x14ac:dyDescent="0.35">
      <c r="A18" s="67" t="s">
        <v>78</v>
      </c>
      <c r="B18" s="10" t="s">
        <v>41</v>
      </c>
      <c r="C18" s="25" t="s">
        <v>6</v>
      </c>
      <c r="D18" s="25" t="s">
        <v>6</v>
      </c>
      <c r="E18" s="29" t="s">
        <v>4</v>
      </c>
      <c r="F18" s="29" t="s">
        <v>4</v>
      </c>
      <c r="G18" s="22" t="s">
        <v>16</v>
      </c>
      <c r="H18" s="25" t="s">
        <v>6</v>
      </c>
      <c r="I18" s="25" t="s">
        <v>6</v>
      </c>
      <c r="J18" s="25" t="s">
        <v>6</v>
      </c>
      <c r="K18" s="25" t="s">
        <v>6</v>
      </c>
      <c r="L18" s="29" t="s">
        <v>4</v>
      </c>
      <c r="M18" s="29" t="s">
        <v>4</v>
      </c>
      <c r="N18" s="13" t="s">
        <v>5</v>
      </c>
      <c r="O18" s="13" t="s">
        <v>5</v>
      </c>
      <c r="P18" s="13" t="s">
        <v>5</v>
      </c>
      <c r="Q18" s="13" t="s">
        <v>5</v>
      </c>
      <c r="R18" s="13" t="s">
        <v>5</v>
      </c>
      <c r="S18" s="29" t="s">
        <v>4</v>
      </c>
      <c r="T18" s="29" t="s">
        <v>4</v>
      </c>
      <c r="U18" s="25" t="s">
        <v>6</v>
      </c>
      <c r="V18" s="25" t="s">
        <v>6</v>
      </c>
      <c r="W18" s="25" t="s">
        <v>6</v>
      </c>
      <c r="X18" s="25" t="s">
        <v>6</v>
      </c>
      <c r="Y18" s="25" t="s">
        <v>6</v>
      </c>
      <c r="Z18" s="29" t="s">
        <v>4</v>
      </c>
      <c r="AA18" s="29" t="s">
        <v>4</v>
      </c>
      <c r="AB18" s="22" t="s">
        <v>16</v>
      </c>
      <c r="AC18" s="22" t="s">
        <v>16</v>
      </c>
      <c r="AD18" s="22" t="s">
        <v>16</v>
      </c>
      <c r="AE18" s="22" t="s">
        <v>16</v>
      </c>
      <c r="AF18" s="22" t="s">
        <v>16</v>
      </c>
      <c r="AG18" s="29" t="s">
        <v>4</v>
      </c>
      <c r="AH18" s="29" t="s">
        <v>4</v>
      </c>
    </row>
    <row r="20" spans="1:34" x14ac:dyDescent="0.35">
      <c r="A20" s="24" t="s">
        <v>23</v>
      </c>
    </row>
    <row r="21" spans="1:34" x14ac:dyDescent="0.35">
      <c r="A21" s="1" t="s">
        <v>24</v>
      </c>
    </row>
    <row r="22" spans="1:34" x14ac:dyDescent="0.35">
      <c r="A22" s="1" t="s">
        <v>25</v>
      </c>
    </row>
    <row r="23" spans="1:34" x14ac:dyDescent="0.35">
      <c r="A23" s="1" t="s">
        <v>47</v>
      </c>
    </row>
    <row r="24" spans="1:34" x14ac:dyDescent="0.35">
      <c r="A24" s="1" t="s">
        <v>48</v>
      </c>
    </row>
    <row r="25" spans="1:34" x14ac:dyDescent="0.35">
      <c r="A25" s="26" t="s">
        <v>26</v>
      </c>
    </row>
    <row r="26" spans="1:34" x14ac:dyDescent="0.35">
      <c r="A26" s="26" t="s">
        <v>27</v>
      </c>
    </row>
    <row r="27" spans="1:34" x14ac:dyDescent="0.35">
      <c r="A27" s="26" t="s">
        <v>28</v>
      </c>
    </row>
    <row r="28" spans="1:34" x14ac:dyDescent="0.35">
      <c r="A28" s="26" t="s">
        <v>29</v>
      </c>
    </row>
    <row r="29" spans="1:34" x14ac:dyDescent="0.35">
      <c r="A29" s="26" t="s">
        <v>49</v>
      </c>
    </row>
    <row r="30" spans="1:34" x14ac:dyDescent="0.35">
      <c r="A30" s="26" t="s">
        <v>50</v>
      </c>
    </row>
    <row r="31" spans="1:34" x14ac:dyDescent="0.35">
      <c r="A31" s="26" t="s">
        <v>31</v>
      </c>
    </row>
    <row r="32" spans="1:34" x14ac:dyDescent="0.35">
      <c r="A32" s="26" t="s">
        <v>32</v>
      </c>
    </row>
    <row r="33" spans="1:1" x14ac:dyDescent="0.35">
      <c r="A33" s="26" t="s">
        <v>33</v>
      </c>
    </row>
    <row r="34" spans="1:1" x14ac:dyDescent="0.35">
      <c r="A34" s="26" t="s">
        <v>35</v>
      </c>
    </row>
    <row r="35" spans="1:1" x14ac:dyDescent="0.35">
      <c r="A35" s="26" t="s">
        <v>36</v>
      </c>
    </row>
    <row r="36" spans="1:1" x14ac:dyDescent="0.35">
      <c r="A36" s="26" t="s">
        <v>38</v>
      </c>
    </row>
    <row r="37" spans="1:1" x14ac:dyDescent="0.35">
      <c r="A37" s="26" t="s">
        <v>36</v>
      </c>
    </row>
    <row r="38" spans="1:1" x14ac:dyDescent="0.35">
      <c r="A38" s="26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38"/>
  <sheetViews>
    <sheetView zoomScale="80" zoomScaleNormal="80" workbookViewId="0">
      <pane xSplit="1" topLeftCell="Q1" activePane="topRight" state="frozen"/>
      <selection pane="topRight" activeCell="S22" sqref="S22"/>
    </sheetView>
  </sheetViews>
  <sheetFormatPr defaultColWidth="9.1796875" defaultRowHeight="14.5" x14ac:dyDescent="0.35"/>
  <cols>
    <col min="1" max="1" width="26.1796875" style="45" bestFit="1" customWidth="1"/>
    <col min="2" max="3" width="7.26953125" style="45" customWidth="1"/>
    <col min="4" max="5" width="9.26953125" style="45" customWidth="1"/>
    <col min="6" max="7" width="7.26953125" style="45" customWidth="1"/>
    <col min="8" max="8" width="7.54296875" style="45" customWidth="1"/>
    <col min="9" max="9" width="7.26953125" style="45" customWidth="1"/>
    <col min="10" max="10" width="7.54296875" style="45" customWidth="1"/>
    <col min="11" max="12" width="9.26953125" style="45" customWidth="1"/>
    <col min="13" max="13" width="7.54296875" style="45" customWidth="1"/>
    <col min="14" max="14" width="9.26953125" style="45" customWidth="1"/>
    <col min="15" max="17" width="7.54296875" style="45" customWidth="1"/>
    <col min="18" max="18" width="9.26953125" style="45" customWidth="1"/>
    <col min="19" max="21" width="6.7265625" style="45" customWidth="1"/>
    <col min="22" max="32" width="9.1796875" style="45" customWidth="1"/>
    <col min="33" max="16384" width="9.1796875" style="45"/>
  </cols>
  <sheetData>
    <row r="1" spans="1:32" ht="15" customHeight="1" x14ac:dyDescent="0.35">
      <c r="A1" s="30"/>
      <c r="B1" s="2" t="str">
        <f t="shared" ref="B1:D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ref="E1:AF1" si="1">TEXT(E2,"ddd")</f>
        <v>Mon</v>
      </c>
      <c r="F1" s="2" t="str">
        <f t="shared" si="1"/>
        <v>Tue</v>
      </c>
      <c r="G1" s="2" t="str">
        <f t="shared" si="1"/>
        <v>Wed</v>
      </c>
      <c r="H1" s="2" t="str">
        <f t="shared" si="1"/>
        <v>Thu</v>
      </c>
      <c r="I1" s="2" t="str">
        <f t="shared" si="1"/>
        <v>Fri</v>
      </c>
      <c r="J1" s="2" t="str">
        <f t="shared" si="1"/>
        <v>Sat</v>
      </c>
      <c r="K1" s="2" t="str">
        <f t="shared" si="1"/>
        <v>Sun</v>
      </c>
      <c r="L1" s="2" t="str">
        <f t="shared" si="1"/>
        <v>Mon</v>
      </c>
      <c r="M1" s="2" t="str">
        <f t="shared" si="1"/>
        <v>Tue</v>
      </c>
      <c r="N1" s="2" t="str">
        <f t="shared" si="1"/>
        <v>Wed</v>
      </c>
      <c r="O1" s="2" t="str">
        <f t="shared" si="1"/>
        <v>Thu</v>
      </c>
      <c r="P1" s="2" t="str">
        <f t="shared" si="1"/>
        <v>Fri</v>
      </c>
      <c r="Q1" s="2" t="str">
        <f t="shared" si="1"/>
        <v>Sat</v>
      </c>
      <c r="R1" s="2" t="str">
        <f t="shared" si="1"/>
        <v>Sun</v>
      </c>
      <c r="S1" s="2" t="str">
        <f t="shared" si="1"/>
        <v>Mon</v>
      </c>
      <c r="T1" s="2" t="str">
        <f t="shared" si="1"/>
        <v>Tue</v>
      </c>
      <c r="U1" s="2" t="str">
        <f t="shared" si="1"/>
        <v>Wed</v>
      </c>
      <c r="V1" s="2" t="str">
        <f t="shared" si="1"/>
        <v>Thu</v>
      </c>
      <c r="W1" s="2" t="str">
        <f t="shared" si="1"/>
        <v>Fri</v>
      </c>
      <c r="X1" s="2" t="str">
        <f t="shared" si="1"/>
        <v>Sat</v>
      </c>
      <c r="Y1" s="2" t="str">
        <f t="shared" si="1"/>
        <v>Sun</v>
      </c>
      <c r="Z1" s="2" t="str">
        <f t="shared" si="1"/>
        <v>Mon</v>
      </c>
      <c r="AA1" s="2" t="str">
        <f t="shared" si="1"/>
        <v>Tue</v>
      </c>
      <c r="AB1" s="2" t="str">
        <f t="shared" si="1"/>
        <v>Wed</v>
      </c>
      <c r="AC1" s="2" t="str">
        <f t="shared" si="1"/>
        <v>Thu</v>
      </c>
      <c r="AD1" s="2" t="str">
        <f t="shared" si="1"/>
        <v>Fri</v>
      </c>
      <c r="AE1" s="2" t="str">
        <f t="shared" si="1"/>
        <v>Sat</v>
      </c>
      <c r="AF1" s="2" t="str">
        <f t="shared" si="1"/>
        <v>Sun</v>
      </c>
    </row>
    <row r="2" spans="1:32" x14ac:dyDescent="0.35">
      <c r="A2" s="7" t="s">
        <v>0</v>
      </c>
      <c r="B2" s="31">
        <v>44743</v>
      </c>
      <c r="C2" s="31">
        <v>44744</v>
      </c>
      <c r="D2" s="31">
        <v>44745</v>
      </c>
      <c r="E2" s="31">
        <v>44746</v>
      </c>
      <c r="F2" s="31">
        <v>44747</v>
      </c>
      <c r="G2" s="31">
        <v>44748</v>
      </c>
      <c r="H2" s="31">
        <v>44749</v>
      </c>
      <c r="I2" s="31">
        <v>44750</v>
      </c>
      <c r="J2" s="31">
        <v>44751</v>
      </c>
      <c r="K2" s="31">
        <v>44752</v>
      </c>
      <c r="L2" s="31">
        <v>44753</v>
      </c>
      <c r="M2" s="31">
        <v>44754</v>
      </c>
      <c r="N2" s="31">
        <v>44755</v>
      </c>
      <c r="O2" s="31">
        <v>44756</v>
      </c>
      <c r="P2" s="31">
        <v>44757</v>
      </c>
      <c r="Q2" s="31">
        <v>44758</v>
      </c>
      <c r="R2" s="31">
        <v>44759</v>
      </c>
      <c r="S2" s="31">
        <v>44760</v>
      </c>
      <c r="T2" s="31">
        <v>44761</v>
      </c>
      <c r="U2" s="31">
        <v>44762</v>
      </c>
      <c r="V2" s="31">
        <v>44763</v>
      </c>
      <c r="W2" s="31">
        <v>44764</v>
      </c>
      <c r="X2" s="31">
        <v>44765</v>
      </c>
      <c r="Y2" s="31">
        <v>44766</v>
      </c>
      <c r="Z2" s="31">
        <v>44767</v>
      </c>
      <c r="AA2" s="31">
        <v>44768</v>
      </c>
      <c r="AB2" s="31">
        <v>44769</v>
      </c>
      <c r="AC2" s="31">
        <v>44770</v>
      </c>
      <c r="AD2" s="31">
        <v>44771</v>
      </c>
      <c r="AE2" s="31">
        <v>44772</v>
      </c>
      <c r="AF2" s="31">
        <v>44773</v>
      </c>
    </row>
    <row r="3" spans="1:32" x14ac:dyDescent="0.35">
      <c r="A3" s="8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</row>
    <row r="4" spans="1:32" x14ac:dyDescent="0.35">
      <c r="A4" s="67" t="s">
        <v>1</v>
      </c>
      <c r="B4" s="12" t="s">
        <v>2</v>
      </c>
      <c r="C4" s="68" t="s">
        <v>4</v>
      </c>
      <c r="D4" s="68" t="s">
        <v>4</v>
      </c>
      <c r="E4" s="13" t="s">
        <v>5</v>
      </c>
      <c r="F4" s="13" t="s">
        <v>5</v>
      </c>
      <c r="G4" s="13" t="s">
        <v>5</v>
      </c>
      <c r="H4" s="13" t="s">
        <v>5</v>
      </c>
      <c r="I4" s="13" t="s">
        <v>5</v>
      </c>
      <c r="J4" s="68" t="s">
        <v>4</v>
      </c>
      <c r="K4" s="68" t="s">
        <v>4</v>
      </c>
      <c r="L4" s="13" t="s">
        <v>5</v>
      </c>
      <c r="M4" s="16" t="s">
        <v>8</v>
      </c>
      <c r="N4" s="16" t="s">
        <v>8</v>
      </c>
      <c r="O4" s="16" t="s">
        <v>8</v>
      </c>
      <c r="P4" s="16" t="s">
        <v>8</v>
      </c>
      <c r="Q4" s="29" t="s">
        <v>4</v>
      </c>
      <c r="R4" s="19" t="s">
        <v>42</v>
      </c>
      <c r="S4" s="10" t="s">
        <v>41</v>
      </c>
      <c r="T4" s="68" t="s">
        <v>2</v>
      </c>
      <c r="U4" s="68" t="s">
        <v>2</v>
      </c>
      <c r="V4" s="13" t="s">
        <v>5</v>
      </c>
      <c r="W4" s="13" t="s">
        <v>5</v>
      </c>
      <c r="X4" s="19" t="s">
        <v>42</v>
      </c>
      <c r="Y4" s="19" t="s">
        <v>42</v>
      </c>
      <c r="Z4" s="78" t="s">
        <v>41</v>
      </c>
      <c r="AA4" s="78" t="s">
        <v>41</v>
      </c>
      <c r="AB4" s="12" t="s">
        <v>2</v>
      </c>
      <c r="AC4" s="16" t="s">
        <v>8</v>
      </c>
      <c r="AD4" s="16" t="s">
        <v>8</v>
      </c>
      <c r="AE4" s="17" t="s">
        <v>11</v>
      </c>
      <c r="AF4" s="17" t="s">
        <v>11</v>
      </c>
    </row>
    <row r="5" spans="1:32" x14ac:dyDescent="0.35">
      <c r="A5" s="67" t="s">
        <v>9</v>
      </c>
      <c r="B5" s="13" t="s">
        <v>5</v>
      </c>
      <c r="C5" s="68" t="s">
        <v>4</v>
      </c>
      <c r="D5" s="17" t="s">
        <v>11</v>
      </c>
      <c r="E5" s="17" t="s">
        <v>10</v>
      </c>
      <c r="F5" s="17" t="s">
        <v>10</v>
      </c>
      <c r="G5" s="17" t="s">
        <v>10</v>
      </c>
      <c r="H5" s="17" t="s">
        <v>10</v>
      </c>
      <c r="I5" s="12" t="s">
        <v>2</v>
      </c>
      <c r="J5" s="25" t="s">
        <v>3</v>
      </c>
      <c r="K5" s="17" t="s">
        <v>11</v>
      </c>
      <c r="L5" s="17" t="s">
        <v>10</v>
      </c>
      <c r="M5" s="12" t="s">
        <v>2</v>
      </c>
      <c r="N5" s="78" t="s">
        <v>6</v>
      </c>
      <c r="O5" s="78" t="s">
        <v>6</v>
      </c>
      <c r="P5" s="78" t="s">
        <v>6</v>
      </c>
      <c r="Q5" s="68" t="s">
        <v>4</v>
      </c>
      <c r="R5" s="17" t="s">
        <v>11</v>
      </c>
      <c r="S5" s="17" t="s">
        <v>10</v>
      </c>
      <c r="T5" s="17" t="s">
        <v>10</v>
      </c>
      <c r="U5" s="17" t="s">
        <v>10</v>
      </c>
      <c r="V5" s="17" t="s">
        <v>10</v>
      </c>
      <c r="W5" s="17" t="s">
        <v>10</v>
      </c>
      <c r="X5" s="68" t="s">
        <v>4</v>
      </c>
      <c r="Y5" s="17" t="s">
        <v>11</v>
      </c>
      <c r="Z5" s="17" t="s">
        <v>10</v>
      </c>
      <c r="AA5" s="12" t="s">
        <v>2</v>
      </c>
      <c r="AB5" s="78" t="s">
        <v>6</v>
      </c>
      <c r="AC5" s="78" t="s">
        <v>6</v>
      </c>
      <c r="AD5" s="78" t="s">
        <v>6</v>
      </c>
      <c r="AE5" s="25" t="s">
        <v>3</v>
      </c>
      <c r="AF5" s="68" t="s">
        <v>4</v>
      </c>
    </row>
    <row r="6" spans="1:32" x14ac:dyDescent="0.35">
      <c r="A6" s="67" t="s">
        <v>12</v>
      </c>
      <c r="B6" s="17" t="s">
        <v>10</v>
      </c>
      <c r="C6" s="29" t="s">
        <v>4</v>
      </c>
      <c r="D6" s="10" t="s">
        <v>42</v>
      </c>
      <c r="E6" s="10" t="s">
        <v>41</v>
      </c>
      <c r="F6" s="10" t="s">
        <v>41</v>
      </c>
      <c r="G6" s="12" t="s">
        <v>2</v>
      </c>
      <c r="H6" s="10" t="s">
        <v>41</v>
      </c>
      <c r="I6" s="10" t="s">
        <v>41</v>
      </c>
      <c r="J6" s="19" t="s">
        <v>42</v>
      </c>
      <c r="K6" s="19" t="s">
        <v>42</v>
      </c>
      <c r="L6" s="12" t="s">
        <v>2</v>
      </c>
      <c r="M6" s="17" t="s">
        <v>10</v>
      </c>
      <c r="N6" s="17" t="s">
        <v>10</v>
      </c>
      <c r="O6" s="17" t="s">
        <v>10</v>
      </c>
      <c r="P6" s="17" t="s">
        <v>10</v>
      </c>
      <c r="Q6" s="17" t="s">
        <v>11</v>
      </c>
      <c r="R6" s="29" t="s">
        <v>4</v>
      </c>
      <c r="S6" s="12" t="s">
        <v>2</v>
      </c>
      <c r="T6" s="25" t="s">
        <v>6</v>
      </c>
      <c r="U6" s="10" t="s">
        <v>41</v>
      </c>
      <c r="V6" s="13" t="s">
        <v>5</v>
      </c>
      <c r="W6" s="13" t="s">
        <v>5</v>
      </c>
      <c r="X6" s="68" t="s">
        <v>4</v>
      </c>
      <c r="Y6" s="68" t="s">
        <v>4</v>
      </c>
      <c r="Z6" s="13" t="s">
        <v>5</v>
      </c>
      <c r="AA6" s="78" t="s">
        <v>41</v>
      </c>
      <c r="AB6" s="78" t="s">
        <v>41</v>
      </c>
      <c r="AC6" s="78" t="s">
        <v>41</v>
      </c>
      <c r="AD6" s="78" t="s">
        <v>41</v>
      </c>
      <c r="AE6" s="84" t="s">
        <v>30</v>
      </c>
      <c r="AF6" s="83" t="s">
        <v>3</v>
      </c>
    </row>
    <row r="7" spans="1:32" x14ac:dyDescent="0.35">
      <c r="A7" s="67" t="s">
        <v>14</v>
      </c>
      <c r="B7" s="79" t="s">
        <v>16</v>
      </c>
      <c r="C7" s="84" t="s">
        <v>30</v>
      </c>
      <c r="D7" s="29" t="s">
        <v>4</v>
      </c>
      <c r="E7" s="79" t="s">
        <v>16</v>
      </c>
      <c r="F7" s="79" t="s">
        <v>16</v>
      </c>
      <c r="G7" s="79" t="s">
        <v>16</v>
      </c>
      <c r="H7" s="79" t="s">
        <v>16</v>
      </c>
      <c r="I7" s="79" t="s">
        <v>16</v>
      </c>
      <c r="J7" s="68" t="s">
        <v>4</v>
      </c>
      <c r="K7" s="68" t="s">
        <v>4</v>
      </c>
      <c r="L7" s="13" t="s">
        <v>5</v>
      </c>
      <c r="M7" s="25" t="s">
        <v>6</v>
      </c>
      <c r="N7" s="10" t="s">
        <v>41</v>
      </c>
      <c r="O7" s="10" t="s">
        <v>41</v>
      </c>
      <c r="P7" s="10" t="s">
        <v>41</v>
      </c>
      <c r="Q7" s="25" t="s">
        <v>3</v>
      </c>
      <c r="R7" s="68" t="s">
        <v>4</v>
      </c>
      <c r="S7" s="13" t="s">
        <v>5</v>
      </c>
      <c r="T7" s="10" t="s">
        <v>41</v>
      </c>
      <c r="U7" s="10" t="s">
        <v>41</v>
      </c>
      <c r="V7" s="10" t="s">
        <v>41</v>
      </c>
      <c r="W7" s="10" t="s">
        <v>41</v>
      </c>
      <c r="X7" s="25" t="s">
        <v>3</v>
      </c>
      <c r="Y7" s="25" t="s">
        <v>3</v>
      </c>
      <c r="Z7" s="12" t="s">
        <v>2</v>
      </c>
      <c r="AA7" s="17" t="s">
        <v>10</v>
      </c>
      <c r="AB7" s="17" t="s">
        <v>10</v>
      </c>
      <c r="AC7" s="17" t="s">
        <v>10</v>
      </c>
      <c r="AD7" s="13" t="s">
        <v>5</v>
      </c>
      <c r="AE7" s="68" t="s">
        <v>4</v>
      </c>
      <c r="AF7" s="68" t="s">
        <v>4</v>
      </c>
    </row>
    <row r="8" spans="1:32" x14ac:dyDescent="0.35">
      <c r="A8" s="67" t="s">
        <v>15</v>
      </c>
      <c r="B8" s="25" t="s">
        <v>6</v>
      </c>
      <c r="C8" s="17" t="s">
        <v>11</v>
      </c>
      <c r="D8" s="29" t="s">
        <v>4</v>
      </c>
      <c r="E8" s="25" t="s">
        <v>6</v>
      </c>
      <c r="F8" s="25" t="s">
        <v>6</v>
      </c>
      <c r="G8" s="10" t="s">
        <v>41</v>
      </c>
      <c r="H8" s="10" t="s">
        <v>41</v>
      </c>
      <c r="I8" s="17" t="s">
        <v>10</v>
      </c>
      <c r="J8" s="17" t="s">
        <v>11</v>
      </c>
      <c r="K8" s="29" t="s">
        <v>4</v>
      </c>
      <c r="L8" s="78" t="s">
        <v>41</v>
      </c>
      <c r="M8" s="78" t="s">
        <v>41</v>
      </c>
      <c r="N8" s="78" t="s">
        <v>41</v>
      </c>
      <c r="O8" s="78" t="s">
        <v>41</v>
      </c>
      <c r="P8" s="78" t="s">
        <v>41</v>
      </c>
      <c r="Q8" s="29" t="s">
        <v>4</v>
      </c>
      <c r="R8" s="25" t="s">
        <v>3</v>
      </c>
      <c r="S8" s="25" t="s">
        <v>6</v>
      </c>
      <c r="T8" s="12" t="s">
        <v>2</v>
      </c>
      <c r="U8" s="25" t="s">
        <v>6</v>
      </c>
      <c r="V8" s="25" t="s">
        <v>6</v>
      </c>
      <c r="W8" s="25" t="s">
        <v>6</v>
      </c>
      <c r="X8" s="17" t="s">
        <v>11</v>
      </c>
      <c r="Y8" s="17" t="s">
        <v>11</v>
      </c>
      <c r="Z8" s="12" t="s">
        <v>2</v>
      </c>
      <c r="AA8" s="25" t="s">
        <v>6</v>
      </c>
      <c r="AB8" s="25" t="s">
        <v>6</v>
      </c>
      <c r="AC8" s="10" t="s">
        <v>41</v>
      </c>
      <c r="AD8" s="10" t="s">
        <v>41</v>
      </c>
      <c r="AE8" s="29" t="s">
        <v>4</v>
      </c>
      <c r="AF8" s="19" t="s">
        <v>42</v>
      </c>
    </row>
    <row r="9" spans="1:32" x14ac:dyDescent="0.35">
      <c r="A9" s="67" t="s">
        <v>18</v>
      </c>
      <c r="B9" s="10" t="s">
        <v>41</v>
      </c>
      <c r="C9" s="25" t="s">
        <v>3</v>
      </c>
      <c r="D9" s="25" t="s">
        <v>3</v>
      </c>
      <c r="E9" s="12" t="s">
        <v>2</v>
      </c>
      <c r="F9" s="25" t="s">
        <v>6</v>
      </c>
      <c r="G9" s="25" t="s">
        <v>6</v>
      </c>
      <c r="H9" s="25" t="s">
        <v>6</v>
      </c>
      <c r="I9" s="25" t="s">
        <v>6</v>
      </c>
      <c r="J9" s="29" t="s">
        <v>4</v>
      </c>
      <c r="K9" s="29" t="s">
        <v>4</v>
      </c>
      <c r="L9" s="79" t="s">
        <v>16</v>
      </c>
      <c r="M9" s="78" t="s">
        <v>41</v>
      </c>
      <c r="N9" s="78" t="s">
        <v>41</v>
      </c>
      <c r="O9" s="78" t="s">
        <v>41</v>
      </c>
      <c r="P9" s="78" t="s">
        <v>41</v>
      </c>
      <c r="Q9" s="83" t="s">
        <v>3</v>
      </c>
      <c r="R9" s="29" t="s">
        <v>4</v>
      </c>
      <c r="S9" s="12" t="s">
        <v>2</v>
      </c>
      <c r="T9" s="12" t="s">
        <v>2</v>
      </c>
      <c r="U9" s="17" t="s">
        <v>10</v>
      </c>
      <c r="V9" s="17" t="s">
        <v>10</v>
      </c>
      <c r="W9" s="17" t="s">
        <v>10</v>
      </c>
      <c r="X9" s="17" t="s">
        <v>11</v>
      </c>
      <c r="Y9" s="29" t="s">
        <v>4</v>
      </c>
      <c r="Z9" s="25" t="s">
        <v>6</v>
      </c>
      <c r="AA9" s="25" t="s">
        <v>6</v>
      </c>
      <c r="AB9" s="12" t="s">
        <v>2</v>
      </c>
      <c r="AC9" s="25" t="s">
        <v>6</v>
      </c>
      <c r="AD9" s="25" t="s">
        <v>6</v>
      </c>
      <c r="AE9" s="19" t="s">
        <v>42</v>
      </c>
      <c r="AF9" s="19" t="s">
        <v>42</v>
      </c>
    </row>
    <row r="10" spans="1:32" ht="14.15" customHeight="1" x14ac:dyDescent="0.35">
      <c r="A10" s="67" t="s">
        <v>21</v>
      </c>
      <c r="B10" s="12" t="s">
        <v>2</v>
      </c>
      <c r="C10" s="17" t="s">
        <v>11</v>
      </c>
      <c r="D10" s="17" t="s">
        <v>11</v>
      </c>
      <c r="E10" s="17" t="s">
        <v>10</v>
      </c>
      <c r="F10" s="17" t="s">
        <v>10</v>
      </c>
      <c r="G10" s="17" t="s">
        <v>10</v>
      </c>
      <c r="H10" s="12" t="s">
        <v>2</v>
      </c>
      <c r="I10" s="12" t="s">
        <v>2</v>
      </c>
      <c r="J10" s="25" t="s">
        <v>3</v>
      </c>
      <c r="K10" s="19" t="s">
        <v>42</v>
      </c>
      <c r="L10" s="25" t="s">
        <v>6</v>
      </c>
      <c r="M10" s="25" t="s">
        <v>6</v>
      </c>
      <c r="N10" s="12" t="s">
        <v>2</v>
      </c>
      <c r="O10" s="78" t="s">
        <v>41</v>
      </c>
      <c r="P10" s="78" t="s">
        <v>41</v>
      </c>
      <c r="Q10" s="84" t="s">
        <v>30</v>
      </c>
      <c r="R10" s="83" t="s">
        <v>3</v>
      </c>
      <c r="S10" s="78" t="s">
        <v>41</v>
      </c>
      <c r="T10" s="78" t="s">
        <v>6</v>
      </c>
      <c r="U10" s="12" t="s">
        <v>2</v>
      </c>
      <c r="V10" s="10" t="s">
        <v>41</v>
      </c>
      <c r="W10" s="10" t="s">
        <v>41</v>
      </c>
      <c r="X10" s="29" t="s">
        <v>4</v>
      </c>
      <c r="Y10" s="29" t="s">
        <v>4</v>
      </c>
      <c r="Z10" s="17" t="s">
        <v>10</v>
      </c>
      <c r="AA10" s="17" t="s">
        <v>10</v>
      </c>
      <c r="AB10" s="12" t="s">
        <v>2</v>
      </c>
      <c r="AC10" s="12" t="s">
        <v>2</v>
      </c>
      <c r="AD10" s="17" t="s">
        <v>10</v>
      </c>
      <c r="AE10" s="17" t="s">
        <v>11</v>
      </c>
      <c r="AF10" s="17" t="s">
        <v>11</v>
      </c>
    </row>
    <row r="11" spans="1:32" x14ac:dyDescent="0.35">
      <c r="A11" s="67" t="s">
        <v>43</v>
      </c>
      <c r="B11" s="25" t="s">
        <v>6</v>
      </c>
      <c r="C11" s="10" t="s">
        <v>42</v>
      </c>
      <c r="D11" s="29" t="s">
        <v>4</v>
      </c>
      <c r="E11" s="10" t="s">
        <v>41</v>
      </c>
      <c r="F11" s="10" t="s">
        <v>41</v>
      </c>
      <c r="G11" s="12" t="s">
        <v>2</v>
      </c>
      <c r="H11" s="17" t="s">
        <v>10</v>
      </c>
      <c r="I11" s="17" t="s">
        <v>10</v>
      </c>
      <c r="J11" s="17" t="s">
        <v>11</v>
      </c>
      <c r="K11" s="17" t="s">
        <v>11</v>
      </c>
      <c r="L11" s="17" t="s">
        <v>10</v>
      </c>
      <c r="M11" s="12" t="s">
        <v>2</v>
      </c>
      <c r="N11" s="25" t="s">
        <v>6</v>
      </c>
      <c r="O11" s="25" t="s">
        <v>6</v>
      </c>
      <c r="P11" s="25" t="s">
        <v>6</v>
      </c>
      <c r="Q11" s="19" t="s">
        <v>42</v>
      </c>
      <c r="R11" s="29" t="s">
        <v>4</v>
      </c>
      <c r="S11" s="78" t="s">
        <v>6</v>
      </c>
      <c r="T11" s="78" t="s">
        <v>6</v>
      </c>
      <c r="U11" s="78" t="s">
        <v>6</v>
      </c>
      <c r="V11" s="78" t="s">
        <v>6</v>
      </c>
      <c r="W11" s="78" t="s">
        <v>6</v>
      </c>
      <c r="X11" s="84" t="s">
        <v>30</v>
      </c>
      <c r="Y11" s="29" t="s">
        <v>4</v>
      </c>
      <c r="Z11" s="10" t="s">
        <v>41</v>
      </c>
      <c r="AA11" s="10" t="s">
        <v>41</v>
      </c>
      <c r="AB11" s="17" t="s">
        <v>10</v>
      </c>
      <c r="AC11" s="17" t="s">
        <v>10</v>
      </c>
      <c r="AD11" s="17" t="s">
        <v>10</v>
      </c>
      <c r="AE11" s="29" t="s">
        <v>4</v>
      </c>
      <c r="AF11" s="25" t="s">
        <v>3</v>
      </c>
    </row>
    <row r="12" spans="1:32" x14ac:dyDescent="0.35">
      <c r="A12" s="67" t="s">
        <v>75</v>
      </c>
      <c r="B12" s="78" t="s">
        <v>41</v>
      </c>
      <c r="C12" s="29" t="s">
        <v>4</v>
      </c>
      <c r="D12" s="25" t="s">
        <v>3</v>
      </c>
      <c r="E12" s="10" t="s">
        <v>41</v>
      </c>
      <c r="F12" s="12" t="s">
        <v>2</v>
      </c>
      <c r="G12" s="10" t="s">
        <v>41</v>
      </c>
      <c r="H12" s="78" t="s">
        <v>41</v>
      </c>
      <c r="I12" s="78" t="s">
        <v>41</v>
      </c>
      <c r="J12" s="19" t="s">
        <v>42</v>
      </c>
      <c r="K12" s="25" t="s">
        <v>3</v>
      </c>
      <c r="L12" s="13" t="s">
        <v>5</v>
      </c>
      <c r="M12" s="12" t="s">
        <v>2</v>
      </c>
      <c r="N12" s="12" t="s">
        <v>2</v>
      </c>
      <c r="O12" s="22" t="s">
        <v>16</v>
      </c>
      <c r="P12" s="79" t="s">
        <v>16</v>
      </c>
      <c r="Q12" s="17" t="s">
        <v>11</v>
      </c>
      <c r="R12" s="17" t="s">
        <v>11</v>
      </c>
      <c r="S12" s="17" t="s">
        <v>10</v>
      </c>
      <c r="T12" s="17" t="s">
        <v>10</v>
      </c>
      <c r="U12" s="12" t="s">
        <v>2</v>
      </c>
      <c r="V12" s="10" t="s">
        <v>41</v>
      </c>
      <c r="W12" s="78" t="s">
        <v>41</v>
      </c>
      <c r="X12" s="29" t="s">
        <v>4</v>
      </c>
      <c r="Y12" s="29" t="s">
        <v>4</v>
      </c>
      <c r="Z12" s="10" t="s">
        <v>41</v>
      </c>
      <c r="AA12" s="10" t="s">
        <v>41</v>
      </c>
      <c r="AB12" s="10" t="s">
        <v>41</v>
      </c>
      <c r="AC12" s="13" t="s">
        <v>5</v>
      </c>
      <c r="AD12" s="13" t="s">
        <v>5</v>
      </c>
      <c r="AE12" s="68" t="s">
        <v>4</v>
      </c>
      <c r="AF12" s="68" t="s">
        <v>4</v>
      </c>
    </row>
    <row r="13" spans="1:32" x14ac:dyDescent="0.35">
      <c r="A13" s="67" t="s">
        <v>22</v>
      </c>
      <c r="B13" s="25" t="s">
        <v>6</v>
      </c>
      <c r="C13" s="25" t="s">
        <v>3</v>
      </c>
      <c r="D13" s="29" t="s">
        <v>4</v>
      </c>
      <c r="E13" s="25" t="s">
        <v>6</v>
      </c>
      <c r="F13" s="13" t="s">
        <v>5</v>
      </c>
      <c r="G13" s="13" t="s">
        <v>5</v>
      </c>
      <c r="H13" s="10" t="s">
        <v>41</v>
      </c>
      <c r="I13" s="10" t="s">
        <v>41</v>
      </c>
      <c r="J13" s="29" t="s">
        <v>4</v>
      </c>
      <c r="K13" s="25" t="s">
        <v>3</v>
      </c>
      <c r="L13" s="25" t="s">
        <v>6</v>
      </c>
      <c r="M13" s="25" t="s">
        <v>6</v>
      </c>
      <c r="N13" s="25" t="s">
        <v>6</v>
      </c>
      <c r="O13" s="12" t="s">
        <v>2</v>
      </c>
      <c r="P13" s="12" t="s">
        <v>2</v>
      </c>
      <c r="Q13" s="19" t="s">
        <v>42</v>
      </c>
      <c r="R13" s="29" t="s">
        <v>4</v>
      </c>
      <c r="S13" s="10" t="s">
        <v>41</v>
      </c>
      <c r="T13" s="10" t="s">
        <v>41</v>
      </c>
      <c r="U13" s="25" t="s">
        <v>6</v>
      </c>
      <c r="V13" s="25" t="s">
        <v>6</v>
      </c>
      <c r="W13" s="25" t="s">
        <v>6</v>
      </c>
      <c r="X13" s="29" t="s">
        <v>4</v>
      </c>
      <c r="Y13" s="29" t="s">
        <v>4</v>
      </c>
      <c r="Z13" s="79" t="s">
        <v>16</v>
      </c>
      <c r="AA13" s="79" t="s">
        <v>16</v>
      </c>
      <c r="AB13" s="79" t="s">
        <v>16</v>
      </c>
      <c r="AC13" s="79" t="s">
        <v>16</v>
      </c>
      <c r="AD13" s="79" t="s">
        <v>16</v>
      </c>
      <c r="AE13" s="83" t="s">
        <v>3</v>
      </c>
      <c r="AF13" s="29" t="s">
        <v>4</v>
      </c>
    </row>
    <row r="14" spans="1:32" ht="15" thickBot="1" x14ac:dyDescent="0.4">
      <c r="A14" s="67" t="s">
        <v>62</v>
      </c>
      <c r="B14" s="10" t="s">
        <v>41</v>
      </c>
      <c r="C14" s="19" t="s">
        <v>42</v>
      </c>
      <c r="D14" s="19" t="s">
        <v>42</v>
      </c>
      <c r="E14" s="12" t="s">
        <v>2</v>
      </c>
      <c r="F14" s="10" t="s">
        <v>41</v>
      </c>
      <c r="G14" s="25" t="s">
        <v>6</v>
      </c>
      <c r="H14" s="25" t="s">
        <v>6</v>
      </c>
      <c r="I14" s="25" t="s">
        <v>6</v>
      </c>
      <c r="J14" s="29" t="s">
        <v>4</v>
      </c>
      <c r="K14" s="66" t="s">
        <v>30</v>
      </c>
      <c r="L14" s="10" t="s">
        <v>41</v>
      </c>
      <c r="M14" s="79" t="s">
        <v>16</v>
      </c>
      <c r="N14" s="10" t="s">
        <v>41</v>
      </c>
      <c r="O14" s="79" t="s">
        <v>16</v>
      </c>
      <c r="P14" s="25" t="s">
        <v>6</v>
      </c>
      <c r="Q14" s="29" t="s">
        <v>4</v>
      </c>
      <c r="R14" s="29" t="s">
        <v>4</v>
      </c>
      <c r="S14" s="25" t="s">
        <v>6</v>
      </c>
      <c r="T14" s="79" t="s">
        <v>16</v>
      </c>
      <c r="U14" s="25" t="s">
        <v>6</v>
      </c>
      <c r="V14" s="25" t="s">
        <v>6</v>
      </c>
      <c r="W14" s="12" t="s">
        <v>2</v>
      </c>
      <c r="X14" s="19" t="s">
        <v>42</v>
      </c>
      <c r="Y14" s="19" t="s">
        <v>42</v>
      </c>
      <c r="Z14" s="13" t="s">
        <v>5</v>
      </c>
      <c r="AA14" s="79" t="s">
        <v>16</v>
      </c>
      <c r="AB14" s="13" t="s">
        <v>5</v>
      </c>
      <c r="AC14" s="79" t="s">
        <v>16</v>
      </c>
      <c r="AD14" s="13" t="s">
        <v>5</v>
      </c>
      <c r="AE14" s="29" t="s">
        <v>4</v>
      </c>
      <c r="AF14" s="29" t="s">
        <v>4</v>
      </c>
    </row>
    <row r="15" spans="1:32" ht="15" thickBot="1" x14ac:dyDescent="0.4">
      <c r="A15" s="67" t="s">
        <v>76</v>
      </c>
      <c r="B15" s="13" t="s">
        <v>5</v>
      </c>
      <c r="C15" s="29" t="s">
        <v>4</v>
      </c>
      <c r="D15" s="29" t="s">
        <v>4</v>
      </c>
      <c r="E15" s="79" t="s">
        <v>16</v>
      </c>
      <c r="F15" s="79" t="s">
        <v>16</v>
      </c>
      <c r="G15" s="79" t="s">
        <v>16</v>
      </c>
      <c r="H15" s="79" t="s">
        <v>16</v>
      </c>
      <c r="I15" s="79" t="s">
        <v>16</v>
      </c>
      <c r="J15" s="66" t="s">
        <v>30</v>
      </c>
      <c r="K15" s="29" t="s">
        <v>4</v>
      </c>
      <c r="L15" s="79" t="s">
        <v>16</v>
      </c>
      <c r="M15" s="12" t="s">
        <v>2</v>
      </c>
      <c r="N15" s="25" t="s">
        <v>6</v>
      </c>
      <c r="O15" s="25" t="s">
        <v>6</v>
      </c>
      <c r="P15" s="13" t="s">
        <v>5</v>
      </c>
      <c r="Q15" s="29" t="s">
        <v>4</v>
      </c>
      <c r="R15" s="29" t="s">
        <v>4</v>
      </c>
      <c r="S15" s="25" t="s">
        <v>6</v>
      </c>
      <c r="T15" s="25" t="s">
        <v>6</v>
      </c>
      <c r="U15" s="12" t="s">
        <v>2</v>
      </c>
      <c r="V15" s="22" t="s">
        <v>16</v>
      </c>
      <c r="W15" s="25" t="s">
        <v>6</v>
      </c>
      <c r="X15" s="25" t="s">
        <v>3</v>
      </c>
      <c r="Y15" s="25" t="s">
        <v>3</v>
      </c>
      <c r="Z15" s="25" t="s">
        <v>6</v>
      </c>
      <c r="AA15" s="12" t="s">
        <v>2</v>
      </c>
      <c r="AB15" s="25" t="s">
        <v>6</v>
      </c>
      <c r="AC15" s="25" t="s">
        <v>6</v>
      </c>
      <c r="AD15" s="25" t="s">
        <v>6</v>
      </c>
      <c r="AE15" s="29" t="s">
        <v>4</v>
      </c>
      <c r="AF15" s="29" t="s">
        <v>4</v>
      </c>
    </row>
    <row r="16" spans="1:32" x14ac:dyDescent="0.35">
      <c r="A16" s="67" t="s">
        <v>74</v>
      </c>
      <c r="B16" s="79" t="s">
        <v>16</v>
      </c>
      <c r="C16" s="29" t="s">
        <v>4</v>
      </c>
      <c r="D16" s="29" t="s">
        <v>4</v>
      </c>
      <c r="E16" s="79" t="s">
        <v>16</v>
      </c>
      <c r="F16" s="79" t="s">
        <v>16</v>
      </c>
      <c r="G16" s="79" t="s">
        <v>16</v>
      </c>
      <c r="H16" s="79" t="s">
        <v>16</v>
      </c>
      <c r="I16" s="79" t="s">
        <v>16</v>
      </c>
      <c r="J16" s="29" t="s">
        <v>4</v>
      </c>
      <c r="K16" s="29" t="s">
        <v>4</v>
      </c>
      <c r="L16" s="25" t="s">
        <v>6</v>
      </c>
      <c r="M16" s="10" t="s">
        <v>41</v>
      </c>
      <c r="N16" s="12" t="s">
        <v>2</v>
      </c>
      <c r="O16" s="25" t="s">
        <v>6</v>
      </c>
      <c r="P16" s="25" t="s">
        <v>6</v>
      </c>
      <c r="Q16" s="29" t="s">
        <v>4</v>
      </c>
      <c r="R16" s="19" t="s">
        <v>42</v>
      </c>
      <c r="S16" s="12" t="s">
        <v>2</v>
      </c>
      <c r="T16" s="10" t="s">
        <v>41</v>
      </c>
      <c r="U16" s="10" t="s">
        <v>41</v>
      </c>
      <c r="V16" s="10" t="s">
        <v>41</v>
      </c>
      <c r="W16" s="10" t="s">
        <v>41</v>
      </c>
      <c r="X16" s="29" t="s">
        <v>4</v>
      </c>
      <c r="Y16" s="29" t="s">
        <v>4</v>
      </c>
      <c r="Z16" s="25" t="s">
        <v>6</v>
      </c>
      <c r="AA16" s="12" t="s">
        <v>2</v>
      </c>
      <c r="AB16" s="10" t="s">
        <v>41</v>
      </c>
      <c r="AC16" s="10" t="s">
        <v>41</v>
      </c>
      <c r="AD16" s="10" t="s">
        <v>41</v>
      </c>
      <c r="AE16" s="29" t="s">
        <v>4</v>
      </c>
      <c r="AF16" s="29" t="s">
        <v>4</v>
      </c>
    </row>
    <row r="17" spans="1:32" x14ac:dyDescent="0.35">
      <c r="A17" s="67" t="s">
        <v>77</v>
      </c>
      <c r="B17" s="17" t="s">
        <v>10</v>
      </c>
      <c r="C17" s="29" t="s">
        <v>4</v>
      </c>
      <c r="D17" s="29" t="s">
        <v>4</v>
      </c>
      <c r="E17" s="25" t="s">
        <v>6</v>
      </c>
      <c r="F17" s="25" t="s">
        <v>6</v>
      </c>
      <c r="G17" s="25" t="s">
        <v>6</v>
      </c>
      <c r="H17" s="25" t="s">
        <v>6</v>
      </c>
      <c r="I17" s="25" t="s">
        <v>6</v>
      </c>
      <c r="J17" s="29" t="s">
        <v>4</v>
      </c>
      <c r="K17" s="29" t="s">
        <v>4</v>
      </c>
      <c r="L17" s="10" t="s">
        <v>41</v>
      </c>
      <c r="M17" s="17" t="s">
        <v>10</v>
      </c>
      <c r="N17" s="17" t="s">
        <v>10</v>
      </c>
      <c r="O17" s="17" t="s">
        <v>10</v>
      </c>
      <c r="P17" s="17" t="s">
        <v>10</v>
      </c>
      <c r="Q17" s="29" t="s">
        <v>4</v>
      </c>
      <c r="R17" s="29" t="s">
        <v>4</v>
      </c>
      <c r="S17" s="10" t="s">
        <v>41</v>
      </c>
      <c r="T17" s="10" t="s">
        <v>41</v>
      </c>
      <c r="U17" s="10" t="s">
        <v>41</v>
      </c>
      <c r="V17" s="10" t="s">
        <v>41</v>
      </c>
      <c r="W17" s="10" t="s">
        <v>41</v>
      </c>
      <c r="X17" s="29" t="s">
        <v>4</v>
      </c>
      <c r="Y17" s="29" t="s">
        <v>4</v>
      </c>
      <c r="Z17" s="79" t="s">
        <v>16</v>
      </c>
      <c r="AA17" s="79" t="s">
        <v>16</v>
      </c>
      <c r="AB17" s="79" t="s">
        <v>16</v>
      </c>
      <c r="AC17" s="79" t="s">
        <v>16</v>
      </c>
      <c r="AD17" s="79" t="s">
        <v>16</v>
      </c>
      <c r="AE17" s="78" t="s">
        <v>42</v>
      </c>
      <c r="AF17" s="29" t="s">
        <v>4</v>
      </c>
    </row>
    <row r="18" spans="1:32" x14ac:dyDescent="0.35">
      <c r="A18" s="67" t="s">
        <v>78</v>
      </c>
      <c r="B18" s="22" t="s">
        <v>16</v>
      </c>
      <c r="C18" s="29" t="s">
        <v>4</v>
      </c>
      <c r="D18" s="29" t="s">
        <v>4</v>
      </c>
      <c r="E18" s="22" t="s">
        <v>16</v>
      </c>
      <c r="F18" s="22" t="s">
        <v>16</v>
      </c>
      <c r="G18" s="22" t="s">
        <v>16</v>
      </c>
      <c r="H18" s="22" t="s">
        <v>16</v>
      </c>
      <c r="I18" s="22" t="s">
        <v>16</v>
      </c>
      <c r="J18" s="29" t="s">
        <v>4</v>
      </c>
      <c r="K18" s="29" t="s">
        <v>4</v>
      </c>
      <c r="L18" s="22" t="s">
        <v>16</v>
      </c>
      <c r="M18" s="22" t="s">
        <v>16</v>
      </c>
      <c r="N18" s="22" t="s">
        <v>16</v>
      </c>
      <c r="O18" s="22" t="s">
        <v>16</v>
      </c>
      <c r="P18" s="22" t="s">
        <v>16</v>
      </c>
      <c r="Q18" s="29" t="s">
        <v>4</v>
      </c>
      <c r="R18" s="29" t="s">
        <v>4</v>
      </c>
      <c r="S18" s="22" t="s">
        <v>16</v>
      </c>
      <c r="T18" s="22" t="s">
        <v>16</v>
      </c>
      <c r="U18" s="22" t="s">
        <v>16</v>
      </c>
      <c r="V18" s="22" t="s">
        <v>16</v>
      </c>
      <c r="W18" s="22" t="s">
        <v>16</v>
      </c>
      <c r="X18" s="29" t="s">
        <v>4</v>
      </c>
      <c r="Y18" s="29" t="s">
        <v>4</v>
      </c>
      <c r="Z18" s="22" t="s">
        <v>16</v>
      </c>
      <c r="AA18" s="22" t="s">
        <v>16</v>
      </c>
      <c r="AB18" s="22" t="s">
        <v>16</v>
      </c>
      <c r="AC18" s="22" t="s">
        <v>16</v>
      </c>
      <c r="AD18" s="22" t="s">
        <v>16</v>
      </c>
      <c r="AE18" s="29" t="s">
        <v>4</v>
      </c>
      <c r="AF18" s="29" t="s">
        <v>4</v>
      </c>
    </row>
    <row r="20" spans="1:32" x14ac:dyDescent="0.35">
      <c r="A20" s="24" t="s">
        <v>23</v>
      </c>
    </row>
    <row r="21" spans="1:32" x14ac:dyDescent="0.35">
      <c r="A21" s="1" t="s">
        <v>24</v>
      </c>
    </row>
    <row r="22" spans="1:32" x14ac:dyDescent="0.35">
      <c r="A22" s="1" t="s">
        <v>25</v>
      </c>
    </row>
    <row r="23" spans="1:32" x14ac:dyDescent="0.35">
      <c r="A23" s="1" t="s">
        <v>47</v>
      </c>
    </row>
    <row r="24" spans="1:32" x14ac:dyDescent="0.35">
      <c r="A24" s="1" t="s">
        <v>48</v>
      </c>
    </row>
    <row r="25" spans="1:32" x14ac:dyDescent="0.35">
      <c r="A25" s="26" t="s">
        <v>26</v>
      </c>
    </row>
    <row r="26" spans="1:32" x14ac:dyDescent="0.35">
      <c r="A26" s="26" t="s">
        <v>27</v>
      </c>
    </row>
    <row r="27" spans="1:32" x14ac:dyDescent="0.35">
      <c r="A27" s="26" t="s">
        <v>28</v>
      </c>
    </row>
    <row r="28" spans="1:32" x14ac:dyDescent="0.35">
      <c r="A28" s="26" t="s">
        <v>29</v>
      </c>
    </row>
    <row r="29" spans="1:32" x14ac:dyDescent="0.35">
      <c r="A29" s="26" t="s">
        <v>49</v>
      </c>
    </row>
    <row r="30" spans="1:32" x14ac:dyDescent="0.35">
      <c r="A30" s="26" t="s">
        <v>50</v>
      </c>
    </row>
    <row r="31" spans="1:32" x14ac:dyDescent="0.35">
      <c r="A31" s="26" t="s">
        <v>31</v>
      </c>
    </row>
    <row r="32" spans="1:32" x14ac:dyDescent="0.35">
      <c r="A32" s="26" t="s">
        <v>32</v>
      </c>
    </row>
    <row r="33" spans="1:1" x14ac:dyDescent="0.35">
      <c r="A33" s="26" t="s">
        <v>33</v>
      </c>
    </row>
    <row r="34" spans="1:1" x14ac:dyDescent="0.35">
      <c r="A34" s="26" t="s">
        <v>35</v>
      </c>
    </row>
    <row r="35" spans="1:1" x14ac:dyDescent="0.35">
      <c r="A35" s="26" t="s">
        <v>36</v>
      </c>
    </row>
    <row r="36" spans="1:1" x14ac:dyDescent="0.35">
      <c r="A36" s="26" t="s">
        <v>38</v>
      </c>
    </row>
    <row r="37" spans="1:1" x14ac:dyDescent="0.35">
      <c r="A37" s="26" t="s">
        <v>36</v>
      </c>
    </row>
    <row r="38" spans="1:1" x14ac:dyDescent="0.35">
      <c r="A38" s="26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45"/>
  <sheetViews>
    <sheetView zoomScale="80" zoomScaleNormal="80" workbookViewId="0">
      <pane xSplit="1" topLeftCell="N1" activePane="topRight" state="frozen"/>
      <selection pane="topRight" activeCell="AH4" sqref="AH4"/>
    </sheetView>
  </sheetViews>
  <sheetFormatPr defaultColWidth="9.1796875" defaultRowHeight="14.5" x14ac:dyDescent="0.35"/>
  <cols>
    <col min="1" max="1" width="26.1796875" style="45" bestFit="1" customWidth="1"/>
    <col min="2" max="3" width="7.26953125" style="45" customWidth="1"/>
    <col min="4" max="5" width="9.26953125" style="45" customWidth="1"/>
    <col min="6" max="7" width="7.26953125" style="45" customWidth="1"/>
    <col min="8" max="8" width="7.54296875" style="45" customWidth="1"/>
    <col min="9" max="9" width="7.26953125" style="45" customWidth="1"/>
    <col min="10" max="10" width="7.54296875" style="45" customWidth="1"/>
    <col min="11" max="12" width="9.26953125" style="45" customWidth="1"/>
    <col min="13" max="13" width="7.54296875" style="45" customWidth="1"/>
    <col min="14" max="14" width="9.26953125" style="45" customWidth="1"/>
    <col min="15" max="17" width="7.54296875" style="45" customWidth="1"/>
    <col min="18" max="18" width="9.26953125" style="45" customWidth="1"/>
    <col min="19" max="21" width="6.7265625" style="45" customWidth="1"/>
    <col min="22" max="32" width="9.1796875" style="45" customWidth="1"/>
    <col min="33" max="16384" width="9.1796875" style="45"/>
  </cols>
  <sheetData>
    <row r="1" spans="1:32" ht="15" customHeight="1" x14ac:dyDescent="0.35">
      <c r="A1" s="30"/>
      <c r="B1" s="2" t="str">
        <f t="shared" ref="B1:AF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si="0"/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 t="shared" si="0"/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Sun</v>
      </c>
    </row>
    <row r="2" spans="1:32" x14ac:dyDescent="0.35">
      <c r="A2" s="7" t="s">
        <v>0</v>
      </c>
      <c r="B2" s="31">
        <v>44743</v>
      </c>
      <c r="C2" s="31">
        <v>44744</v>
      </c>
      <c r="D2" s="31">
        <v>44745</v>
      </c>
      <c r="E2" s="31">
        <v>44746</v>
      </c>
      <c r="F2" s="31">
        <v>44747</v>
      </c>
      <c r="G2" s="31">
        <v>44748</v>
      </c>
      <c r="H2" s="31">
        <v>44749</v>
      </c>
      <c r="I2" s="31">
        <v>44750</v>
      </c>
      <c r="J2" s="31">
        <v>44751</v>
      </c>
      <c r="K2" s="31">
        <v>44752</v>
      </c>
      <c r="L2" s="31">
        <v>44753</v>
      </c>
      <c r="M2" s="31">
        <v>44754</v>
      </c>
      <c r="N2" s="31">
        <v>44755</v>
      </c>
      <c r="O2" s="31">
        <v>44756</v>
      </c>
      <c r="P2" s="31">
        <v>44757</v>
      </c>
      <c r="Q2" s="31">
        <v>44758</v>
      </c>
      <c r="R2" s="31">
        <v>44759</v>
      </c>
      <c r="S2" s="31">
        <v>44760</v>
      </c>
      <c r="T2" s="31">
        <v>44761</v>
      </c>
      <c r="U2" s="31">
        <v>44762</v>
      </c>
      <c r="V2" s="31">
        <v>44763</v>
      </c>
      <c r="W2" s="31">
        <v>44764</v>
      </c>
      <c r="X2" s="31">
        <v>44765</v>
      </c>
      <c r="Y2" s="31">
        <v>44766</v>
      </c>
      <c r="Z2" s="31">
        <v>44767</v>
      </c>
      <c r="AA2" s="31">
        <v>44768</v>
      </c>
      <c r="AB2" s="31">
        <v>44769</v>
      </c>
      <c r="AC2" s="31">
        <v>44770</v>
      </c>
      <c r="AD2" s="31">
        <v>44771</v>
      </c>
      <c r="AE2" s="31">
        <v>44772</v>
      </c>
      <c r="AF2" s="31">
        <v>44773</v>
      </c>
    </row>
    <row r="3" spans="1:32" x14ac:dyDescent="0.35">
      <c r="A3" s="8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</row>
    <row r="4" spans="1:32" x14ac:dyDescent="0.35">
      <c r="A4" s="67" t="s">
        <v>1</v>
      </c>
      <c r="B4" s="12" t="s">
        <v>2</v>
      </c>
      <c r="C4" s="68" t="s">
        <v>4</v>
      </c>
      <c r="D4" s="68" t="s">
        <v>4</v>
      </c>
      <c r="E4" s="13" t="s">
        <v>5</v>
      </c>
      <c r="F4" s="13" t="s">
        <v>5</v>
      </c>
      <c r="G4" s="13" t="s">
        <v>5</v>
      </c>
      <c r="H4" s="13" t="s">
        <v>5</v>
      </c>
      <c r="I4" s="13" t="s">
        <v>5</v>
      </c>
      <c r="J4" s="68" t="s">
        <v>4</v>
      </c>
      <c r="K4" s="68" t="s">
        <v>4</v>
      </c>
      <c r="L4" s="13" t="s">
        <v>5</v>
      </c>
      <c r="M4" s="16" t="s">
        <v>8</v>
      </c>
      <c r="N4" s="16" t="s">
        <v>8</v>
      </c>
      <c r="O4" s="16" t="s">
        <v>8</v>
      </c>
      <c r="P4" s="16" t="s">
        <v>8</v>
      </c>
      <c r="Q4" s="29" t="s">
        <v>4</v>
      </c>
      <c r="R4" s="19" t="s">
        <v>42</v>
      </c>
      <c r="S4" s="25" t="s">
        <v>6</v>
      </c>
      <c r="T4" s="68" t="s">
        <v>2</v>
      </c>
      <c r="U4" s="68" t="s">
        <v>2</v>
      </c>
      <c r="V4" s="13" t="s">
        <v>5</v>
      </c>
      <c r="W4" s="10" t="s">
        <v>41</v>
      </c>
      <c r="X4" s="10" t="s">
        <v>42</v>
      </c>
      <c r="Y4" s="10" t="s">
        <v>42</v>
      </c>
      <c r="Z4" s="10" t="s">
        <v>41</v>
      </c>
      <c r="AA4" s="10" t="s">
        <v>41</v>
      </c>
      <c r="AB4" s="10" t="s">
        <v>41</v>
      </c>
      <c r="AC4" s="12" t="s">
        <v>2</v>
      </c>
      <c r="AD4" s="12" t="s">
        <v>2</v>
      </c>
      <c r="AE4" s="17" t="s">
        <v>11</v>
      </c>
      <c r="AF4" s="17" t="s">
        <v>11</v>
      </c>
    </row>
    <row r="5" spans="1:32" x14ac:dyDescent="0.35">
      <c r="A5" s="67" t="s">
        <v>9</v>
      </c>
      <c r="B5" s="13" t="s">
        <v>5</v>
      </c>
      <c r="C5" s="68" t="s">
        <v>4</v>
      </c>
      <c r="D5" s="17" t="s">
        <v>11</v>
      </c>
      <c r="E5" s="17" t="s">
        <v>10</v>
      </c>
      <c r="F5" s="17" t="s">
        <v>10</v>
      </c>
      <c r="G5" s="17" t="s">
        <v>10</v>
      </c>
      <c r="H5" s="17" t="s">
        <v>10</v>
      </c>
      <c r="I5" s="12" t="s">
        <v>2</v>
      </c>
      <c r="J5" s="25" t="s">
        <v>3</v>
      </c>
      <c r="K5" s="17" t="s">
        <v>11</v>
      </c>
      <c r="L5" s="17" t="s">
        <v>10</v>
      </c>
      <c r="M5" s="12" t="s">
        <v>2</v>
      </c>
      <c r="N5" s="78" t="s">
        <v>6</v>
      </c>
      <c r="O5" s="78" t="s">
        <v>6</v>
      </c>
      <c r="P5" s="78" t="s">
        <v>6</v>
      </c>
      <c r="Q5" s="68" t="s">
        <v>4</v>
      </c>
      <c r="R5" s="17" t="s">
        <v>11</v>
      </c>
      <c r="S5" s="17" t="s">
        <v>10</v>
      </c>
      <c r="T5" s="17" t="s">
        <v>10</v>
      </c>
      <c r="U5" s="17" t="s">
        <v>10</v>
      </c>
      <c r="V5" s="12" t="s">
        <v>2</v>
      </c>
      <c r="W5" s="78" t="s">
        <v>6</v>
      </c>
      <c r="X5" s="68" t="s">
        <v>4</v>
      </c>
      <c r="Y5" s="17" t="s">
        <v>11</v>
      </c>
      <c r="Z5" s="17" t="s">
        <v>10</v>
      </c>
      <c r="AA5" s="17" t="s">
        <v>10</v>
      </c>
      <c r="AB5" s="17" t="s">
        <v>10</v>
      </c>
      <c r="AC5" s="17" t="s">
        <v>10</v>
      </c>
      <c r="AD5" s="12" t="s">
        <v>2</v>
      </c>
      <c r="AE5" s="10" t="s">
        <v>42</v>
      </c>
      <c r="AF5" s="29" t="s">
        <v>4</v>
      </c>
    </row>
    <row r="6" spans="1:32" x14ac:dyDescent="0.35">
      <c r="A6" s="67" t="s">
        <v>12</v>
      </c>
      <c r="B6" s="17" t="s">
        <v>10</v>
      </c>
      <c r="C6" s="29" t="s">
        <v>4</v>
      </c>
      <c r="D6" s="10" t="s">
        <v>42</v>
      </c>
      <c r="E6" s="10" t="s">
        <v>41</v>
      </c>
      <c r="F6" s="10" t="s">
        <v>41</v>
      </c>
      <c r="G6" s="12" t="s">
        <v>2</v>
      </c>
      <c r="H6" s="10" t="s">
        <v>41</v>
      </c>
      <c r="I6" s="10" t="s">
        <v>41</v>
      </c>
      <c r="J6" s="19" t="s">
        <v>42</v>
      </c>
      <c r="K6" s="19" t="s">
        <v>42</v>
      </c>
      <c r="L6" s="12" t="s">
        <v>2</v>
      </c>
      <c r="M6" s="17" t="s">
        <v>10</v>
      </c>
      <c r="N6" s="17" t="s">
        <v>10</v>
      </c>
      <c r="O6" s="17" t="s">
        <v>10</v>
      </c>
      <c r="P6" s="17" t="s">
        <v>10</v>
      </c>
      <c r="Q6" s="17" t="s">
        <v>11</v>
      </c>
      <c r="R6" s="29" t="s">
        <v>4</v>
      </c>
      <c r="S6" s="10" t="s">
        <v>41</v>
      </c>
      <c r="T6" s="10" t="s">
        <v>41</v>
      </c>
      <c r="U6" s="10" t="s">
        <v>41</v>
      </c>
      <c r="V6" s="13" t="s">
        <v>5</v>
      </c>
      <c r="W6" s="13" t="s">
        <v>5</v>
      </c>
      <c r="X6" s="68" t="s">
        <v>4</v>
      </c>
      <c r="Y6" s="68" t="s">
        <v>4</v>
      </c>
      <c r="Z6" s="13" t="s">
        <v>5</v>
      </c>
      <c r="AA6" s="78" t="s">
        <v>41</v>
      </c>
      <c r="AB6" s="78" t="s">
        <v>41</v>
      </c>
      <c r="AC6" s="78" t="s">
        <v>41</v>
      </c>
      <c r="AD6" s="78" t="s">
        <v>41</v>
      </c>
      <c r="AE6" s="25" t="s">
        <v>3</v>
      </c>
      <c r="AF6" s="25" t="s">
        <v>3</v>
      </c>
    </row>
    <row r="7" spans="1:32" x14ac:dyDescent="0.35">
      <c r="A7" s="67" t="s">
        <v>14</v>
      </c>
      <c r="B7" s="79" t="s">
        <v>16</v>
      </c>
      <c r="C7" s="84" t="s">
        <v>30</v>
      </c>
      <c r="D7" s="29" t="s">
        <v>4</v>
      </c>
      <c r="E7" s="79" t="s">
        <v>16</v>
      </c>
      <c r="F7" s="79" t="s">
        <v>16</v>
      </c>
      <c r="G7" s="79" t="s">
        <v>16</v>
      </c>
      <c r="H7" s="79" t="s">
        <v>16</v>
      </c>
      <c r="I7" s="79" t="s">
        <v>16</v>
      </c>
      <c r="J7" s="68" t="s">
        <v>4</v>
      </c>
      <c r="K7" s="68" t="s">
        <v>4</v>
      </c>
      <c r="L7" s="13" t="s">
        <v>5</v>
      </c>
      <c r="M7" s="25" t="s">
        <v>6</v>
      </c>
      <c r="N7" s="10" t="s">
        <v>41</v>
      </c>
      <c r="O7" s="10" t="s">
        <v>41</v>
      </c>
      <c r="P7" s="10" t="s">
        <v>41</v>
      </c>
      <c r="Q7" s="25" t="s">
        <v>3</v>
      </c>
      <c r="R7" s="68" t="s">
        <v>4</v>
      </c>
      <c r="S7" s="13" t="s">
        <v>5</v>
      </c>
      <c r="T7" s="12" t="s">
        <v>2</v>
      </c>
      <c r="U7" s="10" t="s">
        <v>41</v>
      </c>
      <c r="V7" s="10" t="s">
        <v>41</v>
      </c>
      <c r="W7" s="10" t="s">
        <v>41</v>
      </c>
      <c r="X7" s="25" t="s">
        <v>3</v>
      </c>
      <c r="Y7" s="25" t="s">
        <v>3</v>
      </c>
      <c r="Z7" s="25" t="s">
        <v>6</v>
      </c>
      <c r="AA7" s="12" t="s">
        <v>2</v>
      </c>
      <c r="AB7" s="25" t="s">
        <v>6</v>
      </c>
      <c r="AC7" s="25" t="s">
        <v>6</v>
      </c>
      <c r="AD7" s="13" t="s">
        <v>5</v>
      </c>
      <c r="AE7" s="68" t="s">
        <v>4</v>
      </c>
      <c r="AF7" s="68" t="s">
        <v>4</v>
      </c>
    </row>
    <row r="8" spans="1:32" x14ac:dyDescent="0.35">
      <c r="A8" s="67" t="s">
        <v>15</v>
      </c>
      <c r="B8" s="25" t="s">
        <v>6</v>
      </c>
      <c r="C8" s="17" t="s">
        <v>11</v>
      </c>
      <c r="D8" s="29" t="s">
        <v>4</v>
      </c>
      <c r="E8" s="25" t="s">
        <v>6</v>
      </c>
      <c r="F8" s="25" t="s">
        <v>6</v>
      </c>
      <c r="G8" s="10" t="s">
        <v>41</v>
      </c>
      <c r="H8" s="10" t="s">
        <v>41</v>
      </c>
      <c r="I8" s="17" t="s">
        <v>10</v>
      </c>
      <c r="J8" s="17" t="s">
        <v>11</v>
      </c>
      <c r="K8" s="29" t="s">
        <v>4</v>
      </c>
      <c r="L8" s="78" t="s">
        <v>41</v>
      </c>
      <c r="M8" s="78" t="s">
        <v>41</v>
      </c>
      <c r="N8" s="78" t="s">
        <v>41</v>
      </c>
      <c r="O8" s="78" t="s">
        <v>41</v>
      </c>
      <c r="P8" s="78" t="s">
        <v>41</v>
      </c>
      <c r="Q8" s="29" t="s">
        <v>4</v>
      </c>
      <c r="R8" s="25" t="s">
        <v>3</v>
      </c>
      <c r="S8" s="17" t="s">
        <v>10</v>
      </c>
      <c r="T8" s="12" t="s">
        <v>2</v>
      </c>
      <c r="U8" s="17" t="s">
        <v>10</v>
      </c>
      <c r="V8" s="17" t="s">
        <v>10</v>
      </c>
      <c r="W8" s="17" t="s">
        <v>10</v>
      </c>
      <c r="X8" s="17" t="s">
        <v>11</v>
      </c>
      <c r="Y8" s="29" t="s">
        <v>4</v>
      </c>
      <c r="Z8" s="12" t="s">
        <v>2</v>
      </c>
      <c r="AA8" s="17" t="s">
        <v>10</v>
      </c>
      <c r="AB8" s="17" t="s">
        <v>10</v>
      </c>
      <c r="AC8" s="17" t="s">
        <v>10</v>
      </c>
      <c r="AD8" s="17" t="s">
        <v>10</v>
      </c>
      <c r="AE8" s="29" t="s">
        <v>4</v>
      </c>
      <c r="AF8" s="10" t="s">
        <v>42</v>
      </c>
    </row>
    <row r="9" spans="1:32" x14ac:dyDescent="0.35">
      <c r="A9" s="67" t="s">
        <v>18</v>
      </c>
      <c r="B9" s="10" t="s">
        <v>41</v>
      </c>
      <c r="C9" s="25" t="s">
        <v>3</v>
      </c>
      <c r="D9" s="25" t="s">
        <v>3</v>
      </c>
      <c r="E9" s="12" t="s">
        <v>2</v>
      </c>
      <c r="F9" s="25" t="s">
        <v>6</v>
      </c>
      <c r="G9" s="25" t="s">
        <v>6</v>
      </c>
      <c r="H9" s="25" t="s">
        <v>6</v>
      </c>
      <c r="I9" s="25" t="s">
        <v>6</v>
      </c>
      <c r="J9" s="29" t="s">
        <v>4</v>
      </c>
      <c r="K9" s="29" t="s">
        <v>4</v>
      </c>
      <c r="L9" s="79" t="s">
        <v>16</v>
      </c>
      <c r="M9" s="78" t="s">
        <v>41</v>
      </c>
      <c r="N9" s="78" t="s">
        <v>41</v>
      </c>
      <c r="O9" s="78" t="s">
        <v>41</v>
      </c>
      <c r="P9" s="78" t="s">
        <v>41</v>
      </c>
      <c r="Q9" s="83" t="s">
        <v>3</v>
      </c>
      <c r="R9" s="29" t="s">
        <v>4</v>
      </c>
      <c r="S9" s="12" t="s">
        <v>2</v>
      </c>
      <c r="T9" s="25" t="s">
        <v>6</v>
      </c>
      <c r="U9" s="25" t="s">
        <v>6</v>
      </c>
      <c r="V9" s="25" t="s">
        <v>6</v>
      </c>
      <c r="W9" s="25" t="s">
        <v>6</v>
      </c>
      <c r="X9" s="29" t="s">
        <v>4</v>
      </c>
      <c r="Y9" s="29" t="s">
        <v>4</v>
      </c>
      <c r="Z9" s="25" t="s">
        <v>6</v>
      </c>
      <c r="AA9" s="25" t="s">
        <v>6</v>
      </c>
      <c r="AB9" s="25" t="s">
        <v>6</v>
      </c>
      <c r="AC9" s="12" t="s">
        <v>2</v>
      </c>
      <c r="AD9" s="25" t="s">
        <v>6</v>
      </c>
      <c r="AE9" s="29" t="s">
        <v>4</v>
      </c>
      <c r="AF9" s="29" t="s">
        <v>4</v>
      </c>
    </row>
    <row r="10" spans="1:32" ht="14.15" customHeight="1" x14ac:dyDescent="0.35">
      <c r="A10" s="67" t="s">
        <v>21</v>
      </c>
      <c r="B10" s="12" t="s">
        <v>2</v>
      </c>
      <c r="C10" s="17" t="s">
        <v>11</v>
      </c>
      <c r="D10" s="17" t="s">
        <v>11</v>
      </c>
      <c r="E10" s="17" t="s">
        <v>10</v>
      </c>
      <c r="F10" s="17" t="s">
        <v>10</v>
      </c>
      <c r="G10" s="17" t="s">
        <v>10</v>
      </c>
      <c r="H10" s="12" t="s">
        <v>2</v>
      </c>
      <c r="I10" s="12" t="s">
        <v>2</v>
      </c>
      <c r="J10" s="25" t="s">
        <v>3</v>
      </c>
      <c r="K10" s="19" t="s">
        <v>42</v>
      </c>
      <c r="L10" s="25" t="s">
        <v>6</v>
      </c>
      <c r="M10" s="25" t="s">
        <v>6</v>
      </c>
      <c r="N10" s="12" t="s">
        <v>2</v>
      </c>
      <c r="O10" s="78" t="s">
        <v>41</v>
      </c>
      <c r="P10" s="78" t="s">
        <v>41</v>
      </c>
      <c r="Q10" s="84" t="s">
        <v>30</v>
      </c>
      <c r="R10" s="83" t="s">
        <v>3</v>
      </c>
      <c r="S10" s="79" t="s">
        <v>16</v>
      </c>
      <c r="T10" s="79" t="s">
        <v>16</v>
      </c>
      <c r="U10" s="12" t="s">
        <v>2</v>
      </c>
      <c r="V10" s="17" t="s">
        <v>10</v>
      </c>
      <c r="W10" s="17" t="s">
        <v>10</v>
      </c>
      <c r="X10" s="17" t="s">
        <v>11</v>
      </c>
      <c r="Y10" s="17" t="s">
        <v>11</v>
      </c>
      <c r="Z10" s="17" t="s">
        <v>10</v>
      </c>
      <c r="AA10" s="12" t="s">
        <v>2</v>
      </c>
      <c r="AB10" s="12" t="s">
        <v>2</v>
      </c>
      <c r="AC10" s="10" t="s">
        <v>41</v>
      </c>
      <c r="AD10" s="17" t="s">
        <v>10</v>
      </c>
      <c r="AE10" s="29" t="s">
        <v>4</v>
      </c>
      <c r="AF10" s="10" t="s">
        <v>42</v>
      </c>
    </row>
    <row r="11" spans="1:32" x14ac:dyDescent="0.35">
      <c r="A11" s="67" t="s">
        <v>43</v>
      </c>
      <c r="B11" s="25" t="s">
        <v>6</v>
      </c>
      <c r="C11" s="10" t="s">
        <v>42</v>
      </c>
      <c r="D11" s="29" t="s">
        <v>4</v>
      </c>
      <c r="E11" s="10" t="s">
        <v>41</v>
      </c>
      <c r="F11" s="10" t="s">
        <v>41</v>
      </c>
      <c r="G11" s="12" t="s">
        <v>2</v>
      </c>
      <c r="H11" s="17" t="s">
        <v>10</v>
      </c>
      <c r="I11" s="17" t="s">
        <v>10</v>
      </c>
      <c r="J11" s="17" t="s">
        <v>11</v>
      </c>
      <c r="K11" s="17" t="s">
        <v>11</v>
      </c>
      <c r="L11" s="17" t="s">
        <v>10</v>
      </c>
      <c r="M11" s="12" t="s">
        <v>2</v>
      </c>
      <c r="N11" s="25" t="s">
        <v>6</v>
      </c>
      <c r="O11" s="25" t="s">
        <v>6</v>
      </c>
      <c r="P11" s="25" t="s">
        <v>6</v>
      </c>
      <c r="Q11" s="19" t="s">
        <v>42</v>
      </c>
      <c r="R11" s="29" t="s">
        <v>4</v>
      </c>
      <c r="S11" s="25" t="s">
        <v>6</v>
      </c>
      <c r="T11" s="25" t="s">
        <v>6</v>
      </c>
      <c r="U11" s="25" t="s">
        <v>6</v>
      </c>
      <c r="V11" s="25" t="s">
        <v>6</v>
      </c>
      <c r="W11" s="25" t="s">
        <v>6</v>
      </c>
      <c r="X11" s="25" t="s">
        <v>3</v>
      </c>
      <c r="Y11" s="29" t="s">
        <v>4</v>
      </c>
      <c r="Z11" s="78" t="s">
        <v>6</v>
      </c>
      <c r="AA11" s="78" t="s">
        <v>6</v>
      </c>
      <c r="AB11" s="78" t="s">
        <v>6</v>
      </c>
      <c r="AC11" s="78" t="s">
        <v>6</v>
      </c>
      <c r="AD11" s="78" t="s">
        <v>6</v>
      </c>
      <c r="AE11" s="17" t="s">
        <v>11</v>
      </c>
      <c r="AF11" s="29" t="s">
        <v>4</v>
      </c>
    </row>
    <row r="12" spans="1:32" ht="15" thickBot="1" x14ac:dyDescent="0.4">
      <c r="A12" s="67" t="s">
        <v>75</v>
      </c>
      <c r="B12" s="78" t="s">
        <v>41</v>
      </c>
      <c r="C12" s="29" t="s">
        <v>4</v>
      </c>
      <c r="D12" s="25" t="s">
        <v>3</v>
      </c>
      <c r="E12" s="10" t="s">
        <v>41</v>
      </c>
      <c r="F12" s="12" t="s">
        <v>2</v>
      </c>
      <c r="G12" s="10" t="s">
        <v>41</v>
      </c>
      <c r="H12" s="78" t="s">
        <v>41</v>
      </c>
      <c r="I12" s="78" t="s">
        <v>41</v>
      </c>
      <c r="J12" s="19" t="s">
        <v>42</v>
      </c>
      <c r="K12" s="25" t="s">
        <v>3</v>
      </c>
      <c r="L12" s="13" t="s">
        <v>5</v>
      </c>
      <c r="M12" s="12" t="s">
        <v>2</v>
      </c>
      <c r="N12" s="12" t="s">
        <v>2</v>
      </c>
      <c r="O12" s="22" t="s">
        <v>16</v>
      </c>
      <c r="P12" s="79" t="s">
        <v>16</v>
      </c>
      <c r="Q12" s="17" t="s">
        <v>11</v>
      </c>
      <c r="R12" s="17" t="s">
        <v>11</v>
      </c>
      <c r="S12" s="12" t="s">
        <v>2</v>
      </c>
      <c r="T12" s="10" t="s">
        <v>41</v>
      </c>
      <c r="U12" s="10" t="s">
        <v>41</v>
      </c>
      <c r="V12" s="10" t="s">
        <v>41</v>
      </c>
      <c r="W12" s="78" t="s">
        <v>41</v>
      </c>
      <c r="X12" s="66" t="s">
        <v>30</v>
      </c>
      <c r="Y12" s="29" t="s">
        <v>4</v>
      </c>
      <c r="Z12" s="10" t="s">
        <v>41</v>
      </c>
      <c r="AA12" s="10" t="s">
        <v>41</v>
      </c>
      <c r="AB12" s="10" t="s">
        <v>41</v>
      </c>
      <c r="AC12" s="13" t="s">
        <v>5</v>
      </c>
      <c r="AD12" s="13" t="s">
        <v>5</v>
      </c>
      <c r="AE12" s="68" t="s">
        <v>4</v>
      </c>
      <c r="AF12" s="68" t="s">
        <v>4</v>
      </c>
    </row>
    <row r="13" spans="1:32" x14ac:dyDescent="0.35">
      <c r="A13" s="67" t="s">
        <v>22</v>
      </c>
      <c r="B13" s="25" t="s">
        <v>6</v>
      </c>
      <c r="C13" s="25" t="s">
        <v>3</v>
      </c>
      <c r="D13" s="29" t="s">
        <v>4</v>
      </c>
      <c r="E13" s="25" t="s">
        <v>6</v>
      </c>
      <c r="F13" s="13" t="s">
        <v>5</v>
      </c>
      <c r="G13" s="13" t="s">
        <v>5</v>
      </c>
      <c r="H13" s="10" t="s">
        <v>41</v>
      </c>
      <c r="I13" s="10" t="s">
        <v>41</v>
      </c>
      <c r="J13" s="29" t="s">
        <v>4</v>
      </c>
      <c r="K13" s="25" t="s">
        <v>3</v>
      </c>
      <c r="L13" s="25" t="s">
        <v>6</v>
      </c>
      <c r="M13" s="25" t="s">
        <v>6</v>
      </c>
      <c r="N13" s="25" t="s">
        <v>6</v>
      </c>
      <c r="O13" s="12" t="s">
        <v>2</v>
      </c>
      <c r="P13" s="12" t="s">
        <v>2</v>
      </c>
      <c r="Q13" s="19" t="s">
        <v>42</v>
      </c>
      <c r="R13" s="29" t="s">
        <v>4</v>
      </c>
      <c r="S13" s="17" t="s">
        <v>10</v>
      </c>
      <c r="T13" s="17" t="s">
        <v>10</v>
      </c>
      <c r="U13" s="17" t="s">
        <v>10</v>
      </c>
      <c r="V13" s="17" t="s">
        <v>10</v>
      </c>
      <c r="W13" s="17" t="s">
        <v>10</v>
      </c>
      <c r="X13" s="29" t="s">
        <v>4</v>
      </c>
      <c r="Y13" s="29" t="s">
        <v>4</v>
      </c>
      <c r="Z13" s="79" t="s">
        <v>16</v>
      </c>
      <c r="AA13" s="79" t="s">
        <v>16</v>
      </c>
      <c r="AB13" s="79" t="s">
        <v>16</v>
      </c>
      <c r="AC13" s="79" t="s">
        <v>16</v>
      </c>
      <c r="AD13" s="79" t="s">
        <v>16</v>
      </c>
      <c r="AE13" s="10" t="s">
        <v>42</v>
      </c>
      <c r="AF13" s="29" t="s">
        <v>4</v>
      </c>
    </row>
    <row r="14" spans="1:32" ht="15" thickBot="1" x14ac:dyDescent="0.4">
      <c r="A14" s="67" t="s">
        <v>62</v>
      </c>
      <c r="B14" s="10" t="s">
        <v>41</v>
      </c>
      <c r="C14" s="19" t="s">
        <v>42</v>
      </c>
      <c r="D14" s="19" t="s">
        <v>42</v>
      </c>
      <c r="E14" s="12" t="s">
        <v>2</v>
      </c>
      <c r="F14" s="10" t="s">
        <v>41</v>
      </c>
      <c r="G14" s="25" t="s">
        <v>6</v>
      </c>
      <c r="H14" s="25" t="s">
        <v>6</v>
      </c>
      <c r="I14" s="25" t="s">
        <v>6</v>
      </c>
      <c r="J14" s="29" t="s">
        <v>4</v>
      </c>
      <c r="K14" s="66" t="s">
        <v>30</v>
      </c>
      <c r="L14" s="10" t="s">
        <v>41</v>
      </c>
      <c r="M14" s="79" t="s">
        <v>16</v>
      </c>
      <c r="N14" s="10" t="s">
        <v>41</v>
      </c>
      <c r="O14" s="79" t="s">
        <v>16</v>
      </c>
      <c r="P14" s="25" t="s">
        <v>6</v>
      </c>
      <c r="Q14" s="29" t="s">
        <v>4</v>
      </c>
      <c r="R14" s="29" t="s">
        <v>4</v>
      </c>
      <c r="S14" s="25" t="s">
        <v>6</v>
      </c>
      <c r="T14" s="79" t="s">
        <v>16</v>
      </c>
      <c r="U14" s="25" t="s">
        <v>6</v>
      </c>
      <c r="V14" s="25" t="s">
        <v>6</v>
      </c>
      <c r="W14" s="12" t="s">
        <v>2</v>
      </c>
      <c r="X14" s="29" t="s">
        <v>4</v>
      </c>
      <c r="Y14" s="25" t="s">
        <v>3</v>
      </c>
      <c r="Z14" s="13" t="s">
        <v>5</v>
      </c>
      <c r="AA14" s="79" t="s">
        <v>16</v>
      </c>
      <c r="AB14" s="13" t="s">
        <v>5</v>
      </c>
      <c r="AC14" s="79" t="s">
        <v>16</v>
      </c>
      <c r="AD14" s="13" t="s">
        <v>5</v>
      </c>
      <c r="AE14" s="17" t="s">
        <v>11</v>
      </c>
      <c r="AF14" s="17" t="s">
        <v>11</v>
      </c>
    </row>
    <row r="15" spans="1:32" ht="15" thickBot="1" x14ac:dyDescent="0.4">
      <c r="A15" s="67" t="s">
        <v>76</v>
      </c>
      <c r="B15" s="13" t="s">
        <v>5</v>
      </c>
      <c r="C15" s="29" t="s">
        <v>4</v>
      </c>
      <c r="D15" s="29" t="s">
        <v>4</v>
      </c>
      <c r="E15" s="79" t="s">
        <v>16</v>
      </c>
      <c r="F15" s="79" t="s">
        <v>16</v>
      </c>
      <c r="G15" s="79" t="s">
        <v>16</v>
      </c>
      <c r="H15" s="79" t="s">
        <v>16</v>
      </c>
      <c r="I15" s="79" t="s">
        <v>16</v>
      </c>
      <c r="J15" s="66" t="s">
        <v>30</v>
      </c>
      <c r="K15" s="29" t="s">
        <v>4</v>
      </c>
      <c r="L15" s="79" t="s">
        <v>16</v>
      </c>
      <c r="M15" s="12" t="s">
        <v>2</v>
      </c>
      <c r="N15" s="25" t="s">
        <v>6</v>
      </c>
      <c r="O15" s="25" t="s">
        <v>6</v>
      </c>
      <c r="P15" s="13" t="s">
        <v>5</v>
      </c>
      <c r="Q15" s="29" t="s">
        <v>4</v>
      </c>
      <c r="R15" s="29" t="s">
        <v>4</v>
      </c>
      <c r="S15" s="10" t="s">
        <v>41</v>
      </c>
      <c r="T15" s="10" t="s">
        <v>41</v>
      </c>
      <c r="U15" s="12" t="s">
        <v>2</v>
      </c>
      <c r="V15" s="10" t="s">
        <v>41</v>
      </c>
      <c r="W15" s="10" t="s">
        <v>41</v>
      </c>
      <c r="X15" s="29" t="s">
        <v>4</v>
      </c>
      <c r="Y15" s="10" t="s">
        <v>42</v>
      </c>
      <c r="Z15" s="10" t="s">
        <v>41</v>
      </c>
      <c r="AA15" s="10" t="s">
        <v>41</v>
      </c>
      <c r="AB15" s="12" t="s">
        <v>2</v>
      </c>
      <c r="AC15" s="10" t="s">
        <v>41</v>
      </c>
      <c r="AD15" s="10" t="s">
        <v>41</v>
      </c>
      <c r="AE15" s="66" t="s">
        <v>30</v>
      </c>
      <c r="AF15" s="25" t="s">
        <v>3</v>
      </c>
    </row>
    <row r="16" spans="1:32" x14ac:dyDescent="0.35">
      <c r="A16" s="67" t="s">
        <v>74</v>
      </c>
      <c r="B16" s="79" t="s">
        <v>16</v>
      </c>
      <c r="C16" s="29" t="s">
        <v>4</v>
      </c>
      <c r="D16" s="29" t="s">
        <v>4</v>
      </c>
      <c r="E16" s="79" t="s">
        <v>16</v>
      </c>
      <c r="F16" s="79" t="s">
        <v>16</v>
      </c>
      <c r="G16" s="79" t="s">
        <v>16</v>
      </c>
      <c r="H16" s="79" t="s">
        <v>16</v>
      </c>
      <c r="I16" s="79" t="s">
        <v>16</v>
      </c>
      <c r="J16" s="29" t="s">
        <v>4</v>
      </c>
      <c r="K16" s="29" t="s">
        <v>4</v>
      </c>
      <c r="L16" s="25" t="s">
        <v>6</v>
      </c>
      <c r="M16" s="10" t="s">
        <v>41</v>
      </c>
      <c r="N16" s="12" t="s">
        <v>2</v>
      </c>
      <c r="O16" s="25" t="s">
        <v>6</v>
      </c>
      <c r="P16" s="25" t="s">
        <v>6</v>
      </c>
      <c r="Q16" s="29" t="s">
        <v>4</v>
      </c>
      <c r="R16" s="19" t="s">
        <v>42</v>
      </c>
      <c r="S16" s="12" t="s">
        <v>2</v>
      </c>
      <c r="T16" s="25" t="s">
        <v>6</v>
      </c>
      <c r="U16" s="25" t="s">
        <v>6</v>
      </c>
      <c r="V16" s="25" t="s">
        <v>6</v>
      </c>
      <c r="W16" s="25" t="s">
        <v>6</v>
      </c>
      <c r="X16" s="29" t="s">
        <v>4</v>
      </c>
      <c r="Y16" s="29" t="s">
        <v>4</v>
      </c>
      <c r="Z16" s="10" t="s">
        <v>41</v>
      </c>
      <c r="AA16" s="25" t="s">
        <v>6</v>
      </c>
      <c r="AB16" s="25" t="s">
        <v>6</v>
      </c>
      <c r="AC16" s="10" t="s">
        <v>41</v>
      </c>
      <c r="AD16" s="25" t="s">
        <v>6</v>
      </c>
      <c r="AE16" s="29" t="s">
        <v>4</v>
      </c>
      <c r="AF16" s="17" t="s">
        <v>11</v>
      </c>
    </row>
    <row r="17" spans="1:32" x14ac:dyDescent="0.35">
      <c r="A17" s="67" t="s">
        <v>77</v>
      </c>
      <c r="B17" s="17" t="s">
        <v>10</v>
      </c>
      <c r="C17" s="29" t="s">
        <v>4</v>
      </c>
      <c r="D17" s="29" t="s">
        <v>4</v>
      </c>
      <c r="E17" s="25" t="s">
        <v>6</v>
      </c>
      <c r="F17" s="25" t="s">
        <v>6</v>
      </c>
      <c r="G17" s="25" t="s">
        <v>6</v>
      </c>
      <c r="H17" s="25" t="s">
        <v>6</v>
      </c>
      <c r="I17" s="25" t="s">
        <v>6</v>
      </c>
      <c r="J17" s="29" t="s">
        <v>4</v>
      </c>
      <c r="K17" s="29" t="s">
        <v>4</v>
      </c>
      <c r="L17" s="10" t="s">
        <v>41</v>
      </c>
      <c r="M17" s="17" t="s">
        <v>10</v>
      </c>
      <c r="N17" s="17" t="s">
        <v>10</v>
      </c>
      <c r="O17" s="17" t="s">
        <v>10</v>
      </c>
      <c r="P17" s="17" t="s">
        <v>10</v>
      </c>
      <c r="Q17" s="29" t="s">
        <v>4</v>
      </c>
      <c r="R17" s="29" t="s">
        <v>4</v>
      </c>
      <c r="S17" s="10" t="s">
        <v>41</v>
      </c>
      <c r="T17" s="10" t="s">
        <v>41</v>
      </c>
      <c r="U17" s="10" t="s">
        <v>41</v>
      </c>
      <c r="V17" s="10" t="s">
        <v>41</v>
      </c>
      <c r="W17" s="10" t="s">
        <v>41</v>
      </c>
      <c r="X17" s="10" t="s">
        <v>42</v>
      </c>
      <c r="Y17" s="29" t="s">
        <v>4</v>
      </c>
      <c r="Z17" s="79" t="s">
        <v>16</v>
      </c>
      <c r="AA17" s="79" t="s">
        <v>16</v>
      </c>
      <c r="AB17" s="79" t="s">
        <v>16</v>
      </c>
      <c r="AC17" s="79" t="s">
        <v>16</v>
      </c>
      <c r="AD17" s="78" t="s">
        <v>41</v>
      </c>
      <c r="AE17" s="25" t="s">
        <v>3</v>
      </c>
      <c r="AF17" s="29" t="s">
        <v>4</v>
      </c>
    </row>
    <row r="19" spans="1:32" x14ac:dyDescent="0.35">
      <c r="A19" s="87" t="s">
        <v>145</v>
      </c>
      <c r="B19" s="88">
        <f t="shared" ref="B19:AF19" si="1">COUNTIF(B3:B17,"*MS")</f>
        <v>3</v>
      </c>
      <c r="C19" s="88">
        <f t="shared" si="1"/>
        <v>2</v>
      </c>
      <c r="D19" s="88">
        <f t="shared" si="1"/>
        <v>2</v>
      </c>
      <c r="E19" s="88">
        <f t="shared" si="1"/>
        <v>3</v>
      </c>
      <c r="F19" s="88">
        <f t="shared" si="1"/>
        <v>3</v>
      </c>
      <c r="G19" s="88">
        <f t="shared" si="1"/>
        <v>3</v>
      </c>
      <c r="H19" s="88">
        <f t="shared" si="1"/>
        <v>3</v>
      </c>
      <c r="I19" s="88">
        <f t="shared" si="1"/>
        <v>3</v>
      </c>
      <c r="J19" s="88">
        <f t="shared" si="1"/>
        <v>2</v>
      </c>
      <c r="K19" s="88">
        <f t="shared" si="1"/>
        <v>2</v>
      </c>
      <c r="L19" s="88">
        <f t="shared" si="1"/>
        <v>3</v>
      </c>
      <c r="M19" s="88">
        <f t="shared" si="1"/>
        <v>3</v>
      </c>
      <c r="N19" s="88">
        <f t="shared" si="1"/>
        <v>4</v>
      </c>
      <c r="O19" s="88">
        <f t="shared" si="1"/>
        <v>4</v>
      </c>
      <c r="P19" s="88">
        <f t="shared" si="1"/>
        <v>4</v>
      </c>
      <c r="Q19" s="88">
        <f t="shared" si="1"/>
        <v>2</v>
      </c>
      <c r="R19" s="88">
        <f t="shared" si="1"/>
        <v>2</v>
      </c>
      <c r="S19" s="88">
        <f t="shared" si="1"/>
        <v>3</v>
      </c>
      <c r="T19" s="88">
        <f t="shared" si="1"/>
        <v>3</v>
      </c>
      <c r="U19" s="88">
        <f t="shared" si="1"/>
        <v>4</v>
      </c>
      <c r="V19" s="88">
        <f t="shared" si="1"/>
        <v>4</v>
      </c>
      <c r="W19" s="88">
        <f t="shared" si="1"/>
        <v>4</v>
      </c>
      <c r="X19" s="88">
        <f t="shared" si="1"/>
        <v>2</v>
      </c>
      <c r="Y19" s="88">
        <f t="shared" si="1"/>
        <v>2</v>
      </c>
      <c r="Z19" s="88">
        <f t="shared" si="1"/>
        <v>3</v>
      </c>
      <c r="AA19" s="88">
        <f t="shared" si="1"/>
        <v>3</v>
      </c>
      <c r="AB19" s="88">
        <f t="shared" si="1"/>
        <v>4</v>
      </c>
      <c r="AC19" s="88">
        <f t="shared" si="1"/>
        <v>2</v>
      </c>
      <c r="AD19" s="88">
        <f t="shared" si="1"/>
        <v>3</v>
      </c>
      <c r="AE19" s="88">
        <f t="shared" si="1"/>
        <v>2</v>
      </c>
      <c r="AF19" s="88">
        <f t="shared" si="1"/>
        <v>2</v>
      </c>
    </row>
    <row r="20" spans="1:32" x14ac:dyDescent="0.35">
      <c r="A20" s="89" t="s">
        <v>146</v>
      </c>
      <c r="B20" s="90">
        <f t="shared" ref="B20:AF20" si="2">COUNTIF(B3:B17,"*AS*")</f>
        <v>3</v>
      </c>
      <c r="C20" s="90">
        <f t="shared" si="2"/>
        <v>2</v>
      </c>
      <c r="D20" s="90">
        <f t="shared" si="2"/>
        <v>2</v>
      </c>
      <c r="E20" s="90">
        <f t="shared" si="2"/>
        <v>3</v>
      </c>
      <c r="F20" s="90">
        <f t="shared" si="2"/>
        <v>3</v>
      </c>
      <c r="G20" s="90">
        <f t="shared" si="2"/>
        <v>2</v>
      </c>
      <c r="H20" s="90">
        <f t="shared" si="2"/>
        <v>4</v>
      </c>
      <c r="I20" s="90">
        <f t="shared" si="2"/>
        <v>3</v>
      </c>
      <c r="J20" s="90">
        <f t="shared" si="2"/>
        <v>2</v>
      </c>
      <c r="K20" s="90">
        <f t="shared" si="2"/>
        <v>2</v>
      </c>
      <c r="L20" s="90">
        <f t="shared" si="2"/>
        <v>3</v>
      </c>
      <c r="M20" s="90">
        <f t="shared" si="2"/>
        <v>3</v>
      </c>
      <c r="N20" s="90">
        <f t="shared" si="2"/>
        <v>4</v>
      </c>
      <c r="O20" s="90">
        <f t="shared" si="2"/>
        <v>4</v>
      </c>
      <c r="P20" s="90">
        <f t="shared" si="2"/>
        <v>4</v>
      </c>
      <c r="Q20" s="90">
        <f t="shared" si="2"/>
        <v>2</v>
      </c>
      <c r="R20" s="90">
        <f t="shared" si="2"/>
        <v>2</v>
      </c>
      <c r="S20" s="90">
        <f t="shared" si="2"/>
        <v>3</v>
      </c>
      <c r="T20" s="90">
        <f t="shared" si="2"/>
        <v>4</v>
      </c>
      <c r="U20" s="90">
        <f t="shared" si="2"/>
        <v>4</v>
      </c>
      <c r="V20" s="90">
        <f t="shared" si="2"/>
        <v>4</v>
      </c>
      <c r="W20" s="90">
        <f t="shared" si="2"/>
        <v>5</v>
      </c>
      <c r="X20" s="90">
        <f t="shared" si="2"/>
        <v>2</v>
      </c>
      <c r="Y20" s="90">
        <f t="shared" si="2"/>
        <v>2</v>
      </c>
      <c r="Z20" s="90">
        <f t="shared" si="2"/>
        <v>4</v>
      </c>
      <c r="AA20" s="90">
        <f t="shared" si="2"/>
        <v>4</v>
      </c>
      <c r="AB20" s="90">
        <f t="shared" si="2"/>
        <v>3</v>
      </c>
      <c r="AC20" s="90">
        <f t="shared" si="2"/>
        <v>4</v>
      </c>
      <c r="AD20" s="90">
        <f t="shared" si="2"/>
        <v>3</v>
      </c>
      <c r="AE20" s="90">
        <f t="shared" si="2"/>
        <v>2</v>
      </c>
      <c r="AF20" s="90">
        <f t="shared" si="2"/>
        <v>2</v>
      </c>
    </row>
    <row r="21" spans="1:32" x14ac:dyDescent="0.35">
      <c r="A21" s="91" t="s">
        <v>147</v>
      </c>
      <c r="B21" s="92">
        <f t="shared" ref="B21:AF21" si="3">COUNTIF(B3:B17,"*GS*")</f>
        <v>2</v>
      </c>
      <c r="C21" s="92">
        <f t="shared" si="3"/>
        <v>1</v>
      </c>
      <c r="D21" s="92">
        <f t="shared" si="3"/>
        <v>0</v>
      </c>
      <c r="E21" s="92">
        <f t="shared" si="3"/>
        <v>3</v>
      </c>
      <c r="F21" s="92">
        <f t="shared" si="3"/>
        <v>3</v>
      </c>
      <c r="G21" s="92">
        <f t="shared" si="3"/>
        <v>3</v>
      </c>
      <c r="H21" s="92">
        <f t="shared" si="3"/>
        <v>3</v>
      </c>
      <c r="I21" s="92">
        <f t="shared" si="3"/>
        <v>3</v>
      </c>
      <c r="J21" s="92">
        <f t="shared" si="3"/>
        <v>1</v>
      </c>
      <c r="K21" s="92">
        <f t="shared" si="3"/>
        <v>1</v>
      </c>
      <c r="L21" s="92">
        <f t="shared" si="3"/>
        <v>2</v>
      </c>
      <c r="M21" s="92">
        <f t="shared" si="3"/>
        <v>1</v>
      </c>
      <c r="N21" s="92">
        <f t="shared" si="3"/>
        <v>0</v>
      </c>
      <c r="O21" s="92">
        <f t="shared" si="3"/>
        <v>2</v>
      </c>
      <c r="P21" s="92">
        <f t="shared" si="3"/>
        <v>1</v>
      </c>
      <c r="Q21" s="92">
        <f t="shared" si="3"/>
        <v>1</v>
      </c>
      <c r="R21" s="92">
        <f t="shared" si="3"/>
        <v>0</v>
      </c>
      <c r="S21" s="92">
        <f t="shared" si="3"/>
        <v>1</v>
      </c>
      <c r="T21" s="92">
        <f t="shared" si="3"/>
        <v>2</v>
      </c>
      <c r="U21" s="92">
        <f t="shared" si="3"/>
        <v>0</v>
      </c>
      <c r="V21" s="92">
        <f t="shared" si="3"/>
        <v>0</v>
      </c>
      <c r="W21" s="92">
        <f t="shared" si="3"/>
        <v>0</v>
      </c>
      <c r="X21" s="92">
        <f t="shared" si="3"/>
        <v>1</v>
      </c>
      <c r="Y21" s="92">
        <f t="shared" si="3"/>
        <v>0</v>
      </c>
      <c r="Z21" s="92">
        <f t="shared" si="3"/>
        <v>2</v>
      </c>
      <c r="AA21" s="92">
        <f t="shared" si="3"/>
        <v>3</v>
      </c>
      <c r="AB21" s="92">
        <f t="shared" si="3"/>
        <v>2</v>
      </c>
      <c r="AC21" s="92">
        <f t="shared" si="3"/>
        <v>3</v>
      </c>
      <c r="AD21" s="92">
        <f t="shared" si="3"/>
        <v>1</v>
      </c>
      <c r="AE21" s="92">
        <f t="shared" si="3"/>
        <v>1</v>
      </c>
      <c r="AF21" s="92">
        <f t="shared" si="3"/>
        <v>0</v>
      </c>
    </row>
    <row r="22" spans="1:32" x14ac:dyDescent="0.35">
      <c r="A22" s="93" t="s">
        <v>148</v>
      </c>
      <c r="B22" s="94">
        <f t="shared" ref="B22:AF22" si="4">COUNTIF(B3:B17,"*NS*")</f>
        <v>2</v>
      </c>
      <c r="C22" s="94">
        <f t="shared" si="4"/>
        <v>2</v>
      </c>
      <c r="D22" s="94">
        <f t="shared" si="4"/>
        <v>2</v>
      </c>
      <c r="E22" s="94">
        <f t="shared" si="4"/>
        <v>2</v>
      </c>
      <c r="F22" s="94">
        <f t="shared" si="4"/>
        <v>2</v>
      </c>
      <c r="G22" s="94">
        <f t="shared" si="4"/>
        <v>2</v>
      </c>
      <c r="H22" s="94">
        <f t="shared" si="4"/>
        <v>2</v>
      </c>
      <c r="I22" s="94">
        <f t="shared" si="4"/>
        <v>2</v>
      </c>
      <c r="J22" s="94">
        <f t="shared" si="4"/>
        <v>2</v>
      </c>
      <c r="K22" s="94">
        <f t="shared" si="4"/>
        <v>2</v>
      </c>
      <c r="L22" s="94">
        <f t="shared" si="4"/>
        <v>2</v>
      </c>
      <c r="M22" s="94">
        <f t="shared" si="4"/>
        <v>3</v>
      </c>
      <c r="N22" s="94">
        <f t="shared" si="4"/>
        <v>3</v>
      </c>
      <c r="O22" s="94">
        <f t="shared" si="4"/>
        <v>3</v>
      </c>
      <c r="P22" s="94">
        <f t="shared" si="4"/>
        <v>3</v>
      </c>
      <c r="Q22" s="94">
        <f t="shared" si="4"/>
        <v>2</v>
      </c>
      <c r="R22" s="94">
        <f t="shared" si="4"/>
        <v>2</v>
      </c>
      <c r="S22" s="94">
        <f t="shared" si="4"/>
        <v>3</v>
      </c>
      <c r="T22" s="94">
        <f t="shared" si="4"/>
        <v>2</v>
      </c>
      <c r="U22" s="94">
        <f t="shared" si="4"/>
        <v>3</v>
      </c>
      <c r="V22" s="94">
        <f t="shared" si="4"/>
        <v>3</v>
      </c>
      <c r="W22" s="94">
        <f t="shared" si="4"/>
        <v>3</v>
      </c>
      <c r="X22" s="94">
        <f t="shared" si="4"/>
        <v>2</v>
      </c>
      <c r="Y22" s="94">
        <f t="shared" si="4"/>
        <v>2</v>
      </c>
      <c r="Z22" s="94">
        <f t="shared" si="4"/>
        <v>2</v>
      </c>
      <c r="AA22" s="94">
        <f t="shared" si="4"/>
        <v>2</v>
      </c>
      <c r="AB22" s="94">
        <f t="shared" si="4"/>
        <v>2</v>
      </c>
      <c r="AC22" s="94">
        <f t="shared" si="4"/>
        <v>2</v>
      </c>
      <c r="AD22" s="94">
        <f t="shared" si="4"/>
        <v>2</v>
      </c>
      <c r="AE22" s="94">
        <f t="shared" si="4"/>
        <v>3</v>
      </c>
      <c r="AF22" s="94">
        <f t="shared" si="4"/>
        <v>3</v>
      </c>
    </row>
    <row r="23" spans="1:32" x14ac:dyDescent="0.35">
      <c r="A23" s="95" t="s">
        <v>149</v>
      </c>
      <c r="B23" s="96">
        <f t="shared" ref="B23:AF23" si="5">COUNTIF(B3:B17,"N*3")</f>
        <v>0</v>
      </c>
      <c r="C23" s="96">
        <f t="shared" si="5"/>
        <v>0</v>
      </c>
      <c r="D23" s="96">
        <f t="shared" si="5"/>
        <v>0</v>
      </c>
      <c r="E23" s="96">
        <f t="shared" si="5"/>
        <v>0</v>
      </c>
      <c r="F23" s="96">
        <f t="shared" si="5"/>
        <v>0</v>
      </c>
      <c r="G23" s="96">
        <f t="shared" si="5"/>
        <v>0</v>
      </c>
      <c r="H23" s="96">
        <f t="shared" si="5"/>
        <v>0</v>
      </c>
      <c r="I23" s="96">
        <f t="shared" si="5"/>
        <v>0</v>
      </c>
      <c r="J23" s="96">
        <f t="shared" si="5"/>
        <v>0</v>
      </c>
      <c r="K23" s="96">
        <f t="shared" si="5"/>
        <v>0</v>
      </c>
      <c r="L23" s="96">
        <f t="shared" si="5"/>
        <v>0</v>
      </c>
      <c r="M23" s="96">
        <f t="shared" si="5"/>
        <v>1</v>
      </c>
      <c r="N23" s="96">
        <f t="shared" si="5"/>
        <v>1</v>
      </c>
      <c r="O23" s="96">
        <f t="shared" si="5"/>
        <v>1</v>
      </c>
      <c r="P23" s="96">
        <f t="shared" si="5"/>
        <v>1</v>
      </c>
      <c r="Q23" s="96">
        <f t="shared" si="5"/>
        <v>0</v>
      </c>
      <c r="R23" s="96">
        <f t="shared" si="5"/>
        <v>0</v>
      </c>
      <c r="S23" s="96">
        <f t="shared" si="5"/>
        <v>0</v>
      </c>
      <c r="T23" s="96">
        <f t="shared" si="5"/>
        <v>0</v>
      </c>
      <c r="U23" s="96">
        <f t="shared" si="5"/>
        <v>0</v>
      </c>
      <c r="V23" s="96">
        <f t="shared" si="5"/>
        <v>0</v>
      </c>
      <c r="W23" s="96">
        <f t="shared" si="5"/>
        <v>0</v>
      </c>
      <c r="X23" s="96">
        <f t="shared" si="5"/>
        <v>0</v>
      </c>
      <c r="Y23" s="96">
        <f t="shared" si="5"/>
        <v>0</v>
      </c>
      <c r="Z23" s="96">
        <f t="shared" si="5"/>
        <v>0</v>
      </c>
      <c r="AA23" s="96">
        <f t="shared" si="5"/>
        <v>0</v>
      </c>
      <c r="AB23" s="96">
        <f t="shared" si="5"/>
        <v>0</v>
      </c>
      <c r="AC23" s="96">
        <f t="shared" si="5"/>
        <v>0</v>
      </c>
      <c r="AD23" s="96">
        <f t="shared" si="5"/>
        <v>0</v>
      </c>
      <c r="AE23" s="96">
        <f t="shared" si="5"/>
        <v>0</v>
      </c>
      <c r="AF23" s="96">
        <f t="shared" si="5"/>
        <v>0</v>
      </c>
    </row>
    <row r="24" spans="1:32" x14ac:dyDescent="0.35">
      <c r="A24" s="97" t="s">
        <v>150</v>
      </c>
      <c r="B24" s="98">
        <f t="shared" ref="B24" si="6">SUM(B19:B23)</f>
        <v>10</v>
      </c>
      <c r="C24" s="98">
        <f t="shared" ref="C24:AF24" si="7">SUM(C19:C23)</f>
        <v>7</v>
      </c>
      <c r="D24" s="98">
        <f t="shared" si="7"/>
        <v>6</v>
      </c>
      <c r="E24" s="98">
        <f t="shared" si="7"/>
        <v>11</v>
      </c>
      <c r="F24" s="98">
        <f t="shared" si="7"/>
        <v>11</v>
      </c>
      <c r="G24" s="98">
        <f t="shared" si="7"/>
        <v>10</v>
      </c>
      <c r="H24" s="98">
        <f>SUM(H19:H23)</f>
        <v>12</v>
      </c>
      <c r="I24" s="98">
        <f t="shared" si="7"/>
        <v>11</v>
      </c>
      <c r="J24" s="98">
        <f t="shared" si="7"/>
        <v>7</v>
      </c>
      <c r="K24" s="98">
        <f t="shared" si="7"/>
        <v>7</v>
      </c>
      <c r="L24" s="98">
        <f t="shared" si="7"/>
        <v>10</v>
      </c>
      <c r="M24" s="98">
        <f t="shared" si="7"/>
        <v>11</v>
      </c>
      <c r="N24" s="98">
        <f t="shared" si="7"/>
        <v>12</v>
      </c>
      <c r="O24" s="98">
        <f t="shared" si="7"/>
        <v>14</v>
      </c>
      <c r="P24" s="98">
        <f t="shared" si="7"/>
        <v>13</v>
      </c>
      <c r="Q24" s="98">
        <f t="shared" si="7"/>
        <v>7</v>
      </c>
      <c r="R24" s="98">
        <f t="shared" si="7"/>
        <v>6</v>
      </c>
      <c r="S24" s="98">
        <f t="shared" si="7"/>
        <v>10</v>
      </c>
      <c r="T24" s="98">
        <f t="shared" si="7"/>
        <v>11</v>
      </c>
      <c r="U24" s="98">
        <f t="shared" si="7"/>
        <v>11</v>
      </c>
      <c r="V24" s="98">
        <f t="shared" si="7"/>
        <v>11</v>
      </c>
      <c r="W24" s="98">
        <f t="shared" si="7"/>
        <v>12</v>
      </c>
      <c r="X24" s="98">
        <f t="shared" si="7"/>
        <v>7</v>
      </c>
      <c r="Y24" s="98">
        <f t="shared" si="7"/>
        <v>6</v>
      </c>
      <c r="Z24" s="98">
        <f t="shared" si="7"/>
        <v>11</v>
      </c>
      <c r="AA24" s="98">
        <f t="shared" si="7"/>
        <v>12</v>
      </c>
      <c r="AB24" s="98">
        <f t="shared" si="7"/>
        <v>11</v>
      </c>
      <c r="AC24" s="98">
        <f t="shared" si="7"/>
        <v>11</v>
      </c>
      <c r="AD24" s="98">
        <f t="shared" si="7"/>
        <v>9</v>
      </c>
      <c r="AE24" s="98">
        <f t="shared" si="7"/>
        <v>8</v>
      </c>
      <c r="AF24" s="98">
        <f t="shared" si="7"/>
        <v>7</v>
      </c>
    </row>
    <row r="27" spans="1:32" x14ac:dyDescent="0.35">
      <c r="A27" s="24" t="s">
        <v>23</v>
      </c>
    </row>
    <row r="28" spans="1:32" x14ac:dyDescent="0.35">
      <c r="A28" s="1" t="s">
        <v>24</v>
      </c>
    </row>
    <row r="29" spans="1:32" x14ac:dyDescent="0.35">
      <c r="A29" s="1" t="s">
        <v>25</v>
      </c>
    </row>
    <row r="30" spans="1:32" x14ac:dyDescent="0.35">
      <c r="A30" s="1" t="s">
        <v>47</v>
      </c>
    </row>
    <row r="31" spans="1:32" x14ac:dyDescent="0.35">
      <c r="A31" s="1" t="s">
        <v>48</v>
      </c>
    </row>
    <row r="32" spans="1:32" x14ac:dyDescent="0.35">
      <c r="A32" s="26" t="s">
        <v>26</v>
      </c>
    </row>
    <row r="33" spans="1:1" x14ac:dyDescent="0.35">
      <c r="A33" s="26" t="s">
        <v>27</v>
      </c>
    </row>
    <row r="34" spans="1:1" x14ac:dyDescent="0.35">
      <c r="A34" s="26" t="s">
        <v>28</v>
      </c>
    </row>
    <row r="35" spans="1:1" x14ac:dyDescent="0.35">
      <c r="A35" s="26" t="s">
        <v>29</v>
      </c>
    </row>
    <row r="36" spans="1:1" x14ac:dyDescent="0.35">
      <c r="A36" s="26" t="s">
        <v>49</v>
      </c>
    </row>
    <row r="37" spans="1:1" x14ac:dyDescent="0.35">
      <c r="A37" s="26" t="s">
        <v>50</v>
      </c>
    </row>
    <row r="38" spans="1:1" x14ac:dyDescent="0.35">
      <c r="A38" s="26" t="s">
        <v>31</v>
      </c>
    </row>
    <row r="39" spans="1:1" x14ac:dyDescent="0.35">
      <c r="A39" s="26" t="s">
        <v>32</v>
      </c>
    </row>
    <row r="40" spans="1:1" x14ac:dyDescent="0.35">
      <c r="A40" s="26" t="s">
        <v>33</v>
      </c>
    </row>
    <row r="41" spans="1:1" x14ac:dyDescent="0.35">
      <c r="A41" s="26" t="s">
        <v>35</v>
      </c>
    </row>
    <row r="42" spans="1:1" x14ac:dyDescent="0.35">
      <c r="A42" s="26" t="s">
        <v>36</v>
      </c>
    </row>
    <row r="43" spans="1:1" x14ac:dyDescent="0.35">
      <c r="A43" s="26" t="s">
        <v>38</v>
      </c>
    </row>
    <row r="44" spans="1:1" x14ac:dyDescent="0.35">
      <c r="A44" s="26" t="s">
        <v>36</v>
      </c>
    </row>
    <row r="45" spans="1:1" x14ac:dyDescent="0.35">
      <c r="A45" s="26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37"/>
  <sheetViews>
    <sheetView zoomScale="80" zoomScaleNormal="80" workbookViewId="0">
      <pane xSplit="1" topLeftCell="R1" activePane="topRight" state="frozen"/>
      <selection pane="topRight" activeCell="S31" sqref="S31"/>
    </sheetView>
  </sheetViews>
  <sheetFormatPr defaultColWidth="9.1796875" defaultRowHeight="14.5" x14ac:dyDescent="0.35"/>
  <cols>
    <col min="1" max="1" width="26.1796875" style="45" bestFit="1" customWidth="1"/>
    <col min="2" max="2" width="5.6328125" style="45" bestFit="1" customWidth="1"/>
    <col min="3" max="4" width="7.1796875" style="45" bestFit="1" customWidth="1"/>
    <col min="5" max="6" width="7.26953125" style="45" customWidth="1"/>
    <col min="7" max="8" width="9.26953125" style="45" customWidth="1"/>
    <col min="9" max="10" width="7.26953125" style="45" customWidth="1"/>
    <col min="11" max="11" width="7.54296875" style="45" customWidth="1"/>
    <col min="12" max="12" width="7.26953125" style="45" customWidth="1"/>
    <col min="13" max="13" width="7.54296875" style="45" customWidth="1"/>
    <col min="14" max="15" width="9.26953125" style="45" customWidth="1"/>
    <col min="16" max="16" width="7.54296875" style="45" customWidth="1"/>
    <col min="17" max="17" width="9.26953125" style="45" customWidth="1"/>
    <col min="18" max="20" width="7.54296875" style="45" customWidth="1"/>
    <col min="21" max="21" width="9.26953125" style="45" customWidth="1"/>
    <col min="22" max="24" width="6.7265625" style="45" customWidth="1"/>
    <col min="25" max="27" width="9.1796875" style="45" customWidth="1"/>
    <col min="28" max="16384" width="9.1796875" style="45"/>
  </cols>
  <sheetData>
    <row r="1" spans="1:39" ht="15" customHeight="1" x14ac:dyDescent="0.35">
      <c r="A1" s="30"/>
      <c r="B1" s="2" t="str">
        <f t="shared" ref="B1:D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ref="E1:AM1" si="1">TEXT(E2,"ddd")</f>
        <v>Mon</v>
      </c>
      <c r="F1" s="2" t="str">
        <f t="shared" si="1"/>
        <v>Tue</v>
      </c>
      <c r="G1" s="2" t="str">
        <f t="shared" si="1"/>
        <v>Wed</v>
      </c>
      <c r="H1" s="2" t="str">
        <f t="shared" si="1"/>
        <v>Thu</v>
      </c>
      <c r="I1" s="2" t="str">
        <f t="shared" si="1"/>
        <v>Fri</v>
      </c>
      <c r="J1" s="2" t="str">
        <f t="shared" si="1"/>
        <v>Sat</v>
      </c>
      <c r="K1" s="2" t="str">
        <f t="shared" si="1"/>
        <v>Sun</v>
      </c>
      <c r="L1" s="2" t="str">
        <f t="shared" si="1"/>
        <v>Mon</v>
      </c>
      <c r="M1" s="2" t="str">
        <f t="shared" si="1"/>
        <v>Tue</v>
      </c>
      <c r="N1" s="2" t="str">
        <f t="shared" si="1"/>
        <v>Wed</v>
      </c>
      <c r="O1" s="2" t="str">
        <f t="shared" si="1"/>
        <v>Thu</v>
      </c>
      <c r="P1" s="2" t="str">
        <f t="shared" si="1"/>
        <v>Fri</v>
      </c>
      <c r="Q1" s="2" t="str">
        <f t="shared" si="1"/>
        <v>Sat</v>
      </c>
      <c r="R1" s="2" t="str">
        <f t="shared" si="1"/>
        <v>Sun</v>
      </c>
      <c r="S1" s="2" t="str">
        <f t="shared" si="1"/>
        <v>Mon</v>
      </c>
      <c r="T1" s="2" t="str">
        <f t="shared" si="1"/>
        <v>Tue</v>
      </c>
      <c r="U1" s="2" t="str">
        <f t="shared" si="1"/>
        <v>Wed</v>
      </c>
      <c r="V1" s="2" t="str">
        <f t="shared" si="1"/>
        <v>Thu</v>
      </c>
      <c r="W1" s="2" t="str">
        <f t="shared" si="1"/>
        <v>Fri</v>
      </c>
      <c r="X1" s="2" t="str">
        <f t="shared" si="1"/>
        <v>Sat</v>
      </c>
      <c r="Y1" s="2" t="str">
        <f t="shared" si="1"/>
        <v>Sun</v>
      </c>
      <c r="Z1" s="2" t="str">
        <f t="shared" si="1"/>
        <v>Mon</v>
      </c>
      <c r="AA1" s="2" t="str">
        <f t="shared" si="1"/>
        <v>Tue</v>
      </c>
      <c r="AB1" s="2" t="str">
        <f t="shared" si="1"/>
        <v>Wed</v>
      </c>
      <c r="AC1" s="2" t="str">
        <f t="shared" si="1"/>
        <v>Thu</v>
      </c>
      <c r="AD1" s="2" t="str">
        <f t="shared" si="1"/>
        <v>Fri</v>
      </c>
      <c r="AE1" s="2" t="str">
        <f t="shared" si="1"/>
        <v>Sat</v>
      </c>
      <c r="AF1" s="2" t="str">
        <f t="shared" si="1"/>
        <v>Sun</v>
      </c>
      <c r="AG1" s="2" t="str">
        <f t="shared" si="1"/>
        <v>Mon</v>
      </c>
      <c r="AH1" s="2" t="str">
        <f t="shared" si="1"/>
        <v>Tue</v>
      </c>
      <c r="AI1" s="2" t="str">
        <f t="shared" si="1"/>
        <v>Wed</v>
      </c>
      <c r="AJ1" s="2" t="str">
        <f t="shared" si="1"/>
        <v>Thu</v>
      </c>
      <c r="AK1" s="2" t="str">
        <f t="shared" si="1"/>
        <v>Fri</v>
      </c>
      <c r="AL1" s="2" t="str">
        <f t="shared" si="1"/>
        <v>Sat</v>
      </c>
      <c r="AM1" s="2" t="str">
        <f t="shared" si="1"/>
        <v>Sun</v>
      </c>
    </row>
    <row r="2" spans="1:39" x14ac:dyDescent="0.35">
      <c r="A2" s="7" t="s">
        <v>0</v>
      </c>
      <c r="B2" s="31">
        <v>44771</v>
      </c>
      <c r="C2" s="31">
        <v>44772</v>
      </c>
      <c r="D2" s="31">
        <v>44773</v>
      </c>
      <c r="E2" s="31">
        <v>44774</v>
      </c>
      <c r="F2" s="31">
        <v>44775</v>
      </c>
      <c r="G2" s="31">
        <v>44776</v>
      </c>
      <c r="H2" s="31">
        <v>44777</v>
      </c>
      <c r="I2" s="31">
        <v>44778</v>
      </c>
      <c r="J2" s="31">
        <v>44779</v>
      </c>
      <c r="K2" s="31">
        <v>44780</v>
      </c>
      <c r="L2" s="31">
        <v>44781</v>
      </c>
      <c r="M2" s="31">
        <v>44782</v>
      </c>
      <c r="N2" s="31">
        <v>44783</v>
      </c>
      <c r="O2" s="31">
        <v>44784</v>
      </c>
      <c r="P2" s="31">
        <v>44785</v>
      </c>
      <c r="Q2" s="31">
        <v>44786</v>
      </c>
      <c r="R2" s="31">
        <v>44787</v>
      </c>
      <c r="S2" s="31">
        <v>44788</v>
      </c>
      <c r="T2" s="31">
        <v>44789</v>
      </c>
      <c r="U2" s="31">
        <v>44790</v>
      </c>
      <c r="V2" s="31">
        <v>44791</v>
      </c>
      <c r="W2" s="31">
        <v>44792</v>
      </c>
      <c r="X2" s="31">
        <v>44793</v>
      </c>
      <c r="Y2" s="31">
        <v>44794</v>
      </c>
      <c r="Z2" s="31">
        <v>44795</v>
      </c>
      <c r="AA2" s="31">
        <v>44796</v>
      </c>
      <c r="AB2" s="31">
        <v>44797</v>
      </c>
      <c r="AC2" s="31">
        <v>44798</v>
      </c>
      <c r="AD2" s="31">
        <v>44799</v>
      </c>
      <c r="AE2" s="31">
        <v>44800</v>
      </c>
      <c r="AF2" s="31">
        <v>44801</v>
      </c>
      <c r="AG2" s="31">
        <v>44802</v>
      </c>
      <c r="AH2" s="31">
        <v>44803</v>
      </c>
      <c r="AI2" s="31">
        <v>44804</v>
      </c>
      <c r="AJ2" s="31">
        <v>44805</v>
      </c>
      <c r="AK2" s="31">
        <v>44806</v>
      </c>
      <c r="AL2" s="31">
        <v>44807</v>
      </c>
      <c r="AM2" s="31">
        <v>44808</v>
      </c>
    </row>
    <row r="3" spans="1:39" x14ac:dyDescent="0.35">
      <c r="A3" s="8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</row>
    <row r="4" spans="1:39" x14ac:dyDescent="0.35">
      <c r="A4" s="67" t="s">
        <v>1</v>
      </c>
      <c r="B4" s="16" t="s">
        <v>8</v>
      </c>
      <c r="C4" s="17" t="s">
        <v>11</v>
      </c>
      <c r="D4" s="17" t="s">
        <v>11</v>
      </c>
      <c r="E4" s="12" t="s">
        <v>2</v>
      </c>
      <c r="F4" s="10" t="s">
        <v>41</v>
      </c>
      <c r="G4" s="10" t="s">
        <v>41</v>
      </c>
      <c r="H4" s="10" t="s">
        <v>41</v>
      </c>
      <c r="I4" s="12" t="s">
        <v>2</v>
      </c>
      <c r="J4" s="19" t="s">
        <v>42</v>
      </c>
      <c r="K4" s="19" t="s">
        <v>42</v>
      </c>
      <c r="L4" s="10" t="s">
        <v>41</v>
      </c>
      <c r="M4" s="80" t="s">
        <v>81</v>
      </c>
      <c r="N4" s="16" t="s">
        <v>8</v>
      </c>
      <c r="O4" s="16" t="s">
        <v>8</v>
      </c>
      <c r="P4" s="12" t="s">
        <v>2</v>
      </c>
      <c r="Q4" s="19" t="s">
        <v>42</v>
      </c>
      <c r="R4" s="19" t="s">
        <v>42</v>
      </c>
      <c r="S4" s="19" t="s">
        <v>42</v>
      </c>
      <c r="T4" s="16" t="s">
        <v>8</v>
      </c>
      <c r="U4" s="16" t="s">
        <v>8</v>
      </c>
      <c r="V4" s="16" t="s">
        <v>8</v>
      </c>
      <c r="W4" s="12" t="s">
        <v>2</v>
      </c>
      <c r="X4" s="19" t="s">
        <v>42</v>
      </c>
      <c r="Y4" s="19" t="s">
        <v>42</v>
      </c>
      <c r="Z4" s="10" t="s">
        <v>41</v>
      </c>
      <c r="AA4" s="10" t="s">
        <v>41</v>
      </c>
      <c r="AB4" s="12" t="s">
        <v>2</v>
      </c>
      <c r="AC4" s="10" t="s">
        <v>41</v>
      </c>
      <c r="AD4" s="12" t="s">
        <v>2</v>
      </c>
      <c r="AE4" s="19" t="s">
        <v>42</v>
      </c>
      <c r="AF4" s="19" t="s">
        <v>42</v>
      </c>
      <c r="AG4" s="10" t="s">
        <v>41</v>
      </c>
      <c r="AH4" s="10" t="s">
        <v>41</v>
      </c>
      <c r="AI4" s="19" t="s">
        <v>42</v>
      </c>
      <c r="AJ4" s="12" t="s">
        <v>2</v>
      </c>
      <c r="AK4" s="12" t="s">
        <v>2</v>
      </c>
      <c r="AL4" s="19" t="s">
        <v>42</v>
      </c>
      <c r="AM4" s="19" t="s">
        <v>42</v>
      </c>
    </row>
    <row r="5" spans="1:39" x14ac:dyDescent="0.35">
      <c r="A5" s="67" t="s">
        <v>9</v>
      </c>
      <c r="B5" s="78" t="s">
        <v>6</v>
      </c>
      <c r="C5" s="25" t="s">
        <v>3</v>
      </c>
      <c r="D5" s="68" t="s">
        <v>4</v>
      </c>
      <c r="E5" s="17" t="s">
        <v>10</v>
      </c>
      <c r="F5" s="17" t="s">
        <v>10</v>
      </c>
      <c r="G5" s="17" t="s">
        <v>10</v>
      </c>
      <c r="H5" s="17" t="s">
        <v>10</v>
      </c>
      <c r="I5" s="17" t="s">
        <v>10</v>
      </c>
      <c r="J5" s="17" t="s">
        <v>11</v>
      </c>
      <c r="K5" s="17" t="s">
        <v>11</v>
      </c>
      <c r="L5" s="12" t="s">
        <v>2</v>
      </c>
      <c r="M5" s="12" t="s">
        <v>2</v>
      </c>
      <c r="N5" s="25" t="s">
        <v>6</v>
      </c>
      <c r="O5" s="25" t="s">
        <v>6</v>
      </c>
      <c r="P5" s="25" t="s">
        <v>6</v>
      </c>
      <c r="Q5" s="13" t="s">
        <v>5</v>
      </c>
      <c r="R5" s="17" t="s">
        <v>11</v>
      </c>
      <c r="S5" s="17" t="s">
        <v>11</v>
      </c>
      <c r="T5" s="13" t="s">
        <v>5</v>
      </c>
      <c r="U5" s="25" t="s">
        <v>6</v>
      </c>
      <c r="V5" s="25" t="s">
        <v>6</v>
      </c>
      <c r="W5" s="79" t="s">
        <v>16</v>
      </c>
      <c r="X5" s="25" t="s">
        <v>3</v>
      </c>
      <c r="Y5" s="13" t="s">
        <v>5</v>
      </c>
      <c r="Z5" s="13" t="s">
        <v>5</v>
      </c>
      <c r="AA5" s="13" t="s">
        <v>5</v>
      </c>
      <c r="AB5" s="13" t="s">
        <v>5</v>
      </c>
      <c r="AC5" s="13" t="s">
        <v>5</v>
      </c>
      <c r="AD5" s="17" t="s">
        <v>10</v>
      </c>
      <c r="AE5" s="17" t="s">
        <v>11</v>
      </c>
      <c r="AF5" s="17" t="s">
        <v>11</v>
      </c>
      <c r="AG5" s="17" t="s">
        <v>10</v>
      </c>
      <c r="AH5" s="17" t="s">
        <v>10</v>
      </c>
      <c r="AI5" s="13" t="s">
        <v>5</v>
      </c>
      <c r="AJ5" s="25" t="s">
        <v>6</v>
      </c>
      <c r="AK5" s="25" t="s">
        <v>6</v>
      </c>
      <c r="AL5" s="25" t="s">
        <v>3</v>
      </c>
      <c r="AM5" s="13" t="s">
        <v>5</v>
      </c>
    </row>
    <row r="6" spans="1:39" x14ac:dyDescent="0.35">
      <c r="A6" s="67" t="s">
        <v>12</v>
      </c>
      <c r="B6" s="78" t="s">
        <v>41</v>
      </c>
      <c r="C6" s="84" t="s">
        <v>30</v>
      </c>
      <c r="D6" s="83" t="s">
        <v>3</v>
      </c>
      <c r="E6" s="78" t="s">
        <v>41</v>
      </c>
      <c r="F6" s="78" t="s">
        <v>41</v>
      </c>
      <c r="G6" s="78" t="s">
        <v>41</v>
      </c>
      <c r="H6" s="78" t="s">
        <v>41</v>
      </c>
      <c r="I6" s="78" t="s">
        <v>41</v>
      </c>
      <c r="J6" s="78" t="s">
        <v>41</v>
      </c>
      <c r="K6" s="13" t="s">
        <v>5</v>
      </c>
      <c r="L6" s="13" t="s">
        <v>5</v>
      </c>
      <c r="M6" s="13" t="s">
        <v>5</v>
      </c>
      <c r="N6" s="13" t="s">
        <v>5</v>
      </c>
      <c r="O6" s="13" t="s">
        <v>5</v>
      </c>
      <c r="P6" s="13" t="s">
        <v>5</v>
      </c>
      <c r="Q6" s="25" t="s">
        <v>3</v>
      </c>
      <c r="R6" s="25" t="s">
        <v>3</v>
      </c>
      <c r="S6" s="25" t="s">
        <v>3</v>
      </c>
      <c r="T6" s="12" t="s">
        <v>2</v>
      </c>
      <c r="U6" s="12" t="s">
        <v>2</v>
      </c>
      <c r="V6" s="17" t="s">
        <v>10</v>
      </c>
      <c r="W6" s="17" t="s">
        <v>10</v>
      </c>
      <c r="X6" s="17" t="s">
        <v>10</v>
      </c>
      <c r="Y6" s="17" t="s">
        <v>10</v>
      </c>
      <c r="Z6" s="12" t="s">
        <v>2</v>
      </c>
      <c r="AA6" s="12" t="s">
        <v>2</v>
      </c>
      <c r="AB6" s="25" t="s">
        <v>6</v>
      </c>
      <c r="AC6" s="25" t="s">
        <v>6</v>
      </c>
      <c r="AD6" s="25" t="s">
        <v>6</v>
      </c>
      <c r="AE6" s="25" t="s">
        <v>3</v>
      </c>
      <c r="AF6" s="29" t="s">
        <v>4</v>
      </c>
      <c r="AG6" s="12" t="s">
        <v>2</v>
      </c>
      <c r="AH6" s="12" t="s">
        <v>2</v>
      </c>
      <c r="AI6" s="17" t="s">
        <v>10</v>
      </c>
      <c r="AJ6" s="17" t="s">
        <v>10</v>
      </c>
      <c r="AK6" s="17" t="s">
        <v>10</v>
      </c>
      <c r="AL6" s="17" t="s">
        <v>10</v>
      </c>
      <c r="AM6" s="17" t="s">
        <v>10</v>
      </c>
    </row>
    <row r="7" spans="1:39" x14ac:dyDescent="0.35">
      <c r="A7" s="67" t="s">
        <v>14</v>
      </c>
      <c r="B7" s="13" t="s">
        <v>5</v>
      </c>
      <c r="C7" s="68" t="s">
        <v>4</v>
      </c>
      <c r="D7" s="68" t="s">
        <v>4</v>
      </c>
      <c r="E7" s="79" t="s">
        <v>16</v>
      </c>
      <c r="F7" s="79" t="s">
        <v>16</v>
      </c>
      <c r="G7" s="79" t="s">
        <v>16</v>
      </c>
      <c r="H7" s="79" t="s">
        <v>16</v>
      </c>
      <c r="I7" s="79" t="s">
        <v>16</v>
      </c>
      <c r="J7" s="84" t="s">
        <v>30</v>
      </c>
      <c r="K7" s="13" t="s">
        <v>5</v>
      </c>
      <c r="L7" s="13" t="s">
        <v>5</v>
      </c>
      <c r="M7" s="10" t="s">
        <v>41</v>
      </c>
      <c r="N7" s="10" t="s">
        <v>41</v>
      </c>
      <c r="O7" s="10" t="s">
        <v>41</v>
      </c>
      <c r="P7" s="10" t="s">
        <v>41</v>
      </c>
      <c r="Q7" s="13" t="s">
        <v>5</v>
      </c>
      <c r="R7" s="13" t="s">
        <v>5</v>
      </c>
      <c r="S7" s="25" t="s">
        <v>3</v>
      </c>
      <c r="T7" s="10" t="s">
        <v>41</v>
      </c>
      <c r="U7" s="10" t="s">
        <v>41</v>
      </c>
      <c r="V7" s="10" t="s">
        <v>42</v>
      </c>
      <c r="W7" s="10" t="s">
        <v>41</v>
      </c>
      <c r="X7" s="29" t="s">
        <v>4</v>
      </c>
      <c r="Y7" s="25" t="s">
        <v>3</v>
      </c>
      <c r="Z7" s="17" t="s">
        <v>10</v>
      </c>
      <c r="AA7" s="17" t="s">
        <v>10</v>
      </c>
      <c r="AB7" s="17" t="s">
        <v>10</v>
      </c>
      <c r="AC7" s="17" t="s">
        <v>10</v>
      </c>
      <c r="AD7" s="17" t="s">
        <v>10</v>
      </c>
      <c r="AE7" s="13" t="s">
        <v>5</v>
      </c>
      <c r="AF7" s="13" t="s">
        <v>5</v>
      </c>
      <c r="AG7" s="13" t="s">
        <v>5</v>
      </c>
      <c r="AH7" s="13" t="s">
        <v>5</v>
      </c>
      <c r="AI7" s="13" t="s">
        <v>5</v>
      </c>
      <c r="AJ7" s="10" t="s">
        <v>41</v>
      </c>
      <c r="AK7" s="10" t="s">
        <v>41</v>
      </c>
      <c r="AL7" s="19" t="s">
        <v>42</v>
      </c>
      <c r="AM7" s="25" t="s">
        <v>3</v>
      </c>
    </row>
    <row r="8" spans="1:39" ht="15" thickBot="1" x14ac:dyDescent="0.4">
      <c r="A8" s="67" t="s">
        <v>15</v>
      </c>
      <c r="B8" s="10" t="s">
        <v>41</v>
      </c>
      <c r="C8" s="29" t="s">
        <v>4</v>
      </c>
      <c r="D8" s="19" t="s">
        <v>42</v>
      </c>
      <c r="E8" s="25" t="s">
        <v>6</v>
      </c>
      <c r="F8" s="25" t="s">
        <v>6</v>
      </c>
      <c r="G8" s="25" t="s">
        <v>6</v>
      </c>
      <c r="H8" s="12" t="s">
        <v>2</v>
      </c>
      <c r="I8" s="12" t="s">
        <v>2</v>
      </c>
      <c r="J8" s="25" t="s">
        <v>3</v>
      </c>
      <c r="K8" s="17" t="s">
        <v>10</v>
      </c>
      <c r="L8" s="17" t="s">
        <v>10</v>
      </c>
      <c r="M8" s="17" t="s">
        <v>10</v>
      </c>
      <c r="N8" s="17" t="s">
        <v>10</v>
      </c>
      <c r="O8" s="12" t="s">
        <v>2</v>
      </c>
      <c r="P8" s="12" t="s">
        <v>2</v>
      </c>
      <c r="Q8" s="66" t="s">
        <v>30</v>
      </c>
      <c r="R8" s="25" t="s">
        <v>3</v>
      </c>
      <c r="S8" s="19" t="s">
        <v>42</v>
      </c>
      <c r="T8" s="17" t="s">
        <v>10</v>
      </c>
      <c r="U8" s="17" t="s">
        <v>10</v>
      </c>
      <c r="V8" s="12" t="s">
        <v>2</v>
      </c>
      <c r="W8" s="12" t="s">
        <v>2</v>
      </c>
      <c r="X8" s="29" t="s">
        <v>4</v>
      </c>
      <c r="Y8" s="25" t="s">
        <v>3</v>
      </c>
      <c r="Z8" s="25" t="s">
        <v>6</v>
      </c>
      <c r="AA8" s="25" t="s">
        <v>6</v>
      </c>
      <c r="AB8" s="25" t="s">
        <v>6</v>
      </c>
      <c r="AC8" s="25" t="s">
        <v>6</v>
      </c>
      <c r="AD8" s="25" t="s">
        <v>6</v>
      </c>
      <c r="AE8" s="13" t="s">
        <v>5</v>
      </c>
      <c r="AF8" s="13" t="s">
        <v>5</v>
      </c>
      <c r="AG8" s="25" t="s">
        <v>6</v>
      </c>
      <c r="AH8" s="25" t="s">
        <v>6</v>
      </c>
      <c r="AI8" s="25" t="s">
        <v>3</v>
      </c>
      <c r="AJ8" s="25" t="s">
        <v>6</v>
      </c>
      <c r="AK8" s="25" t="s">
        <v>6</v>
      </c>
      <c r="AL8" s="13" t="s">
        <v>5</v>
      </c>
      <c r="AM8" s="13" t="s">
        <v>5</v>
      </c>
    </row>
    <row r="9" spans="1:39" x14ac:dyDescent="0.35">
      <c r="A9" s="67" t="s">
        <v>18</v>
      </c>
      <c r="B9" s="25" t="s">
        <v>6</v>
      </c>
      <c r="C9" s="19" t="s">
        <v>42</v>
      </c>
      <c r="D9" s="29" t="s">
        <v>4</v>
      </c>
      <c r="E9" s="25" t="s">
        <v>6</v>
      </c>
      <c r="F9" s="25" t="s">
        <v>6</v>
      </c>
      <c r="G9" s="25" t="s">
        <v>6</v>
      </c>
      <c r="H9" s="25" t="s">
        <v>6</v>
      </c>
      <c r="I9" s="25" t="s">
        <v>6</v>
      </c>
      <c r="J9" s="29" t="s">
        <v>4</v>
      </c>
      <c r="K9" s="25" t="s">
        <v>3</v>
      </c>
      <c r="L9" s="25" t="s">
        <v>6</v>
      </c>
      <c r="M9" s="25" t="s">
        <v>6</v>
      </c>
      <c r="N9" s="25" t="s">
        <v>6</v>
      </c>
      <c r="O9" s="17" t="s">
        <v>10</v>
      </c>
      <c r="P9" s="17" t="s">
        <v>10</v>
      </c>
      <c r="Q9" s="29" t="s">
        <v>4</v>
      </c>
      <c r="R9" s="29" t="s">
        <v>4</v>
      </c>
      <c r="S9" s="80" t="s">
        <v>37</v>
      </c>
      <c r="T9" s="25" t="s">
        <v>6</v>
      </c>
      <c r="U9" s="25" t="s">
        <v>6</v>
      </c>
      <c r="V9" s="25" t="s">
        <v>6</v>
      </c>
      <c r="W9" s="25" t="s">
        <v>6</v>
      </c>
      <c r="X9" s="25" t="s">
        <v>3</v>
      </c>
      <c r="Y9" s="29" t="s">
        <v>4</v>
      </c>
      <c r="Z9" s="79" t="s">
        <v>16</v>
      </c>
      <c r="AA9" s="79" t="s">
        <v>16</v>
      </c>
      <c r="AB9" s="79" t="s">
        <v>16</v>
      </c>
      <c r="AC9" s="79" t="s">
        <v>16</v>
      </c>
      <c r="AD9" s="79" t="s">
        <v>16</v>
      </c>
      <c r="AE9" s="79" t="s">
        <v>30</v>
      </c>
      <c r="AF9" s="79" t="s">
        <v>3</v>
      </c>
      <c r="AG9" s="12" t="s">
        <v>2</v>
      </c>
      <c r="AH9" s="10" t="s">
        <v>41</v>
      </c>
      <c r="AI9" s="10" t="s">
        <v>42</v>
      </c>
      <c r="AJ9" s="10" t="s">
        <v>41</v>
      </c>
      <c r="AK9" s="10" t="s">
        <v>41</v>
      </c>
      <c r="AL9" s="29" t="s">
        <v>4</v>
      </c>
      <c r="AM9" s="29" t="s">
        <v>4</v>
      </c>
    </row>
    <row r="10" spans="1:39" ht="14" customHeight="1" x14ac:dyDescent="0.35">
      <c r="A10" s="67" t="s">
        <v>21</v>
      </c>
      <c r="B10" s="17" t="s">
        <v>10</v>
      </c>
      <c r="C10" s="17" t="s">
        <v>11</v>
      </c>
      <c r="D10" s="17" t="s">
        <v>11</v>
      </c>
      <c r="E10" s="12" t="s">
        <v>2</v>
      </c>
      <c r="F10" s="12" t="s">
        <v>2</v>
      </c>
      <c r="G10" s="10" t="s">
        <v>41</v>
      </c>
      <c r="H10" s="10" t="s">
        <v>41</v>
      </c>
      <c r="I10" s="10" t="s">
        <v>41</v>
      </c>
      <c r="J10" s="29" t="s">
        <v>4</v>
      </c>
      <c r="K10" s="25" t="s">
        <v>3</v>
      </c>
      <c r="L10" s="25" t="s">
        <v>6</v>
      </c>
      <c r="M10" s="25" t="s">
        <v>6</v>
      </c>
      <c r="N10" s="25" t="s">
        <v>6</v>
      </c>
      <c r="O10" s="17" t="s">
        <v>10</v>
      </c>
      <c r="P10" s="17" t="s">
        <v>10</v>
      </c>
      <c r="Q10" s="17" t="s">
        <v>10</v>
      </c>
      <c r="R10" s="29" t="s">
        <v>4</v>
      </c>
      <c r="S10" s="80" t="s">
        <v>37</v>
      </c>
      <c r="T10" s="10" t="s">
        <v>41</v>
      </c>
      <c r="U10" s="13" t="s">
        <v>5</v>
      </c>
      <c r="V10" s="13" t="s">
        <v>5</v>
      </c>
      <c r="W10" s="13" t="s">
        <v>5</v>
      </c>
      <c r="X10" s="17" t="s">
        <v>10</v>
      </c>
      <c r="Y10" s="17" t="s">
        <v>10</v>
      </c>
      <c r="Z10" s="13" t="s">
        <v>5</v>
      </c>
      <c r="AA10" s="25" t="s">
        <v>6</v>
      </c>
      <c r="AB10" s="25" t="s">
        <v>6</v>
      </c>
      <c r="AC10" s="79" t="s">
        <v>16</v>
      </c>
      <c r="AD10" s="78" t="s">
        <v>41</v>
      </c>
      <c r="AE10" s="79" t="s">
        <v>42</v>
      </c>
      <c r="AF10" s="79" t="s">
        <v>42</v>
      </c>
      <c r="AG10" s="78" t="s">
        <v>3</v>
      </c>
      <c r="AH10" s="79" t="s">
        <v>6</v>
      </c>
      <c r="AI10" s="13" t="s">
        <v>5</v>
      </c>
      <c r="AJ10" s="17" t="s">
        <v>10</v>
      </c>
      <c r="AK10" s="17" t="s">
        <v>10</v>
      </c>
      <c r="AL10" s="17" t="s">
        <v>10</v>
      </c>
      <c r="AM10" s="17" t="s">
        <v>10</v>
      </c>
    </row>
    <row r="11" spans="1:39" x14ac:dyDescent="0.35">
      <c r="A11" s="67" t="s">
        <v>43</v>
      </c>
      <c r="B11" s="17" t="s">
        <v>10</v>
      </c>
      <c r="C11" s="29" t="s">
        <v>4</v>
      </c>
      <c r="D11" s="25" t="s">
        <v>3</v>
      </c>
      <c r="E11" s="78" t="s">
        <v>121</v>
      </c>
      <c r="F11" s="78" t="s">
        <v>6</v>
      </c>
      <c r="G11" s="78" t="s">
        <v>6</v>
      </c>
      <c r="H11" s="78" t="s">
        <v>6</v>
      </c>
      <c r="I11" s="78" t="s">
        <v>6</v>
      </c>
      <c r="J11" s="78" t="s">
        <v>3</v>
      </c>
      <c r="K11" s="29" t="s">
        <v>4</v>
      </c>
      <c r="L11" s="10" t="s">
        <v>41</v>
      </c>
      <c r="M11" s="10" t="s">
        <v>41</v>
      </c>
      <c r="N11" s="10" t="s">
        <v>41</v>
      </c>
      <c r="O11" s="25" t="s">
        <v>3</v>
      </c>
      <c r="P11" s="25" t="s">
        <v>6</v>
      </c>
      <c r="Q11" s="29" t="s">
        <v>4</v>
      </c>
      <c r="R11" s="17" t="s">
        <v>10</v>
      </c>
      <c r="S11" s="17" t="s">
        <v>10</v>
      </c>
      <c r="T11" s="17" t="s">
        <v>10</v>
      </c>
      <c r="U11" s="17" t="s">
        <v>10</v>
      </c>
      <c r="V11" s="17" t="s">
        <v>10</v>
      </c>
      <c r="W11" s="17" t="s">
        <v>10</v>
      </c>
      <c r="X11" s="29" t="s">
        <v>4</v>
      </c>
      <c r="Y11" s="29" t="s">
        <v>4</v>
      </c>
      <c r="Z11" s="25" t="s">
        <v>6</v>
      </c>
      <c r="AA11" s="10" t="s">
        <v>41</v>
      </c>
      <c r="AB11" s="10" t="s">
        <v>41</v>
      </c>
      <c r="AC11" s="10" t="s">
        <v>41</v>
      </c>
      <c r="AD11" s="12" t="s">
        <v>2</v>
      </c>
      <c r="AE11" s="17" t="s">
        <v>10</v>
      </c>
      <c r="AF11" s="17" t="s">
        <v>10</v>
      </c>
      <c r="AG11" s="17" t="s">
        <v>10</v>
      </c>
      <c r="AH11" s="17" t="s">
        <v>10</v>
      </c>
      <c r="AI11" s="17" t="s">
        <v>10</v>
      </c>
      <c r="AJ11" s="12" t="s">
        <v>2</v>
      </c>
      <c r="AK11" s="12" t="s">
        <v>2</v>
      </c>
      <c r="AL11" s="25" t="s">
        <v>3</v>
      </c>
      <c r="AM11" s="25" t="s">
        <v>3</v>
      </c>
    </row>
    <row r="12" spans="1:39" ht="15" thickBot="1" x14ac:dyDescent="0.4">
      <c r="A12" s="67" t="s">
        <v>75</v>
      </c>
      <c r="B12" s="13" t="s">
        <v>5</v>
      </c>
      <c r="C12" s="68" t="s">
        <v>4</v>
      </c>
      <c r="D12" s="68" t="s">
        <v>4</v>
      </c>
      <c r="E12" s="17" t="s">
        <v>10</v>
      </c>
      <c r="F12" s="17" t="s">
        <v>10</v>
      </c>
      <c r="G12" s="17" t="s">
        <v>10</v>
      </c>
      <c r="H12" s="17" t="s">
        <v>10</v>
      </c>
      <c r="I12" s="17" t="s">
        <v>10</v>
      </c>
      <c r="J12" s="17" t="s">
        <v>11</v>
      </c>
      <c r="K12" s="29" t="s">
        <v>4</v>
      </c>
      <c r="L12" s="10" t="s">
        <v>41</v>
      </c>
      <c r="M12" s="10" t="s">
        <v>41</v>
      </c>
      <c r="N12" s="78" t="s">
        <v>41</v>
      </c>
      <c r="O12" s="10" t="s">
        <v>41</v>
      </c>
      <c r="P12" s="78" t="s">
        <v>41</v>
      </c>
      <c r="Q12" s="29" t="s">
        <v>4</v>
      </c>
      <c r="R12" s="29" t="s">
        <v>4</v>
      </c>
      <c r="S12" s="80" t="s">
        <v>37</v>
      </c>
      <c r="T12" s="10" t="s">
        <v>41</v>
      </c>
      <c r="U12" s="78" t="s">
        <v>41</v>
      </c>
      <c r="V12" s="10" t="s">
        <v>41</v>
      </c>
      <c r="W12" s="78" t="s">
        <v>41</v>
      </c>
      <c r="X12" s="66" t="s">
        <v>30</v>
      </c>
      <c r="Y12" s="29" t="s">
        <v>4</v>
      </c>
      <c r="Z12" s="10" t="s">
        <v>41</v>
      </c>
      <c r="AA12" s="10" t="s">
        <v>41</v>
      </c>
      <c r="AB12" s="79" t="s">
        <v>16</v>
      </c>
      <c r="AC12" s="10" t="s">
        <v>41</v>
      </c>
      <c r="AD12" s="79" t="s">
        <v>16</v>
      </c>
      <c r="AE12" s="29" t="s">
        <v>4</v>
      </c>
      <c r="AF12" s="25" t="s">
        <v>3</v>
      </c>
      <c r="AG12" s="10" t="s">
        <v>41</v>
      </c>
      <c r="AH12" s="10" t="s">
        <v>41</v>
      </c>
      <c r="AI12" s="10" t="s">
        <v>42</v>
      </c>
      <c r="AJ12" s="10" t="s">
        <v>41</v>
      </c>
      <c r="AK12" s="12" t="s">
        <v>2</v>
      </c>
      <c r="AL12" s="29" t="s">
        <v>4</v>
      </c>
      <c r="AM12" s="29" t="s">
        <v>4</v>
      </c>
    </row>
    <row r="13" spans="1:39" x14ac:dyDescent="0.35">
      <c r="A13" s="67" t="s">
        <v>22</v>
      </c>
      <c r="B13" s="79" t="s">
        <v>16</v>
      </c>
      <c r="C13" s="83" t="s">
        <v>3</v>
      </c>
      <c r="D13" s="29" t="s">
        <v>4</v>
      </c>
      <c r="E13" s="10" t="s">
        <v>41</v>
      </c>
      <c r="F13" s="10" t="s">
        <v>41</v>
      </c>
      <c r="G13" s="10" t="s">
        <v>41</v>
      </c>
      <c r="H13" s="10" t="s">
        <v>41</v>
      </c>
      <c r="I13" s="13" t="s">
        <v>5</v>
      </c>
      <c r="J13" s="13" t="s">
        <v>5</v>
      </c>
      <c r="K13" s="13" t="s">
        <v>5</v>
      </c>
      <c r="L13" s="13" t="s">
        <v>5</v>
      </c>
      <c r="M13" s="13" t="s">
        <v>5</v>
      </c>
      <c r="N13" s="13" t="s">
        <v>5</v>
      </c>
      <c r="O13" s="13" t="s">
        <v>5</v>
      </c>
      <c r="P13" s="25" t="s">
        <v>6</v>
      </c>
      <c r="Q13" s="25" t="s">
        <v>3</v>
      </c>
      <c r="R13" s="25" t="s">
        <v>3</v>
      </c>
      <c r="S13" s="25" t="s">
        <v>3</v>
      </c>
      <c r="T13" s="25" t="s">
        <v>6</v>
      </c>
      <c r="U13" s="12" t="s">
        <v>2</v>
      </c>
      <c r="V13" s="12" t="s">
        <v>2</v>
      </c>
      <c r="W13" s="25" t="s">
        <v>6</v>
      </c>
      <c r="X13" s="29" t="s">
        <v>4</v>
      </c>
      <c r="Y13" s="29" t="s">
        <v>4</v>
      </c>
      <c r="Z13" s="25" t="s">
        <v>6</v>
      </c>
      <c r="AA13" s="25" t="s">
        <v>6</v>
      </c>
      <c r="AB13" s="13" t="s">
        <v>5</v>
      </c>
      <c r="AC13" s="79" t="s">
        <v>16</v>
      </c>
      <c r="AD13" s="79" t="s">
        <v>16</v>
      </c>
      <c r="AE13" s="79" t="s">
        <v>3</v>
      </c>
      <c r="AF13" s="29" t="s">
        <v>4</v>
      </c>
      <c r="AG13" s="79" t="s">
        <v>16</v>
      </c>
      <c r="AH13" s="79" t="s">
        <v>16</v>
      </c>
      <c r="AI13" s="79" t="s">
        <v>30</v>
      </c>
      <c r="AJ13" s="79" t="s">
        <v>16</v>
      </c>
      <c r="AK13" s="79" t="s">
        <v>16</v>
      </c>
      <c r="AL13" s="79" t="s">
        <v>30</v>
      </c>
      <c r="AM13" s="29" t="s">
        <v>4</v>
      </c>
    </row>
    <row r="14" spans="1:39" x14ac:dyDescent="0.35">
      <c r="A14" s="67" t="s">
        <v>62</v>
      </c>
      <c r="B14" s="13" t="s">
        <v>5</v>
      </c>
      <c r="C14" s="29" t="s">
        <v>4</v>
      </c>
      <c r="D14" s="29" t="s">
        <v>4</v>
      </c>
      <c r="E14" s="13" t="s">
        <v>5</v>
      </c>
      <c r="F14" s="10" t="s">
        <v>41</v>
      </c>
      <c r="G14" s="13" t="s">
        <v>5</v>
      </c>
      <c r="H14" s="10" t="s">
        <v>41</v>
      </c>
      <c r="I14" s="10" t="s">
        <v>41</v>
      </c>
      <c r="J14" s="19" t="s">
        <v>42</v>
      </c>
      <c r="K14" s="19" t="s">
        <v>42</v>
      </c>
      <c r="L14" s="10" t="s">
        <v>41</v>
      </c>
      <c r="M14" s="10" t="s">
        <v>41</v>
      </c>
      <c r="N14" s="12" t="s">
        <v>2</v>
      </c>
      <c r="O14" s="80" t="s">
        <v>81</v>
      </c>
      <c r="P14" s="10" t="s">
        <v>41</v>
      </c>
      <c r="Q14" s="29" t="s">
        <v>4</v>
      </c>
      <c r="R14" s="29" t="s">
        <v>4</v>
      </c>
      <c r="S14" s="80" t="s">
        <v>37</v>
      </c>
      <c r="T14" s="79" t="s">
        <v>16</v>
      </c>
      <c r="U14" s="79" t="s">
        <v>16</v>
      </c>
      <c r="V14" s="79" t="s">
        <v>16</v>
      </c>
      <c r="W14" s="10" t="s">
        <v>41</v>
      </c>
      <c r="X14" s="19" t="s">
        <v>42</v>
      </c>
      <c r="Y14" s="19" t="s">
        <v>42</v>
      </c>
      <c r="Z14" s="10" t="s">
        <v>41</v>
      </c>
      <c r="AA14" s="79" t="s">
        <v>16</v>
      </c>
      <c r="AB14" s="79" t="s">
        <v>16</v>
      </c>
      <c r="AC14" s="79" t="s">
        <v>16</v>
      </c>
      <c r="AD14" s="10" t="s">
        <v>41</v>
      </c>
      <c r="AE14" s="29" t="s">
        <v>4</v>
      </c>
      <c r="AF14" s="29" t="s">
        <v>4</v>
      </c>
      <c r="AG14" s="10" t="s">
        <v>41</v>
      </c>
      <c r="AH14" s="25" t="s">
        <v>6</v>
      </c>
      <c r="AI14" s="13" t="s">
        <v>5</v>
      </c>
      <c r="AJ14" s="10" t="s">
        <v>41</v>
      </c>
      <c r="AK14" s="10" t="s">
        <v>41</v>
      </c>
      <c r="AL14" s="29" t="s">
        <v>4</v>
      </c>
      <c r="AM14" s="19" t="s">
        <v>42</v>
      </c>
    </row>
    <row r="15" spans="1:39" x14ac:dyDescent="0.35">
      <c r="A15" s="67" t="s">
        <v>76</v>
      </c>
      <c r="B15" s="25" t="s">
        <v>6</v>
      </c>
      <c r="C15" s="29" t="s">
        <v>4</v>
      </c>
      <c r="D15" s="19" t="s">
        <v>42</v>
      </c>
      <c r="E15" s="25" t="s">
        <v>6</v>
      </c>
      <c r="F15" s="25" t="s">
        <v>6</v>
      </c>
      <c r="G15" s="25" t="s">
        <v>6</v>
      </c>
      <c r="H15" s="25" t="s">
        <v>6</v>
      </c>
      <c r="I15" s="25" t="s">
        <v>6</v>
      </c>
      <c r="J15" s="29" t="s">
        <v>4</v>
      </c>
      <c r="K15" s="29" t="s">
        <v>4</v>
      </c>
      <c r="L15" s="25" t="s">
        <v>6</v>
      </c>
      <c r="M15" s="25" t="s">
        <v>6</v>
      </c>
      <c r="N15" s="25" t="s">
        <v>6</v>
      </c>
      <c r="O15" s="13" t="s">
        <v>5</v>
      </c>
      <c r="P15" s="25" t="s">
        <v>6</v>
      </c>
      <c r="Q15" s="19" t="s">
        <v>42</v>
      </c>
      <c r="R15" s="19" t="s">
        <v>42</v>
      </c>
      <c r="S15" s="80" t="s">
        <v>37</v>
      </c>
      <c r="T15" s="79" t="s">
        <v>16</v>
      </c>
      <c r="U15" s="79" t="s">
        <v>16</v>
      </c>
      <c r="V15" s="79" t="s">
        <v>16</v>
      </c>
      <c r="W15" s="79" t="s">
        <v>16</v>
      </c>
      <c r="X15" s="29" t="s">
        <v>4</v>
      </c>
      <c r="Y15" s="29" t="s">
        <v>4</v>
      </c>
      <c r="Z15" s="79" t="s">
        <v>16</v>
      </c>
      <c r="AA15" s="79" t="s">
        <v>16</v>
      </c>
      <c r="AB15" s="10" t="s">
        <v>41</v>
      </c>
      <c r="AC15" s="25" t="s">
        <v>6</v>
      </c>
      <c r="AD15" s="25" t="s">
        <v>6</v>
      </c>
      <c r="AE15" s="29" t="s">
        <v>4</v>
      </c>
      <c r="AF15" s="19" t="s">
        <v>42</v>
      </c>
      <c r="AG15" s="10" t="s">
        <v>41</v>
      </c>
      <c r="AH15" s="13" t="s">
        <v>5</v>
      </c>
      <c r="AI15" s="25" t="s">
        <v>3</v>
      </c>
      <c r="AJ15" s="25" t="s">
        <v>6</v>
      </c>
      <c r="AK15" s="25" t="s">
        <v>6</v>
      </c>
      <c r="AL15" s="29" t="s">
        <v>4</v>
      </c>
      <c r="AM15" s="29" t="s">
        <v>4</v>
      </c>
    </row>
    <row r="16" spans="1:39" x14ac:dyDescent="0.35">
      <c r="A16" s="67" t="s">
        <v>74</v>
      </c>
      <c r="B16" s="10" t="s">
        <v>41</v>
      </c>
      <c r="C16" s="29" t="s">
        <v>4</v>
      </c>
      <c r="D16" s="29" t="s">
        <v>4</v>
      </c>
      <c r="E16" s="16" t="s">
        <v>8</v>
      </c>
      <c r="F16" s="16" t="s">
        <v>8</v>
      </c>
      <c r="G16" s="16" t="s">
        <v>8</v>
      </c>
      <c r="H16" s="16" t="s">
        <v>8</v>
      </c>
      <c r="I16" s="16" t="s">
        <v>8</v>
      </c>
      <c r="J16" s="29" t="s">
        <v>4</v>
      </c>
      <c r="K16" s="29" t="s">
        <v>4</v>
      </c>
      <c r="L16" s="17" t="s">
        <v>10</v>
      </c>
      <c r="M16" s="17" t="s">
        <v>10</v>
      </c>
      <c r="N16" s="17" t="s">
        <v>10</v>
      </c>
      <c r="O16" s="80" t="s">
        <v>81</v>
      </c>
      <c r="P16" s="16" t="s">
        <v>8</v>
      </c>
      <c r="Q16" s="29" t="s">
        <v>4</v>
      </c>
      <c r="R16" s="29" t="s">
        <v>4</v>
      </c>
      <c r="S16" s="19" t="s">
        <v>42</v>
      </c>
      <c r="T16" s="25" t="s">
        <v>6</v>
      </c>
      <c r="U16" s="25" t="s">
        <v>6</v>
      </c>
      <c r="V16" s="25" t="s">
        <v>6</v>
      </c>
      <c r="W16" s="25" t="s">
        <v>6</v>
      </c>
      <c r="X16" s="29" t="s">
        <v>4</v>
      </c>
      <c r="Y16" s="29" t="s">
        <v>4</v>
      </c>
      <c r="Z16" s="10" t="s">
        <v>41</v>
      </c>
      <c r="AA16" s="10" t="s">
        <v>41</v>
      </c>
      <c r="AB16" s="79" t="s">
        <v>16</v>
      </c>
      <c r="AC16" s="79" t="s">
        <v>16</v>
      </c>
      <c r="AD16" s="79" t="s">
        <v>16</v>
      </c>
      <c r="AE16" s="29" t="s">
        <v>4</v>
      </c>
      <c r="AF16" s="29" t="s">
        <v>4</v>
      </c>
      <c r="AG16" s="79" t="s">
        <v>16</v>
      </c>
      <c r="AH16" s="79" t="s">
        <v>16</v>
      </c>
      <c r="AI16" s="79" t="s">
        <v>30</v>
      </c>
      <c r="AJ16" s="79" t="s">
        <v>16</v>
      </c>
      <c r="AK16" s="79" t="s">
        <v>16</v>
      </c>
      <c r="AL16" s="29" t="s">
        <v>4</v>
      </c>
      <c r="AM16" s="29" t="s">
        <v>4</v>
      </c>
    </row>
    <row r="17" spans="1:39" x14ac:dyDescent="0.35">
      <c r="A17" s="67" t="s">
        <v>77</v>
      </c>
      <c r="B17" s="79" t="s">
        <v>16</v>
      </c>
      <c r="C17" s="78" t="s">
        <v>42</v>
      </c>
      <c r="D17" s="29" t="s">
        <v>4</v>
      </c>
      <c r="E17" s="79" t="s">
        <v>16</v>
      </c>
      <c r="F17" s="79" t="s">
        <v>16</v>
      </c>
      <c r="G17" s="79" t="s">
        <v>16</v>
      </c>
      <c r="H17" s="79" t="s">
        <v>16</v>
      </c>
      <c r="I17" s="79" t="s">
        <v>16</v>
      </c>
      <c r="J17" s="29" t="s">
        <v>4</v>
      </c>
      <c r="K17" s="29" t="s">
        <v>4</v>
      </c>
      <c r="L17" s="79" t="s">
        <v>16</v>
      </c>
      <c r="M17" s="13" t="s">
        <v>5</v>
      </c>
      <c r="N17" s="10" t="s">
        <v>41</v>
      </c>
      <c r="O17" s="10" t="s">
        <v>41</v>
      </c>
      <c r="P17" s="10" t="s">
        <v>41</v>
      </c>
      <c r="Q17" s="29" t="s">
        <v>4</v>
      </c>
      <c r="R17" s="29" t="s">
        <v>4</v>
      </c>
      <c r="S17" s="80" t="s">
        <v>37</v>
      </c>
      <c r="T17" s="13" t="s">
        <v>5</v>
      </c>
      <c r="U17" s="10" t="s">
        <v>41</v>
      </c>
      <c r="V17" s="10" t="s">
        <v>41</v>
      </c>
      <c r="W17" s="10" t="s">
        <v>41</v>
      </c>
      <c r="X17" s="29" t="s">
        <v>4</v>
      </c>
      <c r="Y17" s="29" t="s">
        <v>4</v>
      </c>
      <c r="Z17" s="17" t="s">
        <v>10</v>
      </c>
      <c r="AA17" s="17" t="s">
        <v>10</v>
      </c>
      <c r="AB17" s="17" t="s">
        <v>10</v>
      </c>
      <c r="AC17" s="17" t="s">
        <v>10</v>
      </c>
      <c r="AD17" s="16" t="s">
        <v>8</v>
      </c>
      <c r="AE17" s="29" t="s">
        <v>4</v>
      </c>
      <c r="AF17" s="29" t="s">
        <v>4</v>
      </c>
      <c r="AG17" s="25" t="s">
        <v>6</v>
      </c>
      <c r="AH17" s="25" t="s">
        <v>6</v>
      </c>
      <c r="AI17" s="25" t="s">
        <v>3</v>
      </c>
      <c r="AJ17" s="25" t="s">
        <v>6</v>
      </c>
      <c r="AK17" s="25" t="s">
        <v>6</v>
      </c>
      <c r="AL17" s="29" t="s">
        <v>4</v>
      </c>
      <c r="AM17" s="29" t="s">
        <v>4</v>
      </c>
    </row>
    <row r="19" spans="1:39" x14ac:dyDescent="0.35">
      <c r="A19" s="24" t="s">
        <v>23</v>
      </c>
      <c r="B19" s="71"/>
      <c r="C19" s="71"/>
      <c r="D19" s="71"/>
    </row>
    <row r="20" spans="1:39" x14ac:dyDescent="0.35">
      <c r="A20" s="1" t="s">
        <v>24</v>
      </c>
      <c r="B20" s="85"/>
      <c r="C20" s="85"/>
      <c r="D20" s="85"/>
    </row>
    <row r="21" spans="1:39" x14ac:dyDescent="0.35">
      <c r="A21" s="1" t="s">
        <v>25</v>
      </c>
      <c r="B21" s="85"/>
      <c r="C21" s="85"/>
      <c r="D21" s="85"/>
    </row>
    <row r="22" spans="1:39" x14ac:dyDescent="0.35">
      <c r="A22" s="1" t="s">
        <v>47</v>
      </c>
      <c r="B22" s="85"/>
      <c r="C22" s="85"/>
      <c r="D22" s="85"/>
    </row>
    <row r="23" spans="1:39" x14ac:dyDescent="0.35">
      <c r="A23" s="1" t="s">
        <v>48</v>
      </c>
      <c r="B23" s="85"/>
      <c r="C23" s="85"/>
      <c r="D23" s="85"/>
    </row>
    <row r="24" spans="1:39" x14ac:dyDescent="0.35">
      <c r="A24" s="26" t="s">
        <v>26</v>
      </c>
      <c r="B24" s="86"/>
      <c r="C24" s="86"/>
      <c r="D24" s="86"/>
    </row>
    <row r="25" spans="1:39" x14ac:dyDescent="0.35">
      <c r="A25" s="26" t="s">
        <v>27</v>
      </c>
      <c r="B25" s="86"/>
      <c r="C25" s="86"/>
      <c r="D25" s="86"/>
    </row>
    <row r="26" spans="1:39" x14ac:dyDescent="0.35">
      <c r="A26" s="26" t="s">
        <v>28</v>
      </c>
      <c r="B26" s="86"/>
      <c r="C26" s="86"/>
      <c r="D26" s="86"/>
    </row>
    <row r="27" spans="1:39" x14ac:dyDescent="0.35">
      <c r="A27" s="26" t="s">
        <v>29</v>
      </c>
      <c r="B27" s="86"/>
      <c r="C27" s="86"/>
      <c r="D27" s="86"/>
    </row>
    <row r="28" spans="1:39" x14ac:dyDescent="0.35">
      <c r="A28" s="26" t="s">
        <v>49</v>
      </c>
      <c r="B28" s="86"/>
      <c r="C28" s="86"/>
      <c r="D28" s="86"/>
    </row>
    <row r="29" spans="1:39" x14ac:dyDescent="0.35">
      <c r="A29" s="26" t="s">
        <v>50</v>
      </c>
      <c r="B29" s="86"/>
      <c r="C29" s="86"/>
      <c r="D29" s="86"/>
    </row>
    <row r="30" spans="1:39" x14ac:dyDescent="0.35">
      <c r="A30" s="26" t="s">
        <v>31</v>
      </c>
      <c r="B30" s="86"/>
      <c r="C30" s="86"/>
      <c r="D30" s="86"/>
    </row>
    <row r="31" spans="1:39" x14ac:dyDescent="0.35">
      <c r="A31" s="26" t="s">
        <v>32</v>
      </c>
      <c r="B31" s="86"/>
      <c r="C31" s="86"/>
      <c r="D31" s="86"/>
    </row>
    <row r="32" spans="1:39" x14ac:dyDescent="0.35">
      <c r="A32" s="26" t="s">
        <v>33</v>
      </c>
      <c r="B32" s="86"/>
      <c r="C32" s="86"/>
      <c r="D32" s="86"/>
    </row>
    <row r="33" spans="1:4" x14ac:dyDescent="0.35">
      <c r="A33" s="26" t="s">
        <v>35</v>
      </c>
      <c r="B33" s="86"/>
      <c r="C33" s="86"/>
      <c r="D33" s="86"/>
    </row>
    <row r="34" spans="1:4" x14ac:dyDescent="0.35">
      <c r="A34" s="26" t="s">
        <v>36</v>
      </c>
      <c r="B34" s="86"/>
      <c r="C34" s="86"/>
      <c r="D34" s="86"/>
    </row>
    <row r="35" spans="1:4" x14ac:dyDescent="0.35">
      <c r="A35" s="26" t="s">
        <v>38</v>
      </c>
      <c r="B35" s="86"/>
      <c r="C35" s="86"/>
      <c r="D35" s="86"/>
    </row>
    <row r="36" spans="1:4" x14ac:dyDescent="0.35">
      <c r="A36" s="26" t="s">
        <v>36</v>
      </c>
      <c r="B36" s="86"/>
      <c r="C36" s="86"/>
      <c r="D36" s="86"/>
    </row>
    <row r="37" spans="1:4" x14ac:dyDescent="0.35">
      <c r="A37" s="26" t="s">
        <v>38</v>
      </c>
      <c r="B37" s="86"/>
      <c r="C37" s="86"/>
      <c r="D37" s="86"/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K49"/>
  <sheetViews>
    <sheetView zoomScale="76" zoomScaleNormal="76" workbookViewId="0">
      <pane xSplit="1" topLeftCell="B1" activePane="topRight" state="frozen"/>
      <selection pane="topRight" activeCell="W5" sqref="W5:X5"/>
    </sheetView>
  </sheetViews>
  <sheetFormatPr defaultColWidth="9.1796875" defaultRowHeight="14.5" x14ac:dyDescent="0.35"/>
  <cols>
    <col min="1" max="1" width="41" style="45" customWidth="1"/>
    <col min="2" max="4" width="5.6328125" style="45" hidden="1" customWidth="1"/>
    <col min="5" max="6" width="7.1796875" style="45" hidden="1" customWidth="1"/>
    <col min="7" max="8" width="7.26953125" style="45" customWidth="1"/>
    <col min="9" max="10" width="9.26953125" style="45" customWidth="1"/>
    <col min="11" max="12" width="7.26953125" style="45" customWidth="1"/>
    <col min="13" max="13" width="7.54296875" style="45" customWidth="1"/>
    <col min="14" max="14" width="7.26953125" style="45" customWidth="1"/>
    <col min="15" max="15" width="7.54296875" style="45" customWidth="1"/>
    <col min="16" max="17" width="9.26953125" style="45" customWidth="1"/>
    <col min="18" max="18" width="7.54296875" style="45" customWidth="1"/>
    <col min="19" max="19" width="9.26953125" style="45" customWidth="1"/>
    <col min="20" max="22" width="7.54296875" style="45" customWidth="1"/>
    <col min="23" max="23" width="9.26953125" style="45" customWidth="1"/>
    <col min="24" max="26" width="6.7265625" style="45" customWidth="1"/>
    <col min="27" max="29" width="9.1796875" style="45" customWidth="1"/>
    <col min="30" max="16384" width="9.1796875" style="45"/>
  </cols>
  <sheetData>
    <row r="1" spans="1:37" ht="15" customHeight="1" x14ac:dyDescent="0.35">
      <c r="A1" s="30"/>
      <c r="B1" s="2" t="str">
        <f t="shared" ref="B1:F1" si="0">TEXT(B2,"ddd")</f>
        <v>Wed</v>
      </c>
      <c r="C1" s="2" t="str">
        <f t="shared" si="0"/>
        <v>Thu</v>
      </c>
      <c r="D1" s="2" t="str">
        <f t="shared" si="0"/>
        <v>Fri</v>
      </c>
      <c r="E1" s="2" t="str">
        <f t="shared" si="0"/>
        <v>Sat</v>
      </c>
      <c r="F1" s="2" t="str">
        <f t="shared" si="0"/>
        <v>Sun</v>
      </c>
      <c r="G1" s="2" t="str">
        <f t="shared" ref="G1:AK1" si="1">TEXT(G2,"ddd")</f>
        <v>Mon</v>
      </c>
      <c r="H1" s="2" t="str">
        <f t="shared" si="1"/>
        <v>Tue</v>
      </c>
      <c r="I1" s="2" t="str">
        <f t="shared" si="1"/>
        <v>Wed</v>
      </c>
      <c r="J1" s="2" t="str">
        <f t="shared" si="1"/>
        <v>Thu</v>
      </c>
      <c r="K1" s="2" t="str">
        <f t="shared" si="1"/>
        <v>Fri</v>
      </c>
      <c r="L1" s="2" t="str">
        <f t="shared" si="1"/>
        <v>Sat</v>
      </c>
      <c r="M1" s="2" t="str">
        <f t="shared" si="1"/>
        <v>Sun</v>
      </c>
      <c r="N1" s="2" t="str">
        <f t="shared" si="1"/>
        <v>Mon</v>
      </c>
      <c r="O1" s="2" t="str">
        <f t="shared" si="1"/>
        <v>Tue</v>
      </c>
      <c r="P1" s="2" t="str">
        <f t="shared" si="1"/>
        <v>Wed</v>
      </c>
      <c r="Q1" s="2" t="str">
        <f t="shared" si="1"/>
        <v>Thu</v>
      </c>
      <c r="R1" s="2" t="str">
        <f t="shared" si="1"/>
        <v>Fri</v>
      </c>
      <c r="S1" s="2" t="str">
        <f t="shared" si="1"/>
        <v>Sat</v>
      </c>
      <c r="T1" s="2" t="str">
        <f t="shared" si="1"/>
        <v>Sun</v>
      </c>
      <c r="U1" s="2" t="str">
        <f t="shared" si="1"/>
        <v>Mon</v>
      </c>
      <c r="V1" s="2" t="str">
        <f t="shared" si="1"/>
        <v>Tue</v>
      </c>
      <c r="W1" s="2" t="str">
        <f t="shared" si="1"/>
        <v>Wed</v>
      </c>
      <c r="X1" s="2" t="str">
        <f t="shared" si="1"/>
        <v>Thu</v>
      </c>
      <c r="Y1" s="2" t="str">
        <f t="shared" si="1"/>
        <v>Fri</v>
      </c>
      <c r="Z1" s="2" t="str">
        <f t="shared" si="1"/>
        <v>Sat</v>
      </c>
      <c r="AA1" s="2" t="str">
        <f t="shared" si="1"/>
        <v>Sun</v>
      </c>
      <c r="AB1" s="2" t="str">
        <f t="shared" si="1"/>
        <v>Mon</v>
      </c>
      <c r="AC1" s="2" t="str">
        <f t="shared" si="1"/>
        <v>Tue</v>
      </c>
      <c r="AD1" s="2" t="str">
        <f t="shared" si="1"/>
        <v>Wed</v>
      </c>
      <c r="AE1" s="2" t="str">
        <f t="shared" si="1"/>
        <v>Thu</v>
      </c>
      <c r="AF1" s="2" t="str">
        <f t="shared" si="1"/>
        <v>Fri</v>
      </c>
      <c r="AG1" s="2" t="str">
        <f t="shared" si="1"/>
        <v>Sat</v>
      </c>
      <c r="AH1" s="2" t="str">
        <f t="shared" si="1"/>
        <v>Sun</v>
      </c>
      <c r="AI1" s="2" t="str">
        <f t="shared" si="1"/>
        <v>Mon</v>
      </c>
      <c r="AJ1" s="2" t="str">
        <f t="shared" si="1"/>
        <v>Tue</v>
      </c>
      <c r="AK1" s="2" t="str">
        <f t="shared" si="1"/>
        <v>Wed</v>
      </c>
    </row>
    <row r="2" spans="1:37" x14ac:dyDescent="0.35">
      <c r="A2" s="7" t="s">
        <v>0</v>
      </c>
      <c r="B2" s="31">
        <v>44769</v>
      </c>
      <c r="C2" s="31">
        <v>44770</v>
      </c>
      <c r="D2" s="31">
        <v>44771</v>
      </c>
      <c r="E2" s="31">
        <v>44772</v>
      </c>
      <c r="F2" s="31">
        <v>44773</v>
      </c>
      <c r="G2" s="31">
        <v>44774</v>
      </c>
      <c r="H2" s="31">
        <v>44775</v>
      </c>
      <c r="I2" s="31">
        <v>44776</v>
      </c>
      <c r="J2" s="31">
        <v>44777</v>
      </c>
      <c r="K2" s="31">
        <v>44778</v>
      </c>
      <c r="L2" s="31">
        <v>44779</v>
      </c>
      <c r="M2" s="31">
        <v>44780</v>
      </c>
      <c r="N2" s="31">
        <v>44781</v>
      </c>
      <c r="O2" s="31">
        <v>44782</v>
      </c>
      <c r="P2" s="31">
        <v>44783</v>
      </c>
      <c r="Q2" s="31">
        <v>44784</v>
      </c>
      <c r="R2" s="31">
        <v>44785</v>
      </c>
      <c r="S2" s="31">
        <v>44786</v>
      </c>
      <c r="T2" s="31">
        <v>44787</v>
      </c>
      <c r="U2" s="31">
        <v>44788</v>
      </c>
      <c r="V2" s="31">
        <v>44789</v>
      </c>
      <c r="W2" s="31">
        <v>44790</v>
      </c>
      <c r="X2" s="31">
        <v>44791</v>
      </c>
      <c r="Y2" s="31">
        <v>44792</v>
      </c>
      <c r="Z2" s="31">
        <v>44793</v>
      </c>
      <c r="AA2" s="31">
        <v>44794</v>
      </c>
      <c r="AB2" s="31">
        <v>44795</v>
      </c>
      <c r="AC2" s="31">
        <v>44796</v>
      </c>
      <c r="AD2" s="31">
        <v>44797</v>
      </c>
      <c r="AE2" s="31">
        <v>44798</v>
      </c>
      <c r="AF2" s="31">
        <v>44799</v>
      </c>
      <c r="AG2" s="31">
        <v>44800</v>
      </c>
      <c r="AH2" s="31">
        <v>44801</v>
      </c>
      <c r="AI2" s="31">
        <v>44802</v>
      </c>
      <c r="AJ2" s="31">
        <v>44803</v>
      </c>
      <c r="AK2" s="31">
        <v>44804</v>
      </c>
    </row>
    <row r="3" spans="1:37" x14ac:dyDescent="0.35">
      <c r="A3" s="8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</row>
    <row r="4" spans="1:37" x14ac:dyDescent="0.35">
      <c r="A4" s="67" t="s">
        <v>1</v>
      </c>
      <c r="B4" s="12" t="s">
        <v>2</v>
      </c>
      <c r="C4" s="25" t="s">
        <v>6</v>
      </c>
      <c r="D4" s="25" t="s">
        <v>6</v>
      </c>
      <c r="E4" s="25" t="s">
        <v>3</v>
      </c>
      <c r="F4" s="25" t="s">
        <v>3</v>
      </c>
      <c r="G4" s="25" t="s">
        <v>6</v>
      </c>
      <c r="H4" s="12" t="s">
        <v>2</v>
      </c>
      <c r="I4" s="25" t="s">
        <v>6</v>
      </c>
      <c r="J4" s="25" t="s">
        <v>6</v>
      </c>
      <c r="K4" s="12" t="s">
        <v>2</v>
      </c>
      <c r="L4" s="25" t="s">
        <v>3</v>
      </c>
      <c r="M4" s="25" t="s">
        <v>3</v>
      </c>
      <c r="N4" s="25" t="s">
        <v>6</v>
      </c>
      <c r="O4" s="80" t="s">
        <v>81</v>
      </c>
      <c r="P4" s="25" t="s">
        <v>6</v>
      </c>
      <c r="Q4" s="25" t="s">
        <v>6</v>
      </c>
      <c r="R4" s="12" t="s">
        <v>2</v>
      </c>
      <c r="S4" s="25" t="s">
        <v>3</v>
      </c>
      <c r="T4" s="25" t="s">
        <v>3</v>
      </c>
      <c r="U4" s="25" t="s">
        <v>3</v>
      </c>
      <c r="V4" s="12" t="s">
        <v>2</v>
      </c>
      <c r="W4" s="25" t="s">
        <v>6</v>
      </c>
      <c r="X4" s="25" t="s">
        <v>6</v>
      </c>
      <c r="Y4" s="12" t="s">
        <v>2</v>
      </c>
      <c r="Z4" s="25" t="s">
        <v>3</v>
      </c>
      <c r="AA4" s="25" t="s">
        <v>3</v>
      </c>
      <c r="AB4" s="25" t="s">
        <v>6</v>
      </c>
      <c r="AC4" s="25" t="s">
        <v>6</v>
      </c>
      <c r="AD4" s="12" t="s">
        <v>2</v>
      </c>
      <c r="AE4" s="25" t="s">
        <v>6</v>
      </c>
      <c r="AF4" s="12" t="s">
        <v>2</v>
      </c>
      <c r="AG4" s="25" t="s">
        <v>3</v>
      </c>
      <c r="AH4" s="25" t="s">
        <v>3</v>
      </c>
      <c r="AI4" s="25" t="s">
        <v>6</v>
      </c>
      <c r="AJ4" s="12" t="s">
        <v>2</v>
      </c>
      <c r="AK4" s="25" t="s">
        <v>3</v>
      </c>
    </row>
    <row r="5" spans="1:37" x14ac:dyDescent="0.35">
      <c r="A5" s="67" t="s">
        <v>9</v>
      </c>
      <c r="B5" s="17" t="s">
        <v>10</v>
      </c>
      <c r="C5" s="12" t="s">
        <v>2</v>
      </c>
      <c r="D5" s="78" t="s">
        <v>16</v>
      </c>
      <c r="E5" s="17" t="s">
        <v>11</v>
      </c>
      <c r="F5" s="17" t="s">
        <v>11</v>
      </c>
      <c r="G5" s="12" t="s">
        <v>2</v>
      </c>
      <c r="H5" s="78" t="s">
        <v>16</v>
      </c>
      <c r="I5" s="78" t="s">
        <v>16</v>
      </c>
      <c r="J5" s="78" t="s">
        <v>16</v>
      </c>
      <c r="K5" s="78" t="s">
        <v>16</v>
      </c>
      <c r="L5" s="29" t="s">
        <v>4</v>
      </c>
      <c r="M5" s="17" t="s">
        <v>11</v>
      </c>
      <c r="N5" s="17" t="s">
        <v>10</v>
      </c>
      <c r="O5" s="17" t="s">
        <v>10</v>
      </c>
      <c r="P5" s="17" t="s">
        <v>10</v>
      </c>
      <c r="Q5" s="17" t="s">
        <v>10</v>
      </c>
      <c r="R5" s="17" t="s">
        <v>10</v>
      </c>
      <c r="S5" s="68" t="s">
        <v>4</v>
      </c>
      <c r="T5" s="17" t="s">
        <v>11</v>
      </c>
      <c r="U5" s="17" t="s">
        <v>11</v>
      </c>
      <c r="V5" s="12" t="s">
        <v>2</v>
      </c>
      <c r="W5" s="17" t="s">
        <v>10</v>
      </c>
      <c r="X5" s="17" t="s">
        <v>10</v>
      </c>
      <c r="Y5" s="17" t="s">
        <v>10</v>
      </c>
      <c r="Z5" s="68" t="s">
        <v>4</v>
      </c>
      <c r="AA5" s="68" t="s">
        <v>4</v>
      </c>
      <c r="AB5" s="13" t="s">
        <v>5</v>
      </c>
      <c r="AC5" s="13" t="s">
        <v>5</v>
      </c>
      <c r="AD5" s="13" t="s">
        <v>5</v>
      </c>
      <c r="AE5" s="78" t="s">
        <v>16</v>
      </c>
      <c r="AF5" s="17" t="s">
        <v>10</v>
      </c>
      <c r="AG5" s="17" t="s">
        <v>11</v>
      </c>
      <c r="AH5" s="17" t="s">
        <v>11</v>
      </c>
      <c r="AI5" s="12" t="s">
        <v>2</v>
      </c>
      <c r="AJ5" s="78" t="s">
        <v>16</v>
      </c>
      <c r="AK5" s="13" t="s">
        <v>5</v>
      </c>
    </row>
    <row r="6" spans="1:37" x14ac:dyDescent="0.35">
      <c r="A6" s="67" t="s">
        <v>12</v>
      </c>
      <c r="B6" s="78" t="s">
        <v>41</v>
      </c>
      <c r="C6" s="78" t="s">
        <v>41</v>
      </c>
      <c r="D6" s="78" t="s">
        <v>41</v>
      </c>
      <c r="E6" s="84" t="s">
        <v>122</v>
      </c>
      <c r="F6" s="84" t="s">
        <v>122</v>
      </c>
      <c r="G6" s="12" t="s">
        <v>2</v>
      </c>
      <c r="H6" s="12" t="s">
        <v>2</v>
      </c>
      <c r="I6" s="78" t="s">
        <v>41</v>
      </c>
      <c r="J6" s="78" t="s">
        <v>41</v>
      </c>
      <c r="K6" s="78" t="s">
        <v>41</v>
      </c>
      <c r="L6" s="78" t="s">
        <v>42</v>
      </c>
      <c r="M6" s="78" t="s">
        <v>42</v>
      </c>
      <c r="N6" s="78" t="s">
        <v>41</v>
      </c>
      <c r="O6" s="13" t="s">
        <v>5</v>
      </c>
      <c r="P6" s="13" t="s">
        <v>5</v>
      </c>
      <c r="Q6" s="13" t="s">
        <v>5</v>
      </c>
      <c r="R6" s="13" t="s">
        <v>5</v>
      </c>
      <c r="S6" s="10" t="s">
        <v>42</v>
      </c>
      <c r="T6" s="10" t="s">
        <v>42</v>
      </c>
      <c r="U6" s="10" t="s">
        <v>42</v>
      </c>
      <c r="V6" s="10" t="s">
        <v>41</v>
      </c>
      <c r="W6" s="12" t="s">
        <v>2</v>
      </c>
      <c r="X6" s="10" t="s">
        <v>41</v>
      </c>
      <c r="Y6" s="10" t="s">
        <v>41</v>
      </c>
      <c r="Z6" s="29" t="s">
        <v>4</v>
      </c>
      <c r="AA6" s="29" t="s">
        <v>4</v>
      </c>
      <c r="AB6" s="10" t="s">
        <v>41</v>
      </c>
      <c r="AC6" s="10" t="s">
        <v>41</v>
      </c>
      <c r="AD6" s="10" t="s">
        <v>41</v>
      </c>
      <c r="AE6" s="10" t="s">
        <v>41</v>
      </c>
      <c r="AF6" s="12" t="s">
        <v>2</v>
      </c>
      <c r="AG6" s="10" t="s">
        <v>42</v>
      </c>
      <c r="AH6" s="10" t="s">
        <v>42</v>
      </c>
      <c r="AI6" s="10" t="s">
        <v>41</v>
      </c>
      <c r="AJ6" s="10" t="s">
        <v>41</v>
      </c>
      <c r="AK6" s="10" t="s">
        <v>42</v>
      </c>
    </row>
    <row r="7" spans="1:37" x14ac:dyDescent="0.35">
      <c r="A7" s="67" t="s">
        <v>14</v>
      </c>
      <c r="B7" s="10" t="s">
        <v>41</v>
      </c>
      <c r="C7" s="10" t="s">
        <v>41</v>
      </c>
      <c r="D7" s="13" t="s">
        <v>5</v>
      </c>
      <c r="E7" s="68" t="s">
        <v>4</v>
      </c>
      <c r="F7" s="68" t="s">
        <v>4</v>
      </c>
      <c r="G7" s="78" t="s">
        <v>41</v>
      </c>
      <c r="H7" s="78" t="s">
        <v>41</v>
      </c>
      <c r="I7" s="78" t="s">
        <v>16</v>
      </c>
      <c r="J7" s="78" t="s">
        <v>16</v>
      </c>
      <c r="K7" s="78" t="s">
        <v>16</v>
      </c>
      <c r="L7" s="84" t="s">
        <v>30</v>
      </c>
      <c r="M7" s="68" t="s">
        <v>4</v>
      </c>
      <c r="N7" s="13" t="s">
        <v>5</v>
      </c>
      <c r="O7" s="10" t="s">
        <v>41</v>
      </c>
      <c r="P7" s="10" t="s">
        <v>41</v>
      </c>
      <c r="Q7" s="10" t="s">
        <v>41</v>
      </c>
      <c r="R7" s="10" t="s">
        <v>41</v>
      </c>
      <c r="S7" s="68" t="s">
        <v>4</v>
      </c>
      <c r="T7" s="68" t="s">
        <v>4</v>
      </c>
      <c r="U7" s="10" t="s">
        <v>42</v>
      </c>
      <c r="V7" s="10" t="s">
        <v>41</v>
      </c>
      <c r="W7" s="10" t="s">
        <v>41</v>
      </c>
      <c r="X7" s="10" t="s">
        <v>41</v>
      </c>
      <c r="Y7" s="12" t="s">
        <v>2</v>
      </c>
      <c r="Z7" s="10" t="s">
        <v>42</v>
      </c>
      <c r="AA7" s="10" t="s">
        <v>42</v>
      </c>
      <c r="AB7" s="12" t="s">
        <v>2</v>
      </c>
      <c r="AC7" s="10" t="s">
        <v>41</v>
      </c>
      <c r="AD7" s="10" t="s">
        <v>41</v>
      </c>
      <c r="AE7" s="10" t="s">
        <v>41</v>
      </c>
      <c r="AF7" s="10" t="s">
        <v>41</v>
      </c>
      <c r="AG7" s="68" t="s">
        <v>4</v>
      </c>
      <c r="AH7" s="68" t="s">
        <v>4</v>
      </c>
      <c r="AI7" s="13" t="s">
        <v>5</v>
      </c>
      <c r="AJ7" s="13" t="s">
        <v>5</v>
      </c>
      <c r="AK7" s="13" t="s">
        <v>5</v>
      </c>
    </row>
    <row r="8" spans="1:37" x14ac:dyDescent="0.35">
      <c r="A8" s="67" t="s">
        <v>15</v>
      </c>
      <c r="B8" s="17" t="s">
        <v>10</v>
      </c>
      <c r="C8" s="17" t="s">
        <v>10</v>
      </c>
      <c r="D8" s="17" t="s">
        <v>10</v>
      </c>
      <c r="E8" s="17" t="s">
        <v>11</v>
      </c>
      <c r="F8" s="29" t="s">
        <v>4</v>
      </c>
      <c r="G8" s="17" t="s">
        <v>10</v>
      </c>
      <c r="H8" s="17" t="s">
        <v>10</v>
      </c>
      <c r="I8" s="17" t="s">
        <v>10</v>
      </c>
      <c r="J8" s="17" t="s">
        <v>10</v>
      </c>
      <c r="K8" s="17" t="s">
        <v>10</v>
      </c>
      <c r="L8" s="17" t="s">
        <v>11</v>
      </c>
      <c r="M8" s="29" t="s">
        <v>4</v>
      </c>
      <c r="N8" s="12" t="s">
        <v>2</v>
      </c>
      <c r="O8" s="17" t="s">
        <v>10</v>
      </c>
      <c r="P8" s="17" t="s">
        <v>10</v>
      </c>
      <c r="Q8" s="12" t="s">
        <v>2</v>
      </c>
      <c r="R8" s="17" t="s">
        <v>10</v>
      </c>
      <c r="S8" s="17" t="s">
        <v>11</v>
      </c>
      <c r="T8" s="29" t="s">
        <v>4</v>
      </c>
      <c r="U8" s="80" t="s">
        <v>37</v>
      </c>
      <c r="V8" s="17" t="s">
        <v>10</v>
      </c>
      <c r="W8" s="17" t="s">
        <v>10</v>
      </c>
      <c r="X8" s="17" t="s">
        <v>10</v>
      </c>
      <c r="Y8" s="12" t="s">
        <v>2</v>
      </c>
      <c r="Z8" s="17" t="s">
        <v>11</v>
      </c>
      <c r="AA8" s="17" t="s">
        <v>11</v>
      </c>
      <c r="AB8" s="17" t="s">
        <v>10</v>
      </c>
      <c r="AC8" s="17" t="s">
        <v>10</v>
      </c>
      <c r="AD8" s="17" t="s">
        <v>10</v>
      </c>
      <c r="AE8" s="17" t="s">
        <v>10</v>
      </c>
      <c r="AF8" s="12" t="s">
        <v>2</v>
      </c>
      <c r="AG8" s="29" t="s">
        <v>4</v>
      </c>
      <c r="AH8" s="17" t="s">
        <v>11</v>
      </c>
      <c r="AI8" s="17" t="s">
        <v>10</v>
      </c>
      <c r="AJ8" s="17" t="s">
        <v>10</v>
      </c>
      <c r="AK8" s="17" t="s">
        <v>11</v>
      </c>
    </row>
    <row r="9" spans="1:37" ht="15" thickBot="1" x14ac:dyDescent="0.4">
      <c r="A9" s="67" t="s">
        <v>18</v>
      </c>
      <c r="B9" s="25" t="s">
        <v>6</v>
      </c>
      <c r="C9" s="12" t="s">
        <v>2</v>
      </c>
      <c r="D9" s="25" t="s">
        <v>6</v>
      </c>
      <c r="E9" s="25" t="s">
        <v>3</v>
      </c>
      <c r="F9" s="25" t="s">
        <v>3</v>
      </c>
      <c r="G9" s="25" t="s">
        <v>6</v>
      </c>
      <c r="H9" s="25" t="s">
        <v>6</v>
      </c>
      <c r="I9" s="12" t="s">
        <v>2</v>
      </c>
      <c r="J9" s="25" t="s">
        <v>6</v>
      </c>
      <c r="K9" s="25" t="s">
        <v>6</v>
      </c>
      <c r="L9" s="29" t="s">
        <v>4</v>
      </c>
      <c r="M9" s="29" t="s">
        <v>4</v>
      </c>
      <c r="N9" s="25" t="s">
        <v>6</v>
      </c>
      <c r="O9" s="25" t="s">
        <v>6</v>
      </c>
      <c r="P9" s="25" t="s">
        <v>6</v>
      </c>
      <c r="Q9" s="25" t="s">
        <v>6</v>
      </c>
      <c r="R9" s="25" t="s">
        <v>6</v>
      </c>
      <c r="S9" s="66" t="s">
        <v>30</v>
      </c>
      <c r="T9" s="29" t="s">
        <v>4</v>
      </c>
      <c r="U9" s="80" t="s">
        <v>37</v>
      </c>
      <c r="V9" s="25" t="s">
        <v>6</v>
      </c>
      <c r="W9" s="25" t="s">
        <v>6</v>
      </c>
      <c r="X9" s="25" t="s">
        <v>6</v>
      </c>
      <c r="Y9" s="25" t="s">
        <v>6</v>
      </c>
      <c r="Z9" s="25" t="s">
        <v>3</v>
      </c>
      <c r="AA9" s="29" t="s">
        <v>4</v>
      </c>
      <c r="AB9" s="79" t="s">
        <v>16</v>
      </c>
      <c r="AC9" s="79" t="s">
        <v>16</v>
      </c>
      <c r="AD9" s="79" t="s">
        <v>6</v>
      </c>
      <c r="AE9" s="79" t="s">
        <v>6</v>
      </c>
      <c r="AF9" s="79" t="s">
        <v>6</v>
      </c>
      <c r="AG9" s="79" t="s">
        <v>3</v>
      </c>
      <c r="AH9" s="29" t="s">
        <v>4</v>
      </c>
      <c r="AI9" s="25" t="s">
        <v>6</v>
      </c>
      <c r="AJ9" s="25" t="s">
        <v>6</v>
      </c>
      <c r="AK9" s="25" t="s">
        <v>6</v>
      </c>
    </row>
    <row r="10" spans="1:37" ht="14" customHeight="1" x14ac:dyDescent="0.35">
      <c r="A10" s="67" t="s">
        <v>21</v>
      </c>
      <c r="B10" s="12" t="s">
        <v>2</v>
      </c>
      <c r="C10" s="17" t="s">
        <v>10</v>
      </c>
      <c r="D10" s="17" t="s">
        <v>10</v>
      </c>
      <c r="E10" s="29" t="s">
        <v>4</v>
      </c>
      <c r="F10" s="17" t="s">
        <v>11</v>
      </c>
      <c r="G10" s="17" t="s">
        <v>10</v>
      </c>
      <c r="H10" s="17" t="s">
        <v>10</v>
      </c>
      <c r="I10" s="17" t="s">
        <v>10</v>
      </c>
      <c r="J10" s="12" t="s">
        <v>2</v>
      </c>
      <c r="K10" s="17" t="s">
        <v>10</v>
      </c>
      <c r="L10" s="17" t="s">
        <v>11</v>
      </c>
      <c r="M10" s="17" t="s">
        <v>11</v>
      </c>
      <c r="N10" s="17" t="s">
        <v>10</v>
      </c>
      <c r="O10" s="12" t="s">
        <v>2</v>
      </c>
      <c r="P10" s="12" t="s">
        <v>2</v>
      </c>
      <c r="Q10" s="17" t="s">
        <v>10</v>
      </c>
      <c r="R10" s="17" t="s">
        <v>10</v>
      </c>
      <c r="S10" s="29" t="s">
        <v>4</v>
      </c>
      <c r="T10" s="29" t="s">
        <v>4</v>
      </c>
      <c r="U10" s="80" t="s">
        <v>37</v>
      </c>
      <c r="V10" s="17" t="s">
        <v>10</v>
      </c>
      <c r="W10" s="13" t="s">
        <v>5</v>
      </c>
      <c r="X10" s="13" t="s">
        <v>5</v>
      </c>
      <c r="Y10" s="17" t="s">
        <v>10</v>
      </c>
      <c r="Z10" s="17" t="s">
        <v>11</v>
      </c>
      <c r="AA10" s="17" t="s">
        <v>11</v>
      </c>
      <c r="AB10" s="17" t="s">
        <v>10</v>
      </c>
      <c r="AC10" s="17" t="s">
        <v>10</v>
      </c>
      <c r="AD10" s="12" t="s">
        <v>2</v>
      </c>
      <c r="AE10" s="78" t="s">
        <v>16</v>
      </c>
      <c r="AF10" s="78" t="s">
        <v>16</v>
      </c>
      <c r="AG10" s="79" t="s">
        <v>30</v>
      </c>
      <c r="AH10" s="79" t="s">
        <v>3</v>
      </c>
      <c r="AI10" s="78" t="s">
        <v>16</v>
      </c>
      <c r="AJ10" s="78" t="s">
        <v>16</v>
      </c>
      <c r="AK10" s="80" t="s">
        <v>37</v>
      </c>
    </row>
    <row r="11" spans="1:37" x14ac:dyDescent="0.35">
      <c r="A11" s="67" t="s">
        <v>43</v>
      </c>
      <c r="B11" s="25" t="s">
        <v>6</v>
      </c>
      <c r="C11" s="25" t="s">
        <v>6</v>
      </c>
      <c r="D11" s="25" t="s">
        <v>6</v>
      </c>
      <c r="E11" s="29" t="s">
        <v>4</v>
      </c>
      <c r="F11" s="29" t="s">
        <v>4</v>
      </c>
      <c r="G11" s="78" t="s">
        <v>6</v>
      </c>
      <c r="H11" s="78" t="s">
        <v>6</v>
      </c>
      <c r="I11" s="78" t="s">
        <v>6</v>
      </c>
      <c r="J11" s="78" t="s">
        <v>6</v>
      </c>
      <c r="K11" s="78" t="s">
        <v>6</v>
      </c>
      <c r="L11" s="78" t="s">
        <v>3</v>
      </c>
      <c r="M11" s="29" t="s">
        <v>4</v>
      </c>
      <c r="N11" s="12" t="s">
        <v>2</v>
      </c>
      <c r="O11" s="25" t="s">
        <v>6</v>
      </c>
      <c r="P11" s="12" t="s">
        <v>2</v>
      </c>
      <c r="Q11" s="25" t="s">
        <v>6</v>
      </c>
      <c r="R11" s="25" t="s">
        <v>6</v>
      </c>
      <c r="S11" s="25" t="s">
        <v>3</v>
      </c>
      <c r="T11" s="25" t="s">
        <v>3</v>
      </c>
      <c r="U11" s="25" t="s">
        <v>3</v>
      </c>
      <c r="V11" s="25" t="s">
        <v>6</v>
      </c>
      <c r="W11" s="12" t="s">
        <v>2</v>
      </c>
      <c r="X11" s="25" t="s">
        <v>6</v>
      </c>
      <c r="Y11" s="25" t="s">
        <v>6</v>
      </c>
      <c r="Z11" s="29" t="s">
        <v>4</v>
      </c>
      <c r="AA11" s="29" t="s">
        <v>4</v>
      </c>
      <c r="AB11" s="25" t="s">
        <v>6</v>
      </c>
      <c r="AC11" s="25" t="s">
        <v>6</v>
      </c>
      <c r="AD11" s="25" t="s">
        <v>6</v>
      </c>
      <c r="AE11" s="25" t="s">
        <v>6</v>
      </c>
      <c r="AF11" s="25" t="s">
        <v>6</v>
      </c>
      <c r="AG11" s="29" t="s">
        <v>4</v>
      </c>
      <c r="AH11" s="29" t="s">
        <v>4</v>
      </c>
      <c r="AI11" s="25" t="s">
        <v>6</v>
      </c>
      <c r="AJ11" s="25" t="s">
        <v>6</v>
      </c>
      <c r="AK11" s="25" t="s">
        <v>3</v>
      </c>
    </row>
    <row r="12" spans="1:37" x14ac:dyDescent="0.35">
      <c r="A12" s="67" t="s">
        <v>75</v>
      </c>
      <c r="B12" s="10" t="s">
        <v>41</v>
      </c>
      <c r="C12" s="13" t="s">
        <v>5</v>
      </c>
      <c r="D12" s="13" t="s">
        <v>5</v>
      </c>
      <c r="E12" s="68" t="s">
        <v>4</v>
      </c>
      <c r="F12" s="68" t="s">
        <v>4</v>
      </c>
      <c r="G12" s="10" t="s">
        <v>41</v>
      </c>
      <c r="H12" s="10" t="s">
        <v>41</v>
      </c>
      <c r="I12" s="10" t="s">
        <v>41</v>
      </c>
      <c r="J12" s="10" t="s">
        <v>41</v>
      </c>
      <c r="K12" s="10" t="s">
        <v>41</v>
      </c>
      <c r="L12" s="10" t="s">
        <v>42</v>
      </c>
      <c r="M12" s="29" t="s">
        <v>4</v>
      </c>
      <c r="N12" s="10" t="s">
        <v>41</v>
      </c>
      <c r="O12" s="10" t="s">
        <v>41</v>
      </c>
      <c r="P12" s="78" t="s">
        <v>41</v>
      </c>
      <c r="Q12" s="10" t="s">
        <v>41</v>
      </c>
      <c r="R12" s="78" t="s">
        <v>41</v>
      </c>
      <c r="S12" s="29" t="s">
        <v>4</v>
      </c>
      <c r="T12" s="29" t="s">
        <v>4</v>
      </c>
      <c r="U12" s="80" t="s">
        <v>37</v>
      </c>
      <c r="V12" s="10" t="s">
        <v>41</v>
      </c>
      <c r="W12" s="78" t="s">
        <v>41</v>
      </c>
      <c r="X12" s="12" t="s">
        <v>2</v>
      </c>
      <c r="Y12" s="78" t="s">
        <v>41</v>
      </c>
      <c r="Z12" s="10" t="s">
        <v>42</v>
      </c>
      <c r="AA12" s="10" t="s">
        <v>42</v>
      </c>
      <c r="AB12" s="10" t="s">
        <v>41</v>
      </c>
      <c r="AC12" s="12" t="s">
        <v>2</v>
      </c>
      <c r="AD12" s="79" t="s">
        <v>6</v>
      </c>
      <c r="AE12" s="10" t="s">
        <v>41</v>
      </c>
      <c r="AF12" s="78" t="s">
        <v>41</v>
      </c>
      <c r="AG12" s="29" t="s">
        <v>4</v>
      </c>
      <c r="AH12" s="29" t="s">
        <v>4</v>
      </c>
      <c r="AI12" s="10" t="s">
        <v>41</v>
      </c>
      <c r="AJ12" s="10" t="s">
        <v>41</v>
      </c>
      <c r="AK12" s="10" t="s">
        <v>41</v>
      </c>
    </row>
    <row r="13" spans="1:37" x14ac:dyDescent="0.35">
      <c r="A13" s="67" t="s">
        <v>22</v>
      </c>
      <c r="B13" s="79" t="s">
        <v>16</v>
      </c>
      <c r="C13" s="79" t="s">
        <v>16</v>
      </c>
      <c r="D13" s="79" t="s">
        <v>16</v>
      </c>
      <c r="E13" s="79" t="s">
        <v>30</v>
      </c>
      <c r="F13" s="29" t="s">
        <v>4</v>
      </c>
      <c r="G13" s="17" t="s">
        <v>10</v>
      </c>
      <c r="H13" s="17" t="s">
        <v>10</v>
      </c>
      <c r="I13" s="17" t="s">
        <v>10</v>
      </c>
      <c r="J13" s="17" t="s">
        <v>10</v>
      </c>
      <c r="K13" s="13" t="s">
        <v>5</v>
      </c>
      <c r="L13" s="68" t="s">
        <v>4</v>
      </c>
      <c r="M13" s="68" t="s">
        <v>4</v>
      </c>
      <c r="N13" s="13" t="s">
        <v>5</v>
      </c>
      <c r="O13" s="13" t="s">
        <v>5</v>
      </c>
      <c r="P13" s="13" t="s">
        <v>5</v>
      </c>
      <c r="Q13" s="13" t="s">
        <v>5</v>
      </c>
      <c r="R13" s="17" t="s">
        <v>10</v>
      </c>
      <c r="S13" s="17" t="s">
        <v>11</v>
      </c>
      <c r="T13" s="17" t="s">
        <v>11</v>
      </c>
      <c r="U13" s="17" t="s">
        <v>11</v>
      </c>
      <c r="V13" s="12" t="s">
        <v>2</v>
      </c>
      <c r="W13" s="78" t="s">
        <v>16</v>
      </c>
      <c r="X13" s="78" t="s">
        <v>16</v>
      </c>
      <c r="Y13" s="78" t="s">
        <v>16</v>
      </c>
      <c r="Z13" s="78" t="s">
        <v>30</v>
      </c>
      <c r="AA13" s="78" t="s">
        <v>3</v>
      </c>
      <c r="AB13" s="78" t="s">
        <v>16</v>
      </c>
      <c r="AC13" s="12" t="s">
        <v>2</v>
      </c>
      <c r="AD13" s="17" t="s">
        <v>10</v>
      </c>
      <c r="AE13" s="17" t="s">
        <v>10</v>
      </c>
      <c r="AF13" s="17" t="s">
        <v>10</v>
      </c>
      <c r="AG13" s="17" t="s">
        <v>11</v>
      </c>
      <c r="AH13" s="29" t="s">
        <v>4</v>
      </c>
      <c r="AI13" s="17" t="s">
        <v>10</v>
      </c>
      <c r="AJ13" s="17" t="s">
        <v>10</v>
      </c>
      <c r="AK13" s="17" t="s">
        <v>10</v>
      </c>
    </row>
    <row r="14" spans="1:37" x14ac:dyDescent="0.35">
      <c r="A14" s="67" t="s">
        <v>62</v>
      </c>
      <c r="B14" s="13" t="s">
        <v>5</v>
      </c>
      <c r="C14" s="79" t="s">
        <v>16</v>
      </c>
      <c r="D14" s="13" t="s">
        <v>5</v>
      </c>
      <c r="E14" s="29" t="s">
        <v>4</v>
      </c>
      <c r="F14" s="29" t="s">
        <v>4</v>
      </c>
      <c r="G14" s="13" t="s">
        <v>5</v>
      </c>
      <c r="H14" s="25" t="s">
        <v>6</v>
      </c>
      <c r="I14" s="13" t="s">
        <v>5</v>
      </c>
      <c r="J14" s="25" t="s">
        <v>6</v>
      </c>
      <c r="K14" s="25" t="s">
        <v>6</v>
      </c>
      <c r="L14" s="29" t="s">
        <v>4</v>
      </c>
      <c r="M14" s="25" t="s">
        <v>3</v>
      </c>
      <c r="N14" s="25" t="s">
        <v>6</v>
      </c>
      <c r="O14" s="25" t="s">
        <v>6</v>
      </c>
      <c r="P14" s="25" t="s">
        <v>6</v>
      </c>
      <c r="Q14" s="80" t="s">
        <v>37</v>
      </c>
      <c r="R14" s="25" t="s">
        <v>6</v>
      </c>
      <c r="S14" s="29" t="s">
        <v>4</v>
      </c>
      <c r="T14" s="29" t="s">
        <v>4</v>
      </c>
      <c r="U14" s="80" t="s">
        <v>37</v>
      </c>
      <c r="V14" s="78" t="s">
        <v>16</v>
      </c>
      <c r="W14" s="78" t="s">
        <v>16</v>
      </c>
      <c r="X14" s="78" t="s">
        <v>16</v>
      </c>
      <c r="Y14" s="25" t="s">
        <v>6</v>
      </c>
      <c r="Z14" s="29" t="s">
        <v>4</v>
      </c>
      <c r="AA14" s="29" t="s">
        <v>4</v>
      </c>
      <c r="AB14" s="25" t="s">
        <v>6</v>
      </c>
      <c r="AC14" s="78" t="s">
        <v>16</v>
      </c>
      <c r="AD14" s="78" t="s">
        <v>16</v>
      </c>
      <c r="AE14" s="78" t="s">
        <v>16</v>
      </c>
      <c r="AF14" s="25" t="s">
        <v>6</v>
      </c>
      <c r="AG14" s="29" t="s">
        <v>4</v>
      </c>
      <c r="AH14" s="10" t="s">
        <v>42</v>
      </c>
      <c r="AI14" s="25" t="s">
        <v>6</v>
      </c>
      <c r="AJ14" s="25" t="s">
        <v>6</v>
      </c>
      <c r="AK14" s="13" t="s">
        <v>5</v>
      </c>
    </row>
    <row r="15" spans="1:37" x14ac:dyDescent="0.35">
      <c r="A15" s="67" t="s">
        <v>76</v>
      </c>
      <c r="B15" s="12" t="s">
        <v>2</v>
      </c>
      <c r="C15" s="10" t="s">
        <v>41</v>
      </c>
      <c r="D15" s="10" t="s">
        <v>41</v>
      </c>
      <c r="E15" s="29" t="s">
        <v>4</v>
      </c>
      <c r="F15" s="10" t="s">
        <v>42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29" t="s">
        <v>4</v>
      </c>
      <c r="M15" s="10" t="s">
        <v>42</v>
      </c>
      <c r="N15" s="10" t="s">
        <v>41</v>
      </c>
      <c r="O15" s="10" t="s">
        <v>41</v>
      </c>
      <c r="P15" s="10" t="s">
        <v>41</v>
      </c>
      <c r="Q15" s="12" t="s">
        <v>2</v>
      </c>
      <c r="R15" s="10" t="s">
        <v>41</v>
      </c>
      <c r="S15" s="10" t="s">
        <v>42</v>
      </c>
      <c r="T15" s="29" t="s">
        <v>4</v>
      </c>
      <c r="U15" s="80" t="s">
        <v>37</v>
      </c>
      <c r="V15" s="78" t="s">
        <v>16</v>
      </c>
      <c r="W15" s="78" t="s">
        <v>16</v>
      </c>
      <c r="X15" s="78" t="s">
        <v>16</v>
      </c>
      <c r="Y15" s="78" t="s">
        <v>16</v>
      </c>
      <c r="Z15" s="29" t="s">
        <v>4</v>
      </c>
      <c r="AA15" s="29" t="s">
        <v>4</v>
      </c>
      <c r="AB15" s="78" t="s">
        <v>16</v>
      </c>
      <c r="AC15" s="78" t="s">
        <v>16</v>
      </c>
      <c r="AD15" s="10" t="s">
        <v>41</v>
      </c>
      <c r="AE15" s="10" t="s">
        <v>41</v>
      </c>
      <c r="AF15" s="10" t="s">
        <v>41</v>
      </c>
      <c r="AG15" s="29" t="s">
        <v>4</v>
      </c>
      <c r="AH15" s="29" t="s">
        <v>4</v>
      </c>
      <c r="AI15" s="10" t="s">
        <v>41</v>
      </c>
      <c r="AJ15" s="13" t="s">
        <v>5</v>
      </c>
      <c r="AK15" s="80" t="s">
        <v>37</v>
      </c>
    </row>
    <row r="16" spans="1:37" x14ac:dyDescent="0.35">
      <c r="A16" s="67" t="s">
        <v>74</v>
      </c>
      <c r="B16" s="25" t="s">
        <v>6</v>
      </c>
      <c r="C16" s="25" t="s">
        <v>6</v>
      </c>
      <c r="D16" s="25" t="s">
        <v>6</v>
      </c>
      <c r="E16" s="29" t="s">
        <v>4</v>
      </c>
      <c r="F16" s="29" t="s">
        <v>4</v>
      </c>
      <c r="G16" s="25" t="s">
        <v>6</v>
      </c>
      <c r="H16" s="25" t="s">
        <v>6</v>
      </c>
      <c r="I16" s="25" t="s">
        <v>6</v>
      </c>
      <c r="J16" s="25" t="s">
        <v>6</v>
      </c>
      <c r="K16" s="25" t="s">
        <v>6</v>
      </c>
      <c r="L16" s="29" t="s">
        <v>4</v>
      </c>
      <c r="M16" s="29" t="s">
        <v>4</v>
      </c>
      <c r="N16" s="25" t="s">
        <v>6</v>
      </c>
      <c r="O16" s="25" t="s">
        <v>6</v>
      </c>
      <c r="P16" s="25" t="s">
        <v>6</v>
      </c>
      <c r="Q16" s="80" t="s">
        <v>37</v>
      </c>
      <c r="R16" s="25" t="s">
        <v>6</v>
      </c>
      <c r="S16" s="29" t="s">
        <v>4</v>
      </c>
      <c r="T16" s="29" t="s">
        <v>4</v>
      </c>
      <c r="U16" s="25" t="s">
        <v>3</v>
      </c>
      <c r="V16" s="25" t="s">
        <v>6</v>
      </c>
      <c r="W16" s="25" t="s">
        <v>6</v>
      </c>
      <c r="X16" s="25" t="s">
        <v>6</v>
      </c>
      <c r="Y16" s="25" t="s">
        <v>6</v>
      </c>
      <c r="Z16" s="29" t="s">
        <v>4</v>
      </c>
      <c r="AA16" s="29" t="s">
        <v>4</v>
      </c>
      <c r="AB16" s="25" t="s">
        <v>6</v>
      </c>
      <c r="AC16" s="25" t="s">
        <v>6</v>
      </c>
      <c r="AD16" s="78" t="s">
        <v>16</v>
      </c>
      <c r="AE16" s="78" t="s">
        <v>16</v>
      </c>
      <c r="AF16" s="78" t="s">
        <v>16</v>
      </c>
      <c r="AG16" s="29" t="s">
        <v>4</v>
      </c>
      <c r="AH16" s="29" t="s">
        <v>4</v>
      </c>
      <c r="AI16" s="78" t="s">
        <v>16</v>
      </c>
      <c r="AJ16" s="78" t="s">
        <v>16</v>
      </c>
      <c r="AK16" s="78" t="s">
        <v>30</v>
      </c>
    </row>
    <row r="17" spans="1:37" x14ac:dyDescent="0.35">
      <c r="A17" s="67" t="s">
        <v>77</v>
      </c>
      <c r="B17" s="79" t="s">
        <v>16</v>
      </c>
      <c r="C17" s="79" t="s">
        <v>16</v>
      </c>
      <c r="D17" s="79" t="s">
        <v>16</v>
      </c>
      <c r="E17" s="78" t="s">
        <v>122</v>
      </c>
      <c r="F17" s="29" t="s">
        <v>4</v>
      </c>
      <c r="G17" s="79" t="s">
        <v>16</v>
      </c>
      <c r="H17" s="79" t="s">
        <v>16</v>
      </c>
      <c r="I17" s="79" t="s">
        <v>16</v>
      </c>
      <c r="J17" s="78" t="s">
        <v>41</v>
      </c>
      <c r="K17" s="78" t="s">
        <v>41</v>
      </c>
      <c r="L17" s="29" t="s">
        <v>4</v>
      </c>
      <c r="M17" s="29" t="s">
        <v>4</v>
      </c>
      <c r="N17" s="79" t="s">
        <v>16</v>
      </c>
      <c r="O17" s="13" t="s">
        <v>5</v>
      </c>
      <c r="P17" s="10" t="s">
        <v>41</v>
      </c>
      <c r="Q17" s="10" t="s">
        <v>41</v>
      </c>
      <c r="R17" s="10" t="s">
        <v>41</v>
      </c>
      <c r="S17" s="29" t="s">
        <v>4</v>
      </c>
      <c r="T17" s="10" t="s">
        <v>42</v>
      </c>
      <c r="U17" s="10" t="s">
        <v>42</v>
      </c>
      <c r="V17" s="13" t="s">
        <v>5</v>
      </c>
      <c r="W17" s="10" t="s">
        <v>41</v>
      </c>
      <c r="X17" s="10" t="s">
        <v>41</v>
      </c>
      <c r="Y17" s="10" t="s">
        <v>41</v>
      </c>
      <c r="Z17" s="29" t="s">
        <v>4</v>
      </c>
      <c r="AA17" s="29" t="s">
        <v>4</v>
      </c>
      <c r="AB17" s="10" t="s">
        <v>41</v>
      </c>
      <c r="AC17" s="10" t="s">
        <v>41</v>
      </c>
      <c r="AD17" s="10" t="s">
        <v>41</v>
      </c>
      <c r="AE17" s="12" t="s">
        <v>2</v>
      </c>
      <c r="AF17" s="10" t="s">
        <v>41</v>
      </c>
      <c r="AG17" s="10" t="s">
        <v>42</v>
      </c>
      <c r="AH17" s="29" t="s">
        <v>4</v>
      </c>
      <c r="AI17" s="10" t="s">
        <v>41</v>
      </c>
      <c r="AJ17" s="10" t="s">
        <v>41</v>
      </c>
      <c r="AK17" s="10" t="s">
        <v>41</v>
      </c>
    </row>
    <row r="18" spans="1:37" x14ac:dyDescent="0.35">
      <c r="A18" s="99" t="s">
        <v>151</v>
      </c>
      <c r="B18" s="100"/>
      <c r="C18" s="100"/>
      <c r="D18" s="100"/>
      <c r="E18" s="101"/>
      <c r="F18" s="102"/>
      <c r="G18" s="22" t="s">
        <v>16</v>
      </c>
      <c r="H18" s="22" t="s">
        <v>16</v>
      </c>
      <c r="I18" s="22" t="s">
        <v>16</v>
      </c>
      <c r="J18" s="22" t="s">
        <v>16</v>
      </c>
      <c r="K18" s="22" t="s">
        <v>16</v>
      </c>
      <c r="L18" s="29" t="s">
        <v>4</v>
      </c>
      <c r="M18" s="29" t="s">
        <v>4</v>
      </c>
      <c r="N18" s="22" t="s">
        <v>16</v>
      </c>
      <c r="O18" s="22" t="s">
        <v>16</v>
      </c>
      <c r="P18" s="22" t="s">
        <v>16</v>
      </c>
      <c r="Q18" s="22" t="s">
        <v>16</v>
      </c>
      <c r="R18" s="22" t="s">
        <v>16</v>
      </c>
      <c r="S18" s="29" t="s">
        <v>4</v>
      </c>
      <c r="T18" s="29" t="s">
        <v>4</v>
      </c>
      <c r="U18" s="22" t="s">
        <v>16</v>
      </c>
      <c r="V18" s="22" t="s">
        <v>16</v>
      </c>
      <c r="W18" s="22" t="s">
        <v>16</v>
      </c>
      <c r="X18" s="22" t="s">
        <v>16</v>
      </c>
      <c r="Y18" s="22" t="s">
        <v>16</v>
      </c>
      <c r="Z18" s="29" t="s">
        <v>4</v>
      </c>
      <c r="AA18" s="29" t="s">
        <v>4</v>
      </c>
      <c r="AB18" s="22" t="s">
        <v>16</v>
      </c>
      <c r="AC18" s="22" t="s">
        <v>16</v>
      </c>
      <c r="AD18" s="22" t="s">
        <v>16</v>
      </c>
      <c r="AE18" s="22" t="s">
        <v>16</v>
      </c>
      <c r="AF18" s="22" t="s">
        <v>16</v>
      </c>
      <c r="AG18" s="29" t="s">
        <v>4</v>
      </c>
      <c r="AH18" s="29" t="s">
        <v>4</v>
      </c>
      <c r="AI18" s="22" t="s">
        <v>16</v>
      </c>
      <c r="AJ18" s="22" t="s">
        <v>16</v>
      </c>
      <c r="AK18" s="22" t="s">
        <v>16</v>
      </c>
    </row>
    <row r="19" spans="1:37" x14ac:dyDescent="0.35">
      <c r="B19" s="71"/>
      <c r="C19" s="71"/>
      <c r="D19" s="71"/>
      <c r="E19" s="71"/>
      <c r="F19" s="71"/>
    </row>
    <row r="20" spans="1:37" x14ac:dyDescent="0.35">
      <c r="A20" s="87" t="s">
        <v>145</v>
      </c>
      <c r="B20" s="88">
        <f>COUNTIF(B4:B17,"*MS")</f>
        <v>3</v>
      </c>
      <c r="C20" s="88">
        <f t="shared" ref="C20:AK20" si="2">COUNTIF(C4:C17,"*MS")</f>
        <v>3</v>
      </c>
      <c r="D20" s="88">
        <f t="shared" si="2"/>
        <v>4</v>
      </c>
      <c r="E20" s="88">
        <f t="shared" si="2"/>
        <v>2</v>
      </c>
      <c r="F20" s="88">
        <f t="shared" si="2"/>
        <v>2</v>
      </c>
      <c r="G20" s="88">
        <f t="shared" si="2"/>
        <v>4</v>
      </c>
      <c r="H20" s="88">
        <f t="shared" si="2"/>
        <v>4</v>
      </c>
      <c r="I20" s="88">
        <f t="shared" si="2"/>
        <v>3</v>
      </c>
      <c r="J20" s="88">
        <f t="shared" si="2"/>
        <v>5</v>
      </c>
      <c r="K20" s="88">
        <f t="shared" si="2"/>
        <v>4</v>
      </c>
      <c r="L20" s="88">
        <f t="shared" si="2"/>
        <v>2</v>
      </c>
      <c r="M20" s="88">
        <f t="shared" si="2"/>
        <v>2</v>
      </c>
      <c r="N20" s="88">
        <f t="shared" si="2"/>
        <v>4</v>
      </c>
      <c r="O20" s="88">
        <f t="shared" si="2"/>
        <v>4</v>
      </c>
      <c r="P20" s="88">
        <f t="shared" si="2"/>
        <v>4</v>
      </c>
      <c r="Q20" s="88">
        <f t="shared" si="2"/>
        <v>3</v>
      </c>
      <c r="R20" s="88">
        <f t="shared" si="2"/>
        <v>4</v>
      </c>
      <c r="S20" s="88">
        <f t="shared" si="2"/>
        <v>2</v>
      </c>
      <c r="T20" s="88">
        <f t="shared" si="2"/>
        <v>2</v>
      </c>
      <c r="U20" s="88">
        <f t="shared" si="2"/>
        <v>3</v>
      </c>
      <c r="V20" s="88">
        <f t="shared" si="2"/>
        <v>3</v>
      </c>
      <c r="W20" s="88">
        <f t="shared" si="2"/>
        <v>3</v>
      </c>
      <c r="X20" s="88">
        <f t="shared" si="2"/>
        <v>4</v>
      </c>
      <c r="Y20" s="88">
        <f t="shared" si="2"/>
        <v>4</v>
      </c>
      <c r="Z20" s="88">
        <f t="shared" si="2"/>
        <v>2</v>
      </c>
      <c r="AA20" s="88">
        <f t="shared" si="2"/>
        <v>2</v>
      </c>
      <c r="AB20" s="88">
        <f t="shared" si="2"/>
        <v>4</v>
      </c>
      <c r="AC20" s="88">
        <f t="shared" si="2"/>
        <v>3</v>
      </c>
      <c r="AD20" s="88">
        <f t="shared" si="2"/>
        <v>3</v>
      </c>
      <c r="AE20" s="88">
        <f t="shared" si="2"/>
        <v>3</v>
      </c>
      <c r="AF20" s="88">
        <f t="shared" si="2"/>
        <v>3</v>
      </c>
      <c r="AG20" s="88">
        <f t="shared" si="2"/>
        <v>2</v>
      </c>
      <c r="AH20" s="88">
        <f t="shared" si="2"/>
        <v>2</v>
      </c>
      <c r="AI20" s="88">
        <f t="shared" si="2"/>
        <v>4</v>
      </c>
      <c r="AJ20" s="88">
        <f t="shared" si="2"/>
        <v>3</v>
      </c>
      <c r="AK20" s="88">
        <f t="shared" si="2"/>
        <v>3</v>
      </c>
    </row>
    <row r="21" spans="1:37" x14ac:dyDescent="0.35">
      <c r="A21" s="89" t="s">
        <v>146</v>
      </c>
      <c r="B21" s="90">
        <f>COUNTIF(B4:B17,"*AS*")</f>
        <v>3</v>
      </c>
      <c r="C21" s="90">
        <f t="shared" ref="C21:AK21" si="3">COUNTIF(C4:C17,"*AS*")</f>
        <v>3</v>
      </c>
      <c r="D21" s="90">
        <f t="shared" si="3"/>
        <v>2</v>
      </c>
      <c r="E21" s="90">
        <f t="shared" si="3"/>
        <v>2</v>
      </c>
      <c r="F21" s="90">
        <f t="shared" si="3"/>
        <v>2</v>
      </c>
      <c r="G21" s="90">
        <f t="shared" si="3"/>
        <v>3</v>
      </c>
      <c r="H21" s="90">
        <f t="shared" si="3"/>
        <v>3</v>
      </c>
      <c r="I21" s="90">
        <f t="shared" si="3"/>
        <v>3</v>
      </c>
      <c r="J21" s="90">
        <f t="shared" si="3"/>
        <v>4</v>
      </c>
      <c r="K21" s="90">
        <f t="shared" si="3"/>
        <v>4</v>
      </c>
      <c r="L21" s="90">
        <f t="shared" si="3"/>
        <v>2</v>
      </c>
      <c r="M21" s="90">
        <f t="shared" si="3"/>
        <v>2</v>
      </c>
      <c r="N21" s="90">
        <f t="shared" si="3"/>
        <v>3</v>
      </c>
      <c r="O21" s="90">
        <f t="shared" si="3"/>
        <v>3</v>
      </c>
      <c r="P21" s="90">
        <f t="shared" si="3"/>
        <v>4</v>
      </c>
      <c r="Q21" s="90">
        <f t="shared" si="3"/>
        <v>3</v>
      </c>
      <c r="R21" s="90">
        <f t="shared" si="3"/>
        <v>4</v>
      </c>
      <c r="S21" s="90">
        <f t="shared" si="3"/>
        <v>2</v>
      </c>
      <c r="T21" s="90">
        <f t="shared" si="3"/>
        <v>2</v>
      </c>
      <c r="U21" s="90">
        <f t="shared" si="3"/>
        <v>3</v>
      </c>
      <c r="V21" s="90">
        <f t="shared" si="3"/>
        <v>3</v>
      </c>
      <c r="W21" s="90">
        <f t="shared" si="3"/>
        <v>3</v>
      </c>
      <c r="X21" s="90">
        <f t="shared" si="3"/>
        <v>3</v>
      </c>
      <c r="Y21" s="90">
        <f t="shared" si="3"/>
        <v>3</v>
      </c>
      <c r="Z21" s="90">
        <f t="shared" si="3"/>
        <v>2</v>
      </c>
      <c r="AA21" s="90">
        <f t="shared" si="3"/>
        <v>2</v>
      </c>
      <c r="AB21" s="90">
        <f t="shared" si="3"/>
        <v>3</v>
      </c>
      <c r="AC21" s="90">
        <f t="shared" si="3"/>
        <v>3</v>
      </c>
      <c r="AD21" s="90">
        <f t="shared" si="3"/>
        <v>4</v>
      </c>
      <c r="AE21" s="90">
        <f t="shared" si="3"/>
        <v>4</v>
      </c>
      <c r="AF21" s="90">
        <f t="shared" si="3"/>
        <v>4</v>
      </c>
      <c r="AG21" s="90">
        <f t="shared" si="3"/>
        <v>2</v>
      </c>
      <c r="AH21" s="90">
        <f t="shared" si="3"/>
        <v>2</v>
      </c>
      <c r="AI21" s="90">
        <f t="shared" si="3"/>
        <v>4</v>
      </c>
      <c r="AJ21" s="90">
        <f t="shared" si="3"/>
        <v>3</v>
      </c>
      <c r="AK21" s="90">
        <f t="shared" si="3"/>
        <v>3</v>
      </c>
    </row>
    <row r="22" spans="1:37" x14ac:dyDescent="0.35">
      <c r="A22" s="91" t="s">
        <v>147</v>
      </c>
      <c r="B22" s="92">
        <f>COUNTIF(B4:B17,"*GS*")</f>
        <v>2</v>
      </c>
      <c r="C22" s="92">
        <f t="shared" ref="C22:AK22" si="4">COUNTIF(C4:C17,"*GS*")</f>
        <v>3</v>
      </c>
      <c r="D22" s="92">
        <f t="shared" si="4"/>
        <v>3</v>
      </c>
      <c r="E22" s="92">
        <f t="shared" si="4"/>
        <v>1</v>
      </c>
      <c r="F22" s="92">
        <f t="shared" si="4"/>
        <v>0</v>
      </c>
      <c r="G22" s="92">
        <f t="shared" si="4"/>
        <v>1</v>
      </c>
      <c r="H22" s="92">
        <f t="shared" si="4"/>
        <v>2</v>
      </c>
      <c r="I22" s="92">
        <f t="shared" si="4"/>
        <v>3</v>
      </c>
      <c r="J22" s="92">
        <f t="shared" si="4"/>
        <v>2</v>
      </c>
      <c r="K22" s="92">
        <f t="shared" si="4"/>
        <v>2</v>
      </c>
      <c r="L22" s="92">
        <f t="shared" si="4"/>
        <v>1</v>
      </c>
      <c r="M22" s="92">
        <f t="shared" si="4"/>
        <v>0</v>
      </c>
      <c r="N22" s="92">
        <f t="shared" si="4"/>
        <v>1</v>
      </c>
      <c r="O22" s="92">
        <f t="shared" si="4"/>
        <v>0</v>
      </c>
      <c r="P22" s="92">
        <f t="shared" si="4"/>
        <v>0</v>
      </c>
      <c r="Q22" s="92">
        <f t="shared" si="4"/>
        <v>0</v>
      </c>
      <c r="R22" s="92">
        <f t="shared" si="4"/>
        <v>0</v>
      </c>
      <c r="S22" s="92">
        <f t="shared" si="4"/>
        <v>1</v>
      </c>
      <c r="T22" s="92">
        <f t="shared" si="4"/>
        <v>0</v>
      </c>
      <c r="U22" s="92">
        <f t="shared" si="4"/>
        <v>0</v>
      </c>
      <c r="V22" s="92">
        <f t="shared" si="4"/>
        <v>2</v>
      </c>
      <c r="W22" s="92">
        <f t="shared" si="4"/>
        <v>3</v>
      </c>
      <c r="X22" s="92">
        <f t="shared" si="4"/>
        <v>3</v>
      </c>
      <c r="Y22" s="92">
        <f t="shared" si="4"/>
        <v>2</v>
      </c>
      <c r="Z22" s="92">
        <f t="shared" si="4"/>
        <v>1</v>
      </c>
      <c r="AA22" s="92">
        <f t="shared" si="4"/>
        <v>0</v>
      </c>
      <c r="AB22" s="92">
        <f t="shared" si="4"/>
        <v>3</v>
      </c>
      <c r="AC22" s="92">
        <f t="shared" si="4"/>
        <v>3</v>
      </c>
      <c r="AD22" s="92">
        <f t="shared" si="4"/>
        <v>2</v>
      </c>
      <c r="AE22" s="92">
        <f t="shared" si="4"/>
        <v>4</v>
      </c>
      <c r="AF22" s="92">
        <f t="shared" si="4"/>
        <v>2</v>
      </c>
      <c r="AG22" s="92">
        <f t="shared" si="4"/>
        <v>1</v>
      </c>
      <c r="AH22" s="92">
        <f t="shared" si="4"/>
        <v>0</v>
      </c>
      <c r="AI22" s="92">
        <f t="shared" si="4"/>
        <v>2</v>
      </c>
      <c r="AJ22" s="92">
        <f t="shared" si="4"/>
        <v>3</v>
      </c>
      <c r="AK22" s="92">
        <f t="shared" si="4"/>
        <v>1</v>
      </c>
    </row>
    <row r="23" spans="1:37" x14ac:dyDescent="0.35">
      <c r="A23" s="93" t="s">
        <v>148</v>
      </c>
      <c r="B23" s="94">
        <f>COUNTIF(B4:B17,"*NS*")</f>
        <v>2</v>
      </c>
      <c r="C23" s="94">
        <f t="shared" ref="C23:AK23" si="5">COUNTIF(C4:C17,"*NS*")</f>
        <v>2</v>
      </c>
      <c r="D23" s="94">
        <f t="shared" si="5"/>
        <v>2</v>
      </c>
      <c r="E23" s="94">
        <f t="shared" si="5"/>
        <v>2</v>
      </c>
      <c r="F23" s="94">
        <f t="shared" si="5"/>
        <v>2</v>
      </c>
      <c r="G23" s="94">
        <f t="shared" si="5"/>
        <v>3</v>
      </c>
      <c r="H23" s="94">
        <f t="shared" si="5"/>
        <v>3</v>
      </c>
      <c r="I23" s="94">
        <f t="shared" si="5"/>
        <v>3</v>
      </c>
      <c r="J23" s="94">
        <f t="shared" si="5"/>
        <v>2</v>
      </c>
      <c r="K23" s="94">
        <f t="shared" si="5"/>
        <v>2</v>
      </c>
      <c r="L23" s="94">
        <f t="shared" si="5"/>
        <v>2</v>
      </c>
      <c r="M23" s="94">
        <f t="shared" si="5"/>
        <v>2</v>
      </c>
      <c r="N23" s="94">
        <f t="shared" si="5"/>
        <v>2</v>
      </c>
      <c r="O23" s="94">
        <f t="shared" si="5"/>
        <v>2</v>
      </c>
      <c r="P23" s="94">
        <f t="shared" si="5"/>
        <v>2</v>
      </c>
      <c r="Q23" s="94">
        <f t="shared" si="5"/>
        <v>2</v>
      </c>
      <c r="R23" s="94">
        <f t="shared" si="5"/>
        <v>4</v>
      </c>
      <c r="S23" s="94">
        <f t="shared" si="5"/>
        <v>2</v>
      </c>
      <c r="T23" s="94">
        <f t="shared" si="5"/>
        <v>2</v>
      </c>
      <c r="U23" s="94">
        <f t="shared" si="5"/>
        <v>2</v>
      </c>
      <c r="V23" s="94">
        <f t="shared" si="5"/>
        <v>2</v>
      </c>
      <c r="W23" s="94">
        <f t="shared" si="5"/>
        <v>2</v>
      </c>
      <c r="X23" s="94">
        <f t="shared" si="5"/>
        <v>2</v>
      </c>
      <c r="Y23" s="94">
        <f t="shared" si="5"/>
        <v>2</v>
      </c>
      <c r="Z23" s="94">
        <f t="shared" si="5"/>
        <v>2</v>
      </c>
      <c r="AA23" s="94">
        <f t="shared" si="5"/>
        <v>2</v>
      </c>
      <c r="AB23" s="94">
        <f t="shared" si="5"/>
        <v>2</v>
      </c>
      <c r="AC23" s="94">
        <f t="shared" si="5"/>
        <v>2</v>
      </c>
      <c r="AD23" s="94">
        <f t="shared" si="5"/>
        <v>2</v>
      </c>
      <c r="AE23" s="94">
        <f t="shared" si="5"/>
        <v>2</v>
      </c>
      <c r="AF23" s="94">
        <f t="shared" si="5"/>
        <v>2</v>
      </c>
      <c r="AG23" s="94">
        <f t="shared" si="5"/>
        <v>2</v>
      </c>
      <c r="AH23" s="94">
        <f t="shared" si="5"/>
        <v>2</v>
      </c>
      <c r="AI23" s="94">
        <f t="shared" si="5"/>
        <v>2</v>
      </c>
      <c r="AJ23" s="94">
        <f t="shared" si="5"/>
        <v>2</v>
      </c>
      <c r="AK23" s="94">
        <f t="shared" si="5"/>
        <v>2</v>
      </c>
    </row>
    <row r="24" spans="1:37" x14ac:dyDescent="0.35">
      <c r="A24" s="95" t="s">
        <v>149</v>
      </c>
      <c r="B24" s="96">
        <f>COUNTIF(B2:B17,"N*3")</f>
        <v>0</v>
      </c>
      <c r="C24" s="96">
        <f t="shared" ref="C24:AK24" si="6">COUNTIF(C2:C17,"N*3")</f>
        <v>0</v>
      </c>
      <c r="D24" s="96">
        <f t="shared" si="6"/>
        <v>0</v>
      </c>
      <c r="E24" s="96">
        <f t="shared" si="6"/>
        <v>0</v>
      </c>
      <c r="F24" s="96">
        <f t="shared" si="6"/>
        <v>0</v>
      </c>
      <c r="G24" s="96">
        <f t="shared" si="6"/>
        <v>0</v>
      </c>
      <c r="H24" s="96">
        <f t="shared" si="6"/>
        <v>0</v>
      </c>
      <c r="I24" s="96">
        <f t="shared" si="6"/>
        <v>0</v>
      </c>
      <c r="J24" s="96">
        <f t="shared" si="6"/>
        <v>0</v>
      </c>
      <c r="K24" s="96">
        <f t="shared" si="6"/>
        <v>0</v>
      </c>
      <c r="L24" s="96">
        <f t="shared" si="6"/>
        <v>0</v>
      </c>
      <c r="M24" s="96">
        <f t="shared" si="6"/>
        <v>0</v>
      </c>
      <c r="N24" s="96">
        <f t="shared" si="6"/>
        <v>0</v>
      </c>
      <c r="O24" s="96">
        <f t="shared" si="6"/>
        <v>0</v>
      </c>
      <c r="P24" s="96">
        <f t="shared" si="6"/>
        <v>0</v>
      </c>
      <c r="Q24" s="96">
        <f t="shared" si="6"/>
        <v>0</v>
      </c>
      <c r="R24" s="96">
        <f t="shared" si="6"/>
        <v>0</v>
      </c>
      <c r="S24" s="96">
        <f t="shared" si="6"/>
        <v>0</v>
      </c>
      <c r="T24" s="96">
        <f t="shared" si="6"/>
        <v>0</v>
      </c>
      <c r="U24" s="96">
        <f t="shared" si="6"/>
        <v>0</v>
      </c>
      <c r="V24" s="96">
        <f t="shared" si="6"/>
        <v>0</v>
      </c>
      <c r="W24" s="96">
        <f t="shared" si="6"/>
        <v>0</v>
      </c>
      <c r="X24" s="96">
        <f t="shared" si="6"/>
        <v>0</v>
      </c>
      <c r="Y24" s="96">
        <f t="shared" si="6"/>
        <v>0</v>
      </c>
      <c r="Z24" s="96">
        <f t="shared" si="6"/>
        <v>0</v>
      </c>
      <c r="AA24" s="96">
        <f t="shared" si="6"/>
        <v>0</v>
      </c>
      <c r="AB24" s="96">
        <f t="shared" si="6"/>
        <v>0</v>
      </c>
      <c r="AC24" s="96">
        <f t="shared" si="6"/>
        <v>0</v>
      </c>
      <c r="AD24" s="96">
        <f t="shared" si="6"/>
        <v>0</v>
      </c>
      <c r="AE24" s="96">
        <f t="shared" si="6"/>
        <v>0</v>
      </c>
      <c r="AF24" s="96">
        <f t="shared" si="6"/>
        <v>0</v>
      </c>
      <c r="AG24" s="96">
        <f t="shared" si="6"/>
        <v>0</v>
      </c>
      <c r="AH24" s="96">
        <f t="shared" si="6"/>
        <v>0</v>
      </c>
      <c r="AI24" s="96">
        <f t="shared" si="6"/>
        <v>0</v>
      </c>
      <c r="AJ24" s="96">
        <f t="shared" si="6"/>
        <v>0</v>
      </c>
      <c r="AK24" s="96">
        <f t="shared" si="6"/>
        <v>0</v>
      </c>
    </row>
    <row r="25" spans="1:37" x14ac:dyDescent="0.35">
      <c r="A25" s="97" t="s">
        <v>150</v>
      </c>
      <c r="B25" s="98">
        <f t="shared" ref="B25" si="7">SUM(B20:B24)</f>
        <v>10</v>
      </c>
      <c r="C25" s="98">
        <f t="shared" ref="C25:S25" si="8">SUM(C20:C24)</f>
        <v>11</v>
      </c>
      <c r="D25" s="98">
        <f t="shared" si="8"/>
        <v>11</v>
      </c>
      <c r="E25" s="98">
        <f t="shared" si="8"/>
        <v>7</v>
      </c>
      <c r="F25" s="98">
        <f t="shared" si="8"/>
        <v>6</v>
      </c>
      <c r="G25" s="98">
        <f t="shared" si="8"/>
        <v>11</v>
      </c>
      <c r="H25" s="98">
        <f>SUM(H20:H24)</f>
        <v>12</v>
      </c>
      <c r="I25" s="98">
        <f t="shared" si="8"/>
        <v>12</v>
      </c>
      <c r="J25" s="98">
        <f>SUM(J20:J24)</f>
        <v>13</v>
      </c>
      <c r="K25" s="98">
        <f t="shared" si="8"/>
        <v>12</v>
      </c>
      <c r="L25" s="98">
        <f t="shared" si="8"/>
        <v>7</v>
      </c>
      <c r="M25" s="98">
        <f t="shared" si="8"/>
        <v>6</v>
      </c>
      <c r="N25" s="98">
        <f t="shared" si="8"/>
        <v>10</v>
      </c>
      <c r="O25" s="98">
        <f t="shared" si="8"/>
        <v>9</v>
      </c>
      <c r="P25" s="98">
        <f t="shared" si="8"/>
        <v>10</v>
      </c>
      <c r="Q25" s="98">
        <f t="shared" si="8"/>
        <v>8</v>
      </c>
      <c r="R25" s="98">
        <f t="shared" si="8"/>
        <v>12</v>
      </c>
      <c r="S25" s="98">
        <f t="shared" si="8"/>
        <v>7</v>
      </c>
      <c r="T25" s="98">
        <f t="shared" ref="T25" si="9">SUM(T20:T24)</f>
        <v>6</v>
      </c>
      <c r="U25" s="98">
        <f t="shared" ref="U25:Y25" si="10">SUM(U20:U24)</f>
        <v>8</v>
      </c>
      <c r="V25" s="98">
        <f t="shared" si="10"/>
        <v>10</v>
      </c>
      <c r="W25" s="98">
        <f t="shared" si="10"/>
        <v>11</v>
      </c>
      <c r="X25" s="98">
        <f t="shared" si="10"/>
        <v>12</v>
      </c>
      <c r="Y25" s="98">
        <f t="shared" si="10"/>
        <v>11</v>
      </c>
      <c r="Z25" s="98">
        <f>SUM(Z20:Z24)</f>
        <v>7</v>
      </c>
      <c r="AA25" s="98">
        <f t="shared" ref="AA25:AK25" si="11">SUM(AA20:AA24)</f>
        <v>6</v>
      </c>
      <c r="AB25" s="98">
        <f t="shared" si="11"/>
        <v>12</v>
      </c>
      <c r="AC25" s="98">
        <f t="shared" si="11"/>
        <v>11</v>
      </c>
      <c r="AD25" s="98">
        <f t="shared" si="11"/>
        <v>11</v>
      </c>
      <c r="AE25" s="98">
        <f t="shared" si="11"/>
        <v>13</v>
      </c>
      <c r="AF25" s="98">
        <f t="shared" si="11"/>
        <v>11</v>
      </c>
      <c r="AG25" s="98">
        <f t="shared" si="11"/>
        <v>7</v>
      </c>
      <c r="AH25" s="98">
        <f t="shared" si="11"/>
        <v>6</v>
      </c>
      <c r="AI25" s="98">
        <f t="shared" si="11"/>
        <v>12</v>
      </c>
      <c r="AJ25" s="98">
        <f t="shared" si="11"/>
        <v>11</v>
      </c>
      <c r="AK25" s="98">
        <f t="shared" si="11"/>
        <v>9</v>
      </c>
    </row>
    <row r="26" spans="1:37" x14ac:dyDescent="0.35">
      <c r="B26" s="86"/>
      <c r="C26" s="86"/>
      <c r="D26" s="86"/>
      <c r="E26" s="86"/>
      <c r="F26" s="86"/>
    </row>
    <row r="27" spans="1:37" x14ac:dyDescent="0.35">
      <c r="B27" s="86"/>
      <c r="C27" s="86"/>
      <c r="D27" s="86"/>
      <c r="E27" s="86"/>
      <c r="F27" s="86"/>
    </row>
    <row r="28" spans="1:37" x14ac:dyDescent="0.35">
      <c r="B28" s="86"/>
      <c r="C28" s="86"/>
      <c r="D28" s="86"/>
      <c r="E28" s="86"/>
      <c r="F28" s="86"/>
    </row>
    <row r="29" spans="1:37" x14ac:dyDescent="0.35">
      <c r="B29" s="86"/>
      <c r="C29" s="86"/>
      <c r="D29" s="86"/>
      <c r="E29" s="86"/>
      <c r="F29" s="86"/>
    </row>
    <row r="30" spans="1:37" x14ac:dyDescent="0.35">
      <c r="B30" s="86"/>
      <c r="C30" s="86"/>
      <c r="D30" s="86"/>
      <c r="E30" s="86"/>
      <c r="F30" s="86"/>
    </row>
    <row r="31" spans="1:37" x14ac:dyDescent="0.35">
      <c r="A31" s="24" t="s">
        <v>23</v>
      </c>
      <c r="B31" s="86"/>
      <c r="C31" s="86"/>
      <c r="D31" s="86"/>
      <c r="E31" s="86"/>
      <c r="F31" s="86"/>
    </row>
    <row r="32" spans="1:37" x14ac:dyDescent="0.35">
      <c r="A32" s="1" t="s">
        <v>24</v>
      </c>
      <c r="B32" s="86"/>
      <c r="C32" s="86"/>
      <c r="D32" s="86"/>
      <c r="E32" s="86"/>
      <c r="F32" s="86"/>
    </row>
    <row r="33" spans="1:6" x14ac:dyDescent="0.35">
      <c r="A33" s="1" t="s">
        <v>25</v>
      </c>
      <c r="B33" s="86"/>
      <c r="C33" s="86"/>
      <c r="D33" s="86"/>
      <c r="E33" s="86"/>
      <c r="F33" s="86"/>
    </row>
    <row r="34" spans="1:6" x14ac:dyDescent="0.35">
      <c r="A34" s="1" t="s">
        <v>47</v>
      </c>
      <c r="B34" s="86"/>
      <c r="C34" s="86"/>
      <c r="D34" s="86"/>
      <c r="E34" s="86"/>
      <c r="F34" s="86"/>
    </row>
    <row r="35" spans="1:6" x14ac:dyDescent="0.35">
      <c r="A35" s="1" t="s">
        <v>48</v>
      </c>
      <c r="B35" s="86"/>
      <c r="C35" s="86"/>
      <c r="D35" s="86"/>
      <c r="E35" s="86"/>
      <c r="F35" s="86"/>
    </row>
    <row r="36" spans="1:6" x14ac:dyDescent="0.35">
      <c r="A36" s="26" t="s">
        <v>26</v>
      </c>
      <c r="B36" s="86"/>
      <c r="C36" s="86"/>
      <c r="D36" s="86"/>
      <c r="E36" s="86"/>
      <c r="F36" s="86"/>
    </row>
    <row r="37" spans="1:6" x14ac:dyDescent="0.35">
      <c r="A37" s="26" t="s">
        <v>27</v>
      </c>
      <c r="B37" s="86"/>
      <c r="C37" s="86"/>
      <c r="D37" s="86"/>
      <c r="E37" s="86"/>
      <c r="F37" s="86"/>
    </row>
    <row r="38" spans="1:6" x14ac:dyDescent="0.35">
      <c r="A38" s="26" t="s">
        <v>28</v>
      </c>
    </row>
    <row r="39" spans="1:6" x14ac:dyDescent="0.35">
      <c r="A39" s="26" t="s">
        <v>29</v>
      </c>
    </row>
    <row r="40" spans="1:6" x14ac:dyDescent="0.35">
      <c r="A40" s="26" t="s">
        <v>49</v>
      </c>
    </row>
    <row r="41" spans="1:6" x14ac:dyDescent="0.35">
      <c r="A41" s="26" t="s">
        <v>50</v>
      </c>
    </row>
    <row r="42" spans="1:6" x14ac:dyDescent="0.35">
      <c r="A42" s="26" t="s">
        <v>31</v>
      </c>
    </row>
    <row r="43" spans="1:6" x14ac:dyDescent="0.35">
      <c r="A43" s="26" t="s">
        <v>32</v>
      </c>
    </row>
    <row r="44" spans="1:6" x14ac:dyDescent="0.35">
      <c r="A44" s="26" t="s">
        <v>33</v>
      </c>
    </row>
    <row r="45" spans="1:6" x14ac:dyDescent="0.35">
      <c r="A45" s="26" t="s">
        <v>35</v>
      </c>
    </row>
    <row r="46" spans="1:6" x14ac:dyDescent="0.35">
      <c r="A46" s="26" t="s">
        <v>36</v>
      </c>
    </row>
    <row r="47" spans="1:6" x14ac:dyDescent="0.35">
      <c r="A47" s="26" t="s">
        <v>38</v>
      </c>
    </row>
    <row r="48" spans="1:6" x14ac:dyDescent="0.35">
      <c r="A48" s="26" t="s">
        <v>36</v>
      </c>
    </row>
    <row r="49" spans="1:1" x14ac:dyDescent="0.35">
      <c r="A49" s="26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AI30"/>
  <sheetViews>
    <sheetView topLeftCell="B1" zoomScale="80" zoomScaleNormal="80" workbookViewId="0">
      <pane xSplit="1" topLeftCell="N1" activePane="topRight" state="frozen"/>
      <selection activeCell="B1" sqref="B1"/>
      <selection pane="topRight" activeCell="U11" sqref="U11"/>
    </sheetView>
  </sheetViews>
  <sheetFormatPr defaultRowHeight="14.5" x14ac:dyDescent="0.35"/>
  <cols>
    <col min="1" max="1" width="0" hidden="1" customWidth="1"/>
    <col min="2" max="2" width="17.453125" bestFit="1" customWidth="1"/>
    <col min="3" max="35" width="8.7265625" customWidth="1"/>
  </cols>
  <sheetData>
    <row r="2" spans="1:35" x14ac:dyDescent="0.35">
      <c r="B2" s="30"/>
      <c r="C2" s="2" t="str">
        <f t="shared" ref="C2:AI2" si="0">TEXT(C3,"ddd")</f>
        <v>Sat</v>
      </c>
      <c r="D2" s="2" t="str">
        <f t="shared" si="0"/>
        <v>Sun</v>
      </c>
      <c r="E2" s="2" t="str">
        <f t="shared" si="0"/>
        <v>Mon</v>
      </c>
      <c r="F2" s="2" t="str">
        <f t="shared" si="0"/>
        <v>Tue</v>
      </c>
      <c r="G2" s="2" t="str">
        <f t="shared" si="0"/>
        <v>Wed</v>
      </c>
      <c r="H2" s="2" t="str">
        <f t="shared" si="0"/>
        <v>Thu</v>
      </c>
      <c r="I2" s="2" t="str">
        <f t="shared" si="0"/>
        <v>Fri</v>
      </c>
      <c r="J2" s="2" t="str">
        <f t="shared" si="0"/>
        <v>Sat</v>
      </c>
      <c r="K2" s="2" t="str">
        <f t="shared" si="0"/>
        <v>Sun</v>
      </c>
      <c r="L2" s="2" t="str">
        <f t="shared" si="0"/>
        <v>Mon</v>
      </c>
      <c r="M2" s="2" t="str">
        <f t="shared" si="0"/>
        <v>Tue</v>
      </c>
      <c r="N2" s="2" t="str">
        <f t="shared" si="0"/>
        <v>Wed</v>
      </c>
      <c r="O2" s="2" t="str">
        <f t="shared" si="0"/>
        <v>Thu</v>
      </c>
      <c r="P2" s="2" t="str">
        <f t="shared" si="0"/>
        <v>Fri</v>
      </c>
      <c r="Q2" s="2" t="str">
        <f t="shared" si="0"/>
        <v>Sat</v>
      </c>
      <c r="R2" s="2" t="str">
        <f t="shared" si="0"/>
        <v>Sun</v>
      </c>
      <c r="S2" s="2" t="str">
        <f t="shared" si="0"/>
        <v>Mon</v>
      </c>
      <c r="T2" s="2" t="str">
        <f t="shared" si="0"/>
        <v>Tue</v>
      </c>
      <c r="U2" s="2" t="str">
        <f t="shared" si="0"/>
        <v>Wed</v>
      </c>
      <c r="V2" s="2" t="str">
        <f t="shared" si="0"/>
        <v>Thu</v>
      </c>
      <c r="W2" s="2" t="str">
        <f t="shared" si="0"/>
        <v>Fri</v>
      </c>
      <c r="X2" s="2" t="str">
        <f t="shared" si="0"/>
        <v>Sat</v>
      </c>
      <c r="Y2" s="2" t="str">
        <f t="shared" si="0"/>
        <v>Sun</v>
      </c>
      <c r="Z2" s="2" t="str">
        <f t="shared" si="0"/>
        <v>Mon</v>
      </c>
      <c r="AA2" s="2" t="str">
        <f t="shared" si="0"/>
        <v>Tue</v>
      </c>
      <c r="AB2" s="2" t="str">
        <f t="shared" si="0"/>
        <v>Wed</v>
      </c>
      <c r="AC2" s="2" t="str">
        <f t="shared" si="0"/>
        <v>Thu</v>
      </c>
      <c r="AD2" s="2" t="str">
        <f t="shared" si="0"/>
        <v>Fri</v>
      </c>
      <c r="AE2" s="2" t="str">
        <f t="shared" si="0"/>
        <v>Sat</v>
      </c>
      <c r="AF2" s="2" t="str">
        <f t="shared" si="0"/>
        <v>Sun</v>
      </c>
      <c r="AG2" s="2" t="str">
        <f t="shared" si="0"/>
        <v>Mon</v>
      </c>
      <c r="AH2" s="2" t="str">
        <f t="shared" si="0"/>
        <v>Tue</v>
      </c>
      <c r="AI2" s="2" t="str">
        <f t="shared" si="0"/>
        <v>Wed</v>
      </c>
    </row>
    <row r="3" spans="1:35" x14ac:dyDescent="0.35">
      <c r="A3" s="104" t="s">
        <v>127</v>
      </c>
      <c r="B3" s="104" t="s">
        <v>0</v>
      </c>
      <c r="C3" s="31">
        <v>44772</v>
      </c>
      <c r="D3" s="31">
        <v>44773</v>
      </c>
      <c r="E3" s="31">
        <v>44774</v>
      </c>
      <c r="F3" s="31">
        <v>44775</v>
      </c>
      <c r="G3" s="31">
        <v>44776</v>
      </c>
      <c r="H3" s="31">
        <v>44777</v>
      </c>
      <c r="I3" s="31">
        <v>44778</v>
      </c>
      <c r="J3" s="31">
        <v>44779</v>
      </c>
      <c r="K3" s="31">
        <v>44780</v>
      </c>
      <c r="L3" s="31">
        <v>44781</v>
      </c>
      <c r="M3" s="31">
        <v>44782</v>
      </c>
      <c r="N3" s="31">
        <v>44783</v>
      </c>
      <c r="O3" s="31">
        <v>44784</v>
      </c>
      <c r="P3" s="31">
        <v>44785</v>
      </c>
      <c r="Q3" s="31">
        <v>44786</v>
      </c>
      <c r="R3" s="31">
        <v>44787</v>
      </c>
      <c r="S3" s="31">
        <v>44788</v>
      </c>
      <c r="T3" s="31">
        <v>44789</v>
      </c>
      <c r="U3" s="31">
        <v>44790</v>
      </c>
      <c r="V3" s="31">
        <v>44791</v>
      </c>
      <c r="W3" s="31">
        <v>44792</v>
      </c>
      <c r="X3" s="31">
        <v>44793</v>
      </c>
      <c r="Y3" s="31">
        <v>44794</v>
      </c>
      <c r="Z3" s="31">
        <v>44795</v>
      </c>
      <c r="AA3" s="31">
        <v>44796</v>
      </c>
      <c r="AB3" s="31">
        <v>44797</v>
      </c>
      <c r="AC3" s="31">
        <v>44798</v>
      </c>
      <c r="AD3" s="31">
        <v>44799</v>
      </c>
      <c r="AE3" s="31">
        <v>44800</v>
      </c>
      <c r="AF3" s="31">
        <v>44801</v>
      </c>
      <c r="AG3" s="31">
        <v>44802</v>
      </c>
      <c r="AH3" s="31">
        <v>44803</v>
      </c>
      <c r="AI3" s="31">
        <v>44804</v>
      </c>
    </row>
    <row r="4" spans="1:35" ht="15" thickBot="1" x14ac:dyDescent="0.4">
      <c r="A4" s="254" t="s">
        <v>131</v>
      </c>
      <c r="B4" s="105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</row>
    <row r="5" spans="1:35" ht="15" thickBot="1" x14ac:dyDescent="0.4">
      <c r="A5" s="255"/>
      <c r="B5" s="107" t="s">
        <v>14</v>
      </c>
      <c r="C5" s="108" t="s">
        <v>4</v>
      </c>
      <c r="D5" s="109" t="s">
        <v>5</v>
      </c>
      <c r="E5" s="112" t="s">
        <v>6</v>
      </c>
      <c r="F5" s="112" t="s">
        <v>6</v>
      </c>
      <c r="G5" s="112" t="s">
        <v>6</v>
      </c>
      <c r="H5" s="112" t="s">
        <v>6</v>
      </c>
      <c r="I5" s="140" t="s">
        <v>6</v>
      </c>
      <c r="J5" s="112" t="s">
        <v>3</v>
      </c>
      <c r="K5" s="116" t="s">
        <v>4</v>
      </c>
      <c r="L5" s="79" t="s">
        <v>16</v>
      </c>
      <c r="M5" s="79" t="s">
        <v>16</v>
      </c>
      <c r="N5" s="25" t="s">
        <v>6</v>
      </c>
      <c r="O5" s="140" t="s">
        <v>6</v>
      </c>
      <c r="P5" s="140" t="s">
        <v>6</v>
      </c>
      <c r="Q5" s="116" t="s">
        <v>4</v>
      </c>
      <c r="R5" s="116" t="s">
        <v>4</v>
      </c>
      <c r="S5" s="112" t="s">
        <v>3</v>
      </c>
      <c r="T5" s="112" t="s">
        <v>6</v>
      </c>
      <c r="U5" s="112" t="s">
        <v>6</v>
      </c>
      <c r="V5" s="109" t="s">
        <v>5</v>
      </c>
      <c r="W5" s="113" t="s">
        <v>2</v>
      </c>
      <c r="X5" s="108" t="s">
        <v>4</v>
      </c>
      <c r="Y5" s="112" t="s">
        <v>3</v>
      </c>
      <c r="Z5" s="112" t="s">
        <v>6</v>
      </c>
      <c r="AA5" s="112" t="s">
        <v>6</v>
      </c>
      <c r="AB5" s="112" t="s">
        <v>6</v>
      </c>
      <c r="AC5" s="112" t="s">
        <v>6</v>
      </c>
      <c r="AD5" s="112" t="s">
        <v>6</v>
      </c>
      <c r="AE5" s="116" t="s">
        <v>4</v>
      </c>
      <c r="AF5" s="109" t="s">
        <v>5</v>
      </c>
      <c r="AG5" s="109" t="s">
        <v>5</v>
      </c>
      <c r="AH5" s="109" t="s">
        <v>5</v>
      </c>
      <c r="AI5" s="124" t="s">
        <v>37</v>
      </c>
    </row>
    <row r="6" spans="1:35" ht="15" thickBot="1" x14ac:dyDescent="0.4">
      <c r="A6" s="255"/>
      <c r="B6" s="115" t="s">
        <v>12</v>
      </c>
      <c r="C6" s="114" t="s">
        <v>3</v>
      </c>
      <c r="D6" s="114" t="s">
        <v>3</v>
      </c>
      <c r="E6" s="111" t="s">
        <v>2</v>
      </c>
      <c r="F6" s="111" t="s">
        <v>2</v>
      </c>
      <c r="G6" s="111" t="s">
        <v>2</v>
      </c>
      <c r="H6" s="139" t="s">
        <v>6</v>
      </c>
      <c r="I6" s="140" t="s">
        <v>6</v>
      </c>
      <c r="J6" s="140" t="s">
        <v>3</v>
      </c>
      <c r="K6" s="141" t="s">
        <v>3</v>
      </c>
      <c r="L6" s="141" t="s">
        <v>6</v>
      </c>
      <c r="M6" s="79" t="s">
        <v>16</v>
      </c>
      <c r="N6" s="116" t="s">
        <v>5</v>
      </c>
      <c r="O6" s="116" t="s">
        <v>5</v>
      </c>
      <c r="P6" s="116" t="s">
        <v>5</v>
      </c>
      <c r="Q6" s="114" t="s">
        <v>3</v>
      </c>
      <c r="R6" s="114" t="s">
        <v>3</v>
      </c>
      <c r="S6" s="112" t="s">
        <v>3</v>
      </c>
      <c r="T6" s="112" t="s">
        <v>6</v>
      </c>
      <c r="U6" s="111" t="s">
        <v>2</v>
      </c>
      <c r="V6" s="112" t="s">
        <v>6</v>
      </c>
      <c r="W6" s="114" t="s">
        <v>6</v>
      </c>
      <c r="X6" s="114" t="s">
        <v>3</v>
      </c>
      <c r="Y6" s="110" t="s">
        <v>4</v>
      </c>
      <c r="Z6" s="112" t="s">
        <v>6</v>
      </c>
      <c r="AA6" s="114" t="s">
        <v>6</v>
      </c>
      <c r="AB6" s="114" t="s">
        <v>6</v>
      </c>
      <c r="AC6" s="117" t="s">
        <v>2</v>
      </c>
      <c r="AD6" s="117" t="s">
        <v>2</v>
      </c>
      <c r="AE6" s="114" t="s">
        <v>3</v>
      </c>
      <c r="AF6" s="114" t="s">
        <v>3</v>
      </c>
      <c r="AG6" s="114" t="s">
        <v>6</v>
      </c>
      <c r="AH6" s="114" t="s">
        <v>6</v>
      </c>
      <c r="AI6" s="121" t="s">
        <v>3</v>
      </c>
    </row>
    <row r="7" spans="1:35" x14ac:dyDescent="0.35">
      <c r="A7" s="254"/>
      <c r="B7" s="118" t="s">
        <v>75</v>
      </c>
      <c r="C7" s="119" t="s">
        <v>4</v>
      </c>
      <c r="D7" s="120" t="s">
        <v>5</v>
      </c>
      <c r="E7" s="25" t="s">
        <v>6</v>
      </c>
      <c r="F7" s="25" t="s">
        <v>6</v>
      </c>
      <c r="G7" s="121" t="s">
        <v>6</v>
      </c>
      <c r="H7" s="121" t="s">
        <v>6</v>
      </c>
      <c r="I7" s="117" t="s">
        <v>2</v>
      </c>
      <c r="J7" s="119" t="s">
        <v>4</v>
      </c>
      <c r="K7" s="112" t="s">
        <v>3</v>
      </c>
      <c r="L7" s="112" t="s">
        <v>6</v>
      </c>
      <c r="M7" s="112" t="s">
        <v>6</v>
      </c>
      <c r="N7" s="112" t="s">
        <v>6</v>
      </c>
      <c r="O7" s="112" t="s">
        <v>6</v>
      </c>
      <c r="P7" s="117" t="s">
        <v>2</v>
      </c>
      <c r="Q7" s="119" t="s">
        <v>4</v>
      </c>
      <c r="R7" s="121" t="s">
        <v>3</v>
      </c>
      <c r="S7" s="112" t="s">
        <v>3</v>
      </c>
      <c r="T7" s="141" t="s">
        <v>6</v>
      </c>
      <c r="U7" s="141" t="s">
        <v>6</v>
      </c>
      <c r="V7" s="141" t="s">
        <v>6</v>
      </c>
      <c r="W7" s="117" t="s">
        <v>2</v>
      </c>
      <c r="X7" s="119" t="s">
        <v>4</v>
      </c>
      <c r="Y7" s="121" t="s">
        <v>3</v>
      </c>
      <c r="Z7" s="121" t="s">
        <v>6</v>
      </c>
      <c r="AA7" s="79" t="s">
        <v>16</v>
      </c>
      <c r="AB7" s="79" t="s">
        <v>16</v>
      </c>
      <c r="AC7" s="121" t="s">
        <v>6</v>
      </c>
      <c r="AD7" s="117" t="s">
        <v>2</v>
      </c>
      <c r="AE7" s="119" t="s">
        <v>4</v>
      </c>
      <c r="AF7" s="121" t="s">
        <v>3</v>
      </c>
      <c r="AG7" s="121" t="s">
        <v>6</v>
      </c>
      <c r="AH7" s="141" t="s">
        <v>6</v>
      </c>
      <c r="AI7" s="121" t="s">
        <v>3</v>
      </c>
    </row>
    <row r="8" spans="1:35" ht="15" thickBot="1" x14ac:dyDescent="0.4">
      <c r="A8" s="254"/>
      <c r="B8" s="122" t="s">
        <v>77</v>
      </c>
      <c r="C8" s="25" t="s">
        <v>3</v>
      </c>
      <c r="D8" s="29" t="s">
        <v>4</v>
      </c>
      <c r="E8" s="78" t="s">
        <v>6</v>
      </c>
      <c r="F8" s="78" t="s">
        <v>6</v>
      </c>
      <c r="G8" s="78" t="s">
        <v>6</v>
      </c>
      <c r="H8" s="78" t="s">
        <v>6</v>
      </c>
      <c r="I8" s="78" t="s">
        <v>6</v>
      </c>
      <c r="J8" s="123" t="s">
        <v>4</v>
      </c>
      <c r="K8" s="123" t="s">
        <v>4</v>
      </c>
      <c r="L8" s="79" t="s">
        <v>16</v>
      </c>
      <c r="M8" s="116" t="s">
        <v>5</v>
      </c>
      <c r="N8" s="22" t="s">
        <v>16</v>
      </c>
      <c r="O8" s="25" t="s">
        <v>6</v>
      </c>
      <c r="P8" s="25" t="s">
        <v>6</v>
      </c>
      <c r="Q8" s="25" t="s">
        <v>3</v>
      </c>
      <c r="R8" s="123" t="s">
        <v>4</v>
      </c>
      <c r="S8" s="124" t="s">
        <v>37</v>
      </c>
      <c r="T8" s="116" t="s">
        <v>5</v>
      </c>
      <c r="U8" s="121" t="s">
        <v>6</v>
      </c>
      <c r="V8" s="121" t="s">
        <v>6</v>
      </c>
      <c r="W8" s="25" t="s">
        <v>6</v>
      </c>
      <c r="X8" s="25" t="s">
        <v>3</v>
      </c>
      <c r="Y8" s="123" t="s">
        <v>4</v>
      </c>
      <c r="Z8" s="125" t="s">
        <v>2</v>
      </c>
      <c r="AA8" s="25" t="s">
        <v>6</v>
      </c>
      <c r="AB8" s="25" t="s">
        <v>6</v>
      </c>
      <c r="AC8" s="25" t="s">
        <v>6</v>
      </c>
      <c r="AD8" s="25" t="s">
        <v>6</v>
      </c>
      <c r="AE8" s="25" t="s">
        <v>3</v>
      </c>
      <c r="AF8" s="123" t="s">
        <v>4</v>
      </c>
      <c r="AG8" s="25" t="s">
        <v>6</v>
      </c>
      <c r="AH8" s="25" t="s">
        <v>6</v>
      </c>
      <c r="AI8" s="121" t="s">
        <v>3</v>
      </c>
    </row>
    <row r="9" spans="1:35" ht="15" thickBot="1" x14ac:dyDescent="0.4">
      <c r="A9" s="254"/>
      <c r="B9" s="122" t="s">
        <v>76</v>
      </c>
      <c r="C9" s="126" t="s">
        <v>30</v>
      </c>
      <c r="D9" s="25" t="s">
        <v>3</v>
      </c>
      <c r="E9" s="25" t="s">
        <v>6</v>
      </c>
      <c r="F9" s="25" t="s">
        <v>6</v>
      </c>
      <c r="G9" s="125" t="s">
        <v>2</v>
      </c>
      <c r="H9" s="125" t="s">
        <v>2</v>
      </c>
      <c r="I9" s="22" t="s">
        <v>16</v>
      </c>
      <c r="J9" s="126" t="s">
        <v>30</v>
      </c>
      <c r="K9" s="123" t="s">
        <v>4</v>
      </c>
      <c r="L9" s="129" t="s">
        <v>41</v>
      </c>
      <c r="M9" s="112" t="s">
        <v>6</v>
      </c>
      <c r="N9" s="127" t="s">
        <v>41</v>
      </c>
      <c r="O9" s="117" t="s">
        <v>2</v>
      </c>
      <c r="P9" s="25" t="s">
        <v>6</v>
      </c>
      <c r="Q9" s="123" t="s">
        <v>4</v>
      </c>
      <c r="R9" s="123" t="s">
        <v>4</v>
      </c>
      <c r="S9" s="22" t="s">
        <v>30</v>
      </c>
      <c r="T9" s="125" t="s">
        <v>2</v>
      </c>
      <c r="U9" s="79" t="s">
        <v>16</v>
      </c>
      <c r="V9" s="121" t="s">
        <v>6</v>
      </c>
      <c r="W9" s="78" t="s">
        <v>6</v>
      </c>
      <c r="X9" s="127" t="s">
        <v>42</v>
      </c>
      <c r="Y9" s="127" t="s">
        <v>42</v>
      </c>
      <c r="Z9" s="142" t="s">
        <v>41</v>
      </c>
      <c r="AA9" s="78" t="s">
        <v>6</v>
      </c>
      <c r="AB9" s="25" t="s">
        <v>6</v>
      </c>
      <c r="AC9" s="117" t="s">
        <v>2</v>
      </c>
      <c r="AD9" s="25" t="s">
        <v>6</v>
      </c>
      <c r="AE9" s="126" t="s">
        <v>30</v>
      </c>
      <c r="AF9" s="123" t="s">
        <v>4</v>
      </c>
      <c r="AG9" s="25" t="s">
        <v>6</v>
      </c>
      <c r="AH9" s="109" t="s">
        <v>2</v>
      </c>
      <c r="AI9" s="124" t="s">
        <v>37</v>
      </c>
    </row>
    <row r="10" spans="1:35" ht="15" thickBot="1" x14ac:dyDescent="0.4"/>
    <row r="11" spans="1:35" ht="15" thickBot="1" x14ac:dyDescent="0.4">
      <c r="A11" s="255" t="s">
        <v>135</v>
      </c>
      <c r="B11" s="107" t="s">
        <v>9</v>
      </c>
      <c r="C11" s="127" t="s">
        <v>42</v>
      </c>
      <c r="D11" s="108" t="s">
        <v>4</v>
      </c>
      <c r="E11" s="78" t="s">
        <v>41</v>
      </c>
      <c r="F11" s="127" t="s">
        <v>41</v>
      </c>
      <c r="G11" s="111" t="s">
        <v>2</v>
      </c>
      <c r="H11" s="111" t="s">
        <v>2</v>
      </c>
      <c r="I11" s="78" t="s">
        <v>41</v>
      </c>
      <c r="J11" s="129" t="s">
        <v>42</v>
      </c>
      <c r="K11" s="108" t="s">
        <v>4</v>
      </c>
      <c r="L11" s="129" t="s">
        <v>41</v>
      </c>
      <c r="M11" s="112" t="s">
        <v>6</v>
      </c>
      <c r="N11" s="127" t="s">
        <v>41</v>
      </c>
      <c r="O11" s="111" t="s">
        <v>2</v>
      </c>
      <c r="P11" s="127" t="s">
        <v>41</v>
      </c>
      <c r="Q11" s="108" t="s">
        <v>4</v>
      </c>
      <c r="R11" s="108" t="s">
        <v>4</v>
      </c>
      <c r="S11" s="78" t="s">
        <v>42</v>
      </c>
      <c r="T11" s="125" t="s">
        <v>2</v>
      </c>
      <c r="U11" s="78" t="s">
        <v>41</v>
      </c>
      <c r="V11" s="127" t="s">
        <v>41</v>
      </c>
      <c r="W11" s="78" t="s">
        <v>41</v>
      </c>
      <c r="X11" s="127" t="s">
        <v>42</v>
      </c>
      <c r="Y11" s="109" t="s">
        <v>4</v>
      </c>
      <c r="Z11" s="109" t="s">
        <v>2</v>
      </c>
      <c r="AA11" s="109" t="s">
        <v>5</v>
      </c>
      <c r="AB11" s="109" t="s">
        <v>5</v>
      </c>
      <c r="AC11" s="109" t="s">
        <v>5</v>
      </c>
      <c r="AD11" s="143" t="s">
        <v>41</v>
      </c>
      <c r="AE11" s="127" t="s">
        <v>42</v>
      </c>
      <c r="AF11" s="108" t="s">
        <v>4</v>
      </c>
      <c r="AG11" s="113" t="s">
        <v>2</v>
      </c>
      <c r="AH11" s="127" t="s">
        <v>41</v>
      </c>
      <c r="AI11" s="127" t="s">
        <v>42</v>
      </c>
    </row>
    <row r="12" spans="1:35" ht="15" thickBot="1" x14ac:dyDescent="0.4">
      <c r="A12" s="255"/>
      <c r="B12" s="115" t="s">
        <v>15</v>
      </c>
      <c r="C12" s="128" t="s">
        <v>4</v>
      </c>
      <c r="D12" s="129" t="s">
        <v>42</v>
      </c>
      <c r="E12" s="129" t="s">
        <v>41</v>
      </c>
      <c r="F12" s="129" t="s">
        <v>41</v>
      </c>
      <c r="G12" s="129" t="s">
        <v>41</v>
      </c>
      <c r="H12" s="129" t="s">
        <v>41</v>
      </c>
      <c r="I12" s="111" t="s">
        <v>2</v>
      </c>
      <c r="J12" s="110" t="s">
        <v>4</v>
      </c>
      <c r="K12" s="129" t="s">
        <v>42</v>
      </c>
      <c r="L12" s="129" t="s">
        <v>41</v>
      </c>
      <c r="M12" s="129" t="s">
        <v>41</v>
      </c>
      <c r="N12" s="129" t="s">
        <v>41</v>
      </c>
      <c r="O12" s="129" t="s">
        <v>41</v>
      </c>
      <c r="P12" s="111" t="s">
        <v>2</v>
      </c>
      <c r="Q12" s="129" t="s">
        <v>42</v>
      </c>
      <c r="R12" s="129" t="s">
        <v>42</v>
      </c>
      <c r="S12" s="129" t="s">
        <v>42</v>
      </c>
      <c r="T12" s="127" t="s">
        <v>41</v>
      </c>
      <c r="U12" s="127" t="s">
        <v>41</v>
      </c>
      <c r="V12" s="127" t="s">
        <v>41</v>
      </c>
      <c r="W12" s="129" t="s">
        <v>41</v>
      </c>
      <c r="X12" s="110" t="s">
        <v>4</v>
      </c>
      <c r="Y12" s="129" t="s">
        <v>42</v>
      </c>
      <c r="Z12" s="129" t="s">
        <v>41</v>
      </c>
      <c r="AA12" s="129" t="s">
        <v>41</v>
      </c>
      <c r="AB12" s="129" t="s">
        <v>41</v>
      </c>
      <c r="AC12" s="129" t="s">
        <v>41</v>
      </c>
      <c r="AD12" s="111" t="s">
        <v>2</v>
      </c>
      <c r="AE12" s="110" t="s">
        <v>4</v>
      </c>
      <c r="AF12" s="129" t="s">
        <v>42</v>
      </c>
      <c r="AG12" s="129" t="s">
        <v>41</v>
      </c>
      <c r="AH12" s="109" t="s">
        <v>5</v>
      </c>
      <c r="AI12" s="109" t="s">
        <v>5</v>
      </c>
    </row>
    <row r="13" spans="1:35" ht="15" thickBot="1" x14ac:dyDescent="0.4">
      <c r="A13" s="254"/>
      <c r="B13" s="118" t="s">
        <v>21</v>
      </c>
      <c r="C13" s="119" t="s">
        <v>4</v>
      </c>
      <c r="D13" s="129" t="s">
        <v>42</v>
      </c>
      <c r="E13" s="117" t="s">
        <v>2</v>
      </c>
      <c r="F13" s="117" t="s">
        <v>2</v>
      </c>
      <c r="G13" s="130" t="s">
        <v>41</v>
      </c>
      <c r="H13" s="130" t="s">
        <v>41</v>
      </c>
      <c r="I13" s="130" t="s">
        <v>41</v>
      </c>
      <c r="J13" s="130" t="s">
        <v>42</v>
      </c>
      <c r="K13" s="130" t="s">
        <v>42</v>
      </c>
      <c r="L13" s="117" t="s">
        <v>2</v>
      </c>
      <c r="M13" s="129" t="s">
        <v>41</v>
      </c>
      <c r="N13" s="117" t="s">
        <v>2</v>
      </c>
      <c r="O13" s="130" t="s">
        <v>41</v>
      </c>
      <c r="P13" s="130" t="s">
        <v>41</v>
      </c>
      <c r="Q13" s="130" t="s">
        <v>42</v>
      </c>
      <c r="R13" s="19" t="s">
        <v>42</v>
      </c>
      <c r="S13" s="124" t="s">
        <v>37</v>
      </c>
      <c r="T13" s="129" t="s">
        <v>41</v>
      </c>
      <c r="U13" s="120" t="s">
        <v>5</v>
      </c>
      <c r="V13" s="120" t="s">
        <v>5</v>
      </c>
      <c r="W13" s="129" t="s">
        <v>41</v>
      </c>
      <c r="X13" s="127" t="s">
        <v>42</v>
      </c>
      <c r="Y13" s="119" t="s">
        <v>4</v>
      </c>
      <c r="Z13" s="117" t="s">
        <v>2</v>
      </c>
      <c r="AA13" s="143" t="s">
        <v>41</v>
      </c>
      <c r="AB13" s="143" t="s">
        <v>41</v>
      </c>
      <c r="AC13" s="143" t="s">
        <v>41</v>
      </c>
      <c r="AD13" s="143" t="s">
        <v>41</v>
      </c>
      <c r="AE13" s="143" t="s">
        <v>42</v>
      </c>
      <c r="AF13" s="143" t="s">
        <v>42</v>
      </c>
      <c r="AG13" s="117" t="s">
        <v>2</v>
      </c>
      <c r="AH13" s="130" t="s">
        <v>41</v>
      </c>
      <c r="AI13" s="127" t="s">
        <v>42</v>
      </c>
    </row>
    <row r="14" spans="1:35" ht="15" thickBot="1" x14ac:dyDescent="0.4">
      <c r="A14" s="254"/>
      <c r="B14" s="122" t="s">
        <v>22</v>
      </c>
      <c r="C14" s="19" t="s">
        <v>42</v>
      </c>
      <c r="D14" s="119" t="s">
        <v>4</v>
      </c>
      <c r="E14" s="19" t="s">
        <v>41</v>
      </c>
      <c r="F14" s="19" t="s">
        <v>41</v>
      </c>
      <c r="G14" s="19" t="s">
        <v>41</v>
      </c>
      <c r="H14" s="19" t="s">
        <v>41</v>
      </c>
      <c r="I14" s="131" t="s">
        <v>2</v>
      </c>
      <c r="J14" s="131" t="s">
        <v>4</v>
      </c>
      <c r="K14" s="131" t="s">
        <v>5</v>
      </c>
      <c r="L14" s="131" t="s">
        <v>5</v>
      </c>
      <c r="M14" s="131" t="s">
        <v>5</v>
      </c>
      <c r="N14" s="131" t="s">
        <v>5</v>
      </c>
      <c r="O14" s="131" t="s">
        <v>5</v>
      </c>
      <c r="P14" s="130" t="s">
        <v>41</v>
      </c>
      <c r="Q14" s="126" t="s">
        <v>30</v>
      </c>
      <c r="R14" s="123" t="s">
        <v>4</v>
      </c>
      <c r="S14" s="129" t="s">
        <v>42</v>
      </c>
      <c r="T14" s="125" t="s">
        <v>2</v>
      </c>
      <c r="U14" s="142" t="s">
        <v>16</v>
      </c>
      <c r="V14" s="142" t="s">
        <v>16</v>
      </c>
      <c r="W14" s="144" t="s">
        <v>16</v>
      </c>
      <c r="X14" s="144" t="s">
        <v>30</v>
      </c>
      <c r="Y14" s="144" t="s">
        <v>30</v>
      </c>
      <c r="Z14" s="144" t="s">
        <v>16</v>
      </c>
      <c r="AA14" s="117" t="s">
        <v>2</v>
      </c>
      <c r="AB14" s="117" t="s">
        <v>2</v>
      </c>
      <c r="AC14" s="19" t="s">
        <v>41</v>
      </c>
      <c r="AD14" s="19" t="s">
        <v>41</v>
      </c>
      <c r="AE14" s="123" t="s">
        <v>4</v>
      </c>
      <c r="AF14" s="123" t="s">
        <v>4</v>
      </c>
      <c r="AG14" s="19" t="s">
        <v>41</v>
      </c>
      <c r="AH14" s="19" t="s">
        <v>41</v>
      </c>
      <c r="AI14" s="127" t="s">
        <v>42</v>
      </c>
    </row>
    <row r="15" spans="1:35" ht="15" thickBot="1" x14ac:dyDescent="0.4">
      <c r="A15" s="254"/>
      <c r="B15" s="122" t="s">
        <v>155</v>
      </c>
      <c r="C15" s="123" t="s">
        <v>4</v>
      </c>
      <c r="D15" s="123" t="s">
        <v>4</v>
      </c>
      <c r="E15" s="22" t="s">
        <v>16</v>
      </c>
      <c r="F15" s="22" t="s">
        <v>16</v>
      </c>
      <c r="G15" s="22" t="s">
        <v>16</v>
      </c>
      <c r="H15" s="22" t="s">
        <v>16</v>
      </c>
      <c r="I15" s="79" t="s">
        <v>16</v>
      </c>
      <c r="J15" s="123" t="s">
        <v>4</v>
      </c>
      <c r="K15" s="123" t="s">
        <v>4</v>
      </c>
      <c r="L15" s="79" t="s">
        <v>16</v>
      </c>
      <c r="M15" s="79" t="s">
        <v>16</v>
      </c>
      <c r="N15" s="79" t="s">
        <v>16</v>
      </c>
      <c r="O15" s="22" t="s">
        <v>16</v>
      </c>
      <c r="P15" s="22" t="s">
        <v>16</v>
      </c>
      <c r="Q15" s="123" t="s">
        <v>4</v>
      </c>
      <c r="R15" s="123" t="s">
        <v>4</v>
      </c>
      <c r="S15" s="124" t="s">
        <v>37</v>
      </c>
      <c r="T15" s="129" t="s">
        <v>41</v>
      </c>
      <c r="U15" s="129" t="s">
        <v>41</v>
      </c>
      <c r="V15" s="129" t="s">
        <v>41</v>
      </c>
      <c r="W15" s="129" t="s">
        <v>41</v>
      </c>
      <c r="X15" s="123" t="s">
        <v>4</v>
      </c>
      <c r="Y15" s="123" t="s">
        <v>4</v>
      </c>
      <c r="Z15" s="19" t="s">
        <v>41</v>
      </c>
      <c r="AA15" s="19" t="s">
        <v>41</v>
      </c>
      <c r="AB15" s="19" t="s">
        <v>41</v>
      </c>
      <c r="AC15" s="79" t="s">
        <v>16</v>
      </c>
      <c r="AD15" s="142" t="s">
        <v>41</v>
      </c>
      <c r="AE15" s="123" t="s">
        <v>4</v>
      </c>
      <c r="AF15" s="123" t="s">
        <v>4</v>
      </c>
      <c r="AG15" s="19" t="s">
        <v>41</v>
      </c>
      <c r="AH15" s="22" t="s">
        <v>16</v>
      </c>
      <c r="AI15" s="126" t="s">
        <v>30</v>
      </c>
    </row>
    <row r="16" spans="1:35" ht="15" thickBot="1" x14ac:dyDescent="0.4"/>
    <row r="17" spans="1:35" ht="15" thickBot="1" x14ac:dyDescent="0.4">
      <c r="A17" s="255" t="s">
        <v>141</v>
      </c>
      <c r="B17" s="107" t="s">
        <v>1</v>
      </c>
      <c r="C17" s="132" t="s">
        <v>11</v>
      </c>
      <c r="D17" s="132" t="s">
        <v>11</v>
      </c>
      <c r="E17" s="111" t="s">
        <v>2</v>
      </c>
      <c r="F17" s="131" t="s">
        <v>5</v>
      </c>
      <c r="G17" s="79" t="s">
        <v>16</v>
      </c>
      <c r="H17" s="136" t="s">
        <v>10</v>
      </c>
      <c r="I17" s="136" t="s">
        <v>10</v>
      </c>
      <c r="J17" s="133" t="s">
        <v>11</v>
      </c>
      <c r="K17" s="132" t="s">
        <v>11</v>
      </c>
      <c r="L17" s="132" t="s">
        <v>10</v>
      </c>
      <c r="M17" s="124" t="s">
        <v>37</v>
      </c>
      <c r="N17" s="132" t="s">
        <v>10</v>
      </c>
      <c r="O17" s="113" t="s">
        <v>2</v>
      </c>
      <c r="P17" s="133" t="s">
        <v>10</v>
      </c>
      <c r="Q17" s="16" t="s">
        <v>11</v>
      </c>
      <c r="R17" s="132" t="s">
        <v>11</v>
      </c>
      <c r="S17" s="132" t="s">
        <v>11</v>
      </c>
      <c r="T17" s="133" t="s">
        <v>10</v>
      </c>
      <c r="U17" s="133" t="s">
        <v>10</v>
      </c>
      <c r="V17" s="113" t="s">
        <v>2</v>
      </c>
      <c r="W17" s="113" t="s">
        <v>2</v>
      </c>
      <c r="X17" s="133" t="s">
        <v>11</v>
      </c>
      <c r="Y17" s="132" t="s">
        <v>11</v>
      </c>
      <c r="Z17" s="132" t="s">
        <v>10</v>
      </c>
      <c r="AA17" s="132" t="s">
        <v>10</v>
      </c>
      <c r="AB17" s="132" t="s">
        <v>10</v>
      </c>
      <c r="AC17" s="132" t="s">
        <v>10</v>
      </c>
      <c r="AD17" s="113" t="s">
        <v>2</v>
      </c>
      <c r="AE17" s="110" t="s">
        <v>4</v>
      </c>
      <c r="AF17" s="132" t="s">
        <v>11</v>
      </c>
      <c r="AG17" s="132" t="s">
        <v>10</v>
      </c>
      <c r="AH17" s="132" t="s">
        <v>10</v>
      </c>
      <c r="AI17" s="124" t="s">
        <v>37</v>
      </c>
    </row>
    <row r="18" spans="1:35" ht="15" thickBot="1" x14ac:dyDescent="0.4">
      <c r="A18" s="255"/>
      <c r="B18" s="115" t="s">
        <v>18</v>
      </c>
      <c r="C18" s="133" t="s">
        <v>11</v>
      </c>
      <c r="D18" s="128" t="s">
        <v>4</v>
      </c>
      <c r="E18" s="133" t="s">
        <v>10</v>
      </c>
      <c r="F18" s="133" t="s">
        <v>10</v>
      </c>
      <c r="G18" s="133" t="s">
        <v>10</v>
      </c>
      <c r="H18" s="133" t="s">
        <v>10</v>
      </c>
      <c r="I18" s="133" t="s">
        <v>10</v>
      </c>
      <c r="J18" s="110" t="s">
        <v>4</v>
      </c>
      <c r="K18" s="110" t="s">
        <v>4</v>
      </c>
      <c r="L18" s="129" t="s">
        <v>41</v>
      </c>
      <c r="M18" s="132" t="s">
        <v>10</v>
      </c>
      <c r="N18" s="132" t="s">
        <v>10</v>
      </c>
      <c r="O18" s="132" t="s">
        <v>10</v>
      </c>
      <c r="P18" s="133" t="s">
        <v>10</v>
      </c>
      <c r="Q18" s="110" t="s">
        <v>4</v>
      </c>
      <c r="R18" s="110" t="s">
        <v>4</v>
      </c>
      <c r="S18" s="124" t="s">
        <v>37</v>
      </c>
      <c r="T18" s="129" t="s">
        <v>41</v>
      </c>
      <c r="U18" s="22" t="s">
        <v>16</v>
      </c>
      <c r="V18" s="133" t="s">
        <v>10</v>
      </c>
      <c r="W18" s="133" t="s">
        <v>10</v>
      </c>
      <c r="X18" s="110" t="s">
        <v>4</v>
      </c>
      <c r="Y18" s="110" t="s">
        <v>4</v>
      </c>
      <c r="Z18" s="143" t="s">
        <v>41</v>
      </c>
      <c r="AA18" s="143" t="s">
        <v>41</v>
      </c>
      <c r="AB18" s="143" t="s">
        <v>41</v>
      </c>
      <c r="AC18" s="143" t="s">
        <v>41</v>
      </c>
      <c r="AD18" s="133" t="s">
        <v>10</v>
      </c>
      <c r="AE18" s="132" t="s">
        <v>11</v>
      </c>
      <c r="AF18" s="110" t="s">
        <v>4</v>
      </c>
      <c r="AG18" s="111" t="s">
        <v>2</v>
      </c>
      <c r="AH18" s="133" t="s">
        <v>10</v>
      </c>
      <c r="AI18" s="132" t="s">
        <v>11</v>
      </c>
    </row>
    <row r="19" spans="1:35" ht="15" thickBot="1" x14ac:dyDescent="0.4">
      <c r="A19" s="254"/>
      <c r="B19" s="118" t="s">
        <v>74</v>
      </c>
      <c r="C19" s="135" t="s">
        <v>4</v>
      </c>
      <c r="D19" s="136" t="s">
        <v>11</v>
      </c>
      <c r="E19" s="136" t="s">
        <v>10</v>
      </c>
      <c r="F19" s="136" t="s">
        <v>10</v>
      </c>
      <c r="G19" s="136" t="s">
        <v>10</v>
      </c>
      <c r="H19" s="136" t="s">
        <v>10</v>
      </c>
      <c r="I19" s="117" t="s">
        <v>2</v>
      </c>
      <c r="J19" s="119" t="s">
        <v>4</v>
      </c>
      <c r="K19" s="136" t="s">
        <v>11</v>
      </c>
      <c r="L19" s="136" t="s">
        <v>10</v>
      </c>
      <c r="M19" s="132" t="s">
        <v>10</v>
      </c>
      <c r="N19" s="113" t="s">
        <v>2</v>
      </c>
      <c r="O19" s="79" t="s">
        <v>16</v>
      </c>
      <c r="P19" s="79" t="s">
        <v>16</v>
      </c>
      <c r="Q19" s="110" t="s">
        <v>4</v>
      </c>
      <c r="R19" s="132" t="s">
        <v>11</v>
      </c>
      <c r="S19" s="132" t="s">
        <v>11</v>
      </c>
      <c r="T19" s="136" t="s">
        <v>10</v>
      </c>
      <c r="U19" s="136" t="s">
        <v>10</v>
      </c>
      <c r="V19" s="136" t="s">
        <v>10</v>
      </c>
      <c r="W19" s="117" t="s">
        <v>2</v>
      </c>
      <c r="X19" s="119" t="s">
        <v>4</v>
      </c>
      <c r="Y19" s="136" t="s">
        <v>11</v>
      </c>
      <c r="Z19" s="117" t="s">
        <v>2</v>
      </c>
      <c r="AA19" s="16" t="s">
        <v>10</v>
      </c>
      <c r="AB19" s="16" t="s">
        <v>10</v>
      </c>
      <c r="AC19" s="16" t="s">
        <v>10</v>
      </c>
      <c r="AD19" s="16" t="s">
        <v>10</v>
      </c>
      <c r="AE19" s="119" t="s">
        <v>4</v>
      </c>
      <c r="AF19" s="136" t="s">
        <v>11</v>
      </c>
      <c r="AG19" s="136" t="s">
        <v>10</v>
      </c>
      <c r="AH19" s="136" t="s">
        <v>10</v>
      </c>
      <c r="AI19" s="132" t="s">
        <v>11</v>
      </c>
    </row>
    <row r="20" spans="1:35" ht="15" thickBot="1" x14ac:dyDescent="0.4">
      <c r="A20" s="254"/>
      <c r="B20" s="122" t="s">
        <v>43</v>
      </c>
      <c r="C20" s="16" t="s">
        <v>11</v>
      </c>
      <c r="D20" s="29" t="s">
        <v>4</v>
      </c>
      <c r="E20" s="79" t="s">
        <v>41</v>
      </c>
      <c r="F20" s="79" t="s">
        <v>41</v>
      </c>
      <c r="G20" s="79" t="s">
        <v>16</v>
      </c>
      <c r="H20" s="16" t="s">
        <v>10</v>
      </c>
      <c r="I20" s="16" t="s">
        <v>10</v>
      </c>
      <c r="J20" s="16" t="s">
        <v>11</v>
      </c>
      <c r="K20" s="123" t="s">
        <v>4</v>
      </c>
      <c r="L20" s="125" t="s">
        <v>2</v>
      </c>
      <c r="M20" s="16" t="s">
        <v>10</v>
      </c>
      <c r="N20" s="16" t="s">
        <v>10</v>
      </c>
      <c r="O20" s="16" t="s">
        <v>10</v>
      </c>
      <c r="P20" s="113" t="s">
        <v>2</v>
      </c>
      <c r="Q20" s="16" t="s">
        <v>11</v>
      </c>
      <c r="R20" s="123" t="s">
        <v>4</v>
      </c>
      <c r="S20" s="124" t="s">
        <v>37</v>
      </c>
      <c r="T20" s="136" t="s">
        <v>10</v>
      </c>
      <c r="U20" s="136" t="s">
        <v>10</v>
      </c>
      <c r="V20" s="16" t="s">
        <v>10</v>
      </c>
      <c r="W20" s="16" t="s">
        <v>10</v>
      </c>
      <c r="X20" s="16" t="s">
        <v>11</v>
      </c>
      <c r="Y20" s="123" t="s">
        <v>4</v>
      </c>
      <c r="Z20" s="132" t="s">
        <v>10</v>
      </c>
      <c r="AA20" s="16" t="s">
        <v>10</v>
      </c>
      <c r="AB20" s="16" t="s">
        <v>10</v>
      </c>
      <c r="AC20" s="16" t="s">
        <v>10</v>
      </c>
      <c r="AD20" s="113" t="s">
        <v>2</v>
      </c>
      <c r="AE20" s="16" t="s">
        <v>11</v>
      </c>
      <c r="AF20" s="123" t="s">
        <v>4</v>
      </c>
      <c r="AG20" s="125" t="s">
        <v>2</v>
      </c>
      <c r="AH20" s="134" t="s">
        <v>16</v>
      </c>
      <c r="AI20" s="132" t="s">
        <v>11</v>
      </c>
    </row>
    <row r="21" spans="1:35" ht="15" thickBot="1" x14ac:dyDescent="0.4">
      <c r="A21" s="254"/>
      <c r="B21" s="122" t="s">
        <v>62</v>
      </c>
      <c r="C21" s="16" t="s">
        <v>11</v>
      </c>
      <c r="D21" s="16" t="s">
        <v>11</v>
      </c>
      <c r="E21" s="116" t="s">
        <v>2</v>
      </c>
      <c r="F21" s="79" t="s">
        <v>16</v>
      </c>
      <c r="G21" s="116" t="s">
        <v>2</v>
      </c>
      <c r="H21" s="79" t="s">
        <v>16</v>
      </c>
      <c r="I21" s="16" t="s">
        <v>10</v>
      </c>
      <c r="J21" s="16" t="s">
        <v>11</v>
      </c>
      <c r="K21" s="16" t="s">
        <v>11</v>
      </c>
      <c r="L21" s="16" t="s">
        <v>10</v>
      </c>
      <c r="M21" s="113" t="s">
        <v>2</v>
      </c>
      <c r="N21" s="113" t="s">
        <v>2</v>
      </c>
      <c r="O21" s="16" t="s">
        <v>10</v>
      </c>
      <c r="P21" s="16" t="s">
        <v>10</v>
      </c>
      <c r="Q21" s="123" t="s">
        <v>4</v>
      </c>
      <c r="R21" s="16" t="s">
        <v>11</v>
      </c>
      <c r="S21" s="132" t="s">
        <v>11</v>
      </c>
      <c r="T21" s="113" t="s">
        <v>2</v>
      </c>
      <c r="U21" s="113" t="s">
        <v>2</v>
      </c>
      <c r="V21" s="79" t="s">
        <v>16</v>
      </c>
      <c r="W21" s="16" t="s">
        <v>10</v>
      </c>
      <c r="X21" s="16" t="s">
        <v>11</v>
      </c>
      <c r="Y21" s="16" t="s">
        <v>11</v>
      </c>
      <c r="Z21" s="16" t="s">
        <v>10</v>
      </c>
      <c r="AA21" s="113" t="s">
        <v>2</v>
      </c>
      <c r="AB21" s="113" t="s">
        <v>2</v>
      </c>
      <c r="AC21" s="79" t="s">
        <v>16</v>
      </c>
      <c r="AD21" s="16" t="s">
        <v>10</v>
      </c>
      <c r="AE21" s="16" t="s">
        <v>11</v>
      </c>
      <c r="AF21" s="16" t="s">
        <v>11</v>
      </c>
      <c r="AG21" s="16" t="s">
        <v>10</v>
      </c>
      <c r="AH21" s="113" t="s">
        <v>2</v>
      </c>
      <c r="AI21" s="124" t="s">
        <v>37</v>
      </c>
    </row>
    <row r="23" spans="1:35" x14ac:dyDescent="0.35">
      <c r="B23" s="137" t="s">
        <v>156</v>
      </c>
      <c r="C23">
        <f>COUNTIF(C5:C21,"WMS")</f>
        <v>2</v>
      </c>
      <c r="D23">
        <f>COUNTIF(D5:D21,"WMS")</f>
        <v>2</v>
      </c>
      <c r="E23">
        <f>COUNTIF(E5:E21,"MS")</f>
        <v>4</v>
      </c>
      <c r="F23">
        <f>COUNTIF(F5:F21,"MS")</f>
        <v>4</v>
      </c>
      <c r="G23">
        <f t="shared" ref="G23:I23" si="1">COUNTIF(G5:G21,"MS")</f>
        <v>3</v>
      </c>
      <c r="H23">
        <f t="shared" si="1"/>
        <v>4</v>
      </c>
      <c r="I23">
        <f t="shared" si="1"/>
        <v>3</v>
      </c>
      <c r="J23">
        <f>COUNTIF(J5:J21,"WMS")</f>
        <v>2</v>
      </c>
      <c r="K23">
        <f>COUNTIF(K5:K21,"WMS")</f>
        <v>2</v>
      </c>
      <c r="L23">
        <f>COUNTIF(L5:L21,"MS")</f>
        <v>2</v>
      </c>
      <c r="M23">
        <f>COUNTIF(M5:M21,"MS")</f>
        <v>3</v>
      </c>
      <c r="N23">
        <f t="shared" ref="N23:P23" si="2">COUNTIF(N5:N21,"MS")</f>
        <v>2</v>
      </c>
      <c r="O23">
        <f t="shared" si="2"/>
        <v>3</v>
      </c>
      <c r="P23">
        <f t="shared" si="2"/>
        <v>3</v>
      </c>
      <c r="Q23">
        <f>COUNTIF(Q5:Q21,"WMS")</f>
        <v>2</v>
      </c>
      <c r="R23">
        <f>COUNTIF(R5:R21,"WMS")</f>
        <v>2</v>
      </c>
      <c r="S23">
        <f>COUNTIF(S5:S21,"MS")</f>
        <v>0</v>
      </c>
      <c r="T23">
        <f>COUNTIF(T5:T21,"MS")</f>
        <v>3</v>
      </c>
      <c r="U23">
        <f t="shared" ref="U23:W23" si="3">COUNTIF(U5:U21,"MS")</f>
        <v>3</v>
      </c>
      <c r="V23">
        <f t="shared" si="3"/>
        <v>4</v>
      </c>
      <c r="W23">
        <f t="shared" si="3"/>
        <v>3</v>
      </c>
      <c r="X23">
        <f>COUNTIF(X5:X21,"WMS")</f>
        <v>2</v>
      </c>
      <c r="Y23">
        <f>COUNTIF(Y5:Y21,"WMS")</f>
        <v>2</v>
      </c>
      <c r="Z23">
        <f>COUNTIF(Z5:Z21,"MS")</f>
        <v>3</v>
      </c>
      <c r="AA23">
        <f>COUNTIF(AA5:AA21,"MS")</f>
        <v>4</v>
      </c>
      <c r="AB23">
        <f t="shared" ref="AB23:AD23" si="4">COUNTIF(AB5:AB21,"MS")</f>
        <v>4</v>
      </c>
      <c r="AC23">
        <f t="shared" si="4"/>
        <v>3</v>
      </c>
      <c r="AD23">
        <f t="shared" si="4"/>
        <v>3</v>
      </c>
      <c r="AE23">
        <f>COUNTIF(AE5:AE21,"WMS")</f>
        <v>2</v>
      </c>
      <c r="AF23">
        <f>COUNTIF(AF5:AF21,"WMS")</f>
        <v>2</v>
      </c>
      <c r="AG23">
        <f>COUNTIF(AG5:AG21,"MS")</f>
        <v>4</v>
      </c>
      <c r="AH23">
        <f>COUNTIF(AH5:AH21,"MS")</f>
        <v>3</v>
      </c>
      <c r="AI23">
        <f>COUNTIF(AI5:AI21,"*MS")</f>
        <v>3</v>
      </c>
    </row>
    <row r="24" spans="1:35" x14ac:dyDescent="0.35">
      <c r="B24" s="137" t="s">
        <v>157</v>
      </c>
      <c r="C24">
        <f>COUNTIF(C5:C21,"WASS1")</f>
        <v>2</v>
      </c>
      <c r="D24">
        <f>COUNTIF(D5:D21,"WASS1")</f>
        <v>2</v>
      </c>
      <c r="E24">
        <f>COUNTIF(E5:E21,"ASS1")</f>
        <v>4</v>
      </c>
      <c r="F24">
        <f t="shared" ref="F24:I24" si="5">COUNTIF(F5:F21,"ASS1")</f>
        <v>4</v>
      </c>
      <c r="G24">
        <f t="shared" si="5"/>
        <v>3</v>
      </c>
      <c r="H24">
        <f t="shared" si="5"/>
        <v>3</v>
      </c>
      <c r="I24">
        <f t="shared" si="5"/>
        <v>2</v>
      </c>
      <c r="J24">
        <f>COUNTIF(J5:J21,"WASS1")</f>
        <v>2</v>
      </c>
      <c r="K24">
        <f>COUNTIF(K5:K21,"WASS1")</f>
        <v>2</v>
      </c>
      <c r="L24">
        <f>COUNTIF(L5:L21,"ASS1")</f>
        <v>4</v>
      </c>
      <c r="M24">
        <f t="shared" ref="M24:P24" si="6">COUNTIF(M5:M21,"ASS1")</f>
        <v>2</v>
      </c>
      <c r="N24">
        <f t="shared" si="6"/>
        <v>3</v>
      </c>
      <c r="O24">
        <f t="shared" si="6"/>
        <v>2</v>
      </c>
      <c r="P24">
        <f t="shared" si="6"/>
        <v>3</v>
      </c>
      <c r="Q24">
        <f>COUNTIF(Q5:Q21,"WASS1")</f>
        <v>2</v>
      </c>
      <c r="R24">
        <f>COUNTIF(R5:R21,"WASS1")</f>
        <v>2</v>
      </c>
      <c r="S24">
        <f>COUNTIF(S5:S21,"ASS1")</f>
        <v>0</v>
      </c>
      <c r="T24">
        <f t="shared" ref="T24:W24" si="7">COUNTIF(T5:T21,"ASS1")</f>
        <v>4</v>
      </c>
      <c r="U24">
        <f t="shared" si="7"/>
        <v>3</v>
      </c>
      <c r="V24">
        <f t="shared" si="7"/>
        <v>3</v>
      </c>
      <c r="W24">
        <f t="shared" si="7"/>
        <v>4</v>
      </c>
      <c r="X24">
        <f>COUNTIF(X5:X21,"WASS1")</f>
        <v>3</v>
      </c>
      <c r="Y24">
        <f>COUNTIF(Y5:Y21,"WASS1")</f>
        <v>2</v>
      </c>
      <c r="Z24">
        <f>COUNTIF(Z5:Z21,"ASS1")</f>
        <v>4</v>
      </c>
      <c r="AA24">
        <f t="shared" ref="AA24:AD24" si="8">COUNTIF(AA5:AA21,"ASS1")</f>
        <v>4</v>
      </c>
      <c r="AB24">
        <f t="shared" si="8"/>
        <v>4</v>
      </c>
      <c r="AC24">
        <f t="shared" si="8"/>
        <v>4</v>
      </c>
      <c r="AD24">
        <f t="shared" si="8"/>
        <v>4</v>
      </c>
      <c r="AE24">
        <f>COUNTIF(AE5:AE21,"WASS1")</f>
        <v>2</v>
      </c>
      <c r="AF24">
        <f>COUNTIF(AF5:AF21,"WASS1")</f>
        <v>2</v>
      </c>
      <c r="AG24">
        <f>COUNTIF(AG5:AG21,"ASS1")</f>
        <v>3</v>
      </c>
      <c r="AH24">
        <f t="shared" ref="AH24" si="9">COUNTIF(AH5:AH21,"ASS1")</f>
        <v>3</v>
      </c>
      <c r="AI24">
        <f>COUNTIF(AI5:AI21,"*ASS1")</f>
        <v>3</v>
      </c>
    </row>
    <row r="25" spans="1:35" x14ac:dyDescent="0.35">
      <c r="B25" s="137" t="s">
        <v>158</v>
      </c>
      <c r="C25">
        <f>COUNTIF(C5:C21,"WNST7")</f>
        <v>4</v>
      </c>
      <c r="D25">
        <f>COUNTIF(D5:D21,"WNST7")</f>
        <v>3</v>
      </c>
      <c r="E25">
        <f>COUNTIF(E5:E21,"NST7")</f>
        <v>2</v>
      </c>
      <c r="F25">
        <f t="shared" ref="F25:I25" si="10">COUNTIF(F5:F21,"NST7")</f>
        <v>2</v>
      </c>
      <c r="G25">
        <f t="shared" si="10"/>
        <v>2</v>
      </c>
      <c r="H25">
        <f t="shared" si="10"/>
        <v>4</v>
      </c>
      <c r="I25">
        <f t="shared" si="10"/>
        <v>4</v>
      </c>
      <c r="J25">
        <f>COUNTIF(J5:J21,"WNST7")</f>
        <v>3</v>
      </c>
      <c r="K25">
        <f>COUNTIF(K5:K21,"WNST7")</f>
        <v>3</v>
      </c>
      <c r="L25">
        <f>COUNTIF(L5:L21,"NST7")</f>
        <v>3</v>
      </c>
      <c r="M25">
        <f t="shared" ref="M25:P25" si="11">COUNTIF(M5:M21,"NST7")</f>
        <v>3</v>
      </c>
      <c r="N25">
        <f t="shared" si="11"/>
        <v>3</v>
      </c>
      <c r="O25">
        <f t="shared" si="11"/>
        <v>3</v>
      </c>
      <c r="P25">
        <f t="shared" si="11"/>
        <v>3</v>
      </c>
      <c r="Q25">
        <f>COUNTIF(Q5:Q21,"WNST7")</f>
        <v>2</v>
      </c>
      <c r="R25">
        <f>COUNTIF(R5:R21,"WNST7")</f>
        <v>3</v>
      </c>
      <c r="S25">
        <f>COUNTIF(S5:S21,"NST7")</f>
        <v>0</v>
      </c>
      <c r="T25">
        <f t="shared" ref="T25:W25" si="12">COUNTIF(T5:T21,"NST7")</f>
        <v>3</v>
      </c>
      <c r="U25">
        <f t="shared" si="12"/>
        <v>3</v>
      </c>
      <c r="V25">
        <f t="shared" si="12"/>
        <v>3</v>
      </c>
      <c r="W25">
        <f t="shared" si="12"/>
        <v>3</v>
      </c>
      <c r="X25">
        <f>COUNTIF(X5:X21,"WNST7")</f>
        <v>3</v>
      </c>
      <c r="Y25">
        <f>COUNTIF(Y5:Y21,"WNST7")</f>
        <v>3</v>
      </c>
      <c r="Z25">
        <f>COUNTIF(Z5:Z21,"NST7")</f>
        <v>3</v>
      </c>
      <c r="AA25">
        <f t="shared" ref="AA25:AD25" si="13">COUNTIF(AA5:AA21,"NST7")</f>
        <v>3</v>
      </c>
      <c r="AB25">
        <f t="shared" si="13"/>
        <v>3</v>
      </c>
      <c r="AC25">
        <f t="shared" si="13"/>
        <v>3</v>
      </c>
      <c r="AD25">
        <f t="shared" si="13"/>
        <v>3</v>
      </c>
      <c r="AE25">
        <f>COUNTIF(AE5:AE21,"WNST7")</f>
        <v>3</v>
      </c>
      <c r="AF25">
        <f>COUNTIF(AF5:AF21,"WNST7")</f>
        <v>3</v>
      </c>
      <c r="AG25">
        <f>COUNTIF(AG5:AG21,"NST7")</f>
        <v>3</v>
      </c>
      <c r="AH25">
        <f t="shared" ref="AH25" si="14">COUNTIF(AH5:AH21,"NST7")</f>
        <v>3</v>
      </c>
      <c r="AI25">
        <f>COUNTIF(AI5:AI21,"*NST7")</f>
        <v>3</v>
      </c>
    </row>
    <row r="26" spans="1:35" x14ac:dyDescent="0.35">
      <c r="B26" s="137" t="s">
        <v>159</v>
      </c>
      <c r="C26">
        <f>COUNTIF(C5:C21,"WGS")</f>
        <v>1</v>
      </c>
      <c r="D26">
        <f>COUNTIF(D5:D21,"WGS")</f>
        <v>0</v>
      </c>
      <c r="E26">
        <f>COUNTIF(E5:E21,"GS")</f>
        <v>1</v>
      </c>
      <c r="F26">
        <f t="shared" ref="F26:I26" si="15">COUNTIF(F5:F21,"GS")</f>
        <v>2</v>
      </c>
      <c r="G26">
        <f t="shared" si="15"/>
        <v>3</v>
      </c>
      <c r="H26">
        <f t="shared" si="15"/>
        <v>2</v>
      </c>
      <c r="I26">
        <f t="shared" si="15"/>
        <v>2</v>
      </c>
      <c r="J26">
        <f>COUNTIF(J5:J21,"WGS")</f>
        <v>1</v>
      </c>
      <c r="K26">
        <f>COUNTIF(K5:K21,"WGS")</f>
        <v>0</v>
      </c>
      <c r="L26">
        <f>COUNTIF(L5:L21,"GS")</f>
        <v>3</v>
      </c>
      <c r="M26">
        <f t="shared" ref="M26:P26" si="16">COUNTIF(M5:M21,"GS")</f>
        <v>3</v>
      </c>
      <c r="N26">
        <f t="shared" si="16"/>
        <v>2</v>
      </c>
      <c r="O26">
        <f t="shared" si="16"/>
        <v>2</v>
      </c>
      <c r="P26">
        <f t="shared" si="16"/>
        <v>2</v>
      </c>
      <c r="Q26">
        <f>COUNTIF(Q5:Q21,"WGS")</f>
        <v>1</v>
      </c>
      <c r="R26">
        <f>COUNTIF(R5:R21,"WGS")</f>
        <v>0</v>
      </c>
      <c r="S26">
        <f>COUNTIF(S5:S21,"GS")</f>
        <v>0</v>
      </c>
      <c r="T26">
        <f t="shared" ref="T26:W26" si="17">COUNTIF(T5:T21,"GS")</f>
        <v>0</v>
      </c>
      <c r="U26">
        <f t="shared" si="17"/>
        <v>3</v>
      </c>
      <c r="V26">
        <f t="shared" si="17"/>
        <v>2</v>
      </c>
      <c r="W26">
        <f t="shared" si="17"/>
        <v>1</v>
      </c>
      <c r="X26">
        <f>COUNTIF(X5:X21,"WGS")</f>
        <v>1</v>
      </c>
      <c r="Y26">
        <f>COUNTIF(Y5:Y21,"WGS")</f>
        <v>1</v>
      </c>
      <c r="Z26">
        <f>COUNTIF(Z5:Z21,"GS")</f>
        <v>1</v>
      </c>
      <c r="AA26">
        <f t="shared" ref="AA26:AD26" si="18">COUNTIF(AA5:AA21,"GS")</f>
        <v>1</v>
      </c>
      <c r="AB26">
        <f t="shared" si="18"/>
        <v>1</v>
      </c>
      <c r="AC26">
        <f t="shared" si="18"/>
        <v>2</v>
      </c>
      <c r="AD26">
        <f t="shared" si="18"/>
        <v>0</v>
      </c>
      <c r="AE26">
        <f>COUNTIF(AE5:AE21,"WGS")</f>
        <v>1</v>
      </c>
      <c r="AF26">
        <f>COUNTIF(AF5:AF21,"WGS")</f>
        <v>0</v>
      </c>
      <c r="AG26">
        <f>COUNTIF(AG5:AG21,"GS")</f>
        <v>0</v>
      </c>
      <c r="AH26">
        <f t="shared" ref="AH26" si="19">COUNTIF(AH5:AH21,"GS")</f>
        <v>2</v>
      </c>
      <c r="AI26">
        <f>COUNTIF(AI5:AI21,"*GS")</f>
        <v>1</v>
      </c>
    </row>
    <row r="27" spans="1:35" x14ac:dyDescent="0.35">
      <c r="B27" s="137" t="s">
        <v>160</v>
      </c>
      <c r="C27">
        <f>COUNTIF(C5:C21,"WO")</f>
        <v>6</v>
      </c>
      <c r="D27">
        <f>COUNTIF(D5:D21,"WO")</f>
        <v>6</v>
      </c>
      <c r="E27">
        <f>COUNTIF(E5:E21,"C")</f>
        <v>4</v>
      </c>
      <c r="F27">
        <f t="shared" ref="F27:I27" si="20">COUNTIF(F5:F21,"C")</f>
        <v>2</v>
      </c>
      <c r="G27">
        <f t="shared" si="20"/>
        <v>4</v>
      </c>
      <c r="H27">
        <f t="shared" si="20"/>
        <v>2</v>
      </c>
      <c r="I27">
        <f t="shared" si="20"/>
        <v>4</v>
      </c>
      <c r="J27">
        <f>COUNTIF(J5:J21,"WO")</f>
        <v>7</v>
      </c>
      <c r="K27">
        <f>COUNTIF(K5:K21,"WO")</f>
        <v>7</v>
      </c>
      <c r="L27">
        <f>COUNTIF(L5:L21,"C")</f>
        <v>2</v>
      </c>
      <c r="M27">
        <f t="shared" ref="M27:P27" si="21">COUNTIF(M5:M21,"C")</f>
        <v>1</v>
      </c>
      <c r="N27">
        <f t="shared" si="21"/>
        <v>3</v>
      </c>
      <c r="O27">
        <f t="shared" si="21"/>
        <v>3</v>
      </c>
      <c r="P27">
        <f t="shared" si="21"/>
        <v>3</v>
      </c>
      <c r="Q27">
        <f>COUNTIF(Q5:Q21,"WO")</f>
        <v>8</v>
      </c>
      <c r="R27">
        <f>COUNTIF(R5:R21,"WO")</f>
        <v>8</v>
      </c>
      <c r="S27">
        <f>COUNTIF(S5:S21,"C")</f>
        <v>0</v>
      </c>
      <c r="T27">
        <f t="shared" ref="T27:W27" si="22">COUNTIF(T5:T21,"C")</f>
        <v>4</v>
      </c>
      <c r="U27">
        <f t="shared" si="22"/>
        <v>2</v>
      </c>
      <c r="V27">
        <f t="shared" si="22"/>
        <v>1</v>
      </c>
      <c r="W27">
        <f t="shared" si="22"/>
        <v>4</v>
      </c>
      <c r="X27">
        <f>COUNTIF(X5:X21,"WO")</f>
        <v>6</v>
      </c>
      <c r="Y27">
        <f>COUNTIF(Y5:Y21,"WO")</f>
        <v>7</v>
      </c>
      <c r="Z27">
        <f>COUNTIF(Z5:Z21,"C")</f>
        <v>4</v>
      </c>
      <c r="AA27">
        <f t="shared" ref="AA27:AD27" si="23">COUNTIF(AA5:AA21,"C")</f>
        <v>2</v>
      </c>
      <c r="AB27">
        <f t="shared" si="23"/>
        <v>2</v>
      </c>
      <c r="AC27">
        <f t="shared" si="23"/>
        <v>2</v>
      </c>
      <c r="AD27">
        <f t="shared" si="23"/>
        <v>5</v>
      </c>
      <c r="AE27">
        <f>COUNTIF(AE5:AE21,"WO")</f>
        <v>7</v>
      </c>
      <c r="AF27">
        <f>COUNTIF(AF5:AF21,"WO")</f>
        <v>7</v>
      </c>
      <c r="AG27">
        <f>COUNTIF(AG5:AG21,"C")</f>
        <v>4</v>
      </c>
      <c r="AH27">
        <f t="shared" ref="AH27:AI27" si="24">COUNTIF(AH5:AH21,"C")</f>
        <v>2</v>
      </c>
      <c r="AI27">
        <f t="shared" si="24"/>
        <v>0</v>
      </c>
    </row>
    <row r="28" spans="1:35" x14ac:dyDescent="0.35">
      <c r="B28" s="137" t="s">
        <v>161</v>
      </c>
      <c r="C28">
        <f t="shared" ref="C28:AI28" si="25">COUNTIF(C5:C21,"PL")</f>
        <v>0</v>
      </c>
      <c r="D28">
        <f t="shared" si="25"/>
        <v>2</v>
      </c>
      <c r="E28">
        <f t="shared" si="25"/>
        <v>0</v>
      </c>
      <c r="F28">
        <f t="shared" si="25"/>
        <v>1</v>
      </c>
      <c r="G28">
        <f t="shared" si="25"/>
        <v>0</v>
      </c>
      <c r="H28">
        <f t="shared" si="25"/>
        <v>0</v>
      </c>
      <c r="I28">
        <f t="shared" si="25"/>
        <v>0</v>
      </c>
      <c r="J28">
        <f t="shared" si="25"/>
        <v>0</v>
      </c>
      <c r="K28">
        <f t="shared" si="25"/>
        <v>1</v>
      </c>
      <c r="L28">
        <f t="shared" si="25"/>
        <v>1</v>
      </c>
      <c r="M28">
        <f t="shared" si="25"/>
        <v>2</v>
      </c>
      <c r="N28">
        <f t="shared" si="25"/>
        <v>2</v>
      </c>
      <c r="O28">
        <f t="shared" si="25"/>
        <v>2</v>
      </c>
      <c r="P28">
        <f t="shared" si="25"/>
        <v>1</v>
      </c>
      <c r="Q28">
        <f t="shared" si="25"/>
        <v>0</v>
      </c>
      <c r="R28">
        <f t="shared" si="25"/>
        <v>0</v>
      </c>
      <c r="S28">
        <f t="shared" si="25"/>
        <v>0</v>
      </c>
      <c r="T28">
        <f t="shared" si="25"/>
        <v>1</v>
      </c>
      <c r="U28">
        <f t="shared" si="25"/>
        <v>1</v>
      </c>
      <c r="V28">
        <f t="shared" si="25"/>
        <v>2</v>
      </c>
      <c r="W28">
        <f t="shared" si="25"/>
        <v>0</v>
      </c>
      <c r="X28">
        <f t="shared" si="25"/>
        <v>0</v>
      </c>
      <c r="Y28">
        <f t="shared" si="25"/>
        <v>0</v>
      </c>
      <c r="Z28">
        <f t="shared" si="25"/>
        <v>0</v>
      </c>
      <c r="AA28">
        <f t="shared" si="25"/>
        <v>1</v>
      </c>
      <c r="AB28">
        <f t="shared" si="25"/>
        <v>1</v>
      </c>
      <c r="AC28">
        <f t="shared" si="25"/>
        <v>1</v>
      </c>
      <c r="AD28">
        <f t="shared" si="25"/>
        <v>0</v>
      </c>
      <c r="AE28">
        <f t="shared" si="25"/>
        <v>0</v>
      </c>
      <c r="AF28">
        <f t="shared" si="25"/>
        <v>1</v>
      </c>
      <c r="AG28">
        <f t="shared" si="25"/>
        <v>1</v>
      </c>
      <c r="AH28">
        <f t="shared" si="25"/>
        <v>2</v>
      </c>
      <c r="AI28">
        <f t="shared" si="25"/>
        <v>1</v>
      </c>
    </row>
    <row r="29" spans="1:35" x14ac:dyDescent="0.35">
      <c r="B29" s="137" t="s">
        <v>33</v>
      </c>
      <c r="C29">
        <f>COUNTIF(C5:C21,"UPL")</f>
        <v>0</v>
      </c>
      <c r="D29">
        <f>COUNTIF(D5:D21,"UPL")</f>
        <v>0</v>
      </c>
      <c r="E29">
        <f>COUNTIF(E5:E21,"UPL")</f>
        <v>0</v>
      </c>
      <c r="F29">
        <f t="shared" ref="F29:I29" si="26">COUNTIF(F5:F21,"UPL")</f>
        <v>0</v>
      </c>
      <c r="G29">
        <f t="shared" si="26"/>
        <v>0</v>
      </c>
      <c r="H29">
        <f t="shared" si="26"/>
        <v>0</v>
      </c>
      <c r="I29">
        <f t="shared" si="26"/>
        <v>0</v>
      </c>
      <c r="J29">
        <f>COUNTIF(J5:J21,"UPL")</f>
        <v>0</v>
      </c>
      <c r="K29">
        <f>COUNTIF(K5:K21,"UPL")</f>
        <v>0</v>
      </c>
      <c r="L29">
        <f>COUNTIF(L5:L21,"UPL")</f>
        <v>0</v>
      </c>
      <c r="M29">
        <f t="shared" ref="M29:P29" si="27">COUNTIF(M5:M21,"UPL")</f>
        <v>0</v>
      </c>
      <c r="N29">
        <f t="shared" si="27"/>
        <v>0</v>
      </c>
      <c r="O29">
        <f t="shared" si="27"/>
        <v>0</v>
      </c>
      <c r="P29">
        <f t="shared" si="27"/>
        <v>0</v>
      </c>
      <c r="Q29">
        <f>COUNTIF(Q5:Q21,"UPL")</f>
        <v>0</v>
      </c>
      <c r="R29">
        <f>COUNTIF(R5:R21,"UPL")</f>
        <v>0</v>
      </c>
      <c r="S29">
        <f>COUNTIF(S5:S21,"UPL")</f>
        <v>0</v>
      </c>
      <c r="T29">
        <f t="shared" ref="T29:W29" si="28">COUNTIF(T5:T21,"UPL")</f>
        <v>0</v>
      </c>
      <c r="U29">
        <f t="shared" si="28"/>
        <v>0</v>
      </c>
      <c r="V29">
        <f t="shared" si="28"/>
        <v>0</v>
      </c>
      <c r="W29">
        <f t="shared" si="28"/>
        <v>0</v>
      </c>
      <c r="X29">
        <f>COUNTIF(X5:X21,"UPL")</f>
        <v>0</v>
      </c>
      <c r="Y29">
        <f>COUNTIF(Y5:Y21,"UPL")</f>
        <v>0</v>
      </c>
      <c r="Z29">
        <f>COUNTIF(Z5:Z21,"UPL")</f>
        <v>0</v>
      </c>
      <c r="AA29">
        <f t="shared" ref="AA29:AD29" si="29">COUNTIF(AA5:AA21,"UPL")</f>
        <v>0</v>
      </c>
      <c r="AB29">
        <f t="shared" si="29"/>
        <v>0</v>
      </c>
      <c r="AC29">
        <f t="shared" si="29"/>
        <v>0</v>
      </c>
      <c r="AD29">
        <f t="shared" si="29"/>
        <v>0</v>
      </c>
      <c r="AE29">
        <f>COUNTIF(AE5:AE21,"UPL")</f>
        <v>0</v>
      </c>
      <c r="AF29">
        <f>COUNTIF(AF5:AF21,"UPL")</f>
        <v>0</v>
      </c>
      <c r="AG29">
        <f>COUNTIF(AG5:AG21,"UPL")</f>
        <v>0</v>
      </c>
      <c r="AH29">
        <f t="shared" ref="AH29:AI29" si="30">COUNTIF(AH5:AH21,"UPL")</f>
        <v>0</v>
      </c>
      <c r="AI29">
        <f t="shared" si="30"/>
        <v>0</v>
      </c>
    </row>
    <row r="30" spans="1:35" x14ac:dyDescent="0.35">
      <c r="B30" s="137" t="s">
        <v>162</v>
      </c>
      <c r="C30" s="138">
        <f>SUM(C23:C29)</f>
        <v>15</v>
      </c>
      <c r="D30" s="138">
        <f>SUM(D23:D29)</f>
        <v>15</v>
      </c>
      <c r="E30" s="138">
        <f t="shared" ref="E30:AI30" si="31">SUM(E23:E29)</f>
        <v>15</v>
      </c>
      <c r="F30" s="138">
        <f t="shared" si="31"/>
        <v>15</v>
      </c>
      <c r="G30" s="138">
        <f t="shared" si="31"/>
        <v>15</v>
      </c>
      <c r="H30" s="138">
        <f t="shared" si="31"/>
        <v>15</v>
      </c>
      <c r="I30" s="138">
        <f t="shared" si="31"/>
        <v>15</v>
      </c>
      <c r="J30" s="138">
        <f t="shared" si="31"/>
        <v>15</v>
      </c>
      <c r="K30" s="138">
        <f t="shared" si="31"/>
        <v>15</v>
      </c>
      <c r="L30" s="138">
        <f t="shared" si="31"/>
        <v>15</v>
      </c>
      <c r="M30" s="138">
        <f t="shared" si="31"/>
        <v>14</v>
      </c>
      <c r="N30" s="138">
        <f t="shared" si="31"/>
        <v>15</v>
      </c>
      <c r="O30" s="138">
        <f t="shared" si="31"/>
        <v>15</v>
      </c>
      <c r="P30" s="138">
        <f t="shared" si="31"/>
        <v>15</v>
      </c>
      <c r="Q30" s="138">
        <f t="shared" si="31"/>
        <v>15</v>
      </c>
      <c r="R30" s="138">
        <f t="shared" si="31"/>
        <v>15</v>
      </c>
      <c r="S30" s="138">
        <f t="shared" si="31"/>
        <v>0</v>
      </c>
      <c r="T30" s="138">
        <f t="shared" si="31"/>
        <v>15</v>
      </c>
      <c r="U30" s="138">
        <f t="shared" si="31"/>
        <v>15</v>
      </c>
      <c r="V30" s="138">
        <f t="shared" si="31"/>
        <v>15</v>
      </c>
      <c r="W30" s="138">
        <f t="shared" si="31"/>
        <v>15</v>
      </c>
      <c r="X30" s="138">
        <f t="shared" si="31"/>
        <v>15</v>
      </c>
      <c r="Y30" s="138">
        <f t="shared" si="31"/>
        <v>15</v>
      </c>
      <c r="Z30" s="138">
        <f t="shared" si="31"/>
        <v>15</v>
      </c>
      <c r="AA30" s="138">
        <f t="shared" si="31"/>
        <v>15</v>
      </c>
      <c r="AB30" s="138">
        <f t="shared" si="31"/>
        <v>15</v>
      </c>
      <c r="AC30" s="138">
        <f t="shared" si="31"/>
        <v>15</v>
      </c>
      <c r="AD30" s="138">
        <f t="shared" si="31"/>
        <v>15</v>
      </c>
      <c r="AE30" s="138">
        <f t="shared" si="31"/>
        <v>15</v>
      </c>
      <c r="AF30" s="138">
        <f t="shared" si="31"/>
        <v>15</v>
      </c>
      <c r="AG30" s="138">
        <f t="shared" si="31"/>
        <v>15</v>
      </c>
      <c r="AH30" s="138">
        <f t="shared" si="31"/>
        <v>15</v>
      </c>
      <c r="AI30" s="138">
        <f t="shared" si="31"/>
        <v>11</v>
      </c>
    </row>
  </sheetData>
  <mergeCells count="3">
    <mergeCell ref="A4:A9"/>
    <mergeCell ref="A11:A15"/>
    <mergeCell ref="A17:A21"/>
  </mergeCells>
  <conditionalFormatting sqref="C23:D26">
    <cfRule type="cellIs" dxfId="189" priority="4" operator="lessThan">
      <formula>2</formula>
    </cfRule>
  </conditionalFormatting>
  <conditionalFormatting sqref="E23:I26">
    <cfRule type="cellIs" dxfId="188" priority="3" operator="lessThan">
      <formula>3</formula>
    </cfRule>
  </conditionalFormatting>
  <conditionalFormatting sqref="J23:K26 Q23:R26 X23:Y26 AE23:AF26">
    <cfRule type="cellIs" dxfId="187" priority="2" operator="lessThan">
      <formula>2</formula>
    </cfRule>
  </conditionalFormatting>
  <conditionalFormatting sqref="L23:P26 S23:W26 Z23:AC26 AG23:AI26">
    <cfRule type="cellIs" dxfId="186" priority="1" operator="lessThan">
      <formula>3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AH41"/>
  <sheetViews>
    <sheetView zoomScale="60" zoomScaleNormal="60" workbookViewId="0"/>
  </sheetViews>
  <sheetFormatPr defaultRowHeight="14.5" x14ac:dyDescent="0.35"/>
  <cols>
    <col min="2" max="2" width="18.26953125" bestFit="1" customWidth="1"/>
    <col min="3" max="5" width="0" hidden="1" customWidth="1"/>
  </cols>
  <sheetData>
    <row r="2" spans="1:34" x14ac:dyDescent="0.35">
      <c r="B2" s="30"/>
      <c r="C2" s="2" t="str">
        <f t="shared" ref="C2:E2" si="0">TEXT(C3,"ddd")</f>
        <v>Mon</v>
      </c>
      <c r="D2" s="2" t="str">
        <f t="shared" si="0"/>
        <v>Tue</v>
      </c>
      <c r="E2" s="2" t="str">
        <f t="shared" si="0"/>
        <v>Wed</v>
      </c>
      <c r="F2" s="2" t="str">
        <f t="shared" ref="F2:AH2" si="1">TEXT(F3,"ddd")</f>
        <v>Thu</v>
      </c>
      <c r="G2" s="2" t="str">
        <f t="shared" si="1"/>
        <v>Fri</v>
      </c>
      <c r="H2" s="2" t="str">
        <f t="shared" si="1"/>
        <v>Sat</v>
      </c>
      <c r="I2" s="2" t="str">
        <f t="shared" si="1"/>
        <v>Sun</v>
      </c>
      <c r="J2" s="2" t="str">
        <f t="shared" si="1"/>
        <v>Mon</v>
      </c>
      <c r="K2" s="2" t="str">
        <f t="shared" si="1"/>
        <v>Tue</v>
      </c>
      <c r="L2" s="2" t="str">
        <f t="shared" si="1"/>
        <v>Wed</v>
      </c>
      <c r="M2" s="2" t="str">
        <f t="shared" si="1"/>
        <v>Thu</v>
      </c>
      <c r="N2" s="2" t="str">
        <f t="shared" si="1"/>
        <v>Fri</v>
      </c>
      <c r="O2" s="2" t="str">
        <f t="shared" si="1"/>
        <v>Sat</v>
      </c>
      <c r="P2" s="2" t="str">
        <f t="shared" si="1"/>
        <v>Sun</v>
      </c>
      <c r="Q2" s="2" t="str">
        <f t="shared" si="1"/>
        <v>Mon</v>
      </c>
      <c r="R2" s="2" t="str">
        <f t="shared" si="1"/>
        <v>Tue</v>
      </c>
      <c r="S2" s="2" t="str">
        <f t="shared" si="1"/>
        <v>Wed</v>
      </c>
      <c r="T2" s="2" t="str">
        <f t="shared" si="1"/>
        <v>Thu</v>
      </c>
      <c r="U2" s="2" t="str">
        <f t="shared" si="1"/>
        <v>Fri</v>
      </c>
      <c r="V2" s="2" t="str">
        <f t="shared" si="1"/>
        <v>Sat</v>
      </c>
      <c r="W2" s="2" t="str">
        <f t="shared" si="1"/>
        <v>Sun</v>
      </c>
      <c r="X2" s="2" t="str">
        <f t="shared" si="1"/>
        <v>Mon</v>
      </c>
      <c r="Y2" s="2" t="str">
        <f t="shared" si="1"/>
        <v>Tue</v>
      </c>
      <c r="Z2" s="2" t="str">
        <f t="shared" si="1"/>
        <v>Wed</v>
      </c>
      <c r="AA2" s="2" t="str">
        <f t="shared" si="1"/>
        <v>Thu</v>
      </c>
      <c r="AB2" s="2" t="str">
        <f t="shared" si="1"/>
        <v>Fri</v>
      </c>
      <c r="AC2" s="2" t="str">
        <f t="shared" si="1"/>
        <v>Sat</v>
      </c>
      <c r="AD2" s="2" t="str">
        <f t="shared" si="1"/>
        <v>Sun</v>
      </c>
      <c r="AE2" s="2" t="str">
        <f t="shared" si="1"/>
        <v>Mon</v>
      </c>
      <c r="AF2" s="2" t="str">
        <f t="shared" si="1"/>
        <v>Tue</v>
      </c>
      <c r="AG2" s="2" t="str">
        <f t="shared" si="1"/>
        <v>Wed</v>
      </c>
      <c r="AH2" s="2" t="str">
        <f t="shared" si="1"/>
        <v>Thu</v>
      </c>
    </row>
    <row r="3" spans="1:34" x14ac:dyDescent="0.35">
      <c r="A3" s="145" t="s">
        <v>127</v>
      </c>
      <c r="B3" s="104" t="s">
        <v>0</v>
      </c>
      <c r="C3" s="31">
        <v>44802</v>
      </c>
      <c r="D3" s="31">
        <v>44803</v>
      </c>
      <c r="E3" s="31">
        <v>44804</v>
      </c>
      <c r="F3" s="31">
        <v>44805</v>
      </c>
      <c r="G3" s="31">
        <v>44806</v>
      </c>
      <c r="H3" s="31">
        <v>44807</v>
      </c>
      <c r="I3" s="31">
        <v>44808</v>
      </c>
      <c r="J3" s="31">
        <v>44809</v>
      </c>
      <c r="K3" s="31">
        <v>44810</v>
      </c>
      <c r="L3" s="31">
        <v>44811</v>
      </c>
      <c r="M3" s="31">
        <v>44812</v>
      </c>
      <c r="N3" s="31">
        <v>44813</v>
      </c>
      <c r="O3" s="31">
        <v>44814</v>
      </c>
      <c r="P3" s="31">
        <v>44815</v>
      </c>
      <c r="Q3" s="31">
        <v>44816</v>
      </c>
      <c r="R3" s="31">
        <v>44817</v>
      </c>
      <c r="S3" s="31">
        <v>44818</v>
      </c>
      <c r="T3" s="31">
        <v>44819</v>
      </c>
      <c r="U3" s="31">
        <v>44820</v>
      </c>
      <c r="V3" s="31">
        <v>44821</v>
      </c>
      <c r="W3" s="31">
        <v>44822</v>
      </c>
      <c r="X3" s="31">
        <v>44823</v>
      </c>
      <c r="Y3" s="31">
        <v>44824</v>
      </c>
      <c r="Z3" s="31">
        <v>44825</v>
      </c>
      <c r="AA3" s="31">
        <v>44826</v>
      </c>
      <c r="AB3" s="31">
        <v>44827</v>
      </c>
      <c r="AC3" s="31">
        <v>44828</v>
      </c>
      <c r="AD3" s="31">
        <v>44829</v>
      </c>
      <c r="AE3" s="31">
        <v>44830</v>
      </c>
      <c r="AF3" s="31">
        <v>44831</v>
      </c>
      <c r="AG3" s="31">
        <v>44832</v>
      </c>
      <c r="AH3" s="31">
        <v>44833</v>
      </c>
    </row>
    <row r="4" spans="1:34" ht="15" thickBot="1" x14ac:dyDescent="0.4">
      <c r="A4" s="255" t="s">
        <v>152</v>
      </c>
      <c r="B4" s="105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</row>
    <row r="5" spans="1:34" x14ac:dyDescent="0.35">
      <c r="A5" s="255"/>
      <c r="B5" s="146" t="s">
        <v>14</v>
      </c>
      <c r="C5" s="109" t="s">
        <v>5</v>
      </c>
      <c r="D5" s="109" t="s">
        <v>5</v>
      </c>
      <c r="E5" s="124" t="s">
        <v>37</v>
      </c>
      <c r="F5" s="112" t="s">
        <v>6</v>
      </c>
      <c r="G5" s="112" t="s">
        <v>6</v>
      </c>
      <c r="H5" s="112" t="s">
        <v>3</v>
      </c>
      <c r="I5" s="108" t="s">
        <v>4</v>
      </c>
      <c r="J5" s="127" t="s">
        <v>41</v>
      </c>
      <c r="K5" s="127" t="s">
        <v>41</v>
      </c>
      <c r="L5" s="109" t="s">
        <v>5</v>
      </c>
      <c r="M5" s="109" t="s">
        <v>5</v>
      </c>
      <c r="N5" s="109" t="s">
        <v>5</v>
      </c>
      <c r="O5" s="19" t="s">
        <v>42</v>
      </c>
      <c r="P5" s="108" t="s">
        <v>4</v>
      </c>
      <c r="Q5" s="113" t="s">
        <v>2</v>
      </c>
      <c r="R5" s="127" t="s">
        <v>41</v>
      </c>
      <c r="S5" s="127" t="s">
        <v>41</v>
      </c>
      <c r="T5" s="127" t="s">
        <v>41</v>
      </c>
      <c r="U5" s="109" t="s">
        <v>5</v>
      </c>
      <c r="V5" s="109" t="s">
        <v>5</v>
      </c>
      <c r="W5" s="108" t="s">
        <v>4</v>
      </c>
      <c r="X5" s="113" t="s">
        <v>2</v>
      </c>
      <c r="Y5" s="127" t="s">
        <v>41</v>
      </c>
      <c r="Z5" s="127" t="s">
        <v>41</v>
      </c>
      <c r="AA5" s="127" t="s">
        <v>41</v>
      </c>
      <c r="AB5" s="127" t="s">
        <v>41</v>
      </c>
      <c r="AC5" s="127" t="s">
        <v>42</v>
      </c>
      <c r="AD5" s="108" t="s">
        <v>4</v>
      </c>
      <c r="AE5" s="127" t="s">
        <v>41</v>
      </c>
      <c r="AF5" s="127" t="s">
        <v>41</v>
      </c>
      <c r="AG5" s="127" t="s">
        <v>41</v>
      </c>
      <c r="AH5" s="127" t="s">
        <v>41</v>
      </c>
    </row>
    <row r="6" spans="1:34" ht="15" thickBot="1" x14ac:dyDescent="0.4">
      <c r="A6" s="255"/>
      <c r="B6" s="147" t="s">
        <v>12</v>
      </c>
      <c r="C6" s="114" t="s">
        <v>6</v>
      </c>
      <c r="D6" s="114" t="s">
        <v>6</v>
      </c>
      <c r="E6" s="121" t="s">
        <v>3</v>
      </c>
      <c r="F6" s="148" t="s">
        <v>16</v>
      </c>
      <c r="G6" s="111" t="s">
        <v>2</v>
      </c>
      <c r="H6" s="110" t="s">
        <v>4</v>
      </c>
      <c r="I6" s="129" t="s">
        <v>42</v>
      </c>
      <c r="J6" s="129" t="s">
        <v>41</v>
      </c>
      <c r="K6" s="129" t="s">
        <v>41</v>
      </c>
      <c r="L6" s="129" t="s">
        <v>41</v>
      </c>
      <c r="M6" s="129" t="s">
        <v>41</v>
      </c>
      <c r="N6" s="129" t="s">
        <v>41</v>
      </c>
      <c r="O6" s="110" t="s">
        <v>4</v>
      </c>
      <c r="P6" s="129" t="s">
        <v>42</v>
      </c>
      <c r="Q6" s="129" t="s">
        <v>41</v>
      </c>
      <c r="R6" s="129" t="s">
        <v>41</v>
      </c>
      <c r="S6" s="111" t="s">
        <v>2</v>
      </c>
      <c r="T6" s="111" t="s">
        <v>2</v>
      </c>
      <c r="U6" s="129" t="s">
        <v>41</v>
      </c>
      <c r="V6" s="129" t="s">
        <v>42</v>
      </c>
      <c r="W6" s="129" t="s">
        <v>42</v>
      </c>
      <c r="X6" s="129" t="s">
        <v>41</v>
      </c>
      <c r="Y6" s="111" t="s">
        <v>2</v>
      </c>
      <c r="Z6" s="116" t="s">
        <v>5</v>
      </c>
      <c r="AA6" s="116" t="s">
        <v>5</v>
      </c>
      <c r="AB6" s="111" t="s">
        <v>2</v>
      </c>
      <c r="AC6" s="110" t="s">
        <v>4</v>
      </c>
      <c r="AD6" s="129" t="s">
        <v>42</v>
      </c>
      <c r="AE6" s="129" t="s">
        <v>41</v>
      </c>
      <c r="AF6" s="129" t="s">
        <v>41</v>
      </c>
      <c r="AG6" s="129" t="s">
        <v>41</v>
      </c>
      <c r="AH6" s="129" t="s">
        <v>41</v>
      </c>
    </row>
    <row r="7" spans="1:34" x14ac:dyDescent="0.35">
      <c r="A7" s="255"/>
      <c r="B7" s="149" t="s">
        <v>75</v>
      </c>
      <c r="C7" s="121" t="s">
        <v>6</v>
      </c>
      <c r="D7" s="121" t="s">
        <v>6</v>
      </c>
      <c r="E7" s="121" t="s">
        <v>3</v>
      </c>
      <c r="F7" s="127" t="s">
        <v>41</v>
      </c>
      <c r="G7" s="117" t="s">
        <v>2</v>
      </c>
      <c r="H7" s="119" t="s">
        <v>4</v>
      </c>
      <c r="I7" s="130" t="s">
        <v>42</v>
      </c>
      <c r="J7" s="130" t="s">
        <v>41</v>
      </c>
      <c r="K7" s="130" t="s">
        <v>41</v>
      </c>
      <c r="L7" s="130" t="s">
        <v>41</v>
      </c>
      <c r="M7" s="130" t="s">
        <v>41</v>
      </c>
      <c r="N7" s="117" t="s">
        <v>2</v>
      </c>
      <c r="O7" s="119" t="s">
        <v>4</v>
      </c>
      <c r="P7" s="130" t="s">
        <v>42</v>
      </c>
      <c r="Q7" s="130" t="s">
        <v>41</v>
      </c>
      <c r="R7" s="130" t="s">
        <v>41</v>
      </c>
      <c r="S7" s="130" t="s">
        <v>41</v>
      </c>
      <c r="T7" s="130" t="s">
        <v>41</v>
      </c>
      <c r="U7" s="117" t="s">
        <v>2</v>
      </c>
      <c r="V7" s="119" t="s">
        <v>4</v>
      </c>
      <c r="W7" s="130" t="s">
        <v>42</v>
      </c>
      <c r="X7" s="130" t="s">
        <v>41</v>
      </c>
      <c r="Y7" s="130" t="s">
        <v>41</v>
      </c>
      <c r="Z7" s="130" t="s">
        <v>41</v>
      </c>
      <c r="AA7" s="130" t="s">
        <v>41</v>
      </c>
      <c r="AB7" s="117" t="s">
        <v>2</v>
      </c>
      <c r="AC7" s="119" t="s">
        <v>4</v>
      </c>
      <c r="AD7" s="120" t="s">
        <v>5</v>
      </c>
      <c r="AE7" s="120" t="s">
        <v>5</v>
      </c>
      <c r="AF7" s="120" t="s">
        <v>5</v>
      </c>
      <c r="AG7" s="120" t="s">
        <v>5</v>
      </c>
      <c r="AH7" s="120" t="s">
        <v>5</v>
      </c>
    </row>
    <row r="8" spans="1:34" ht="15" thickBot="1" x14ac:dyDescent="0.4">
      <c r="A8" s="255"/>
      <c r="B8" s="150" t="s">
        <v>77</v>
      </c>
      <c r="C8" s="25" t="s">
        <v>6</v>
      </c>
      <c r="D8" s="25" t="s">
        <v>6</v>
      </c>
      <c r="E8" s="121" t="s">
        <v>3</v>
      </c>
      <c r="F8" s="125" t="s">
        <v>2</v>
      </c>
      <c r="G8" s="25" t="s">
        <v>6</v>
      </c>
      <c r="H8" s="25" t="s">
        <v>3</v>
      </c>
      <c r="I8" s="123" t="s">
        <v>4</v>
      </c>
      <c r="J8" s="125" t="s">
        <v>2</v>
      </c>
      <c r="K8" s="125" t="s">
        <v>2</v>
      </c>
      <c r="L8" s="19" t="s">
        <v>41</v>
      </c>
      <c r="M8" s="19" t="s">
        <v>41</v>
      </c>
      <c r="N8" s="19" t="s">
        <v>41</v>
      </c>
      <c r="O8" s="19" t="s">
        <v>42</v>
      </c>
      <c r="P8" s="123" t="s">
        <v>4</v>
      </c>
      <c r="Q8" s="125" t="s">
        <v>2</v>
      </c>
      <c r="R8" s="22" t="s">
        <v>16</v>
      </c>
      <c r="S8" s="19" t="s">
        <v>41</v>
      </c>
      <c r="T8" s="19" t="s">
        <v>41</v>
      </c>
      <c r="U8" s="19" t="s">
        <v>41</v>
      </c>
      <c r="V8" s="19" t="s">
        <v>42</v>
      </c>
      <c r="W8" s="123" t="s">
        <v>4</v>
      </c>
      <c r="X8" s="125" t="s">
        <v>2</v>
      </c>
      <c r="Y8" s="19" t="s">
        <v>41</v>
      </c>
      <c r="Z8" s="19" t="s">
        <v>41</v>
      </c>
      <c r="AA8" s="19" t="s">
        <v>41</v>
      </c>
      <c r="AB8" s="19" t="s">
        <v>41</v>
      </c>
      <c r="AC8" s="19" t="s">
        <v>42</v>
      </c>
      <c r="AD8" s="123" t="s">
        <v>4</v>
      </c>
      <c r="AE8" s="125" t="s">
        <v>2</v>
      </c>
      <c r="AF8" s="19" t="s">
        <v>41</v>
      </c>
      <c r="AG8" s="19" t="s">
        <v>41</v>
      </c>
      <c r="AH8" s="19" t="s">
        <v>41</v>
      </c>
    </row>
    <row r="9" spans="1:34" x14ac:dyDescent="0.35">
      <c r="A9" s="255"/>
      <c r="B9" s="150" t="s">
        <v>76</v>
      </c>
      <c r="C9" s="25" t="s">
        <v>6</v>
      </c>
      <c r="D9" s="109" t="s">
        <v>2</v>
      </c>
      <c r="E9" s="124" t="s">
        <v>37</v>
      </c>
      <c r="F9" s="25" t="s">
        <v>6</v>
      </c>
      <c r="G9" s="25" t="s">
        <v>6</v>
      </c>
      <c r="H9" s="126" t="s">
        <v>30</v>
      </c>
      <c r="I9" s="123" t="s">
        <v>4</v>
      </c>
      <c r="J9" s="125" t="s">
        <v>2</v>
      </c>
      <c r="K9" s="22" t="s">
        <v>16</v>
      </c>
      <c r="L9" s="22" t="s">
        <v>16</v>
      </c>
      <c r="M9" s="22" t="s">
        <v>16</v>
      </c>
      <c r="N9" s="19" t="s">
        <v>41</v>
      </c>
      <c r="O9" s="126" t="s">
        <v>30</v>
      </c>
      <c r="P9" s="123" t="s">
        <v>4</v>
      </c>
      <c r="Q9" s="19" t="s">
        <v>41</v>
      </c>
      <c r="R9" s="125" t="s">
        <v>2</v>
      </c>
      <c r="S9" s="22" t="s">
        <v>16</v>
      </c>
      <c r="T9" s="22" t="s">
        <v>16</v>
      </c>
      <c r="U9" s="19" t="s">
        <v>41</v>
      </c>
      <c r="V9" s="123" t="s">
        <v>4</v>
      </c>
      <c r="W9" s="123" t="s">
        <v>4</v>
      </c>
      <c r="X9" s="19" t="s">
        <v>41</v>
      </c>
      <c r="Y9" s="22" t="s">
        <v>16</v>
      </c>
      <c r="Z9" s="22" t="s">
        <v>16</v>
      </c>
      <c r="AA9" s="22" t="s">
        <v>16</v>
      </c>
      <c r="AB9" s="19" t="s">
        <v>41</v>
      </c>
      <c r="AC9" s="123" t="s">
        <v>4</v>
      </c>
      <c r="AD9" s="19" t="s">
        <v>42</v>
      </c>
      <c r="AE9" s="19" t="s">
        <v>41</v>
      </c>
      <c r="AF9" s="22" t="s">
        <v>16</v>
      </c>
      <c r="AG9" s="22" t="s">
        <v>16</v>
      </c>
      <c r="AH9" s="22" t="s">
        <v>16</v>
      </c>
    </row>
    <row r="10" spans="1:34" ht="15" thickBot="1" x14ac:dyDescent="0.4"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</row>
    <row r="11" spans="1:34" ht="15" thickBot="1" x14ac:dyDescent="0.4">
      <c r="A11" s="255" t="s">
        <v>153</v>
      </c>
      <c r="B11" s="146" t="s">
        <v>9</v>
      </c>
      <c r="C11" s="113" t="s">
        <v>2</v>
      </c>
      <c r="D11" s="127" t="s">
        <v>41</v>
      </c>
      <c r="E11" s="127" t="s">
        <v>42</v>
      </c>
      <c r="F11" s="127" t="s">
        <v>41</v>
      </c>
      <c r="G11" s="127" t="s">
        <v>41</v>
      </c>
      <c r="H11" s="127" t="s">
        <v>42</v>
      </c>
      <c r="I11" s="133" t="s">
        <v>11</v>
      </c>
      <c r="J11" s="113" t="s">
        <v>2</v>
      </c>
      <c r="K11" s="132" t="s">
        <v>10</v>
      </c>
      <c r="L11" s="132" t="s">
        <v>10</v>
      </c>
      <c r="M11" s="132" t="s">
        <v>10</v>
      </c>
      <c r="N11" s="113" t="s">
        <v>2</v>
      </c>
      <c r="O11" s="108" t="s">
        <v>4</v>
      </c>
      <c r="P11" s="133" t="s">
        <v>11</v>
      </c>
      <c r="Q11" s="113" t="s">
        <v>2</v>
      </c>
      <c r="R11" s="132" t="s">
        <v>10</v>
      </c>
      <c r="S11" s="132" t="s">
        <v>10</v>
      </c>
      <c r="T11" s="132" t="s">
        <v>10</v>
      </c>
      <c r="U11" s="132" t="s">
        <v>10</v>
      </c>
      <c r="V11" s="132" t="s">
        <v>11</v>
      </c>
      <c r="W11" s="108" t="s">
        <v>4</v>
      </c>
      <c r="X11" s="113" t="s">
        <v>2</v>
      </c>
      <c r="Y11" s="132" t="s">
        <v>10</v>
      </c>
      <c r="Z11" s="132" t="s">
        <v>10</v>
      </c>
      <c r="AA11" s="132" t="s">
        <v>10</v>
      </c>
      <c r="AB11" s="109" t="s">
        <v>5</v>
      </c>
      <c r="AC11" s="109" t="s">
        <v>5</v>
      </c>
      <c r="AD11" s="108" t="s">
        <v>4</v>
      </c>
      <c r="AE11" s="113" t="s">
        <v>2</v>
      </c>
      <c r="AF11" s="132" t="s">
        <v>10</v>
      </c>
      <c r="AG11" s="132" t="s">
        <v>10</v>
      </c>
      <c r="AH11" s="132" t="s">
        <v>10</v>
      </c>
    </row>
    <row r="12" spans="1:34" ht="15" thickBot="1" x14ac:dyDescent="0.4">
      <c r="A12" s="255"/>
      <c r="B12" s="147" t="s">
        <v>15</v>
      </c>
      <c r="C12" s="129" t="s">
        <v>41</v>
      </c>
      <c r="D12" s="109" t="s">
        <v>5</v>
      </c>
      <c r="E12" s="109" t="s">
        <v>5</v>
      </c>
      <c r="F12" s="116" t="s">
        <v>5</v>
      </c>
      <c r="G12" s="111" t="s">
        <v>2</v>
      </c>
      <c r="H12" s="110" t="s">
        <v>4</v>
      </c>
      <c r="I12" s="110" t="s">
        <v>4</v>
      </c>
      <c r="J12" s="133" t="s">
        <v>10</v>
      </c>
      <c r="K12" s="133" t="s">
        <v>10</v>
      </c>
      <c r="L12" s="111" t="s">
        <v>2</v>
      </c>
      <c r="M12" s="111" t="s">
        <v>2</v>
      </c>
      <c r="N12" s="133" t="s">
        <v>10</v>
      </c>
      <c r="O12" s="133" t="s">
        <v>11</v>
      </c>
      <c r="P12" s="133" t="s">
        <v>11</v>
      </c>
      <c r="Q12" s="133" t="s">
        <v>10</v>
      </c>
      <c r="R12" s="133" t="s">
        <v>10</v>
      </c>
      <c r="S12" s="111" t="s">
        <v>2</v>
      </c>
      <c r="T12" s="111" t="s">
        <v>2</v>
      </c>
      <c r="U12" s="133" t="s">
        <v>10</v>
      </c>
      <c r="V12" s="133" t="s">
        <v>11</v>
      </c>
      <c r="W12" s="133" t="s">
        <v>11</v>
      </c>
      <c r="X12" s="133" t="s">
        <v>10</v>
      </c>
      <c r="Y12" s="133" t="s">
        <v>10</v>
      </c>
      <c r="Z12" s="111" t="s">
        <v>2</v>
      </c>
      <c r="AA12" s="111" t="s">
        <v>2</v>
      </c>
      <c r="AB12" s="133" t="s">
        <v>10</v>
      </c>
      <c r="AC12" s="133" t="s">
        <v>11</v>
      </c>
      <c r="AD12" s="133" t="s">
        <v>11</v>
      </c>
      <c r="AE12" s="133" t="s">
        <v>10</v>
      </c>
      <c r="AF12" s="133" t="s">
        <v>10</v>
      </c>
      <c r="AG12" s="111" t="s">
        <v>2</v>
      </c>
      <c r="AH12" s="111" t="s">
        <v>2</v>
      </c>
    </row>
    <row r="13" spans="1:34" ht="15" thickBot="1" x14ac:dyDescent="0.4">
      <c r="A13" s="255"/>
      <c r="B13" s="149" t="s">
        <v>21</v>
      </c>
      <c r="C13" s="117" t="s">
        <v>2</v>
      </c>
      <c r="D13" s="130" t="s">
        <v>41</v>
      </c>
      <c r="E13" s="127" t="s">
        <v>42</v>
      </c>
      <c r="F13" s="25" t="s">
        <v>6</v>
      </c>
      <c r="G13" s="130" t="s">
        <v>41</v>
      </c>
      <c r="H13" s="130" t="s">
        <v>42</v>
      </c>
      <c r="I13" s="119" t="s">
        <v>4</v>
      </c>
      <c r="J13" s="117" t="s">
        <v>2</v>
      </c>
      <c r="K13" s="117" t="s">
        <v>2</v>
      </c>
      <c r="L13" s="136" t="s">
        <v>10</v>
      </c>
      <c r="M13" s="136" t="s">
        <v>10</v>
      </c>
      <c r="N13" s="136" t="s">
        <v>10</v>
      </c>
      <c r="O13" s="136" t="s">
        <v>11</v>
      </c>
      <c r="P13" s="108" t="s">
        <v>4</v>
      </c>
      <c r="Q13" s="117" t="s">
        <v>2</v>
      </c>
      <c r="R13" s="117" t="s">
        <v>2</v>
      </c>
      <c r="S13" s="136" t="s">
        <v>10</v>
      </c>
      <c r="T13" s="136" t="s">
        <v>10</v>
      </c>
      <c r="U13" s="136" t="s">
        <v>10</v>
      </c>
      <c r="V13" s="136" t="s">
        <v>11</v>
      </c>
      <c r="W13" s="119" t="s">
        <v>4</v>
      </c>
      <c r="X13" s="117" t="s">
        <v>2</v>
      </c>
      <c r="Y13" s="136" t="s">
        <v>10</v>
      </c>
      <c r="Z13" s="136" t="s">
        <v>10</v>
      </c>
      <c r="AA13" s="136" t="s">
        <v>10</v>
      </c>
      <c r="AB13" s="136" t="s">
        <v>10</v>
      </c>
      <c r="AC13" s="136" t="s">
        <v>11</v>
      </c>
      <c r="AD13" s="119" t="s">
        <v>4</v>
      </c>
      <c r="AE13" s="117" t="s">
        <v>2</v>
      </c>
      <c r="AF13" s="117" t="s">
        <v>2</v>
      </c>
      <c r="AG13" s="136" t="s">
        <v>10</v>
      </c>
      <c r="AH13" s="136" t="s">
        <v>10</v>
      </c>
    </row>
    <row r="14" spans="1:34" x14ac:dyDescent="0.35">
      <c r="A14" s="255"/>
      <c r="B14" s="150" t="s">
        <v>22</v>
      </c>
      <c r="C14" s="19" t="s">
        <v>41</v>
      </c>
      <c r="D14" s="19" t="s">
        <v>41</v>
      </c>
      <c r="E14" s="127" t="s">
        <v>42</v>
      </c>
      <c r="F14" s="19" t="s">
        <v>41</v>
      </c>
      <c r="G14" s="125" t="s">
        <v>2</v>
      </c>
      <c r="H14" s="123" t="s">
        <v>4</v>
      </c>
      <c r="I14" s="16" t="s">
        <v>11</v>
      </c>
      <c r="J14" s="16" t="s">
        <v>10</v>
      </c>
      <c r="K14" s="16" t="s">
        <v>10</v>
      </c>
      <c r="L14" s="16" t="s">
        <v>10</v>
      </c>
      <c r="M14" s="125" t="s">
        <v>2</v>
      </c>
      <c r="N14" s="123" t="s">
        <v>4</v>
      </c>
      <c r="O14" s="16" t="s">
        <v>11</v>
      </c>
      <c r="P14" s="16" t="s">
        <v>11</v>
      </c>
      <c r="Q14" s="16" t="s">
        <v>10</v>
      </c>
      <c r="R14" s="125" t="s">
        <v>2</v>
      </c>
      <c r="S14" s="16" t="s">
        <v>10</v>
      </c>
      <c r="T14" s="16" t="s">
        <v>10</v>
      </c>
      <c r="U14" s="125" t="s">
        <v>2</v>
      </c>
      <c r="V14" s="123" t="s">
        <v>4</v>
      </c>
      <c r="W14" s="16" t="s">
        <v>11</v>
      </c>
      <c r="X14" s="16" t="s">
        <v>10</v>
      </c>
      <c r="Y14" s="16" t="s">
        <v>10</v>
      </c>
      <c r="Z14" s="16" t="s">
        <v>10</v>
      </c>
      <c r="AA14" s="16" t="s">
        <v>10</v>
      </c>
      <c r="AB14" s="125" t="s">
        <v>2</v>
      </c>
      <c r="AC14" s="123" t="s">
        <v>4</v>
      </c>
      <c r="AD14" s="16" t="s">
        <v>11</v>
      </c>
      <c r="AE14" s="16" t="s">
        <v>10</v>
      </c>
      <c r="AF14" s="16" t="s">
        <v>10</v>
      </c>
      <c r="AG14" s="16" t="s">
        <v>10</v>
      </c>
      <c r="AH14" s="16" t="s">
        <v>10</v>
      </c>
    </row>
    <row r="15" spans="1:34" x14ac:dyDescent="0.35">
      <c r="A15" s="255"/>
      <c r="B15" s="150" t="s">
        <v>155</v>
      </c>
      <c r="C15" s="19" t="s">
        <v>41</v>
      </c>
      <c r="D15" s="22" t="s">
        <v>16</v>
      </c>
      <c r="E15" s="126" t="s">
        <v>30</v>
      </c>
      <c r="F15" s="22" t="s">
        <v>16</v>
      </c>
      <c r="G15" s="19" t="s">
        <v>41</v>
      </c>
      <c r="H15" s="123" t="s">
        <v>4</v>
      </c>
      <c r="I15" s="16" t="s">
        <v>11</v>
      </c>
      <c r="J15" s="16" t="s">
        <v>10</v>
      </c>
      <c r="K15" s="125" t="s">
        <v>2</v>
      </c>
      <c r="L15" s="125" t="s">
        <v>2</v>
      </c>
      <c r="M15" s="16" t="s">
        <v>10</v>
      </c>
      <c r="N15" s="16" t="s">
        <v>10</v>
      </c>
      <c r="O15" s="123" t="s">
        <v>4</v>
      </c>
      <c r="P15" s="123" t="s">
        <v>4</v>
      </c>
      <c r="Q15" s="16" t="s">
        <v>10</v>
      </c>
      <c r="R15" s="16" t="s">
        <v>10</v>
      </c>
      <c r="S15" s="22" t="s">
        <v>16</v>
      </c>
      <c r="T15" s="22" t="s">
        <v>16</v>
      </c>
      <c r="U15" s="22" t="s">
        <v>16</v>
      </c>
      <c r="V15" s="123" t="s">
        <v>4</v>
      </c>
      <c r="W15" s="16" t="s">
        <v>11</v>
      </c>
      <c r="X15" s="16" t="s">
        <v>10</v>
      </c>
      <c r="Y15" s="125" t="s">
        <v>2</v>
      </c>
      <c r="Z15" s="125" t="s">
        <v>2</v>
      </c>
      <c r="AA15" s="22" t="s">
        <v>16</v>
      </c>
      <c r="AB15" s="16" t="s">
        <v>10</v>
      </c>
      <c r="AC15" s="16" t="s">
        <v>11</v>
      </c>
      <c r="AD15" s="16" t="s">
        <v>11</v>
      </c>
      <c r="AE15" s="16" t="s">
        <v>10</v>
      </c>
      <c r="AF15" s="125" t="s">
        <v>2</v>
      </c>
      <c r="AG15" s="125" t="s">
        <v>2</v>
      </c>
      <c r="AH15" s="22" t="s">
        <v>16</v>
      </c>
    </row>
    <row r="16" spans="1:34" ht="15" thickBot="1" x14ac:dyDescent="0.4"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</row>
    <row r="17" spans="1:34" ht="15" thickBot="1" x14ac:dyDescent="0.4">
      <c r="A17" s="255" t="s">
        <v>154</v>
      </c>
      <c r="B17" s="146" t="s">
        <v>1</v>
      </c>
      <c r="C17" s="132" t="s">
        <v>10</v>
      </c>
      <c r="D17" s="132" t="s">
        <v>10</v>
      </c>
      <c r="E17" s="124" t="s">
        <v>37</v>
      </c>
      <c r="F17" s="116" t="s">
        <v>5</v>
      </c>
      <c r="G17" s="132" t="s">
        <v>10</v>
      </c>
      <c r="H17" s="108" t="s">
        <v>4</v>
      </c>
      <c r="I17" s="112" t="s">
        <v>3</v>
      </c>
      <c r="J17" s="112" t="s">
        <v>6</v>
      </c>
      <c r="K17" s="112" t="s">
        <v>6</v>
      </c>
      <c r="L17" s="112" t="s">
        <v>6</v>
      </c>
      <c r="M17" s="112" t="s">
        <v>6</v>
      </c>
      <c r="N17" s="113" t="s">
        <v>2</v>
      </c>
      <c r="O17" s="108" t="s">
        <v>4</v>
      </c>
      <c r="P17" s="112" t="s">
        <v>3</v>
      </c>
      <c r="Q17" s="112" t="s">
        <v>6</v>
      </c>
      <c r="R17" s="112" t="s">
        <v>6</v>
      </c>
      <c r="S17" s="112" t="s">
        <v>6</v>
      </c>
      <c r="T17" s="112" t="s">
        <v>6</v>
      </c>
      <c r="U17" s="113" t="s">
        <v>2</v>
      </c>
      <c r="V17" s="110" t="s">
        <v>4</v>
      </c>
      <c r="W17" s="112" t="s">
        <v>3</v>
      </c>
      <c r="X17" s="111" t="s">
        <v>2</v>
      </c>
      <c r="Y17" s="112" t="s">
        <v>6</v>
      </c>
      <c r="Z17" s="112" t="s">
        <v>6</v>
      </c>
      <c r="AA17" s="113" t="s">
        <v>2</v>
      </c>
      <c r="AB17" s="113" t="s">
        <v>2</v>
      </c>
      <c r="AC17" s="112" t="s">
        <v>3</v>
      </c>
      <c r="AD17" s="112" t="s">
        <v>3</v>
      </c>
      <c r="AE17" s="112" t="s">
        <v>6</v>
      </c>
      <c r="AF17" s="112" t="s">
        <v>6</v>
      </c>
      <c r="AG17" s="112" t="s">
        <v>6</v>
      </c>
      <c r="AH17" s="112" t="s">
        <v>6</v>
      </c>
    </row>
    <row r="18" spans="1:34" ht="15" thickBot="1" x14ac:dyDescent="0.4">
      <c r="A18" s="255"/>
      <c r="B18" s="147" t="s">
        <v>18</v>
      </c>
      <c r="C18" s="111" t="s">
        <v>2</v>
      </c>
      <c r="D18" s="133" t="s">
        <v>10</v>
      </c>
      <c r="E18" s="132" t="s">
        <v>11</v>
      </c>
      <c r="F18" s="116" t="s">
        <v>5</v>
      </c>
      <c r="G18" s="116" t="s">
        <v>5</v>
      </c>
      <c r="H18" s="116" t="s">
        <v>5</v>
      </c>
      <c r="I18" s="110" t="s">
        <v>4</v>
      </c>
      <c r="J18" s="116" t="s">
        <v>5</v>
      </c>
      <c r="K18" s="116" t="s">
        <v>5</v>
      </c>
      <c r="L18" s="116" t="s">
        <v>5</v>
      </c>
      <c r="M18" s="114" t="s">
        <v>6</v>
      </c>
      <c r="N18" s="114" t="s">
        <v>6</v>
      </c>
      <c r="O18" s="114" t="s">
        <v>3</v>
      </c>
      <c r="P18" s="110" t="s">
        <v>4</v>
      </c>
      <c r="Q18" s="111" t="s">
        <v>2</v>
      </c>
      <c r="R18" s="114" t="s">
        <v>6</v>
      </c>
      <c r="S18" s="114" t="s">
        <v>6</v>
      </c>
      <c r="T18" s="114" t="s">
        <v>6</v>
      </c>
      <c r="U18" s="114" t="s">
        <v>6</v>
      </c>
      <c r="V18" s="114" t="s">
        <v>3</v>
      </c>
      <c r="W18" s="110" t="s">
        <v>4</v>
      </c>
      <c r="X18" s="114" t="s">
        <v>6</v>
      </c>
      <c r="Y18" s="114" t="s">
        <v>6</v>
      </c>
      <c r="Z18" s="114" t="s">
        <v>6</v>
      </c>
      <c r="AA18" s="114" t="s">
        <v>6</v>
      </c>
      <c r="AB18" s="114" t="s">
        <v>6</v>
      </c>
      <c r="AC18" s="110" t="s">
        <v>4</v>
      </c>
      <c r="AD18" s="110" t="s">
        <v>4</v>
      </c>
      <c r="AE18" s="111" t="s">
        <v>2</v>
      </c>
      <c r="AF18" s="114" t="s">
        <v>6</v>
      </c>
      <c r="AG18" s="114" t="s">
        <v>6</v>
      </c>
      <c r="AH18" s="114" t="s">
        <v>6</v>
      </c>
    </row>
    <row r="19" spans="1:34" ht="15" thickBot="1" x14ac:dyDescent="0.4">
      <c r="A19" s="255"/>
      <c r="B19" s="149" t="s">
        <v>74</v>
      </c>
      <c r="C19" s="136" t="s">
        <v>10</v>
      </c>
      <c r="D19" s="136" t="s">
        <v>10</v>
      </c>
      <c r="E19" s="132" t="s">
        <v>11</v>
      </c>
      <c r="F19" s="136" t="s">
        <v>10</v>
      </c>
      <c r="G19" s="117" t="s">
        <v>2</v>
      </c>
      <c r="H19" s="119" t="s">
        <v>4</v>
      </c>
      <c r="I19" s="121" t="s">
        <v>3</v>
      </c>
      <c r="J19" s="121" t="s">
        <v>6</v>
      </c>
      <c r="K19" s="121" t="s">
        <v>6</v>
      </c>
      <c r="L19" s="121" t="s">
        <v>6</v>
      </c>
      <c r="M19" s="121" t="s">
        <v>6</v>
      </c>
      <c r="N19" s="121" t="s">
        <v>6</v>
      </c>
      <c r="O19" s="119" t="s">
        <v>4</v>
      </c>
      <c r="P19" s="121" t="s">
        <v>3</v>
      </c>
      <c r="Q19" s="121" t="s">
        <v>6</v>
      </c>
      <c r="R19" s="121" t="s">
        <v>6</v>
      </c>
      <c r="S19" s="121" t="s">
        <v>6</v>
      </c>
      <c r="T19" s="121" t="s">
        <v>6</v>
      </c>
      <c r="U19" s="121" t="s">
        <v>6</v>
      </c>
      <c r="V19" s="114" t="s">
        <v>3</v>
      </c>
      <c r="W19" s="119" t="s">
        <v>4</v>
      </c>
      <c r="X19" s="121" t="s">
        <v>6</v>
      </c>
      <c r="Y19" s="121" t="s">
        <v>6</v>
      </c>
      <c r="Z19" s="121" t="s">
        <v>6</v>
      </c>
      <c r="AA19" s="121" t="s">
        <v>6</v>
      </c>
      <c r="AB19" s="117" t="s">
        <v>2</v>
      </c>
      <c r="AC19" s="119" t="s">
        <v>4</v>
      </c>
      <c r="AD19" s="121" t="s">
        <v>3</v>
      </c>
      <c r="AE19" s="121" t="s">
        <v>6</v>
      </c>
      <c r="AF19" s="121" t="s">
        <v>6</v>
      </c>
      <c r="AG19" s="121" t="s">
        <v>6</v>
      </c>
      <c r="AH19" s="121" t="s">
        <v>6</v>
      </c>
    </row>
    <row r="20" spans="1:34" ht="15" thickBot="1" x14ac:dyDescent="0.4">
      <c r="A20" s="255"/>
      <c r="B20" s="150" t="s">
        <v>43</v>
      </c>
      <c r="C20" s="125" t="s">
        <v>2</v>
      </c>
      <c r="D20" s="134" t="s">
        <v>16</v>
      </c>
      <c r="E20" s="132" t="s">
        <v>11</v>
      </c>
      <c r="F20" s="16" t="s">
        <v>10</v>
      </c>
      <c r="G20" s="16" t="s">
        <v>10</v>
      </c>
      <c r="H20" s="16" t="s">
        <v>11</v>
      </c>
      <c r="I20" s="123" t="s">
        <v>4</v>
      </c>
      <c r="J20" s="25" t="s">
        <v>6</v>
      </c>
      <c r="K20" s="25" t="s">
        <v>6</v>
      </c>
      <c r="L20" s="25" t="s">
        <v>6</v>
      </c>
      <c r="M20" s="131" t="s">
        <v>5</v>
      </c>
      <c r="N20" s="131" t="s">
        <v>5</v>
      </c>
      <c r="O20" s="123" t="s">
        <v>4</v>
      </c>
      <c r="P20" s="123" t="s">
        <v>4</v>
      </c>
      <c r="Q20" s="125" t="s">
        <v>2</v>
      </c>
      <c r="R20" s="131" t="s">
        <v>5</v>
      </c>
      <c r="S20" s="131" t="s">
        <v>5</v>
      </c>
      <c r="T20" s="131" t="s">
        <v>5</v>
      </c>
      <c r="U20" s="131" t="s">
        <v>5</v>
      </c>
      <c r="V20" s="119" t="s">
        <v>4</v>
      </c>
      <c r="W20" s="25" t="s">
        <v>3</v>
      </c>
      <c r="X20" s="25" t="s">
        <v>6</v>
      </c>
      <c r="Y20" s="125" t="s">
        <v>2</v>
      </c>
      <c r="Z20" s="125" t="s">
        <v>2</v>
      </c>
      <c r="AA20" s="25" t="s">
        <v>6</v>
      </c>
      <c r="AB20" s="25" t="s">
        <v>6</v>
      </c>
      <c r="AC20" s="25" t="s">
        <v>3</v>
      </c>
      <c r="AD20" s="123" t="s">
        <v>4</v>
      </c>
      <c r="AE20" s="125" t="s">
        <v>2</v>
      </c>
      <c r="AF20" s="125" t="s">
        <v>2</v>
      </c>
      <c r="AG20" s="25" t="s">
        <v>6</v>
      </c>
      <c r="AH20" s="25" t="s">
        <v>6</v>
      </c>
    </row>
    <row r="21" spans="1:34" x14ac:dyDescent="0.35">
      <c r="A21" s="255"/>
      <c r="B21" s="150" t="s">
        <v>62</v>
      </c>
      <c r="C21" s="16" t="s">
        <v>10</v>
      </c>
      <c r="D21" s="113" t="s">
        <v>2</v>
      </c>
      <c r="E21" s="124" t="s">
        <v>37</v>
      </c>
      <c r="F21" s="16" t="s">
        <v>10</v>
      </c>
      <c r="G21" s="16" t="s">
        <v>10</v>
      </c>
      <c r="H21" s="16" t="s">
        <v>11</v>
      </c>
      <c r="I21" s="123" t="s">
        <v>4</v>
      </c>
      <c r="J21" s="125" t="s">
        <v>2</v>
      </c>
      <c r="K21" s="131" t="s">
        <v>5</v>
      </c>
      <c r="L21" s="22" t="s">
        <v>16</v>
      </c>
      <c r="M21" s="22" t="s">
        <v>16</v>
      </c>
      <c r="N21" s="25" t="s">
        <v>6</v>
      </c>
      <c r="O21" s="25" t="s">
        <v>3</v>
      </c>
      <c r="P21" s="123" t="s">
        <v>4</v>
      </c>
      <c r="Q21" s="25" t="s">
        <v>6</v>
      </c>
      <c r="R21" s="22" t="s">
        <v>16</v>
      </c>
      <c r="S21" s="22" t="s">
        <v>16</v>
      </c>
      <c r="T21" s="22" t="s">
        <v>16</v>
      </c>
      <c r="U21" s="25" t="s">
        <v>6</v>
      </c>
      <c r="V21" s="126" t="s">
        <v>30</v>
      </c>
      <c r="W21" s="123" t="s">
        <v>4</v>
      </c>
      <c r="X21" s="22" t="s">
        <v>16</v>
      </c>
      <c r="Y21" s="22" t="s">
        <v>16</v>
      </c>
      <c r="Z21" s="22" t="s">
        <v>16</v>
      </c>
      <c r="AA21" s="22" t="s">
        <v>16</v>
      </c>
      <c r="AB21" s="25" t="s">
        <v>6</v>
      </c>
      <c r="AC21" s="123" t="s">
        <v>4</v>
      </c>
      <c r="AD21" s="123" t="s">
        <v>4</v>
      </c>
      <c r="AE21" s="25" t="s">
        <v>6</v>
      </c>
      <c r="AF21" s="22" t="s">
        <v>16</v>
      </c>
      <c r="AG21" s="22" t="s">
        <v>16</v>
      </c>
      <c r="AH21" s="22" t="s">
        <v>16</v>
      </c>
    </row>
    <row r="23" spans="1:34" x14ac:dyDescent="0.35">
      <c r="B23" s="137" t="s">
        <v>156</v>
      </c>
      <c r="C23">
        <f>COUNTIF(C5:C21,"MS")</f>
        <v>4</v>
      </c>
      <c r="D23">
        <f>COUNTIF(D5:D21,"MS")</f>
        <v>3</v>
      </c>
      <c r="E23">
        <f t="shared" ref="E23:G23" si="2">COUNTIF(E5:E21,"MS")</f>
        <v>0</v>
      </c>
      <c r="F23">
        <f t="shared" si="2"/>
        <v>3</v>
      </c>
      <c r="G23">
        <f t="shared" si="2"/>
        <v>3</v>
      </c>
      <c r="H23">
        <f>COUNTIF(H5:H21,"WMS")</f>
        <v>2</v>
      </c>
      <c r="I23">
        <f>COUNTIF(I5:I21,"WMS")</f>
        <v>2</v>
      </c>
      <c r="J23">
        <f>COUNTIF(J5:J21,"MS")</f>
        <v>3</v>
      </c>
      <c r="K23">
        <f>COUNTIF(K5:K21,"MS")</f>
        <v>3</v>
      </c>
      <c r="L23">
        <f t="shared" ref="L23:N23" si="3">COUNTIF(L5:L21,"MS")</f>
        <v>3</v>
      </c>
      <c r="M23">
        <f t="shared" si="3"/>
        <v>3</v>
      </c>
      <c r="N23">
        <f t="shared" si="3"/>
        <v>3</v>
      </c>
      <c r="O23">
        <f>COUNTIF(O5:O21,"WMS")</f>
        <v>2</v>
      </c>
      <c r="P23">
        <f>COUNTIF(P5:P21,"WMS")</f>
        <v>2</v>
      </c>
      <c r="Q23">
        <f>COUNTIF(Q5:Q21,"MS")</f>
        <v>3</v>
      </c>
      <c r="R23">
        <f>COUNTIF(R5:R21,"MS")</f>
        <v>3</v>
      </c>
      <c r="S23">
        <f t="shared" ref="S23:U23" si="4">COUNTIF(S5:S21,"MS")</f>
        <v>3</v>
      </c>
      <c r="T23">
        <f t="shared" si="4"/>
        <v>3</v>
      </c>
      <c r="U23">
        <f t="shared" si="4"/>
        <v>3</v>
      </c>
      <c r="V23">
        <f>COUNTIF(V5:V21,"WMS")</f>
        <v>2</v>
      </c>
      <c r="W23">
        <f>COUNTIF(W5:W21,"WMS")</f>
        <v>2</v>
      </c>
      <c r="X23">
        <f>COUNTIF(X5:X21,"MS")</f>
        <v>3</v>
      </c>
      <c r="Y23">
        <f>COUNTIF(Y5:Y21,"MS")</f>
        <v>3</v>
      </c>
      <c r="Z23">
        <f t="shared" ref="Z23:AB23" si="5">COUNTIF(Z5:Z21,"MS")</f>
        <v>3</v>
      </c>
      <c r="AA23">
        <f t="shared" si="5"/>
        <v>3</v>
      </c>
      <c r="AB23">
        <f t="shared" si="5"/>
        <v>3</v>
      </c>
      <c r="AC23">
        <f>COUNTIF(AC5:AC21,"WMS")</f>
        <v>2</v>
      </c>
      <c r="AD23">
        <f>COUNTIF(AD5:AD21,"WMS")</f>
        <v>2</v>
      </c>
      <c r="AE23">
        <f>COUNTIF(AE5:AE21,"MS")</f>
        <v>3</v>
      </c>
      <c r="AF23">
        <f>COUNTIF(AF5:AF21,"MS")</f>
        <v>3</v>
      </c>
      <c r="AG23">
        <f t="shared" ref="AG23:AH23" si="6">COUNTIF(AG5:AG21,"MS")</f>
        <v>4</v>
      </c>
      <c r="AH23">
        <f t="shared" si="6"/>
        <v>4</v>
      </c>
    </row>
    <row r="24" spans="1:34" x14ac:dyDescent="0.35">
      <c r="B24" s="137" t="s">
        <v>157</v>
      </c>
      <c r="C24">
        <f>COUNTIF(C5:C21,"ASS1")</f>
        <v>3</v>
      </c>
      <c r="D24">
        <f t="shared" ref="D24:G24" si="7">COUNTIF(D5:D21,"ASS1")</f>
        <v>3</v>
      </c>
      <c r="E24">
        <f t="shared" si="7"/>
        <v>0</v>
      </c>
      <c r="F24">
        <f t="shared" si="7"/>
        <v>3</v>
      </c>
      <c r="G24">
        <f t="shared" si="7"/>
        <v>3</v>
      </c>
      <c r="H24">
        <f>COUNTIF(H5:H21,"WASS1")</f>
        <v>2</v>
      </c>
      <c r="I24">
        <f>COUNTIF(I5:I21,"WASS1")</f>
        <v>2</v>
      </c>
      <c r="J24">
        <f>COUNTIF(J5:J21,"ASS1")</f>
        <v>3</v>
      </c>
      <c r="K24">
        <f t="shared" ref="K24:N24" si="8">COUNTIF(K5:K21,"ASS1")</f>
        <v>3</v>
      </c>
      <c r="L24">
        <f t="shared" si="8"/>
        <v>3</v>
      </c>
      <c r="M24">
        <f t="shared" si="8"/>
        <v>3</v>
      </c>
      <c r="N24">
        <f t="shared" si="8"/>
        <v>3</v>
      </c>
      <c r="O24">
        <f>COUNTIF(O5:O21,"WASS1")</f>
        <v>2</v>
      </c>
      <c r="P24">
        <f>COUNTIF(P5:P21,"WASS1")</f>
        <v>2</v>
      </c>
      <c r="Q24">
        <f>COUNTIF(Q5:Q21,"ASS1")</f>
        <v>3</v>
      </c>
      <c r="R24">
        <f t="shared" ref="R24:U24" si="9">COUNTIF(R5:R21,"ASS1")</f>
        <v>3</v>
      </c>
      <c r="S24">
        <f t="shared" si="9"/>
        <v>3</v>
      </c>
      <c r="T24">
        <f t="shared" si="9"/>
        <v>3</v>
      </c>
      <c r="U24">
        <f t="shared" si="9"/>
        <v>3</v>
      </c>
      <c r="V24">
        <f>COUNTIF(V5:V21,"WASS1")</f>
        <v>2</v>
      </c>
      <c r="W24">
        <f>COUNTIF(W5:W21,"WASS1")</f>
        <v>2</v>
      </c>
      <c r="X24">
        <f>COUNTIF(X5:X21,"ASS1")</f>
        <v>3</v>
      </c>
      <c r="Y24">
        <f t="shared" ref="Y24:AB24" si="10">COUNTIF(Y5:Y21,"ASS1")</f>
        <v>3</v>
      </c>
      <c r="Z24">
        <f t="shared" si="10"/>
        <v>3</v>
      </c>
      <c r="AA24">
        <f t="shared" si="10"/>
        <v>3</v>
      </c>
      <c r="AB24">
        <f t="shared" si="10"/>
        <v>3</v>
      </c>
      <c r="AC24">
        <f>COUNTIF(AC5:AC21,"WASS1")</f>
        <v>2</v>
      </c>
      <c r="AD24">
        <f>COUNTIF(AD5:AD21,"WASS1")</f>
        <v>2</v>
      </c>
      <c r="AE24">
        <f>COUNTIF(AE5:AE21,"ASS1")</f>
        <v>3</v>
      </c>
      <c r="AF24">
        <f t="shared" ref="AF24:AH24" si="11">COUNTIF(AF5:AF21,"ASS1")</f>
        <v>3</v>
      </c>
      <c r="AG24">
        <f t="shared" si="11"/>
        <v>3</v>
      </c>
      <c r="AH24">
        <f t="shared" si="11"/>
        <v>3</v>
      </c>
    </row>
    <row r="25" spans="1:34" x14ac:dyDescent="0.35">
      <c r="B25" s="137" t="s">
        <v>158</v>
      </c>
      <c r="C25">
        <f>COUNTIF(C5:C21,"NST7")</f>
        <v>3</v>
      </c>
      <c r="D25">
        <f t="shared" ref="D25:G25" si="12">COUNTIF(D5:D21,"NST7")</f>
        <v>3</v>
      </c>
      <c r="E25">
        <f t="shared" si="12"/>
        <v>0</v>
      </c>
      <c r="F25">
        <f t="shared" si="12"/>
        <v>3</v>
      </c>
      <c r="G25">
        <f t="shared" si="12"/>
        <v>3</v>
      </c>
      <c r="H25">
        <f>COUNTIF(H5:H21,"WNST7")</f>
        <v>2</v>
      </c>
      <c r="I25">
        <f>COUNTIF(I5:I21,"WNST7")</f>
        <v>3</v>
      </c>
      <c r="J25">
        <f>COUNTIF(J5:J21,"NST7")</f>
        <v>3</v>
      </c>
      <c r="K25">
        <f t="shared" ref="K25:N25" si="13">COUNTIF(K5:K21,"NST7")</f>
        <v>3</v>
      </c>
      <c r="L25">
        <f t="shared" si="13"/>
        <v>3</v>
      </c>
      <c r="M25">
        <f t="shared" si="13"/>
        <v>3</v>
      </c>
      <c r="N25">
        <f t="shared" si="13"/>
        <v>3</v>
      </c>
      <c r="O25">
        <f>COUNTIF(O5:O21,"WNST7")</f>
        <v>3</v>
      </c>
      <c r="P25">
        <f>COUNTIF(P5:P21,"WNST7")</f>
        <v>3</v>
      </c>
      <c r="Q25">
        <f>COUNTIF(Q5:Q21,"NST7")</f>
        <v>3</v>
      </c>
      <c r="R25">
        <f t="shared" ref="R25:U25" si="14">COUNTIF(R5:R21,"NST7")</f>
        <v>3</v>
      </c>
      <c r="S25">
        <f t="shared" si="14"/>
        <v>3</v>
      </c>
      <c r="T25">
        <f t="shared" si="14"/>
        <v>3</v>
      </c>
      <c r="U25">
        <f t="shared" si="14"/>
        <v>3</v>
      </c>
      <c r="V25">
        <f>COUNTIF(V5:V21,"WNST7")</f>
        <v>3</v>
      </c>
      <c r="W25">
        <f>COUNTIF(W5:W21,"WNST7")</f>
        <v>3</v>
      </c>
      <c r="X25">
        <f>COUNTIF(X5:X21,"NST7")</f>
        <v>3</v>
      </c>
      <c r="Y25">
        <f t="shared" ref="Y25:AB25" si="15">COUNTIF(Y5:Y21,"NST7")</f>
        <v>4</v>
      </c>
      <c r="Z25">
        <f t="shared" si="15"/>
        <v>3</v>
      </c>
      <c r="AA25">
        <f t="shared" si="15"/>
        <v>3</v>
      </c>
      <c r="AB25">
        <f t="shared" si="15"/>
        <v>3</v>
      </c>
      <c r="AC25">
        <f>COUNTIF(AC5:AC21,"WNST7")</f>
        <v>3</v>
      </c>
      <c r="AD25">
        <f>COUNTIF(AD5:AD21,"WNST7")</f>
        <v>3</v>
      </c>
      <c r="AE25">
        <f>COUNTIF(AE5:AE21,"NST7")</f>
        <v>3</v>
      </c>
      <c r="AF25">
        <f t="shared" ref="AF25:AH25" si="16">COUNTIF(AF5:AF21,"NST7")</f>
        <v>3</v>
      </c>
      <c r="AG25">
        <f t="shared" si="16"/>
        <v>3</v>
      </c>
      <c r="AH25">
        <f t="shared" si="16"/>
        <v>3</v>
      </c>
    </row>
    <row r="26" spans="1:34" x14ac:dyDescent="0.35">
      <c r="B26" s="137" t="s">
        <v>159</v>
      </c>
      <c r="C26">
        <f>COUNTIF(C5:C21,"GS")</f>
        <v>0</v>
      </c>
      <c r="D26">
        <f t="shared" ref="D26:G26" si="17">COUNTIF(D5:D21,"GS")</f>
        <v>2</v>
      </c>
      <c r="E26">
        <f t="shared" si="17"/>
        <v>0</v>
      </c>
      <c r="F26">
        <f t="shared" si="17"/>
        <v>2</v>
      </c>
      <c r="G26">
        <f t="shared" si="17"/>
        <v>0</v>
      </c>
      <c r="H26">
        <f>COUNTIF(H4:H21,"WGS")</f>
        <v>1</v>
      </c>
      <c r="I26">
        <f>COUNTIF(I4:I21,"WGS")</f>
        <v>0</v>
      </c>
      <c r="J26">
        <f>COUNTIF(J5:J21,"GS")</f>
        <v>0</v>
      </c>
      <c r="K26">
        <f t="shared" ref="K26:N26" si="18">COUNTIF(K5:K21,"GS")</f>
        <v>1</v>
      </c>
      <c r="L26">
        <f t="shared" si="18"/>
        <v>2</v>
      </c>
      <c r="M26">
        <f t="shared" si="18"/>
        <v>2</v>
      </c>
      <c r="N26">
        <f t="shared" si="18"/>
        <v>0</v>
      </c>
      <c r="O26">
        <f>COUNTIF(O4:O21,"WGS")</f>
        <v>1</v>
      </c>
      <c r="P26">
        <f>COUNTIF(P4:P21,"WGS")</f>
        <v>0</v>
      </c>
      <c r="Q26">
        <f>COUNTIF(Q5:Q21,"GS")</f>
        <v>0</v>
      </c>
      <c r="R26">
        <f t="shared" ref="R26:U26" si="19">COUNTIF(R5:R21,"GS")</f>
        <v>2</v>
      </c>
      <c r="S26">
        <f t="shared" si="19"/>
        <v>3</v>
      </c>
      <c r="T26">
        <f t="shared" si="19"/>
        <v>3</v>
      </c>
      <c r="U26">
        <f t="shared" si="19"/>
        <v>1</v>
      </c>
      <c r="V26">
        <f>COUNTIF(V4:V21,"WGS")</f>
        <v>1</v>
      </c>
      <c r="W26">
        <f>COUNTIF(W4:W21,"WGS")</f>
        <v>0</v>
      </c>
      <c r="X26">
        <f>COUNTIF(X5:X21,"GS")</f>
        <v>1</v>
      </c>
      <c r="Y26">
        <f t="shared" ref="Y26:AB26" si="20">COUNTIF(Y5:Y21,"GS")</f>
        <v>2</v>
      </c>
      <c r="Z26">
        <f t="shared" si="20"/>
        <v>2</v>
      </c>
      <c r="AA26">
        <f t="shared" si="20"/>
        <v>3</v>
      </c>
      <c r="AB26">
        <f t="shared" si="20"/>
        <v>0</v>
      </c>
      <c r="AC26">
        <f>COUNTIF(AC4:AC21,"WGS")</f>
        <v>0</v>
      </c>
      <c r="AD26">
        <f>COUNTIF(AD4:AD21,"WGS")</f>
        <v>0</v>
      </c>
      <c r="AE26">
        <f>COUNTIF(AE5:AE21,"GS")</f>
        <v>0</v>
      </c>
      <c r="AF26">
        <f t="shared" ref="AF26:AH26" si="21">COUNTIF(AF5:AF21,"GS")</f>
        <v>2</v>
      </c>
      <c r="AG26">
        <f t="shared" si="21"/>
        <v>2</v>
      </c>
      <c r="AH26">
        <f t="shared" si="21"/>
        <v>3</v>
      </c>
    </row>
    <row r="27" spans="1:34" x14ac:dyDescent="0.35">
      <c r="B27" s="137" t="s">
        <v>160</v>
      </c>
      <c r="C27">
        <f>COUNTIF(C5:C21,"C")</f>
        <v>4</v>
      </c>
      <c r="D27">
        <f t="shared" ref="D27:G27" si="22">COUNTIF(D5:D21,"C")</f>
        <v>2</v>
      </c>
      <c r="E27">
        <f t="shared" si="22"/>
        <v>0</v>
      </c>
      <c r="F27">
        <f t="shared" si="22"/>
        <v>1</v>
      </c>
      <c r="G27">
        <f t="shared" si="22"/>
        <v>5</v>
      </c>
      <c r="H27">
        <f>COUNTIF(H5:H21,"WO")</f>
        <v>7</v>
      </c>
      <c r="I27">
        <f>COUNTIF(I5:I21,"WO")</f>
        <v>8</v>
      </c>
      <c r="J27">
        <f>COUNTIF(J5:J21,"C")</f>
        <v>5</v>
      </c>
      <c r="K27">
        <f t="shared" ref="K27:N27" si="23">COUNTIF(K5:K21,"C")</f>
        <v>3</v>
      </c>
      <c r="L27">
        <f t="shared" si="23"/>
        <v>2</v>
      </c>
      <c r="M27">
        <f t="shared" si="23"/>
        <v>2</v>
      </c>
      <c r="N27">
        <f t="shared" si="23"/>
        <v>3</v>
      </c>
      <c r="O27">
        <f>COUNTIF(O5:O21,"WO")</f>
        <v>7</v>
      </c>
      <c r="P27">
        <f>COUNTIF(P5:P21,"WO")</f>
        <v>8</v>
      </c>
      <c r="Q27">
        <f>COUNTIF(Q5:Q21,"C")</f>
        <v>6</v>
      </c>
      <c r="R27">
        <f t="shared" ref="R27:U27" si="24">COUNTIF(R5:R21,"C")</f>
        <v>3</v>
      </c>
      <c r="S27">
        <f t="shared" si="24"/>
        <v>2</v>
      </c>
      <c r="T27">
        <f t="shared" si="24"/>
        <v>2</v>
      </c>
      <c r="U27">
        <f t="shared" si="24"/>
        <v>3</v>
      </c>
      <c r="V27">
        <f>COUNTIF(V5:V21,"WO")</f>
        <v>6</v>
      </c>
      <c r="W27">
        <f>COUNTIF(W5:W21,"WO")</f>
        <v>8</v>
      </c>
      <c r="X27">
        <f>COUNTIF(X5:X21,"C")</f>
        <v>5</v>
      </c>
      <c r="Y27">
        <f t="shared" ref="Y27:AB27" si="25">COUNTIF(Y5:Y21,"C")</f>
        <v>3</v>
      </c>
      <c r="Z27">
        <f t="shared" si="25"/>
        <v>3</v>
      </c>
      <c r="AA27">
        <f t="shared" si="25"/>
        <v>2</v>
      </c>
      <c r="AB27">
        <f t="shared" si="25"/>
        <v>5</v>
      </c>
      <c r="AC27">
        <f>COUNTIF(AC5:AC21,"WO")</f>
        <v>7</v>
      </c>
      <c r="AD27">
        <f>COUNTIF(AD5:AD21,"WO")</f>
        <v>7</v>
      </c>
      <c r="AE27">
        <f>COUNTIF(AE5:AE21,"C")</f>
        <v>5</v>
      </c>
      <c r="AF27">
        <f t="shared" ref="AF27:AH27" si="26">COUNTIF(AF5:AF21,"C")</f>
        <v>3</v>
      </c>
      <c r="AG27">
        <f t="shared" si="26"/>
        <v>2</v>
      </c>
      <c r="AH27">
        <f t="shared" si="26"/>
        <v>1</v>
      </c>
    </row>
    <row r="28" spans="1:34" x14ac:dyDescent="0.35">
      <c r="B28" s="137" t="s">
        <v>161</v>
      </c>
      <c r="C28">
        <f t="shared" ref="C28:G28" si="27">COUNTIF(C5:C21,"PL")</f>
        <v>1</v>
      </c>
      <c r="D28">
        <f t="shared" si="27"/>
        <v>2</v>
      </c>
      <c r="E28">
        <f t="shared" si="27"/>
        <v>1</v>
      </c>
      <c r="F28">
        <f t="shared" si="27"/>
        <v>3</v>
      </c>
      <c r="G28">
        <f t="shared" si="27"/>
        <v>1</v>
      </c>
      <c r="H28">
        <f>COUNTIF(H5:H22,"PL")</f>
        <v>1</v>
      </c>
      <c r="I28">
        <f>COUNTIF(I5:I22,"PL")</f>
        <v>0</v>
      </c>
      <c r="J28">
        <f t="shared" ref="J28:N28" si="28">COUNTIF(J5:J21,"PL")</f>
        <v>1</v>
      </c>
      <c r="K28">
        <f t="shared" si="28"/>
        <v>2</v>
      </c>
      <c r="L28">
        <f t="shared" si="28"/>
        <v>2</v>
      </c>
      <c r="M28">
        <f t="shared" si="28"/>
        <v>2</v>
      </c>
      <c r="N28">
        <f t="shared" si="28"/>
        <v>2</v>
      </c>
      <c r="O28">
        <f>COUNTIF(O5:O22,"PL")</f>
        <v>0</v>
      </c>
      <c r="P28">
        <f>COUNTIF(P5:P22,"PL")</f>
        <v>0</v>
      </c>
      <c r="Q28">
        <f t="shared" ref="Q28:U28" si="29">COUNTIF(Q5:Q21,"PL")</f>
        <v>0</v>
      </c>
      <c r="R28">
        <f t="shared" si="29"/>
        <v>1</v>
      </c>
      <c r="S28">
        <f t="shared" si="29"/>
        <v>1</v>
      </c>
      <c r="T28">
        <f t="shared" si="29"/>
        <v>1</v>
      </c>
      <c r="U28">
        <f t="shared" si="29"/>
        <v>2</v>
      </c>
      <c r="V28">
        <f>COUNTIF(V5:V22,"PL")</f>
        <v>1</v>
      </c>
      <c r="W28">
        <f>COUNTIF(W5:W22,"PL")</f>
        <v>0</v>
      </c>
      <c r="X28">
        <f t="shared" ref="X28:AB28" si="30">COUNTIF(X5:X21,"PL")</f>
        <v>0</v>
      </c>
      <c r="Y28">
        <f t="shared" si="30"/>
        <v>0</v>
      </c>
      <c r="Z28">
        <f t="shared" si="30"/>
        <v>1</v>
      </c>
      <c r="AA28">
        <f t="shared" si="30"/>
        <v>1</v>
      </c>
      <c r="AB28">
        <f t="shared" si="30"/>
        <v>1</v>
      </c>
      <c r="AC28">
        <f>COUNTIF(AC5:AC22,"PL")</f>
        <v>1</v>
      </c>
      <c r="AD28">
        <f>COUNTIF(AD5:AD22,"PL")</f>
        <v>1</v>
      </c>
      <c r="AE28">
        <f t="shared" ref="AE28:AH28" si="31">COUNTIF(AE5:AE21,"PL")</f>
        <v>1</v>
      </c>
      <c r="AF28">
        <f t="shared" si="31"/>
        <v>1</v>
      </c>
      <c r="AG28">
        <f t="shared" si="31"/>
        <v>1</v>
      </c>
      <c r="AH28">
        <f t="shared" si="31"/>
        <v>1</v>
      </c>
    </row>
    <row r="29" spans="1:34" x14ac:dyDescent="0.35">
      <c r="B29" s="137" t="s">
        <v>33</v>
      </c>
      <c r="C29">
        <f>COUNTIF(C5:C21,"UPL")</f>
        <v>0</v>
      </c>
      <c r="D29">
        <f t="shared" ref="D29:G29" si="32">COUNTIF(D5:D21,"UPL")</f>
        <v>0</v>
      </c>
      <c r="E29">
        <f t="shared" si="32"/>
        <v>0</v>
      </c>
      <c r="F29">
        <f t="shared" si="32"/>
        <v>0</v>
      </c>
      <c r="G29">
        <f t="shared" si="32"/>
        <v>0</v>
      </c>
      <c r="H29">
        <f>COUNTIF(H5:H21,"UPL")</f>
        <v>0</v>
      </c>
      <c r="I29">
        <f>COUNTIF(I5:I21,"UPL")</f>
        <v>0</v>
      </c>
      <c r="J29">
        <f>COUNTIF(J5:J21,"UPL")</f>
        <v>0</v>
      </c>
      <c r="K29">
        <f t="shared" ref="K29:N29" si="33">COUNTIF(K5:K21,"UPL")</f>
        <v>0</v>
      </c>
      <c r="L29">
        <f t="shared" si="33"/>
        <v>0</v>
      </c>
      <c r="M29">
        <f t="shared" si="33"/>
        <v>0</v>
      </c>
      <c r="N29">
        <f t="shared" si="33"/>
        <v>0</v>
      </c>
      <c r="O29">
        <f>COUNTIF(O5:O21,"UPL")</f>
        <v>0</v>
      </c>
      <c r="P29">
        <f>COUNTIF(P5:P21,"UPL")</f>
        <v>0</v>
      </c>
      <c r="Q29">
        <f>COUNTIF(Q5:Q21,"UPL")</f>
        <v>0</v>
      </c>
      <c r="R29">
        <f t="shared" ref="R29:U29" si="34">COUNTIF(R5:R21,"UPL")</f>
        <v>0</v>
      </c>
      <c r="S29">
        <f t="shared" si="34"/>
        <v>0</v>
      </c>
      <c r="T29">
        <f t="shared" si="34"/>
        <v>0</v>
      </c>
      <c r="U29">
        <f t="shared" si="34"/>
        <v>0</v>
      </c>
      <c r="V29">
        <f>COUNTIF(V5:V21,"UPL")</f>
        <v>0</v>
      </c>
      <c r="W29">
        <f>COUNTIF(W5:W21,"UPL")</f>
        <v>0</v>
      </c>
      <c r="X29">
        <f>COUNTIF(X5:X21,"UPL")</f>
        <v>0</v>
      </c>
      <c r="Y29">
        <f t="shared" ref="Y29:AB29" si="35">COUNTIF(Y5:Y21,"UPL")</f>
        <v>0</v>
      </c>
      <c r="Z29">
        <f t="shared" si="35"/>
        <v>0</v>
      </c>
      <c r="AA29">
        <f t="shared" si="35"/>
        <v>0</v>
      </c>
      <c r="AB29">
        <f t="shared" si="35"/>
        <v>0</v>
      </c>
      <c r="AC29">
        <f>COUNTIF(AC5:AC21,"UPL")</f>
        <v>0</v>
      </c>
      <c r="AD29">
        <f>COUNTIF(AD5:AD21,"UPL")</f>
        <v>0</v>
      </c>
      <c r="AE29">
        <f>COUNTIF(AE5:AE21,"UPL")</f>
        <v>0</v>
      </c>
      <c r="AF29">
        <f t="shared" ref="AF29:AH29" si="36">COUNTIF(AF5:AF21,"UPL")</f>
        <v>0</v>
      </c>
      <c r="AG29">
        <f t="shared" si="36"/>
        <v>0</v>
      </c>
      <c r="AH29">
        <f t="shared" si="36"/>
        <v>0</v>
      </c>
    </row>
    <row r="30" spans="1:34" x14ac:dyDescent="0.35">
      <c r="B30" s="137" t="s">
        <v>162</v>
      </c>
      <c r="C30" s="138">
        <f t="shared" ref="C30:AH30" si="37">SUM(C23:C29)</f>
        <v>15</v>
      </c>
      <c r="D30" s="138">
        <f t="shared" si="37"/>
        <v>15</v>
      </c>
      <c r="E30" s="138">
        <f t="shared" si="37"/>
        <v>1</v>
      </c>
      <c r="F30" s="138">
        <f t="shared" si="37"/>
        <v>15</v>
      </c>
      <c r="G30" s="138">
        <f t="shared" si="37"/>
        <v>15</v>
      </c>
      <c r="H30" s="138">
        <f t="shared" si="37"/>
        <v>15</v>
      </c>
      <c r="I30" s="138">
        <f t="shared" si="37"/>
        <v>15</v>
      </c>
      <c r="J30" s="138">
        <f t="shared" si="37"/>
        <v>15</v>
      </c>
      <c r="K30" s="138">
        <f t="shared" si="37"/>
        <v>15</v>
      </c>
      <c r="L30" s="138">
        <f t="shared" si="37"/>
        <v>15</v>
      </c>
      <c r="M30" s="138">
        <f t="shared" si="37"/>
        <v>15</v>
      </c>
      <c r="N30" s="138">
        <f t="shared" si="37"/>
        <v>14</v>
      </c>
      <c r="O30" s="138">
        <f t="shared" si="37"/>
        <v>15</v>
      </c>
      <c r="P30" s="138">
        <f t="shared" si="37"/>
        <v>15</v>
      </c>
      <c r="Q30" s="138">
        <f t="shared" si="37"/>
        <v>15</v>
      </c>
      <c r="R30" s="138">
        <f t="shared" si="37"/>
        <v>15</v>
      </c>
      <c r="S30" s="138">
        <f t="shared" si="37"/>
        <v>15</v>
      </c>
      <c r="T30" s="138">
        <f t="shared" si="37"/>
        <v>15</v>
      </c>
      <c r="U30" s="138">
        <f t="shared" si="37"/>
        <v>15</v>
      </c>
      <c r="V30" s="138">
        <f t="shared" si="37"/>
        <v>15</v>
      </c>
      <c r="W30" s="138">
        <f t="shared" si="37"/>
        <v>15</v>
      </c>
      <c r="X30" s="138">
        <f t="shared" si="37"/>
        <v>15</v>
      </c>
      <c r="Y30" s="138">
        <f t="shared" si="37"/>
        <v>15</v>
      </c>
      <c r="Z30" s="138">
        <f t="shared" si="37"/>
        <v>15</v>
      </c>
      <c r="AA30" s="138">
        <f t="shared" si="37"/>
        <v>15</v>
      </c>
      <c r="AB30" s="138">
        <f t="shared" si="37"/>
        <v>15</v>
      </c>
      <c r="AC30" s="138">
        <f t="shared" si="37"/>
        <v>15</v>
      </c>
      <c r="AD30" s="138">
        <f t="shared" si="37"/>
        <v>15</v>
      </c>
      <c r="AE30" s="138">
        <f t="shared" si="37"/>
        <v>15</v>
      </c>
      <c r="AF30" s="138">
        <f t="shared" si="37"/>
        <v>15</v>
      </c>
      <c r="AG30" s="138">
        <f t="shared" si="37"/>
        <v>15</v>
      </c>
      <c r="AH30" s="138">
        <f t="shared" si="37"/>
        <v>15</v>
      </c>
    </row>
    <row r="32" spans="1:34" x14ac:dyDescent="0.35">
      <c r="B32" t="s">
        <v>165</v>
      </c>
    </row>
    <row r="33" spans="2:4" ht="15" thickBot="1" x14ac:dyDescent="0.4"/>
    <row r="34" spans="2:4" x14ac:dyDescent="0.35">
      <c r="B34" t="s">
        <v>166</v>
      </c>
      <c r="D34" s="112"/>
    </row>
    <row r="35" spans="2:4" ht="15" thickBot="1" x14ac:dyDescent="0.4">
      <c r="B35" t="s">
        <v>167</v>
      </c>
      <c r="D35" s="129"/>
    </row>
    <row r="36" spans="2:4" ht="15" thickBot="1" x14ac:dyDescent="0.4">
      <c r="B36" t="s">
        <v>168</v>
      </c>
      <c r="D36" s="133"/>
    </row>
    <row r="37" spans="2:4" ht="15" thickBot="1" x14ac:dyDescent="0.4">
      <c r="B37" t="s">
        <v>24</v>
      </c>
      <c r="D37" s="153"/>
    </row>
    <row r="38" spans="2:4" x14ac:dyDescent="0.35">
      <c r="B38" t="s">
        <v>169</v>
      </c>
      <c r="D38" s="154"/>
    </row>
    <row r="39" spans="2:4" x14ac:dyDescent="0.35">
      <c r="B39" t="s">
        <v>32</v>
      </c>
      <c r="D39" s="131"/>
    </row>
    <row r="40" spans="2:4" x14ac:dyDescent="0.35">
      <c r="B40" t="s">
        <v>33</v>
      </c>
      <c r="D40" s="155"/>
    </row>
    <row r="41" spans="2:4" ht="15" thickBot="1" x14ac:dyDescent="0.4">
      <c r="B41" t="s">
        <v>170</v>
      </c>
      <c r="D41" s="156"/>
    </row>
  </sheetData>
  <mergeCells count="3">
    <mergeCell ref="A4:A9"/>
    <mergeCell ref="A11:A15"/>
    <mergeCell ref="A17:A21"/>
  </mergeCells>
  <conditionalFormatting sqref="H23:I26">
    <cfRule type="cellIs" dxfId="185" priority="9" operator="lessThan">
      <formula>2</formula>
    </cfRule>
  </conditionalFormatting>
  <conditionalFormatting sqref="C23:G26">
    <cfRule type="cellIs" dxfId="184" priority="8" operator="lessThan">
      <formula>3</formula>
    </cfRule>
  </conditionalFormatting>
  <conditionalFormatting sqref="O23:P26">
    <cfRule type="cellIs" dxfId="183" priority="7" operator="lessThan">
      <formula>2</formula>
    </cfRule>
  </conditionalFormatting>
  <conditionalFormatting sqref="J23:N26">
    <cfRule type="cellIs" dxfId="182" priority="6" operator="lessThan">
      <formula>3</formula>
    </cfRule>
  </conditionalFormatting>
  <conditionalFormatting sqref="V23:W26">
    <cfRule type="cellIs" dxfId="181" priority="5" operator="lessThan">
      <formula>2</formula>
    </cfRule>
  </conditionalFormatting>
  <conditionalFormatting sqref="Q23:U26">
    <cfRule type="cellIs" dxfId="180" priority="4" operator="lessThan">
      <formula>3</formula>
    </cfRule>
  </conditionalFormatting>
  <conditionalFormatting sqref="AC23:AD26">
    <cfRule type="cellIs" dxfId="179" priority="3" operator="lessThan">
      <formula>2</formula>
    </cfRule>
  </conditionalFormatting>
  <conditionalFormatting sqref="X23:AB26">
    <cfRule type="cellIs" dxfId="178" priority="2" operator="lessThan">
      <formula>3</formula>
    </cfRule>
  </conditionalFormatting>
  <conditionalFormatting sqref="AE23:AH26">
    <cfRule type="cellIs" dxfId="177" priority="1" operator="lessThan">
      <formula>3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AK41"/>
  <sheetViews>
    <sheetView topLeftCell="B2" zoomScale="71" zoomScaleNormal="71" workbookViewId="0">
      <pane xSplit="1" topLeftCell="Q1" activePane="topRight" state="frozen"/>
      <selection activeCell="B1" sqref="B1"/>
      <selection pane="topRight" activeCell="AF17" sqref="AF17"/>
    </sheetView>
  </sheetViews>
  <sheetFormatPr defaultRowHeight="14.5" x14ac:dyDescent="0.35"/>
  <cols>
    <col min="1" max="1" width="0" hidden="1" customWidth="1"/>
    <col min="2" max="2" width="21.26953125" bestFit="1" customWidth="1"/>
    <col min="3" max="5" width="8.7265625" hidden="1" customWidth="1"/>
    <col min="6" max="35" width="8.7265625" customWidth="1"/>
    <col min="36" max="37" width="8.7265625" hidden="1" customWidth="1"/>
  </cols>
  <sheetData>
    <row r="2" spans="1:37" x14ac:dyDescent="0.35">
      <c r="B2" s="30"/>
      <c r="C2" s="2" t="str">
        <f t="shared" ref="C2:AK2" si="0">TEXT(C3,"ddd")</f>
        <v>Mon</v>
      </c>
      <c r="D2" s="2" t="str">
        <f t="shared" si="0"/>
        <v>Tue</v>
      </c>
      <c r="E2" s="3" t="str">
        <f t="shared" si="0"/>
        <v>Wed</v>
      </c>
      <c r="F2" s="2" t="str">
        <f t="shared" si="0"/>
        <v>Thu</v>
      </c>
      <c r="G2" s="2" t="str">
        <f t="shared" si="0"/>
        <v>Fri</v>
      </c>
      <c r="H2" s="2" t="str">
        <f t="shared" si="0"/>
        <v>Sat</v>
      </c>
      <c r="I2" s="2" t="str">
        <f t="shared" si="0"/>
        <v>Sun</v>
      </c>
      <c r="J2" s="2" t="str">
        <f t="shared" si="0"/>
        <v>Mon</v>
      </c>
      <c r="K2" s="2" t="str">
        <f t="shared" si="0"/>
        <v>Tue</v>
      </c>
      <c r="L2" s="2" t="str">
        <f t="shared" si="0"/>
        <v>Wed</v>
      </c>
      <c r="M2" s="2" t="str">
        <f t="shared" si="0"/>
        <v>Thu</v>
      </c>
      <c r="N2" s="2" t="str">
        <f t="shared" si="0"/>
        <v>Fri</v>
      </c>
      <c r="O2" s="2" t="str">
        <f t="shared" si="0"/>
        <v>Sat</v>
      </c>
      <c r="P2" s="2" t="str">
        <f t="shared" si="0"/>
        <v>Sun</v>
      </c>
      <c r="Q2" s="2" t="str">
        <f t="shared" si="0"/>
        <v>Mon</v>
      </c>
      <c r="R2" s="2" t="str">
        <f t="shared" si="0"/>
        <v>Tue</v>
      </c>
      <c r="S2" s="2" t="str">
        <f t="shared" si="0"/>
        <v>Wed</v>
      </c>
      <c r="T2" s="2" t="str">
        <f t="shared" si="0"/>
        <v>Thu</v>
      </c>
      <c r="U2" s="2" t="str">
        <f t="shared" si="0"/>
        <v>Fri</v>
      </c>
      <c r="V2" s="2" t="str">
        <f t="shared" si="0"/>
        <v>Sat</v>
      </c>
      <c r="W2" s="2" t="str">
        <f t="shared" si="0"/>
        <v>Sun</v>
      </c>
      <c r="X2" s="2" t="str">
        <f t="shared" si="0"/>
        <v>Mon</v>
      </c>
      <c r="Y2" s="2" t="str">
        <f t="shared" si="0"/>
        <v>Tue</v>
      </c>
      <c r="Z2" s="2" t="str">
        <f t="shared" si="0"/>
        <v>Wed</v>
      </c>
      <c r="AA2" s="2" t="str">
        <f t="shared" si="0"/>
        <v>Thu</v>
      </c>
      <c r="AB2" s="2" t="str">
        <f t="shared" si="0"/>
        <v>Fri</v>
      </c>
      <c r="AC2" s="2" t="str">
        <f t="shared" si="0"/>
        <v>Sat</v>
      </c>
      <c r="AD2" s="2" t="str">
        <f t="shared" si="0"/>
        <v>Sun</v>
      </c>
      <c r="AE2" s="2" t="str">
        <f t="shared" si="0"/>
        <v>Mon</v>
      </c>
      <c r="AF2" s="2" t="str">
        <f t="shared" si="0"/>
        <v>Tue</v>
      </c>
      <c r="AG2" s="2" t="str">
        <f t="shared" si="0"/>
        <v>Wed</v>
      </c>
      <c r="AH2" s="2" t="str">
        <f t="shared" si="0"/>
        <v>Thu</v>
      </c>
      <c r="AI2" s="2" t="str">
        <f t="shared" si="0"/>
        <v>Fri</v>
      </c>
      <c r="AJ2" s="2" t="str">
        <f t="shared" si="0"/>
        <v>Sat</v>
      </c>
      <c r="AK2" s="2" t="str">
        <f t="shared" si="0"/>
        <v>Sun</v>
      </c>
    </row>
    <row r="3" spans="1:37" x14ac:dyDescent="0.35">
      <c r="A3" s="145" t="s">
        <v>127</v>
      </c>
      <c r="B3" s="104" t="s">
        <v>0</v>
      </c>
      <c r="C3" s="31">
        <v>44802</v>
      </c>
      <c r="D3" s="31">
        <v>44803</v>
      </c>
      <c r="E3" s="50">
        <v>44804</v>
      </c>
      <c r="F3" s="31">
        <v>44805</v>
      </c>
      <c r="G3" s="31">
        <v>44806</v>
      </c>
      <c r="H3" s="31">
        <v>44807</v>
      </c>
      <c r="I3" s="31">
        <v>44808</v>
      </c>
      <c r="J3" s="31">
        <v>44809</v>
      </c>
      <c r="K3" s="31">
        <v>44810</v>
      </c>
      <c r="L3" s="31">
        <v>44811</v>
      </c>
      <c r="M3" s="31">
        <v>44812</v>
      </c>
      <c r="N3" s="31">
        <v>44813</v>
      </c>
      <c r="O3" s="31">
        <v>44814</v>
      </c>
      <c r="P3" s="31">
        <v>44815</v>
      </c>
      <c r="Q3" s="31">
        <v>44816</v>
      </c>
      <c r="R3" s="31">
        <v>44817</v>
      </c>
      <c r="S3" s="31">
        <v>44818</v>
      </c>
      <c r="T3" s="31">
        <v>44819</v>
      </c>
      <c r="U3" s="31">
        <v>44820</v>
      </c>
      <c r="V3" s="31">
        <v>44821</v>
      </c>
      <c r="W3" s="31">
        <v>44822</v>
      </c>
      <c r="X3" s="31">
        <v>44823</v>
      </c>
      <c r="Y3" s="31">
        <v>44824</v>
      </c>
      <c r="Z3" s="31">
        <v>44825</v>
      </c>
      <c r="AA3" s="31">
        <v>44826</v>
      </c>
      <c r="AB3" s="31">
        <v>44827</v>
      </c>
      <c r="AC3" s="31">
        <v>44828</v>
      </c>
      <c r="AD3" s="31">
        <v>44829</v>
      </c>
      <c r="AE3" s="31">
        <v>44830</v>
      </c>
      <c r="AF3" s="31">
        <v>44831</v>
      </c>
      <c r="AG3" s="31">
        <v>44832</v>
      </c>
      <c r="AH3" s="31">
        <v>44833</v>
      </c>
      <c r="AI3" s="31">
        <v>44834</v>
      </c>
      <c r="AJ3" s="31">
        <v>44835</v>
      </c>
      <c r="AK3" s="31">
        <v>44836</v>
      </c>
    </row>
    <row r="4" spans="1:37" ht="15" thickBot="1" x14ac:dyDescent="0.4">
      <c r="A4" s="255" t="s">
        <v>152</v>
      </c>
      <c r="B4" s="105"/>
      <c r="C4" s="106"/>
      <c r="D4" s="106"/>
      <c r="E4" s="157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</row>
    <row r="5" spans="1:37" ht="15" thickBot="1" x14ac:dyDescent="0.4">
      <c r="A5" s="255"/>
      <c r="B5" s="146" t="s">
        <v>14</v>
      </c>
      <c r="C5" s="109" t="s">
        <v>5</v>
      </c>
      <c r="D5" s="109" t="s">
        <v>5</v>
      </c>
      <c r="E5" s="124" t="s">
        <v>37</v>
      </c>
      <c r="F5" s="112" t="s">
        <v>6</v>
      </c>
      <c r="G5" s="112" t="s">
        <v>6</v>
      </c>
      <c r="H5" s="112" t="s">
        <v>3</v>
      </c>
      <c r="I5" s="108" t="s">
        <v>4</v>
      </c>
      <c r="J5" s="127" t="s">
        <v>41</v>
      </c>
      <c r="K5" s="127" t="s">
        <v>41</v>
      </c>
      <c r="L5" s="109" t="s">
        <v>5</v>
      </c>
      <c r="M5" s="109" t="s">
        <v>5</v>
      </c>
      <c r="N5" s="109" t="s">
        <v>5</v>
      </c>
      <c r="O5" s="19" t="s">
        <v>42</v>
      </c>
      <c r="P5" s="108" t="s">
        <v>4</v>
      </c>
      <c r="Q5" s="113" t="s">
        <v>2</v>
      </c>
      <c r="R5" s="127" t="s">
        <v>41</v>
      </c>
      <c r="S5" s="127" t="s">
        <v>41</v>
      </c>
      <c r="T5" s="127" t="s">
        <v>41</v>
      </c>
      <c r="U5" s="109" t="s">
        <v>5</v>
      </c>
      <c r="V5" s="109" t="s">
        <v>4</v>
      </c>
      <c r="W5" s="108" t="s">
        <v>4</v>
      </c>
      <c r="X5" s="113" t="s">
        <v>2</v>
      </c>
      <c r="Y5" s="127" t="s">
        <v>41</v>
      </c>
      <c r="Z5" s="127" t="s">
        <v>41</v>
      </c>
      <c r="AA5" s="127" t="s">
        <v>41</v>
      </c>
      <c r="AB5" s="152" t="s">
        <v>41</v>
      </c>
      <c r="AC5" s="110" t="s">
        <v>4</v>
      </c>
      <c r="AD5" s="19" t="s">
        <v>42</v>
      </c>
      <c r="AE5" s="152" t="s">
        <v>41</v>
      </c>
      <c r="AF5" s="152" t="s">
        <v>41</v>
      </c>
      <c r="AG5" s="152" t="s">
        <v>41</v>
      </c>
      <c r="AH5" s="152" t="s">
        <v>41</v>
      </c>
      <c r="AI5" s="152" t="s">
        <v>41</v>
      </c>
      <c r="AJ5" s="159" t="s">
        <v>4</v>
      </c>
      <c r="AK5" s="159" t="s">
        <v>4</v>
      </c>
    </row>
    <row r="6" spans="1:37" ht="15" thickBot="1" x14ac:dyDescent="0.4">
      <c r="A6" s="255"/>
      <c r="B6" s="147" t="s">
        <v>12</v>
      </c>
      <c r="C6" s="114" t="s">
        <v>6</v>
      </c>
      <c r="D6" s="114" t="s">
        <v>6</v>
      </c>
      <c r="E6" s="160" t="s">
        <v>3</v>
      </c>
      <c r="F6" s="112" t="s">
        <v>6</v>
      </c>
      <c r="G6" s="111" t="s">
        <v>2</v>
      </c>
      <c r="H6" s="110" t="s">
        <v>4</v>
      </c>
      <c r="I6" s="129" t="s">
        <v>42</v>
      </c>
      <c r="J6" s="129" t="s">
        <v>41</v>
      </c>
      <c r="K6" s="125" t="s">
        <v>2</v>
      </c>
      <c r="L6" s="129" t="s">
        <v>41</v>
      </c>
      <c r="M6" s="129" t="s">
        <v>41</v>
      </c>
      <c r="N6" s="129" t="s">
        <v>41</v>
      </c>
      <c r="O6" s="110" t="s">
        <v>4</v>
      </c>
      <c r="P6" s="129" t="s">
        <v>42</v>
      </c>
      <c r="Q6" s="129" t="s">
        <v>41</v>
      </c>
      <c r="R6" s="129" t="s">
        <v>41</v>
      </c>
      <c r="S6" s="111" t="s">
        <v>2</v>
      </c>
      <c r="T6" s="111" t="s">
        <v>2</v>
      </c>
      <c r="U6" s="129" t="s">
        <v>41</v>
      </c>
      <c r="V6" s="129" t="s">
        <v>42</v>
      </c>
      <c r="W6" s="129" t="s">
        <v>42</v>
      </c>
      <c r="X6" s="129" t="s">
        <v>41</v>
      </c>
      <c r="Y6" s="116" t="s">
        <v>5</v>
      </c>
      <c r="Z6" s="116" t="s">
        <v>5</v>
      </c>
      <c r="AA6" s="116" t="s">
        <v>5</v>
      </c>
      <c r="AB6" s="116" t="s">
        <v>5</v>
      </c>
      <c r="AC6" s="110" t="s">
        <v>4</v>
      </c>
      <c r="AD6" s="123" t="s">
        <v>4</v>
      </c>
      <c r="AE6" s="120" t="s">
        <v>5</v>
      </c>
      <c r="AF6" s="120" t="s">
        <v>5</v>
      </c>
      <c r="AG6" s="120" t="s">
        <v>5</v>
      </c>
      <c r="AH6" s="120" t="s">
        <v>5</v>
      </c>
      <c r="AI6" s="120" t="s">
        <v>5</v>
      </c>
      <c r="AJ6" s="19" t="s">
        <v>42</v>
      </c>
      <c r="AK6" s="161" t="s">
        <v>11</v>
      </c>
    </row>
    <row r="7" spans="1:37" ht="15" thickBot="1" x14ac:dyDescent="0.4">
      <c r="A7" s="255"/>
      <c r="B7" s="149" t="s">
        <v>75</v>
      </c>
      <c r="C7" s="121" t="s">
        <v>6</v>
      </c>
      <c r="D7" s="121" t="s">
        <v>6</v>
      </c>
      <c r="E7" s="160" t="s">
        <v>3</v>
      </c>
      <c r="F7" s="112" t="s">
        <v>3</v>
      </c>
      <c r="G7" s="117" t="s">
        <v>2</v>
      </c>
      <c r="H7" s="119" t="s">
        <v>4</v>
      </c>
      <c r="I7" s="130" t="s">
        <v>42</v>
      </c>
      <c r="J7" s="130" t="s">
        <v>41</v>
      </c>
      <c r="K7" s="130" t="s">
        <v>41</v>
      </c>
      <c r="L7" s="143" t="s">
        <v>41</v>
      </c>
      <c r="M7" s="143" t="s">
        <v>41</v>
      </c>
      <c r="N7" s="117" t="s">
        <v>2</v>
      </c>
      <c r="O7" s="119" t="s">
        <v>4</v>
      </c>
      <c r="P7" s="130" t="s">
        <v>42</v>
      </c>
      <c r="Q7" s="143" t="s">
        <v>41</v>
      </c>
      <c r="R7" s="143" t="s">
        <v>41</v>
      </c>
      <c r="S7" s="143" t="s">
        <v>41</v>
      </c>
      <c r="T7" s="143" t="s">
        <v>41</v>
      </c>
      <c r="U7" s="117" t="s">
        <v>2</v>
      </c>
      <c r="V7" s="119" t="s">
        <v>4</v>
      </c>
      <c r="W7" s="130" t="s">
        <v>42</v>
      </c>
      <c r="X7" s="130" t="s">
        <v>41</v>
      </c>
      <c r="Y7" s="130" t="s">
        <v>41</v>
      </c>
      <c r="Z7" s="130" t="s">
        <v>41</v>
      </c>
      <c r="AA7" s="130" t="s">
        <v>41</v>
      </c>
      <c r="AB7" s="117" t="s">
        <v>2</v>
      </c>
      <c r="AC7" s="119" t="s">
        <v>4</v>
      </c>
      <c r="AD7" s="19" t="s">
        <v>42</v>
      </c>
      <c r="AE7" s="19" t="s">
        <v>41</v>
      </c>
      <c r="AF7" s="120" t="s">
        <v>5</v>
      </c>
      <c r="AG7" s="120" t="s">
        <v>5</v>
      </c>
      <c r="AH7" s="120" t="s">
        <v>5</v>
      </c>
      <c r="AI7" s="19" t="s">
        <v>41</v>
      </c>
      <c r="AJ7" s="119" t="s">
        <v>4</v>
      </c>
      <c r="AK7" s="136" t="s">
        <v>11</v>
      </c>
    </row>
    <row r="8" spans="1:37" ht="15" thickBot="1" x14ac:dyDescent="0.4">
      <c r="A8" s="255"/>
      <c r="B8" s="150" t="s">
        <v>77</v>
      </c>
      <c r="C8" s="25" t="s">
        <v>6</v>
      </c>
      <c r="D8" s="25" t="s">
        <v>6</v>
      </c>
      <c r="E8" s="160" t="s">
        <v>3</v>
      </c>
      <c r="F8" s="125" t="s">
        <v>2</v>
      </c>
      <c r="G8" s="25" t="s">
        <v>6</v>
      </c>
      <c r="H8" s="25" t="s">
        <v>3</v>
      </c>
      <c r="I8" s="123" t="s">
        <v>4</v>
      </c>
      <c r="J8" s="125" t="s">
        <v>2</v>
      </c>
      <c r="K8" s="130" t="s">
        <v>41</v>
      </c>
      <c r="L8" s="19" t="s">
        <v>41</v>
      </c>
      <c r="M8" s="19" t="s">
        <v>41</v>
      </c>
      <c r="N8" s="19" t="s">
        <v>41</v>
      </c>
      <c r="O8" s="126" t="s">
        <v>30</v>
      </c>
      <c r="P8" s="123" t="s">
        <v>4</v>
      </c>
      <c r="Q8" s="125" t="s">
        <v>2</v>
      </c>
      <c r="R8" s="22" t="s">
        <v>16</v>
      </c>
      <c r="S8" s="19" t="s">
        <v>41</v>
      </c>
      <c r="T8" s="19" t="s">
        <v>41</v>
      </c>
      <c r="U8" s="19" t="s">
        <v>41</v>
      </c>
      <c r="V8" s="19" t="s">
        <v>42</v>
      </c>
      <c r="W8" s="123" t="s">
        <v>4</v>
      </c>
      <c r="X8" s="125" t="s">
        <v>2</v>
      </c>
      <c r="Y8" s="19" t="s">
        <v>41</v>
      </c>
      <c r="Z8" s="19" t="s">
        <v>41</v>
      </c>
      <c r="AA8" s="19" t="s">
        <v>41</v>
      </c>
      <c r="AB8" s="19" t="s">
        <v>41</v>
      </c>
      <c r="AC8" s="19" t="s">
        <v>42</v>
      </c>
      <c r="AD8" s="123" t="s">
        <v>4</v>
      </c>
      <c r="AE8" s="125" t="s">
        <v>2</v>
      </c>
      <c r="AF8" s="19" t="s">
        <v>41</v>
      </c>
      <c r="AG8" s="19" t="s">
        <v>41</v>
      </c>
      <c r="AH8" s="19" t="s">
        <v>41</v>
      </c>
      <c r="AI8" s="19" t="s">
        <v>41</v>
      </c>
      <c r="AJ8" s="19" t="s">
        <v>42</v>
      </c>
      <c r="AK8" s="123" t="s">
        <v>4</v>
      </c>
    </row>
    <row r="9" spans="1:37" ht="15" thickBot="1" x14ac:dyDescent="0.4">
      <c r="A9" s="255"/>
      <c r="B9" s="150" t="s">
        <v>76</v>
      </c>
      <c r="C9" s="25" t="s">
        <v>6</v>
      </c>
      <c r="D9" s="116" t="s">
        <v>2</v>
      </c>
      <c r="E9" s="160" t="s">
        <v>3</v>
      </c>
      <c r="F9" s="25" t="s">
        <v>6</v>
      </c>
      <c r="G9" s="25" t="s">
        <v>6</v>
      </c>
      <c r="H9" s="126" t="s">
        <v>30</v>
      </c>
      <c r="I9" s="123" t="s">
        <v>4</v>
      </c>
      <c r="J9" s="125" t="s">
        <v>2</v>
      </c>
      <c r="K9" s="130" t="s">
        <v>41</v>
      </c>
      <c r="L9" s="22" t="s">
        <v>16</v>
      </c>
      <c r="M9" s="22" t="s">
        <v>16</v>
      </c>
      <c r="N9" s="19" t="s">
        <v>41</v>
      </c>
      <c r="O9" s="19" t="s">
        <v>42</v>
      </c>
      <c r="P9" s="123" t="s">
        <v>4</v>
      </c>
      <c r="Q9" s="19" t="s">
        <v>41</v>
      </c>
      <c r="R9" s="125" t="s">
        <v>2</v>
      </c>
      <c r="S9" s="79" t="s">
        <v>16</v>
      </c>
      <c r="T9" s="79" t="s">
        <v>16</v>
      </c>
      <c r="U9" s="142" t="s">
        <v>41</v>
      </c>
      <c r="V9" s="123" t="s">
        <v>4</v>
      </c>
      <c r="W9" s="123" t="s">
        <v>4</v>
      </c>
      <c r="X9" s="142" t="s">
        <v>41</v>
      </c>
      <c r="Y9" s="79" t="s">
        <v>16</v>
      </c>
      <c r="Z9" s="142" t="s">
        <v>41</v>
      </c>
      <c r="AA9" s="79" t="s">
        <v>16</v>
      </c>
      <c r="AB9" s="142" t="s">
        <v>41</v>
      </c>
      <c r="AC9" s="123" t="s">
        <v>4</v>
      </c>
      <c r="AD9" s="123" t="s">
        <v>4</v>
      </c>
      <c r="AE9" s="19" t="s">
        <v>41</v>
      </c>
      <c r="AF9" s="19" t="s">
        <v>41</v>
      </c>
      <c r="AG9" s="19" t="s">
        <v>41</v>
      </c>
      <c r="AH9" s="19" t="s">
        <v>41</v>
      </c>
      <c r="AI9" s="19" t="s">
        <v>41</v>
      </c>
      <c r="AJ9" s="123" t="s">
        <v>4</v>
      </c>
      <c r="AK9" s="123" t="s">
        <v>4</v>
      </c>
    </row>
    <row r="10" spans="1:37" ht="15" thickBot="1" x14ac:dyDescent="0.4"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  <c r="AI10" s="151"/>
      <c r="AJ10" s="151"/>
    </row>
    <row r="11" spans="1:37" ht="15" thickBot="1" x14ac:dyDescent="0.4">
      <c r="A11" s="255" t="s">
        <v>153</v>
      </c>
      <c r="B11" s="146" t="s">
        <v>9</v>
      </c>
      <c r="C11" s="113" t="s">
        <v>2</v>
      </c>
      <c r="D11" s="127" t="s">
        <v>41</v>
      </c>
      <c r="E11" s="162" t="s">
        <v>42</v>
      </c>
      <c r="F11" s="152" t="s">
        <v>41</v>
      </c>
      <c r="G11" s="152" t="s">
        <v>41</v>
      </c>
      <c r="H11" s="123" t="s">
        <v>4</v>
      </c>
      <c r="I11" s="133" t="s">
        <v>11</v>
      </c>
      <c r="J11" s="113" t="s">
        <v>2</v>
      </c>
      <c r="K11" s="132" t="s">
        <v>10</v>
      </c>
      <c r="L11" s="132" t="s">
        <v>10</v>
      </c>
      <c r="M11" s="132" t="s">
        <v>10</v>
      </c>
      <c r="N11" s="113" t="s">
        <v>2</v>
      </c>
      <c r="O11" s="109" t="s">
        <v>5</v>
      </c>
      <c r="P11" s="133" t="s">
        <v>11</v>
      </c>
      <c r="Q11" s="132" t="s">
        <v>10</v>
      </c>
      <c r="R11" s="132" t="s">
        <v>10</v>
      </c>
      <c r="S11" s="132" t="s">
        <v>10</v>
      </c>
      <c r="T11" s="132" t="s">
        <v>10</v>
      </c>
      <c r="U11" s="132" t="s">
        <v>10</v>
      </c>
      <c r="V11" s="123" t="s">
        <v>4</v>
      </c>
      <c r="W11" s="132" t="s">
        <v>11</v>
      </c>
      <c r="X11" s="133" t="s">
        <v>10</v>
      </c>
      <c r="Y11" s="132" t="s">
        <v>10</v>
      </c>
      <c r="Z11" s="132" t="s">
        <v>10</v>
      </c>
      <c r="AA11" s="132" t="s">
        <v>10</v>
      </c>
      <c r="AB11" s="109" t="s">
        <v>5</v>
      </c>
      <c r="AC11" s="109" t="s">
        <v>4</v>
      </c>
      <c r="AD11" s="133" t="s">
        <v>11</v>
      </c>
      <c r="AE11" s="133" t="s">
        <v>10</v>
      </c>
      <c r="AF11" s="132" t="s">
        <v>10</v>
      </c>
      <c r="AG11" s="132" t="s">
        <v>10</v>
      </c>
      <c r="AH11" s="132" t="s">
        <v>10</v>
      </c>
      <c r="AI11" s="132" t="s">
        <v>10</v>
      </c>
      <c r="AJ11" s="159" t="s">
        <v>4</v>
      </c>
      <c r="AK11" s="25" t="s">
        <v>3</v>
      </c>
    </row>
    <row r="12" spans="1:37" ht="15" thickBot="1" x14ac:dyDescent="0.4">
      <c r="A12" s="255"/>
      <c r="B12" s="147" t="s">
        <v>15</v>
      </c>
      <c r="C12" s="129" t="s">
        <v>41</v>
      </c>
      <c r="D12" s="129" t="s">
        <v>41</v>
      </c>
      <c r="E12" s="111" t="s">
        <v>2</v>
      </c>
      <c r="F12" s="116" t="s">
        <v>5</v>
      </c>
      <c r="G12" s="116" t="s">
        <v>2</v>
      </c>
      <c r="H12" s="116" t="s">
        <v>4</v>
      </c>
      <c r="I12" s="116" t="s">
        <v>4</v>
      </c>
      <c r="J12" s="133" t="s">
        <v>10</v>
      </c>
      <c r="K12" s="133" t="s">
        <v>10</v>
      </c>
      <c r="L12" s="111" t="s">
        <v>2</v>
      </c>
      <c r="M12" s="111" t="s">
        <v>2</v>
      </c>
      <c r="N12" s="133" t="s">
        <v>10</v>
      </c>
      <c r="O12" s="133" t="s">
        <v>11</v>
      </c>
      <c r="P12" s="123" t="s">
        <v>4</v>
      </c>
      <c r="Q12" s="133" t="s">
        <v>10</v>
      </c>
      <c r="R12" s="133" t="s">
        <v>10</v>
      </c>
      <c r="S12" s="111" t="s">
        <v>2</v>
      </c>
      <c r="T12" s="133" t="s">
        <v>10</v>
      </c>
      <c r="U12" s="133" t="s">
        <v>10</v>
      </c>
      <c r="V12" s="133" t="s">
        <v>11</v>
      </c>
      <c r="W12" s="123" t="s">
        <v>4</v>
      </c>
      <c r="X12" s="133" t="s">
        <v>10</v>
      </c>
      <c r="Y12" s="133" t="s">
        <v>10</v>
      </c>
      <c r="Z12" s="111" t="s">
        <v>2</v>
      </c>
      <c r="AA12" s="111" t="s">
        <v>2</v>
      </c>
      <c r="AB12" s="133" t="s">
        <v>10</v>
      </c>
      <c r="AC12" s="133" t="s">
        <v>11</v>
      </c>
      <c r="AD12" s="108" t="s">
        <v>4</v>
      </c>
      <c r="AE12" s="133" t="s">
        <v>10</v>
      </c>
      <c r="AF12" s="133" t="s">
        <v>10</v>
      </c>
      <c r="AG12" s="132" t="s">
        <v>10</v>
      </c>
      <c r="AH12" s="111" t="s">
        <v>2</v>
      </c>
      <c r="AI12" s="132" t="s">
        <v>10</v>
      </c>
      <c r="AJ12" s="132" t="s">
        <v>11</v>
      </c>
      <c r="AK12" s="159" t="s">
        <v>4</v>
      </c>
    </row>
    <row r="13" spans="1:37" ht="15" thickBot="1" x14ac:dyDescent="0.4">
      <c r="A13" s="255"/>
      <c r="B13" s="149" t="s">
        <v>21</v>
      </c>
      <c r="C13" s="117" t="s">
        <v>2</v>
      </c>
      <c r="D13" s="117" t="s">
        <v>2</v>
      </c>
      <c r="E13" s="162" t="s">
        <v>42</v>
      </c>
      <c r="F13" s="130" t="s">
        <v>41</v>
      </c>
      <c r="G13" s="130" t="s">
        <v>41</v>
      </c>
      <c r="H13" s="130" t="s">
        <v>42</v>
      </c>
      <c r="I13" s="119" t="s">
        <v>4</v>
      </c>
      <c r="J13" s="117" t="s">
        <v>2</v>
      </c>
      <c r="K13" s="117" t="s">
        <v>2</v>
      </c>
      <c r="L13" s="136" t="s">
        <v>10</v>
      </c>
      <c r="M13" s="136" t="s">
        <v>10</v>
      </c>
      <c r="N13" s="136" t="s">
        <v>10</v>
      </c>
      <c r="O13" s="136" t="s">
        <v>11</v>
      </c>
      <c r="P13" s="123" t="s">
        <v>4</v>
      </c>
      <c r="Q13" s="117" t="s">
        <v>2</v>
      </c>
      <c r="R13" s="117" t="s">
        <v>2</v>
      </c>
      <c r="S13" s="136" t="s">
        <v>10</v>
      </c>
      <c r="T13" s="136" t="s">
        <v>10</v>
      </c>
      <c r="U13" s="136" t="s">
        <v>10</v>
      </c>
      <c r="V13" s="136" t="s">
        <v>11</v>
      </c>
      <c r="W13" s="119" t="s">
        <v>4</v>
      </c>
      <c r="X13" s="117" t="s">
        <v>2</v>
      </c>
      <c r="Y13" s="136" t="s">
        <v>10</v>
      </c>
      <c r="Z13" s="136" t="s">
        <v>10</v>
      </c>
      <c r="AA13" s="136" t="s">
        <v>10</v>
      </c>
      <c r="AB13" s="136" t="s">
        <v>10</v>
      </c>
      <c r="AC13" s="108" t="s">
        <v>4</v>
      </c>
      <c r="AD13" s="136" t="s">
        <v>11</v>
      </c>
      <c r="AE13" s="117" t="s">
        <v>2</v>
      </c>
      <c r="AF13" s="117" t="s">
        <v>2</v>
      </c>
      <c r="AG13" s="120" t="s">
        <v>5</v>
      </c>
      <c r="AH13" s="136" t="s">
        <v>10</v>
      </c>
      <c r="AI13" s="136" t="s">
        <v>10</v>
      </c>
      <c r="AJ13" s="136" t="s">
        <v>11</v>
      </c>
      <c r="AK13" s="119" t="s">
        <v>4</v>
      </c>
    </row>
    <row r="14" spans="1:37" ht="15" thickBot="1" x14ac:dyDescent="0.4">
      <c r="A14" s="255"/>
      <c r="B14" s="150" t="s">
        <v>22</v>
      </c>
      <c r="C14" s="19" t="s">
        <v>41</v>
      </c>
      <c r="D14" s="19" t="s">
        <v>41</v>
      </c>
      <c r="E14" s="162" t="s">
        <v>42</v>
      </c>
      <c r="F14" s="130" t="s">
        <v>41</v>
      </c>
      <c r="G14" s="125" t="s">
        <v>2</v>
      </c>
      <c r="H14" s="130" t="s">
        <v>42</v>
      </c>
      <c r="I14" s="16" t="s">
        <v>11</v>
      </c>
      <c r="J14" s="16" t="s">
        <v>10</v>
      </c>
      <c r="K14" s="16" t="s">
        <v>10</v>
      </c>
      <c r="L14" s="16" t="s">
        <v>10</v>
      </c>
      <c r="M14" s="125" t="s">
        <v>2</v>
      </c>
      <c r="N14" s="125" t="s">
        <v>2</v>
      </c>
      <c r="O14" s="16" t="s">
        <v>11</v>
      </c>
      <c r="P14" s="16" t="s">
        <v>11</v>
      </c>
      <c r="Q14" s="16" t="s">
        <v>10</v>
      </c>
      <c r="R14" s="16" t="s">
        <v>10</v>
      </c>
      <c r="S14" s="16" t="s">
        <v>10</v>
      </c>
      <c r="T14" s="125" t="s">
        <v>2</v>
      </c>
      <c r="U14" s="125" t="s">
        <v>2</v>
      </c>
      <c r="V14" s="133" t="s">
        <v>11</v>
      </c>
      <c r="W14" s="16" t="s">
        <v>11</v>
      </c>
      <c r="X14" s="125" t="s">
        <v>2</v>
      </c>
      <c r="Y14" s="16" t="s">
        <v>10</v>
      </c>
      <c r="Z14" s="16" t="s">
        <v>10</v>
      </c>
      <c r="AA14" s="16" t="s">
        <v>10</v>
      </c>
      <c r="AB14" s="125" t="s">
        <v>2</v>
      </c>
      <c r="AC14" s="16" t="s">
        <v>11</v>
      </c>
      <c r="AD14" s="108" t="s">
        <v>4</v>
      </c>
      <c r="AE14" s="16" t="s">
        <v>10</v>
      </c>
      <c r="AF14" s="16" t="s">
        <v>10</v>
      </c>
      <c r="AG14" s="16" t="s">
        <v>10</v>
      </c>
      <c r="AH14" s="16" t="s">
        <v>10</v>
      </c>
      <c r="AI14" s="117" t="s">
        <v>2</v>
      </c>
      <c r="AJ14" s="110" t="s">
        <v>4</v>
      </c>
      <c r="AK14" s="78" t="s">
        <v>3</v>
      </c>
    </row>
    <row r="15" spans="1:37" x14ac:dyDescent="0.35">
      <c r="A15" s="255"/>
      <c r="B15" s="150" t="s">
        <v>155</v>
      </c>
      <c r="C15" s="19" t="s">
        <v>41</v>
      </c>
      <c r="D15" s="19" t="s">
        <v>41</v>
      </c>
      <c r="E15" s="126" t="s">
        <v>30</v>
      </c>
      <c r="F15" s="79" t="s">
        <v>16</v>
      </c>
      <c r="G15" s="142" t="s">
        <v>41</v>
      </c>
      <c r="H15" s="123" t="s">
        <v>4</v>
      </c>
      <c r="I15" s="16" t="s">
        <v>11</v>
      </c>
      <c r="J15" s="16" t="s">
        <v>10</v>
      </c>
      <c r="K15" s="125" t="s">
        <v>2</v>
      </c>
      <c r="L15" s="125" t="s">
        <v>2</v>
      </c>
      <c r="M15" s="16" t="s">
        <v>10</v>
      </c>
      <c r="N15" s="16" t="s">
        <v>10</v>
      </c>
      <c r="O15" s="123" t="s">
        <v>4</v>
      </c>
      <c r="P15" s="16" t="s">
        <v>11</v>
      </c>
      <c r="Q15" s="16" t="s">
        <v>10</v>
      </c>
      <c r="R15" s="16" t="s">
        <v>10</v>
      </c>
      <c r="S15" s="125" t="s">
        <v>2</v>
      </c>
      <c r="T15" s="16" t="s">
        <v>10</v>
      </c>
      <c r="U15" s="16" t="s">
        <v>10</v>
      </c>
      <c r="V15" s="123" t="s">
        <v>4</v>
      </c>
      <c r="W15" s="16" t="s">
        <v>11</v>
      </c>
      <c r="X15" s="16" t="s">
        <v>10</v>
      </c>
      <c r="Y15" s="125" t="s">
        <v>2</v>
      </c>
      <c r="Z15" s="22" t="s">
        <v>16</v>
      </c>
      <c r="AA15" s="16" t="s">
        <v>10</v>
      </c>
      <c r="AB15" s="16" t="s">
        <v>10</v>
      </c>
      <c r="AC15" s="16" t="s">
        <v>11</v>
      </c>
      <c r="AD15" s="16" t="s">
        <v>11</v>
      </c>
      <c r="AE15" s="16" t="s">
        <v>10</v>
      </c>
      <c r="AF15" s="125" t="s">
        <v>2</v>
      </c>
      <c r="AG15" s="125" t="s">
        <v>2</v>
      </c>
      <c r="AH15" s="143" t="s">
        <v>16</v>
      </c>
      <c r="AI15" s="16" t="s">
        <v>10</v>
      </c>
      <c r="AJ15" s="16" t="s">
        <v>11</v>
      </c>
      <c r="AK15" s="123" t="s">
        <v>4</v>
      </c>
    </row>
    <row r="16" spans="1:37" ht="15" thickBot="1" x14ac:dyDescent="0.4"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</row>
    <row r="17" spans="1:37" ht="15" thickBot="1" x14ac:dyDescent="0.4">
      <c r="A17" s="255" t="s">
        <v>154</v>
      </c>
      <c r="B17" s="146" t="s">
        <v>1</v>
      </c>
      <c r="C17" s="132" t="s">
        <v>10</v>
      </c>
      <c r="D17" s="132" t="s">
        <v>10</v>
      </c>
      <c r="E17" s="124" t="s">
        <v>37</v>
      </c>
      <c r="F17" s="132" t="s">
        <v>10</v>
      </c>
      <c r="G17" s="132" t="s">
        <v>10</v>
      </c>
      <c r="H17" s="108" t="s">
        <v>4</v>
      </c>
      <c r="I17" s="112" t="s">
        <v>3</v>
      </c>
      <c r="J17" s="112" t="s">
        <v>6</v>
      </c>
      <c r="K17" s="112" t="s">
        <v>6</v>
      </c>
      <c r="L17" s="112" t="s">
        <v>6</v>
      </c>
      <c r="M17" s="112" t="s">
        <v>6</v>
      </c>
      <c r="N17" s="113" t="s">
        <v>2</v>
      </c>
      <c r="O17" s="108" t="s">
        <v>4</v>
      </c>
      <c r="P17" s="112" t="s">
        <v>3</v>
      </c>
      <c r="Q17" s="112" t="s">
        <v>6</v>
      </c>
      <c r="R17" s="112" t="s">
        <v>6</v>
      </c>
      <c r="S17" s="112" t="s">
        <v>6</v>
      </c>
      <c r="T17" s="112" t="s">
        <v>6</v>
      </c>
      <c r="U17" s="113" t="s">
        <v>2</v>
      </c>
      <c r="V17" s="112" t="s">
        <v>3</v>
      </c>
      <c r="W17" s="112" t="s">
        <v>3</v>
      </c>
      <c r="X17" s="112" t="s">
        <v>6</v>
      </c>
      <c r="Y17" s="143" t="s">
        <v>6</v>
      </c>
      <c r="Z17" s="143" t="s">
        <v>6</v>
      </c>
      <c r="AA17" s="113" t="s">
        <v>2</v>
      </c>
      <c r="AB17" s="113" t="s">
        <v>2</v>
      </c>
      <c r="AC17" s="19" t="s">
        <v>42</v>
      </c>
      <c r="AD17" s="25" t="s">
        <v>3</v>
      </c>
      <c r="AE17" s="112" t="s">
        <v>6</v>
      </c>
      <c r="AF17" s="140" t="s">
        <v>6</v>
      </c>
      <c r="AG17" s="140" t="s">
        <v>6</v>
      </c>
      <c r="AH17" s="140" t="s">
        <v>6</v>
      </c>
      <c r="AI17" s="113" t="s">
        <v>2</v>
      </c>
      <c r="AJ17" s="114" t="s">
        <v>3</v>
      </c>
      <c r="AK17" s="164" t="s">
        <v>42</v>
      </c>
    </row>
    <row r="18" spans="1:37" ht="15" thickBot="1" x14ac:dyDescent="0.4">
      <c r="A18" s="255"/>
      <c r="B18" s="147" t="s">
        <v>18</v>
      </c>
      <c r="C18" s="111" t="s">
        <v>2</v>
      </c>
      <c r="D18" s="133" t="s">
        <v>10</v>
      </c>
      <c r="E18" s="165" t="s">
        <v>11</v>
      </c>
      <c r="F18" s="116" t="s">
        <v>5</v>
      </c>
      <c r="G18" s="116" t="s">
        <v>5</v>
      </c>
      <c r="H18" s="116" t="s">
        <v>4</v>
      </c>
      <c r="I18" s="116" t="s">
        <v>4</v>
      </c>
      <c r="J18" s="116" t="s">
        <v>5</v>
      </c>
      <c r="K18" s="116" t="s">
        <v>5</v>
      </c>
      <c r="L18" s="116" t="s">
        <v>5</v>
      </c>
      <c r="M18" s="114" t="s">
        <v>6</v>
      </c>
      <c r="N18" s="114" t="s">
        <v>6</v>
      </c>
      <c r="O18" s="114" t="s">
        <v>3</v>
      </c>
      <c r="P18" s="110" t="s">
        <v>4</v>
      </c>
      <c r="Q18" s="114" t="s">
        <v>6</v>
      </c>
      <c r="R18" s="114" t="s">
        <v>6</v>
      </c>
      <c r="S18" s="113" t="s">
        <v>2</v>
      </c>
      <c r="T18" s="114" t="s">
        <v>6</v>
      </c>
      <c r="U18" s="114" t="s">
        <v>6</v>
      </c>
      <c r="V18" s="114" t="s">
        <v>3</v>
      </c>
      <c r="W18" s="110" t="s">
        <v>4</v>
      </c>
      <c r="X18" s="114" t="s">
        <v>6</v>
      </c>
      <c r="Y18" s="114" t="s">
        <v>6</v>
      </c>
      <c r="Z18" s="114" t="s">
        <v>6</v>
      </c>
      <c r="AA18" s="114" t="s">
        <v>6</v>
      </c>
      <c r="AB18" s="114" t="s">
        <v>6</v>
      </c>
      <c r="AC18" s="114" t="s">
        <v>3</v>
      </c>
      <c r="AD18" s="110" t="s">
        <v>4</v>
      </c>
      <c r="AE18" s="111" t="s">
        <v>2</v>
      </c>
      <c r="AF18" s="140" t="s">
        <v>6</v>
      </c>
      <c r="AG18" s="140" t="s">
        <v>6</v>
      </c>
      <c r="AH18" s="140" t="s">
        <v>6</v>
      </c>
      <c r="AI18" s="140" t="s">
        <v>6</v>
      </c>
      <c r="AJ18" s="166" t="s">
        <v>4</v>
      </c>
      <c r="AK18" s="166" t="s">
        <v>4</v>
      </c>
    </row>
    <row r="19" spans="1:37" ht="15" thickBot="1" x14ac:dyDescent="0.4">
      <c r="A19" s="255"/>
      <c r="B19" s="149" t="s">
        <v>74</v>
      </c>
      <c r="C19" s="136" t="s">
        <v>10</v>
      </c>
      <c r="D19" s="136" t="s">
        <v>10</v>
      </c>
      <c r="E19" s="165" t="s">
        <v>11</v>
      </c>
      <c r="F19" s="136" t="s">
        <v>10</v>
      </c>
      <c r="G19" s="117" t="s">
        <v>2</v>
      </c>
      <c r="H19" s="119" t="s">
        <v>4</v>
      </c>
      <c r="I19" s="121" t="s">
        <v>3</v>
      </c>
      <c r="J19" s="121" t="s">
        <v>6</v>
      </c>
      <c r="K19" s="121" t="s">
        <v>6</v>
      </c>
      <c r="L19" s="121" t="s">
        <v>6</v>
      </c>
      <c r="M19" s="121" t="s">
        <v>6</v>
      </c>
      <c r="N19" s="121" t="s">
        <v>6</v>
      </c>
      <c r="O19" s="119" t="s">
        <v>4</v>
      </c>
      <c r="P19" s="123" t="s">
        <v>4</v>
      </c>
      <c r="Q19" s="121" t="s">
        <v>6</v>
      </c>
      <c r="R19" s="121" t="s">
        <v>6</v>
      </c>
      <c r="S19" s="121" t="s">
        <v>6</v>
      </c>
      <c r="T19" s="121" t="s">
        <v>6</v>
      </c>
      <c r="U19" s="121" t="s">
        <v>6</v>
      </c>
      <c r="V19" s="119" t="s">
        <v>4</v>
      </c>
      <c r="W19" s="119" t="s">
        <v>4</v>
      </c>
      <c r="X19" s="121" t="s">
        <v>6</v>
      </c>
      <c r="Y19" s="121" t="s">
        <v>6</v>
      </c>
      <c r="Z19" s="121" t="s">
        <v>6</v>
      </c>
      <c r="AA19" s="121" t="s">
        <v>6</v>
      </c>
      <c r="AB19" s="117" t="s">
        <v>2</v>
      </c>
      <c r="AC19" s="119" t="s">
        <v>4</v>
      </c>
      <c r="AD19" s="141" t="s">
        <v>3</v>
      </c>
      <c r="AE19" s="141" t="s">
        <v>6</v>
      </c>
      <c r="AF19" s="141" t="s">
        <v>6</v>
      </c>
      <c r="AG19" s="141" t="s">
        <v>6</v>
      </c>
      <c r="AH19" s="141" t="s">
        <v>6</v>
      </c>
      <c r="AI19" s="141" t="s">
        <v>6</v>
      </c>
      <c r="AJ19" s="119" t="s">
        <v>4</v>
      </c>
      <c r="AK19" s="130" t="s">
        <v>42</v>
      </c>
    </row>
    <row r="20" spans="1:37" ht="15" thickBot="1" x14ac:dyDescent="0.4">
      <c r="A20" s="255"/>
      <c r="B20" s="150" t="s">
        <v>43</v>
      </c>
      <c r="C20" s="125" t="s">
        <v>2</v>
      </c>
      <c r="D20" s="22" t="s">
        <v>16</v>
      </c>
      <c r="E20" s="165" t="s">
        <v>11</v>
      </c>
      <c r="F20" s="16" t="s">
        <v>10</v>
      </c>
      <c r="G20" s="16" t="s">
        <v>10</v>
      </c>
      <c r="H20" s="16" t="s">
        <v>11</v>
      </c>
      <c r="I20" s="123" t="s">
        <v>4</v>
      </c>
      <c r="J20" s="25" t="s">
        <v>6</v>
      </c>
      <c r="K20" s="25" t="s">
        <v>6</v>
      </c>
      <c r="L20" s="25" t="s">
        <v>6</v>
      </c>
      <c r="M20" s="113" t="s">
        <v>2</v>
      </c>
      <c r="N20" s="22" t="s">
        <v>16</v>
      </c>
      <c r="O20" s="123" t="s">
        <v>4</v>
      </c>
      <c r="P20" s="121" t="s">
        <v>3</v>
      </c>
      <c r="Q20" s="113" t="s">
        <v>2</v>
      </c>
      <c r="R20" s="121" t="s">
        <v>6</v>
      </c>
      <c r="S20" s="121" t="s">
        <v>6</v>
      </c>
      <c r="T20" s="121" t="s">
        <v>6</v>
      </c>
      <c r="U20" s="121" t="s">
        <v>6</v>
      </c>
      <c r="V20" s="123" t="s">
        <v>4</v>
      </c>
      <c r="W20" s="25" t="s">
        <v>3</v>
      </c>
      <c r="X20" s="25" t="s">
        <v>6</v>
      </c>
      <c r="Y20" s="25" t="s">
        <v>6</v>
      </c>
      <c r="Z20" s="25" t="s">
        <v>6</v>
      </c>
      <c r="AA20" s="25" t="s">
        <v>6</v>
      </c>
      <c r="AB20" s="25" t="s">
        <v>6</v>
      </c>
      <c r="AC20" s="25" t="s">
        <v>3</v>
      </c>
      <c r="AD20" s="123" t="s">
        <v>4</v>
      </c>
      <c r="AE20" s="125" t="s">
        <v>2</v>
      </c>
      <c r="AF20" s="25" t="s">
        <v>6</v>
      </c>
      <c r="AG20" s="25" t="s">
        <v>6</v>
      </c>
      <c r="AH20" s="25" t="s">
        <v>6</v>
      </c>
      <c r="AI20" s="25" t="s">
        <v>6</v>
      </c>
      <c r="AJ20" s="114" t="s">
        <v>3</v>
      </c>
      <c r="AK20" s="123" t="s">
        <v>4</v>
      </c>
    </row>
    <row r="21" spans="1:37" ht="15" thickBot="1" x14ac:dyDescent="0.4">
      <c r="A21" s="255"/>
      <c r="B21" s="150" t="s">
        <v>62</v>
      </c>
      <c r="C21" s="16" t="s">
        <v>10</v>
      </c>
      <c r="D21" s="125" t="s">
        <v>2</v>
      </c>
      <c r="E21" s="167" t="s">
        <v>2</v>
      </c>
      <c r="F21" s="16" t="s">
        <v>10</v>
      </c>
      <c r="G21" s="16" t="s">
        <v>10</v>
      </c>
      <c r="H21" s="16" t="s">
        <v>11</v>
      </c>
      <c r="I21" s="123" t="s">
        <v>4</v>
      </c>
      <c r="J21" s="125" t="s">
        <v>2</v>
      </c>
      <c r="K21" s="131" t="s">
        <v>5</v>
      </c>
      <c r="L21" s="22" t="s">
        <v>16</v>
      </c>
      <c r="M21" s="22" t="s">
        <v>16</v>
      </c>
      <c r="N21" s="78" t="s">
        <v>6</v>
      </c>
      <c r="O21" s="25" t="s">
        <v>3</v>
      </c>
      <c r="P21" s="123" t="s">
        <v>4</v>
      </c>
      <c r="Q21" s="78" t="s">
        <v>6</v>
      </c>
      <c r="R21" s="22" t="s">
        <v>16</v>
      </c>
      <c r="S21" s="114" t="s">
        <v>6</v>
      </c>
      <c r="T21" s="125" t="s">
        <v>2</v>
      </c>
      <c r="U21" s="79" t="s">
        <v>16</v>
      </c>
      <c r="V21" s="158" t="s">
        <v>30</v>
      </c>
      <c r="W21" s="123" t="s">
        <v>4</v>
      </c>
      <c r="X21" s="22" t="s">
        <v>16</v>
      </c>
      <c r="Y21" s="22" t="s">
        <v>16</v>
      </c>
      <c r="Z21" s="22" t="s">
        <v>16</v>
      </c>
      <c r="AA21" s="25" t="s">
        <v>6</v>
      </c>
      <c r="AB21" s="78" t="s">
        <v>6</v>
      </c>
      <c r="AC21" s="158" t="s">
        <v>30</v>
      </c>
      <c r="AD21" s="123" t="s">
        <v>4</v>
      </c>
      <c r="AE21" s="78" t="s">
        <v>6</v>
      </c>
      <c r="AF21" s="25" t="s">
        <v>6</v>
      </c>
      <c r="AG21" s="25" t="s">
        <v>6</v>
      </c>
      <c r="AH21" s="22" t="s">
        <v>16</v>
      </c>
      <c r="AI21" s="78" t="s">
        <v>6</v>
      </c>
      <c r="AJ21" s="158" t="s">
        <v>30</v>
      </c>
      <c r="AK21" s="123" t="s">
        <v>4</v>
      </c>
    </row>
    <row r="23" spans="1:37" x14ac:dyDescent="0.35">
      <c r="B23" s="137" t="s">
        <v>156</v>
      </c>
      <c r="C23">
        <f>COUNTIF(C5:C21,"MS")</f>
        <v>4</v>
      </c>
      <c r="D23">
        <f>COUNTIF(D5:D21,"MS")</f>
        <v>3</v>
      </c>
      <c r="E23">
        <f t="shared" ref="E23:G23" si="1">COUNTIF(E5:E21,"MS")</f>
        <v>0</v>
      </c>
      <c r="F23">
        <f t="shared" si="1"/>
        <v>3</v>
      </c>
      <c r="G23">
        <f t="shared" si="1"/>
        <v>3</v>
      </c>
      <c r="H23">
        <f>COUNTIF(H5:H21,"WMS")</f>
        <v>2</v>
      </c>
      <c r="I23">
        <f>COUNTIF(I5:I21,"WMS")</f>
        <v>2</v>
      </c>
      <c r="J23">
        <f>COUNTIF(J5:J21,"MS")</f>
        <v>3</v>
      </c>
      <c r="K23">
        <f>COUNTIF(K5:K21,"MS")</f>
        <v>3</v>
      </c>
      <c r="L23">
        <f t="shared" ref="L23:N23" si="2">COUNTIF(L5:L21,"MS")</f>
        <v>3</v>
      </c>
      <c r="M23">
        <f t="shared" si="2"/>
        <v>3</v>
      </c>
      <c r="N23">
        <f t="shared" si="2"/>
        <v>3</v>
      </c>
      <c r="O23">
        <f>COUNTIF(O5:O21,"WMS")</f>
        <v>2</v>
      </c>
      <c r="P23">
        <f>COUNTIF(P5:P21,"WMS")</f>
        <v>2</v>
      </c>
      <c r="Q23">
        <f>COUNTIF(Q5:Q21,"MS")</f>
        <v>4</v>
      </c>
      <c r="R23">
        <f>COUNTIF(R5:R21,"MS")</f>
        <v>4</v>
      </c>
      <c r="S23">
        <f t="shared" ref="S23:U23" si="3">COUNTIF(S5:S21,"MS")</f>
        <v>4</v>
      </c>
      <c r="T23">
        <f t="shared" si="3"/>
        <v>4</v>
      </c>
      <c r="U23">
        <f t="shared" si="3"/>
        <v>3</v>
      </c>
      <c r="V23">
        <f>COUNTIF(V5:V21,"WMS")</f>
        <v>2</v>
      </c>
      <c r="W23">
        <f>COUNTIF(W5:W21,"WMS")</f>
        <v>2</v>
      </c>
      <c r="X23">
        <f>COUNTIF(X5:X21,"MS")</f>
        <v>4</v>
      </c>
      <c r="Y23">
        <f>COUNTIF(Y5:Y21,"MS")</f>
        <v>4</v>
      </c>
      <c r="Z23">
        <f t="shared" ref="Z23:AB23" si="4">COUNTIF(Z5:Z21,"MS")</f>
        <v>4</v>
      </c>
      <c r="AA23">
        <f t="shared" si="4"/>
        <v>4</v>
      </c>
      <c r="AB23">
        <f t="shared" si="4"/>
        <v>3</v>
      </c>
      <c r="AC23">
        <f>COUNTIF(AC5:AC21,"WMS")</f>
        <v>2</v>
      </c>
      <c r="AD23">
        <f>COUNTIF(AD5:AD21,"WMS")</f>
        <v>2</v>
      </c>
      <c r="AE23">
        <f>COUNTIF(AE5:AE21,"MS")</f>
        <v>3</v>
      </c>
      <c r="AF23">
        <f>COUNTIF(AF5:AF21,"MS")</f>
        <v>5</v>
      </c>
      <c r="AG23">
        <f t="shared" ref="AG23:AI23" si="5">COUNTIF(AG5:AG21,"MS")</f>
        <v>5</v>
      </c>
      <c r="AH23">
        <f t="shared" si="5"/>
        <v>4</v>
      </c>
      <c r="AI23">
        <f t="shared" si="5"/>
        <v>4</v>
      </c>
      <c r="AJ23">
        <f>COUNTIF(AJ5:AJ21,"WMS")</f>
        <v>2</v>
      </c>
      <c r="AK23">
        <f>COUNTIF(AK5:AK21,"WMS")</f>
        <v>2</v>
      </c>
    </row>
    <row r="24" spans="1:37" x14ac:dyDescent="0.35">
      <c r="B24" s="137" t="s">
        <v>157</v>
      </c>
      <c r="C24">
        <f>COUNTIF(C5:C21,"ASS1")</f>
        <v>3</v>
      </c>
      <c r="D24">
        <f t="shared" ref="D24:G24" si="6">COUNTIF(D5:D21,"ASS1")</f>
        <v>4</v>
      </c>
      <c r="E24">
        <f t="shared" si="6"/>
        <v>0</v>
      </c>
      <c r="F24">
        <f t="shared" si="6"/>
        <v>3</v>
      </c>
      <c r="G24">
        <f t="shared" si="6"/>
        <v>3</v>
      </c>
      <c r="H24">
        <f>COUNTIF(H5:H21,"WASS1")</f>
        <v>2</v>
      </c>
      <c r="I24">
        <f>COUNTIF(I5:I21,"WASS1")</f>
        <v>2</v>
      </c>
      <c r="J24">
        <f>COUNTIF(J5:J21,"ASS1")</f>
        <v>3</v>
      </c>
      <c r="K24">
        <f t="shared" ref="K24:N24" si="7">COUNTIF(K5:K21,"ASS1")</f>
        <v>4</v>
      </c>
      <c r="L24">
        <f t="shared" si="7"/>
        <v>3</v>
      </c>
      <c r="M24">
        <f t="shared" si="7"/>
        <v>3</v>
      </c>
      <c r="N24">
        <f t="shared" si="7"/>
        <v>3</v>
      </c>
      <c r="O24">
        <f>COUNTIF(O5:O21,"WASS1")</f>
        <v>2</v>
      </c>
      <c r="P24">
        <f>COUNTIF(P5:P21,"WASS1")</f>
        <v>2</v>
      </c>
      <c r="Q24">
        <f>COUNTIF(Q5:Q21,"ASS1")</f>
        <v>3</v>
      </c>
      <c r="R24">
        <f t="shared" ref="R24:U24" si="8">COUNTIF(R5:R21,"ASS1")</f>
        <v>3</v>
      </c>
      <c r="S24">
        <f t="shared" si="8"/>
        <v>3</v>
      </c>
      <c r="T24">
        <f t="shared" si="8"/>
        <v>3</v>
      </c>
      <c r="U24">
        <f t="shared" si="8"/>
        <v>3</v>
      </c>
      <c r="V24">
        <f>COUNTIF(V5:V21,"WASS1")</f>
        <v>2</v>
      </c>
      <c r="W24">
        <f>COUNTIF(W5:W21,"WASS1")</f>
        <v>2</v>
      </c>
      <c r="X24">
        <f>COUNTIF(X5:X21,"ASS1")</f>
        <v>3</v>
      </c>
      <c r="Y24">
        <f t="shared" ref="Y24:AB24" si="9">COUNTIF(Y5:Y21,"ASS1")</f>
        <v>3</v>
      </c>
      <c r="Z24">
        <f t="shared" si="9"/>
        <v>4</v>
      </c>
      <c r="AA24">
        <f t="shared" si="9"/>
        <v>3</v>
      </c>
      <c r="AB24">
        <f t="shared" si="9"/>
        <v>3</v>
      </c>
      <c r="AC24">
        <f>COUNTIF(AC5:AC21,"WASS1")</f>
        <v>2</v>
      </c>
      <c r="AD24">
        <f>COUNTIF(AD5:AD21,"WASS1")</f>
        <v>2</v>
      </c>
      <c r="AE24">
        <f>COUNTIF(AE5:AE21,"ASS1")</f>
        <v>3</v>
      </c>
      <c r="AF24">
        <f t="shared" ref="AF24:AI24" si="10">COUNTIF(AF5:AF21,"ASS1")</f>
        <v>3</v>
      </c>
      <c r="AG24">
        <f t="shared" si="10"/>
        <v>3</v>
      </c>
      <c r="AH24">
        <f t="shared" si="10"/>
        <v>3</v>
      </c>
      <c r="AI24">
        <f t="shared" si="10"/>
        <v>4</v>
      </c>
      <c r="AJ24">
        <f>COUNTIF(AJ5:AJ21,"WASS1")</f>
        <v>2</v>
      </c>
      <c r="AK24">
        <f>COUNTIF(AK5:AK21,"WASS1")</f>
        <v>2</v>
      </c>
    </row>
    <row r="25" spans="1:37" x14ac:dyDescent="0.35">
      <c r="B25" s="137" t="s">
        <v>158</v>
      </c>
      <c r="C25">
        <f>COUNTIF(C5:C21,"NST7")</f>
        <v>3</v>
      </c>
      <c r="D25">
        <f t="shared" ref="D25:G25" si="11">COUNTIF(D5:D21,"NST7")</f>
        <v>3</v>
      </c>
      <c r="E25">
        <f t="shared" si="11"/>
        <v>0</v>
      </c>
      <c r="F25">
        <f t="shared" si="11"/>
        <v>4</v>
      </c>
      <c r="G25">
        <f t="shared" si="11"/>
        <v>3</v>
      </c>
      <c r="H25">
        <f>COUNTIF(H5:H21,"WNST7")</f>
        <v>2</v>
      </c>
      <c r="I25">
        <f>COUNTIF(I5:I21,"WNST7")</f>
        <v>3</v>
      </c>
      <c r="J25">
        <f>COUNTIF(J5:J21,"NST7")</f>
        <v>3</v>
      </c>
      <c r="K25">
        <f t="shared" ref="K25:N25" si="12">COUNTIF(K5:K21,"NST7")</f>
        <v>3</v>
      </c>
      <c r="L25">
        <f t="shared" si="12"/>
        <v>3</v>
      </c>
      <c r="M25">
        <f t="shared" si="12"/>
        <v>3</v>
      </c>
      <c r="N25">
        <f t="shared" si="12"/>
        <v>3</v>
      </c>
      <c r="O25">
        <f>COUNTIF(O5:O21,"WNST7")</f>
        <v>3</v>
      </c>
      <c r="P25">
        <f>COUNTIF(P5:P21,"WNST7")</f>
        <v>3</v>
      </c>
      <c r="Q25">
        <f>COUNTIF(Q5:Q21,"NST7")</f>
        <v>4</v>
      </c>
      <c r="R25">
        <f t="shared" ref="R25:U25" si="13">COUNTIF(R5:R21,"NST7")</f>
        <v>4</v>
      </c>
      <c r="S25">
        <f t="shared" si="13"/>
        <v>3</v>
      </c>
      <c r="T25">
        <f t="shared" si="13"/>
        <v>4</v>
      </c>
      <c r="U25">
        <f t="shared" si="13"/>
        <v>4</v>
      </c>
      <c r="V25">
        <f>COUNTIF(V5:V21,"WNST7")</f>
        <v>3</v>
      </c>
      <c r="W25">
        <f>COUNTIF(W5:W21,"WNST7")</f>
        <v>3</v>
      </c>
      <c r="X25">
        <f>COUNTIF(X5:X21,"NST7")</f>
        <v>3</v>
      </c>
      <c r="Y25">
        <f t="shared" ref="Y25:AB25" si="14">COUNTIF(Y5:Y21,"NST7")</f>
        <v>4</v>
      </c>
      <c r="Z25">
        <f t="shared" si="14"/>
        <v>3</v>
      </c>
      <c r="AA25">
        <f t="shared" si="14"/>
        <v>4</v>
      </c>
      <c r="AB25">
        <f t="shared" si="14"/>
        <v>3</v>
      </c>
      <c r="AC25">
        <f>COUNTIF(AC5:AC21,"WNST7")</f>
        <v>3</v>
      </c>
      <c r="AD25">
        <f>COUNTIF(AD5:AD21,"WNST7")</f>
        <v>3</v>
      </c>
      <c r="AE25">
        <f>COUNTIF(AE5:AE21,"NST7")</f>
        <v>4</v>
      </c>
      <c r="AF25">
        <f t="shared" ref="AF25:AI25" si="15">COUNTIF(AF5:AF21,"NST7")</f>
        <v>3</v>
      </c>
      <c r="AG25">
        <f t="shared" si="15"/>
        <v>3</v>
      </c>
      <c r="AH25">
        <f t="shared" si="15"/>
        <v>3</v>
      </c>
      <c r="AI25">
        <f t="shared" si="15"/>
        <v>4</v>
      </c>
      <c r="AJ25">
        <f>COUNTIF(AJ5:AJ21,"WNST7")</f>
        <v>3</v>
      </c>
      <c r="AK25">
        <f>COUNTIF(AK5:AK21,"WNST7")</f>
        <v>2</v>
      </c>
    </row>
    <row r="26" spans="1:37" x14ac:dyDescent="0.35">
      <c r="B26" s="137" t="s">
        <v>159</v>
      </c>
      <c r="C26">
        <f>COUNTIF(C5:C21,"GS")</f>
        <v>0</v>
      </c>
      <c r="D26">
        <f t="shared" ref="D26:G26" si="16">COUNTIF(D5:D21,"GS")</f>
        <v>1</v>
      </c>
      <c r="E26">
        <f t="shared" si="16"/>
        <v>0</v>
      </c>
      <c r="F26">
        <f t="shared" si="16"/>
        <v>1</v>
      </c>
      <c r="G26">
        <f t="shared" si="16"/>
        <v>0</v>
      </c>
      <c r="H26">
        <f>COUNTIF(H4:H21,"WGS")</f>
        <v>1</v>
      </c>
      <c r="I26">
        <f>COUNTIF(I4:I21,"WGS")</f>
        <v>0</v>
      </c>
      <c r="J26">
        <f>COUNTIF(J5:J21,"GS")</f>
        <v>0</v>
      </c>
      <c r="K26">
        <f t="shared" ref="K26:N26" si="17">COUNTIF(K5:K21,"GS")</f>
        <v>0</v>
      </c>
      <c r="L26">
        <f t="shared" si="17"/>
        <v>2</v>
      </c>
      <c r="M26">
        <f t="shared" si="17"/>
        <v>2</v>
      </c>
      <c r="N26">
        <f t="shared" si="17"/>
        <v>1</v>
      </c>
      <c r="O26">
        <f>COUNTIF(O4:O21,"WGS")</f>
        <v>1</v>
      </c>
      <c r="P26">
        <f>COUNTIF(P4:P21,"WGS")</f>
        <v>0</v>
      </c>
      <c r="Q26">
        <f>COUNTIF(Q5:Q21,"GS")</f>
        <v>0</v>
      </c>
      <c r="R26">
        <f t="shared" ref="R26:U26" si="18">COUNTIF(R5:R21,"GS")</f>
        <v>2</v>
      </c>
      <c r="S26">
        <f t="shared" si="18"/>
        <v>1</v>
      </c>
      <c r="T26">
        <f t="shared" si="18"/>
        <v>1</v>
      </c>
      <c r="U26">
        <f t="shared" si="18"/>
        <v>1</v>
      </c>
      <c r="V26">
        <f>COUNTIF(V4:V21,"WGS")</f>
        <v>1</v>
      </c>
      <c r="W26">
        <f>COUNTIF(W4:W21,"WGS")</f>
        <v>0</v>
      </c>
      <c r="X26">
        <f>COUNTIF(X5:X21,"GS")</f>
        <v>1</v>
      </c>
      <c r="Y26">
        <f t="shared" ref="Y26:AB26" si="19">COUNTIF(Y5:Y21,"GS")</f>
        <v>2</v>
      </c>
      <c r="Z26">
        <f t="shared" si="19"/>
        <v>2</v>
      </c>
      <c r="AA26">
        <f t="shared" si="19"/>
        <v>1</v>
      </c>
      <c r="AB26">
        <f t="shared" si="19"/>
        <v>0</v>
      </c>
      <c r="AC26">
        <f>COUNTIF(AC4:AC21,"WGS")</f>
        <v>1</v>
      </c>
      <c r="AD26">
        <f>COUNTIF(AD4:AD21,"WGS")</f>
        <v>0</v>
      </c>
      <c r="AE26">
        <f>COUNTIF(AE5:AE21,"GS")</f>
        <v>0</v>
      </c>
      <c r="AF26">
        <f t="shared" ref="AF26:AI26" si="20">COUNTIF(AF5:AF21,"GS")</f>
        <v>0</v>
      </c>
      <c r="AG26">
        <f t="shared" si="20"/>
        <v>0</v>
      </c>
      <c r="AH26">
        <f t="shared" si="20"/>
        <v>2</v>
      </c>
      <c r="AI26">
        <f t="shared" si="20"/>
        <v>0</v>
      </c>
      <c r="AJ26">
        <f>COUNTIF(AJ4:AJ21,"WGS")</f>
        <v>1</v>
      </c>
      <c r="AK26">
        <f>COUNTIF(AK4:AK21,"WGS")</f>
        <v>0</v>
      </c>
    </row>
    <row r="27" spans="1:37" x14ac:dyDescent="0.35">
      <c r="B27" s="137" t="s">
        <v>160</v>
      </c>
      <c r="C27">
        <f>COUNTIF(C5:C21,"C")</f>
        <v>4</v>
      </c>
      <c r="D27">
        <f t="shared" ref="D27:G27" si="21">COUNTIF(D5:D21,"C")</f>
        <v>3</v>
      </c>
      <c r="E27">
        <f t="shared" si="21"/>
        <v>2</v>
      </c>
      <c r="F27">
        <f t="shared" si="21"/>
        <v>1</v>
      </c>
      <c r="G27">
        <f t="shared" si="21"/>
        <v>5</v>
      </c>
      <c r="H27">
        <f>COUNTIF(H5:H21,"WO")</f>
        <v>8</v>
      </c>
      <c r="I27">
        <f>COUNTIF(I5:I21,"WO")</f>
        <v>8</v>
      </c>
      <c r="J27">
        <f>COUNTIF(J5:J21,"C")</f>
        <v>5</v>
      </c>
      <c r="K27">
        <f t="shared" ref="K27:N27" si="22">COUNTIF(K5:K21,"C")</f>
        <v>3</v>
      </c>
      <c r="L27">
        <f t="shared" si="22"/>
        <v>2</v>
      </c>
      <c r="M27">
        <f t="shared" si="22"/>
        <v>3</v>
      </c>
      <c r="N27">
        <f t="shared" si="22"/>
        <v>4</v>
      </c>
      <c r="O27">
        <f>COUNTIF(O5:O21,"WO")</f>
        <v>6</v>
      </c>
      <c r="P27">
        <f>COUNTIF(P5:P21,"WO")</f>
        <v>8</v>
      </c>
      <c r="Q27">
        <f>COUNTIF(Q5:Q21,"C")</f>
        <v>4</v>
      </c>
      <c r="R27">
        <f t="shared" ref="R27:U27" si="23">COUNTIF(R5:R21,"C")</f>
        <v>2</v>
      </c>
      <c r="S27">
        <f t="shared" si="23"/>
        <v>4</v>
      </c>
      <c r="T27">
        <f t="shared" si="23"/>
        <v>3</v>
      </c>
      <c r="U27">
        <f t="shared" si="23"/>
        <v>3</v>
      </c>
      <c r="V27">
        <f>COUNTIF(V5:V21,"WO")</f>
        <v>7</v>
      </c>
      <c r="W27">
        <f>COUNTIF(W5:W21,"WO")</f>
        <v>8</v>
      </c>
      <c r="X27">
        <f>COUNTIF(X5:X21,"C")</f>
        <v>4</v>
      </c>
      <c r="Y27">
        <f t="shared" ref="Y27:AB27" si="24">COUNTIF(Y5:Y21,"C")</f>
        <v>1</v>
      </c>
      <c r="Z27">
        <f t="shared" si="24"/>
        <v>1</v>
      </c>
      <c r="AA27">
        <f t="shared" si="24"/>
        <v>2</v>
      </c>
      <c r="AB27">
        <f t="shared" si="24"/>
        <v>4</v>
      </c>
      <c r="AC27">
        <f>COUNTIF(AC5:AC21,"WO")</f>
        <v>7</v>
      </c>
      <c r="AD27">
        <f>COUNTIF(AD5:AD21,"WO")</f>
        <v>8</v>
      </c>
      <c r="AE27">
        <f>COUNTIF(AE5:AE21,"C")</f>
        <v>4</v>
      </c>
      <c r="AF27">
        <f t="shared" ref="AF27:AI27" si="25">COUNTIF(AF5:AF21,"C")</f>
        <v>2</v>
      </c>
      <c r="AG27">
        <f t="shared" si="25"/>
        <v>1</v>
      </c>
      <c r="AH27">
        <f t="shared" si="25"/>
        <v>1</v>
      </c>
      <c r="AI27">
        <f t="shared" si="25"/>
        <v>2</v>
      </c>
      <c r="AJ27">
        <f>COUNTIF(AJ5:AJ21,"WO")</f>
        <v>7</v>
      </c>
      <c r="AK27">
        <f>COUNTIF(AK5:AK21,"WO")</f>
        <v>9</v>
      </c>
    </row>
    <row r="28" spans="1:37" x14ac:dyDescent="0.35">
      <c r="B28" s="137" t="s">
        <v>161</v>
      </c>
      <c r="C28">
        <f t="shared" ref="C28:G28" si="26">COUNTIF(C5:C21,"PL")</f>
        <v>1</v>
      </c>
      <c r="D28">
        <f t="shared" si="26"/>
        <v>1</v>
      </c>
      <c r="E28">
        <f t="shared" si="26"/>
        <v>0</v>
      </c>
      <c r="F28">
        <f t="shared" si="26"/>
        <v>2</v>
      </c>
      <c r="G28">
        <f t="shared" si="26"/>
        <v>1</v>
      </c>
      <c r="H28">
        <f>COUNTIF(H5:H22,"PL")</f>
        <v>0</v>
      </c>
      <c r="I28">
        <f>COUNTIF(I5:I22,"PL")</f>
        <v>0</v>
      </c>
      <c r="J28">
        <f t="shared" ref="J28:N28" si="27">COUNTIF(J5:J21,"PL")</f>
        <v>1</v>
      </c>
      <c r="K28">
        <f t="shared" si="27"/>
        <v>2</v>
      </c>
      <c r="L28">
        <f t="shared" si="27"/>
        <v>2</v>
      </c>
      <c r="M28">
        <f t="shared" si="27"/>
        <v>1</v>
      </c>
      <c r="N28">
        <f t="shared" si="27"/>
        <v>1</v>
      </c>
      <c r="O28">
        <f>COUNTIF(O5:O22,"PL")</f>
        <v>1</v>
      </c>
      <c r="P28">
        <f>COUNTIF(P5:P22,"PL")</f>
        <v>0</v>
      </c>
      <c r="Q28">
        <f t="shared" ref="Q28:U28" si="28">COUNTIF(Q5:Q21,"PL")</f>
        <v>0</v>
      </c>
      <c r="R28">
        <f t="shared" si="28"/>
        <v>0</v>
      </c>
      <c r="S28">
        <f t="shared" si="28"/>
        <v>0</v>
      </c>
      <c r="T28">
        <f t="shared" si="28"/>
        <v>0</v>
      </c>
      <c r="U28">
        <f t="shared" si="28"/>
        <v>1</v>
      </c>
      <c r="V28">
        <f>COUNTIF(V5:V22,"PL")</f>
        <v>0</v>
      </c>
      <c r="W28">
        <f>COUNTIF(W5:W22,"PL")</f>
        <v>0</v>
      </c>
      <c r="X28">
        <f t="shared" ref="X28:AB28" si="29">COUNTIF(X5:X21,"PL")</f>
        <v>0</v>
      </c>
      <c r="Y28">
        <f t="shared" si="29"/>
        <v>1</v>
      </c>
      <c r="Z28">
        <f t="shared" si="29"/>
        <v>1</v>
      </c>
      <c r="AA28">
        <f t="shared" si="29"/>
        <v>1</v>
      </c>
      <c r="AB28">
        <f t="shared" si="29"/>
        <v>2</v>
      </c>
      <c r="AC28">
        <f>COUNTIF(AC5:AC22,"PL")</f>
        <v>0</v>
      </c>
      <c r="AD28">
        <f>COUNTIF(AD5:AD22,"PL")</f>
        <v>0</v>
      </c>
      <c r="AE28">
        <f t="shared" ref="AE28:AI28" si="30">COUNTIF(AE5:AE21,"PL")</f>
        <v>1</v>
      </c>
      <c r="AF28">
        <f t="shared" si="30"/>
        <v>2</v>
      </c>
      <c r="AG28">
        <f t="shared" si="30"/>
        <v>3</v>
      </c>
      <c r="AH28">
        <f t="shared" si="30"/>
        <v>2</v>
      </c>
      <c r="AI28">
        <f t="shared" si="30"/>
        <v>1</v>
      </c>
      <c r="AJ28">
        <f>COUNTIF(AJ5:AJ22,"PL")</f>
        <v>0</v>
      </c>
      <c r="AK28">
        <f>COUNTIF(AK5:AK22,"PL")</f>
        <v>0</v>
      </c>
    </row>
    <row r="29" spans="1:37" x14ac:dyDescent="0.35">
      <c r="B29" s="137" t="s">
        <v>33</v>
      </c>
      <c r="C29">
        <f>COUNTIF(C5:C21,"UPL")</f>
        <v>0</v>
      </c>
      <c r="D29">
        <f t="shared" ref="D29:G29" si="31">COUNTIF(D5:D21,"UPL")</f>
        <v>0</v>
      </c>
      <c r="E29">
        <f t="shared" si="31"/>
        <v>0</v>
      </c>
      <c r="F29">
        <f t="shared" si="31"/>
        <v>0</v>
      </c>
      <c r="G29">
        <f t="shared" si="31"/>
        <v>0</v>
      </c>
      <c r="H29">
        <f>COUNTIF(H5:H21,"UPL")</f>
        <v>0</v>
      </c>
      <c r="I29">
        <f>COUNTIF(I5:I21,"UPL")</f>
        <v>0</v>
      </c>
      <c r="J29">
        <f>COUNTIF(J5:J21,"UPL")</f>
        <v>0</v>
      </c>
      <c r="K29">
        <f t="shared" ref="K29:N29" si="32">COUNTIF(K5:K21,"UPL")</f>
        <v>0</v>
      </c>
      <c r="L29">
        <f t="shared" si="32"/>
        <v>0</v>
      </c>
      <c r="M29">
        <f t="shared" si="32"/>
        <v>0</v>
      </c>
      <c r="N29">
        <f t="shared" si="32"/>
        <v>0</v>
      </c>
      <c r="O29">
        <f>COUNTIF(O5:O21,"UPL")</f>
        <v>0</v>
      </c>
      <c r="P29">
        <f>COUNTIF(P5:P21,"UPL")</f>
        <v>0</v>
      </c>
      <c r="Q29">
        <f>COUNTIF(Q5:Q21,"UPL")</f>
        <v>0</v>
      </c>
      <c r="R29">
        <f t="shared" ref="R29:U29" si="33">COUNTIF(R5:R21,"UPL")</f>
        <v>0</v>
      </c>
      <c r="S29">
        <f t="shared" si="33"/>
        <v>0</v>
      </c>
      <c r="T29">
        <f t="shared" si="33"/>
        <v>0</v>
      </c>
      <c r="U29">
        <f t="shared" si="33"/>
        <v>0</v>
      </c>
      <c r="V29">
        <f>COUNTIF(V5:V21,"UPL")</f>
        <v>0</v>
      </c>
      <c r="W29">
        <f>COUNTIF(W5:W21,"UPL")</f>
        <v>0</v>
      </c>
      <c r="X29">
        <f>COUNTIF(X5:X21,"UPL")</f>
        <v>0</v>
      </c>
      <c r="Y29">
        <f t="shared" ref="Y29:AB29" si="34">COUNTIF(Y5:Y21,"UPL")</f>
        <v>0</v>
      </c>
      <c r="Z29">
        <f t="shared" si="34"/>
        <v>0</v>
      </c>
      <c r="AA29">
        <f t="shared" si="34"/>
        <v>0</v>
      </c>
      <c r="AB29">
        <f t="shared" si="34"/>
        <v>0</v>
      </c>
      <c r="AC29">
        <f>COUNTIF(AC5:AC21,"UPL")</f>
        <v>0</v>
      </c>
      <c r="AD29">
        <f>COUNTIF(AD5:AD21,"UPL")</f>
        <v>0</v>
      </c>
      <c r="AE29">
        <f>COUNTIF(AE5:AE21,"UPL")</f>
        <v>0</v>
      </c>
      <c r="AF29">
        <f t="shared" ref="AF29:AI29" si="35">COUNTIF(AF5:AF21,"UPL")</f>
        <v>0</v>
      </c>
      <c r="AG29">
        <f t="shared" si="35"/>
        <v>0</v>
      </c>
      <c r="AH29">
        <f t="shared" si="35"/>
        <v>0</v>
      </c>
      <c r="AI29">
        <f t="shared" si="35"/>
        <v>0</v>
      </c>
      <c r="AJ29">
        <f>COUNTIF(AJ5:AJ21,"UPL")</f>
        <v>0</v>
      </c>
      <c r="AK29">
        <f>COUNTIF(AK5:AK21,"UPL")</f>
        <v>0</v>
      </c>
    </row>
    <row r="30" spans="1:37" x14ac:dyDescent="0.35">
      <c r="B30" s="137" t="s">
        <v>162</v>
      </c>
      <c r="C30" s="138">
        <f t="shared" ref="C30:AK30" si="36">SUM(C23:C29)</f>
        <v>15</v>
      </c>
      <c r="D30" s="138">
        <f t="shared" si="36"/>
        <v>15</v>
      </c>
      <c r="E30" s="138">
        <f t="shared" si="36"/>
        <v>2</v>
      </c>
      <c r="F30" s="138">
        <f t="shared" si="36"/>
        <v>14</v>
      </c>
      <c r="G30" s="138">
        <f t="shared" si="36"/>
        <v>15</v>
      </c>
      <c r="H30" s="138">
        <f t="shared" si="36"/>
        <v>15</v>
      </c>
      <c r="I30" s="138">
        <f t="shared" si="36"/>
        <v>15</v>
      </c>
      <c r="J30" s="138">
        <f t="shared" si="36"/>
        <v>15</v>
      </c>
      <c r="K30" s="138">
        <f t="shared" si="36"/>
        <v>15</v>
      </c>
      <c r="L30" s="138">
        <f t="shared" si="36"/>
        <v>15</v>
      </c>
      <c r="M30" s="138">
        <f t="shared" si="36"/>
        <v>15</v>
      </c>
      <c r="N30" s="138">
        <f t="shared" si="36"/>
        <v>15</v>
      </c>
      <c r="O30" s="138">
        <f t="shared" si="36"/>
        <v>15</v>
      </c>
      <c r="P30" s="138">
        <f t="shared" si="36"/>
        <v>15</v>
      </c>
      <c r="Q30" s="138">
        <f t="shared" si="36"/>
        <v>15</v>
      </c>
      <c r="R30" s="138">
        <f t="shared" si="36"/>
        <v>15</v>
      </c>
      <c r="S30" s="138">
        <f t="shared" si="36"/>
        <v>15</v>
      </c>
      <c r="T30" s="138">
        <f t="shared" si="36"/>
        <v>15</v>
      </c>
      <c r="U30" s="138">
        <f t="shared" si="36"/>
        <v>15</v>
      </c>
      <c r="V30" s="138">
        <f t="shared" si="36"/>
        <v>15</v>
      </c>
      <c r="W30" s="138">
        <f t="shared" si="36"/>
        <v>15</v>
      </c>
      <c r="X30" s="138">
        <f t="shared" si="36"/>
        <v>15</v>
      </c>
      <c r="Y30" s="138">
        <f t="shared" si="36"/>
        <v>15</v>
      </c>
      <c r="Z30" s="138">
        <f t="shared" si="36"/>
        <v>15</v>
      </c>
      <c r="AA30" s="138">
        <f t="shared" si="36"/>
        <v>15</v>
      </c>
      <c r="AB30" s="138">
        <f t="shared" si="36"/>
        <v>15</v>
      </c>
      <c r="AC30" s="138">
        <f t="shared" si="36"/>
        <v>15</v>
      </c>
      <c r="AD30" s="138">
        <f t="shared" si="36"/>
        <v>15</v>
      </c>
      <c r="AE30" s="138">
        <f t="shared" si="36"/>
        <v>15</v>
      </c>
      <c r="AF30" s="138">
        <f t="shared" si="36"/>
        <v>15</v>
      </c>
      <c r="AG30" s="138">
        <f t="shared" si="36"/>
        <v>15</v>
      </c>
      <c r="AH30" s="138">
        <f t="shared" si="36"/>
        <v>15</v>
      </c>
      <c r="AI30" s="138">
        <f t="shared" si="36"/>
        <v>15</v>
      </c>
      <c r="AJ30" s="138">
        <f t="shared" si="36"/>
        <v>15</v>
      </c>
      <c r="AK30" s="138">
        <f t="shared" si="36"/>
        <v>15</v>
      </c>
    </row>
    <row r="32" spans="1:37" x14ac:dyDescent="0.35">
      <c r="B32" t="s">
        <v>165</v>
      </c>
    </row>
    <row r="33" spans="2:4" ht="15" thickBot="1" x14ac:dyDescent="0.4"/>
    <row r="34" spans="2:4" x14ac:dyDescent="0.35">
      <c r="B34" t="s">
        <v>166</v>
      </c>
      <c r="D34" s="112"/>
    </row>
    <row r="35" spans="2:4" ht="15" thickBot="1" x14ac:dyDescent="0.4">
      <c r="B35" t="s">
        <v>167</v>
      </c>
      <c r="D35" s="129"/>
    </row>
    <row r="36" spans="2:4" ht="15" thickBot="1" x14ac:dyDescent="0.4">
      <c r="B36" t="s">
        <v>168</v>
      </c>
      <c r="D36" s="133"/>
    </row>
    <row r="37" spans="2:4" ht="15" thickBot="1" x14ac:dyDescent="0.4">
      <c r="B37" t="s">
        <v>24</v>
      </c>
      <c r="D37" s="153"/>
    </row>
    <row r="38" spans="2:4" x14ac:dyDescent="0.35">
      <c r="B38" t="s">
        <v>169</v>
      </c>
      <c r="D38" s="154"/>
    </row>
    <row r="39" spans="2:4" x14ac:dyDescent="0.35">
      <c r="B39" t="s">
        <v>32</v>
      </c>
      <c r="D39" s="131"/>
    </row>
    <row r="40" spans="2:4" x14ac:dyDescent="0.35">
      <c r="B40" t="s">
        <v>33</v>
      </c>
      <c r="D40" s="155"/>
    </row>
    <row r="41" spans="2:4" ht="15" thickBot="1" x14ac:dyDescent="0.4">
      <c r="B41" t="s">
        <v>170</v>
      </c>
      <c r="D41" s="156"/>
    </row>
  </sheetData>
  <mergeCells count="3">
    <mergeCell ref="A4:A9"/>
    <mergeCell ref="A11:A15"/>
    <mergeCell ref="A17:A21"/>
  </mergeCells>
  <conditionalFormatting sqref="H23:I26">
    <cfRule type="cellIs" dxfId="176" priority="10" operator="lessThan">
      <formula>2</formula>
    </cfRule>
  </conditionalFormatting>
  <conditionalFormatting sqref="C23:G26">
    <cfRule type="cellIs" dxfId="175" priority="9" operator="lessThan">
      <formula>3</formula>
    </cfRule>
  </conditionalFormatting>
  <conditionalFormatting sqref="O23:P26">
    <cfRule type="cellIs" dxfId="174" priority="8" operator="lessThan">
      <formula>2</formula>
    </cfRule>
  </conditionalFormatting>
  <conditionalFormatting sqref="J23:N26">
    <cfRule type="cellIs" dxfId="173" priority="7" operator="lessThan">
      <formula>3</formula>
    </cfRule>
  </conditionalFormatting>
  <conditionalFormatting sqref="V23:W26">
    <cfRule type="cellIs" dxfId="172" priority="6" operator="lessThan">
      <formula>2</formula>
    </cfRule>
  </conditionalFormatting>
  <conditionalFormatting sqref="Q23:U26">
    <cfRule type="cellIs" dxfId="171" priority="5" operator="lessThan">
      <formula>3</formula>
    </cfRule>
  </conditionalFormatting>
  <conditionalFormatting sqref="AC23:AD26">
    <cfRule type="cellIs" dxfId="170" priority="4" operator="lessThan">
      <formula>2</formula>
    </cfRule>
  </conditionalFormatting>
  <conditionalFormatting sqref="X23:AB26">
    <cfRule type="cellIs" dxfId="169" priority="3" operator="lessThan">
      <formula>3</formula>
    </cfRule>
  </conditionalFormatting>
  <conditionalFormatting sqref="AJ23:AK26">
    <cfRule type="cellIs" dxfId="168" priority="2" operator="lessThan">
      <formula>2</formula>
    </cfRule>
  </conditionalFormatting>
  <conditionalFormatting sqref="AE23:AI26">
    <cfRule type="cellIs" dxfId="167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29"/>
  <sheetViews>
    <sheetView zoomScale="77" zoomScaleNormal="78" workbookViewId="0">
      <pane xSplit="1" topLeftCell="B1" activePane="topRight" state="frozen"/>
      <selection pane="topRight" activeCell="C28" sqref="C28"/>
    </sheetView>
  </sheetViews>
  <sheetFormatPr defaultRowHeight="14.5" x14ac:dyDescent="0.35"/>
  <cols>
    <col min="1" max="1" width="17.453125" bestFit="1" customWidth="1"/>
  </cols>
  <sheetData>
    <row r="1" spans="1:40" x14ac:dyDescent="0.35">
      <c r="A1" s="30"/>
      <c r="B1" s="2" t="str">
        <f t="shared" ref="B1:AN1" si="0">TEXT(B2,"ddd")</f>
        <v>Thu</v>
      </c>
      <c r="C1" s="2" t="str">
        <f t="shared" si="0"/>
        <v>Fri</v>
      </c>
      <c r="D1" s="2" t="str">
        <f t="shared" si="0"/>
        <v>Sat</v>
      </c>
      <c r="E1" s="2" t="str">
        <f t="shared" si="0"/>
        <v>Sun</v>
      </c>
      <c r="F1" s="2" t="str">
        <f t="shared" si="0"/>
        <v>Mon</v>
      </c>
      <c r="G1" s="2" t="str">
        <f t="shared" si="0"/>
        <v>Tue</v>
      </c>
      <c r="H1" s="2" t="str">
        <f t="shared" si="0"/>
        <v>Wed</v>
      </c>
      <c r="I1" s="2" t="str">
        <f t="shared" si="0"/>
        <v>Thu</v>
      </c>
      <c r="J1" s="2" t="str">
        <f t="shared" si="0"/>
        <v>Fri</v>
      </c>
      <c r="K1" s="2" t="str">
        <f t="shared" si="0"/>
        <v>Sat</v>
      </c>
      <c r="L1" s="2" t="str">
        <f t="shared" si="0"/>
        <v>Sun</v>
      </c>
      <c r="M1" s="2" t="str">
        <f t="shared" si="0"/>
        <v>Mon</v>
      </c>
      <c r="N1" s="2" t="str">
        <f t="shared" si="0"/>
        <v>Tue</v>
      </c>
      <c r="O1" s="2" t="str">
        <f t="shared" si="0"/>
        <v>Wed</v>
      </c>
      <c r="P1" s="2" t="str">
        <f t="shared" si="0"/>
        <v>Thu</v>
      </c>
      <c r="Q1" s="2" t="str">
        <f t="shared" si="0"/>
        <v>Fri</v>
      </c>
      <c r="R1" s="2" t="str">
        <f t="shared" si="0"/>
        <v>Sat</v>
      </c>
      <c r="S1" s="2" t="str">
        <f t="shared" si="0"/>
        <v>Sun</v>
      </c>
      <c r="T1" s="2" t="str">
        <f t="shared" si="0"/>
        <v>Mon</v>
      </c>
      <c r="U1" s="2" t="str">
        <f t="shared" si="0"/>
        <v>Tue</v>
      </c>
      <c r="V1" s="2" t="str">
        <f t="shared" si="0"/>
        <v>Wed</v>
      </c>
      <c r="W1" s="2" t="str">
        <f t="shared" si="0"/>
        <v>Thu</v>
      </c>
      <c r="X1" s="2" t="str">
        <f t="shared" si="0"/>
        <v>Fri</v>
      </c>
      <c r="Y1" s="2" t="str">
        <f t="shared" si="0"/>
        <v>Sat</v>
      </c>
      <c r="Z1" s="2" t="str">
        <f t="shared" si="0"/>
        <v>Sun</v>
      </c>
      <c r="AA1" s="2" t="str">
        <f t="shared" si="0"/>
        <v>Mon</v>
      </c>
      <c r="AB1" s="2" t="str">
        <f t="shared" si="0"/>
        <v>Tue</v>
      </c>
      <c r="AC1" s="2" t="str">
        <f t="shared" si="0"/>
        <v>Wed</v>
      </c>
      <c r="AD1" s="2" t="str">
        <f t="shared" si="0"/>
        <v>Thu</v>
      </c>
      <c r="AE1" s="2" t="str">
        <f t="shared" si="0"/>
        <v>Fri</v>
      </c>
      <c r="AF1" s="2" t="str">
        <f t="shared" si="0"/>
        <v>Sat</v>
      </c>
      <c r="AG1" s="2" t="str">
        <f t="shared" si="0"/>
        <v>Sun</v>
      </c>
      <c r="AH1" s="2" t="str">
        <f t="shared" si="0"/>
        <v>Mon</v>
      </c>
      <c r="AI1" s="2" t="str">
        <f t="shared" si="0"/>
        <v>Tue</v>
      </c>
      <c r="AJ1" s="2" t="str">
        <f t="shared" si="0"/>
        <v>Wed</v>
      </c>
      <c r="AK1" s="2" t="str">
        <f t="shared" si="0"/>
        <v>Thu</v>
      </c>
      <c r="AL1" s="2" t="str">
        <f t="shared" si="0"/>
        <v>Fri</v>
      </c>
      <c r="AM1" s="2" t="str">
        <f t="shared" si="0"/>
        <v>Sat</v>
      </c>
      <c r="AN1" s="2" t="str">
        <f t="shared" si="0"/>
        <v>Sun</v>
      </c>
    </row>
    <row r="2" spans="1:40" x14ac:dyDescent="0.35">
      <c r="A2" s="104" t="s">
        <v>0</v>
      </c>
      <c r="B2" s="31">
        <v>44833</v>
      </c>
      <c r="C2" s="31">
        <v>44834</v>
      </c>
      <c r="D2" s="31">
        <v>44835</v>
      </c>
      <c r="E2" s="31">
        <v>44836</v>
      </c>
      <c r="F2" s="31">
        <v>44837</v>
      </c>
      <c r="G2" s="31">
        <v>44838</v>
      </c>
      <c r="H2" s="31">
        <v>44839</v>
      </c>
      <c r="I2" s="31">
        <v>44840</v>
      </c>
      <c r="J2" s="31">
        <v>44841</v>
      </c>
      <c r="K2" s="31">
        <v>44842</v>
      </c>
      <c r="L2" s="31">
        <v>44843</v>
      </c>
      <c r="M2" s="31">
        <v>44844</v>
      </c>
      <c r="N2" s="31">
        <v>44845</v>
      </c>
      <c r="O2" s="31">
        <v>44846</v>
      </c>
      <c r="P2" s="31">
        <v>44847</v>
      </c>
      <c r="Q2" s="31">
        <v>44848</v>
      </c>
      <c r="R2" s="31">
        <v>44849</v>
      </c>
      <c r="S2" s="31">
        <v>44850</v>
      </c>
      <c r="T2" s="31">
        <v>44851</v>
      </c>
      <c r="U2" s="31">
        <v>44852</v>
      </c>
      <c r="V2" s="31">
        <v>44853</v>
      </c>
      <c r="W2" s="31">
        <v>44854</v>
      </c>
      <c r="X2" s="31">
        <v>44855</v>
      </c>
      <c r="Y2" s="31">
        <v>44856</v>
      </c>
      <c r="Z2" s="31">
        <v>44857</v>
      </c>
      <c r="AA2" s="31">
        <v>44858</v>
      </c>
      <c r="AB2" s="31">
        <v>44859</v>
      </c>
      <c r="AC2" s="31">
        <v>44860</v>
      </c>
      <c r="AD2" s="31">
        <v>44861</v>
      </c>
      <c r="AE2" s="31">
        <v>44862</v>
      </c>
      <c r="AF2" s="31">
        <v>44863</v>
      </c>
      <c r="AG2" s="31">
        <v>44864</v>
      </c>
      <c r="AH2" s="31">
        <v>44865</v>
      </c>
      <c r="AI2" s="31">
        <v>44866</v>
      </c>
      <c r="AJ2" s="31">
        <v>44867</v>
      </c>
      <c r="AK2" s="31">
        <v>44868</v>
      </c>
      <c r="AL2" s="31">
        <v>44869</v>
      </c>
      <c r="AM2" s="31">
        <v>44870</v>
      </c>
      <c r="AN2" s="31">
        <v>44871</v>
      </c>
    </row>
    <row r="3" spans="1:40" ht="15" thickBot="1" x14ac:dyDescent="0.4">
      <c r="A3" s="105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</row>
    <row r="4" spans="1:40" ht="15" thickBot="1" x14ac:dyDescent="0.4">
      <c r="A4" s="146" t="s">
        <v>14</v>
      </c>
      <c r="B4" s="127" t="s">
        <v>41</v>
      </c>
      <c r="C4" s="127" t="s">
        <v>41</v>
      </c>
      <c r="D4" s="127" t="s">
        <v>42</v>
      </c>
      <c r="E4" s="159" t="s">
        <v>4</v>
      </c>
      <c r="F4" s="111" t="s">
        <v>2</v>
      </c>
      <c r="G4" s="109" t="s">
        <v>5</v>
      </c>
      <c r="H4" s="136" t="s">
        <v>11</v>
      </c>
      <c r="I4" s="136" t="s">
        <v>10</v>
      </c>
      <c r="J4" s="136" t="s">
        <v>10</v>
      </c>
      <c r="K4" s="161" t="s">
        <v>11</v>
      </c>
      <c r="L4" s="159" t="s">
        <v>4</v>
      </c>
      <c r="M4" s="136" t="s">
        <v>10</v>
      </c>
      <c r="N4" s="136" t="s">
        <v>10</v>
      </c>
      <c r="O4" s="136" t="s">
        <v>10</v>
      </c>
      <c r="P4" s="109" t="s">
        <v>5</v>
      </c>
      <c r="Q4" s="109" t="s">
        <v>5</v>
      </c>
      <c r="R4" s="109" t="s">
        <v>4</v>
      </c>
      <c r="S4" s="109" t="s">
        <v>4</v>
      </c>
      <c r="T4" s="109" t="s">
        <v>5</v>
      </c>
      <c r="U4" s="109" t="s">
        <v>5</v>
      </c>
      <c r="V4" s="109" t="s">
        <v>5</v>
      </c>
      <c r="W4" s="109" t="s">
        <v>5</v>
      </c>
      <c r="X4" s="109" t="s">
        <v>5</v>
      </c>
      <c r="Y4" s="109" t="s">
        <v>4</v>
      </c>
      <c r="Z4" s="109" t="s">
        <v>4</v>
      </c>
      <c r="AA4" s="136" t="s">
        <v>11</v>
      </c>
      <c r="AB4" s="136" t="s">
        <v>10</v>
      </c>
      <c r="AC4" s="136" t="s">
        <v>10</v>
      </c>
      <c r="AD4" s="136" t="s">
        <v>10</v>
      </c>
      <c r="AE4" s="136" t="s">
        <v>10</v>
      </c>
      <c r="AF4" s="159" t="s">
        <v>4</v>
      </c>
      <c r="AG4" s="121" t="s">
        <v>3</v>
      </c>
      <c r="AH4" s="111" t="s">
        <v>2</v>
      </c>
      <c r="AI4" s="111" t="s">
        <v>2</v>
      </c>
      <c r="AM4" s="159" t="s">
        <v>4</v>
      </c>
      <c r="AN4" s="159" t="s">
        <v>4</v>
      </c>
    </row>
    <row r="5" spans="1:40" ht="15" thickBot="1" x14ac:dyDescent="0.4">
      <c r="A5" s="147" t="s">
        <v>12</v>
      </c>
      <c r="B5" s="129" t="s">
        <v>41</v>
      </c>
      <c r="C5" s="111" t="s">
        <v>2</v>
      </c>
      <c r="D5" s="110" t="s">
        <v>4</v>
      </c>
      <c r="E5" s="161" t="s">
        <v>11</v>
      </c>
      <c r="F5" s="136" t="s">
        <v>10</v>
      </c>
      <c r="G5" s="136" t="s">
        <v>10</v>
      </c>
      <c r="H5" s="136" t="s">
        <v>11</v>
      </c>
      <c r="I5" s="111" t="s">
        <v>2</v>
      </c>
      <c r="J5" s="111" t="s">
        <v>2</v>
      </c>
      <c r="K5" s="111" t="s">
        <v>2</v>
      </c>
      <c r="L5" s="161" t="s">
        <v>11</v>
      </c>
      <c r="M5" s="136" t="s">
        <v>10</v>
      </c>
      <c r="N5" s="136" t="s">
        <v>10</v>
      </c>
      <c r="O5" s="111" t="s">
        <v>2</v>
      </c>
      <c r="P5" s="136" t="s">
        <v>10</v>
      </c>
      <c r="Q5" s="136" t="s">
        <v>10</v>
      </c>
      <c r="R5" s="136" t="s">
        <v>11</v>
      </c>
      <c r="S5" s="136" t="s">
        <v>11</v>
      </c>
      <c r="T5" s="136" t="s">
        <v>10</v>
      </c>
      <c r="U5" s="111" t="s">
        <v>2</v>
      </c>
      <c r="V5" s="111" t="s">
        <v>2</v>
      </c>
      <c r="W5" s="136" t="s">
        <v>10</v>
      </c>
      <c r="X5" s="136" t="s">
        <v>10</v>
      </c>
      <c r="Y5" s="136" t="s">
        <v>11</v>
      </c>
      <c r="Z5" s="136" t="s">
        <v>11</v>
      </c>
      <c r="AA5" s="109" t="s">
        <v>5</v>
      </c>
      <c r="AB5" s="109" t="s">
        <v>5</v>
      </c>
      <c r="AC5" s="109" t="s">
        <v>5</v>
      </c>
      <c r="AD5" s="109" t="s">
        <v>5</v>
      </c>
      <c r="AE5" s="109" t="s">
        <v>5</v>
      </c>
      <c r="AF5" s="136" t="s">
        <v>11</v>
      </c>
      <c r="AG5" s="159" t="s">
        <v>4</v>
      </c>
      <c r="AH5" s="25" t="s">
        <v>6</v>
      </c>
      <c r="AI5" s="25" t="s">
        <v>6</v>
      </c>
      <c r="AM5" s="159" t="s">
        <v>4</v>
      </c>
      <c r="AN5" s="159" t="s">
        <v>4</v>
      </c>
    </row>
    <row r="6" spans="1:40" ht="15" thickBot="1" x14ac:dyDescent="0.4">
      <c r="A6" s="149" t="s">
        <v>75</v>
      </c>
      <c r="B6" s="120" t="s">
        <v>5</v>
      </c>
      <c r="C6" s="117" t="s">
        <v>2</v>
      </c>
      <c r="D6" s="119" t="s">
        <v>4</v>
      </c>
      <c r="E6" s="136" t="s">
        <v>11</v>
      </c>
      <c r="F6" s="136" t="s">
        <v>10</v>
      </c>
      <c r="G6" s="136" t="s">
        <v>10</v>
      </c>
      <c r="H6" s="136" t="s">
        <v>10</v>
      </c>
      <c r="I6" s="111" t="s">
        <v>2</v>
      </c>
      <c r="J6" s="111" t="s">
        <v>2</v>
      </c>
      <c r="K6" s="159" t="s">
        <v>4</v>
      </c>
      <c r="L6" s="161" t="s">
        <v>11</v>
      </c>
      <c r="M6" s="136" t="s">
        <v>10</v>
      </c>
      <c r="N6" s="136" t="s">
        <v>10</v>
      </c>
      <c r="O6" s="136" t="s">
        <v>10</v>
      </c>
      <c r="P6" s="136" t="s">
        <v>10</v>
      </c>
      <c r="Q6" s="111" t="s">
        <v>2</v>
      </c>
      <c r="R6" s="159" t="s">
        <v>4</v>
      </c>
      <c r="S6" s="136" t="s">
        <v>11</v>
      </c>
      <c r="T6" s="136" t="s">
        <v>10</v>
      </c>
      <c r="U6" s="136" t="s">
        <v>10</v>
      </c>
      <c r="V6" s="136" t="s">
        <v>10</v>
      </c>
      <c r="W6" s="136" t="s">
        <v>10</v>
      </c>
      <c r="X6" s="111" t="s">
        <v>2</v>
      </c>
      <c r="Y6" s="136" t="s">
        <v>11</v>
      </c>
      <c r="Z6" s="136" t="s">
        <v>11</v>
      </c>
      <c r="AA6" s="136" t="s">
        <v>11</v>
      </c>
      <c r="AB6" s="136" t="s">
        <v>10</v>
      </c>
      <c r="AC6" s="136" t="s">
        <v>10</v>
      </c>
      <c r="AD6" s="111" t="s">
        <v>2</v>
      </c>
      <c r="AE6" s="111" t="s">
        <v>2</v>
      </c>
      <c r="AF6" s="159" t="s">
        <v>4</v>
      </c>
      <c r="AG6" s="121" t="s">
        <v>3</v>
      </c>
      <c r="AH6" s="25" t="s">
        <v>6</v>
      </c>
      <c r="AM6" s="159" t="s">
        <v>4</v>
      </c>
      <c r="AN6" s="159" t="s">
        <v>4</v>
      </c>
    </row>
    <row r="7" spans="1:40" ht="15" thickBot="1" x14ac:dyDescent="0.4">
      <c r="A7" s="150" t="s">
        <v>77</v>
      </c>
      <c r="B7" s="19" t="s">
        <v>41</v>
      </c>
      <c r="C7" s="19" t="s">
        <v>41</v>
      </c>
      <c r="D7" s="19" t="s">
        <v>42</v>
      </c>
      <c r="E7" s="123" t="s">
        <v>4</v>
      </c>
      <c r="F7" s="22" t="s">
        <v>16</v>
      </c>
      <c r="G7" s="22" t="s">
        <v>16</v>
      </c>
      <c r="H7" s="109" t="s">
        <v>5</v>
      </c>
      <c r="I7" s="136" t="s">
        <v>10</v>
      </c>
      <c r="J7" s="136" t="s">
        <v>10</v>
      </c>
      <c r="K7" s="161" t="s">
        <v>11</v>
      </c>
      <c r="L7" s="159" t="s">
        <v>4</v>
      </c>
      <c r="M7" s="111" t="s">
        <v>2</v>
      </c>
      <c r="N7" s="111" t="s">
        <v>2</v>
      </c>
      <c r="O7" s="136" t="s">
        <v>10</v>
      </c>
      <c r="P7" s="136" t="s">
        <v>10</v>
      </c>
      <c r="Q7" s="136" t="s">
        <v>10</v>
      </c>
      <c r="R7" s="136" t="s">
        <v>11</v>
      </c>
      <c r="S7" s="136" t="s">
        <v>11</v>
      </c>
      <c r="T7" s="111" t="s">
        <v>2</v>
      </c>
      <c r="U7" s="136" t="s">
        <v>10</v>
      </c>
      <c r="V7" s="136" t="s">
        <v>10</v>
      </c>
      <c r="W7" s="136" t="s">
        <v>10</v>
      </c>
      <c r="X7" s="136" t="s">
        <v>10</v>
      </c>
      <c r="Y7" s="109" t="s">
        <v>4</v>
      </c>
      <c r="Z7" s="109" t="s">
        <v>4</v>
      </c>
      <c r="AA7" s="136" t="s">
        <v>11</v>
      </c>
      <c r="AB7" s="111" t="s">
        <v>2</v>
      </c>
      <c r="AC7" s="136" t="s">
        <v>11</v>
      </c>
      <c r="AD7" s="136" t="s">
        <v>10</v>
      </c>
      <c r="AE7" s="136" t="s">
        <v>10</v>
      </c>
      <c r="AF7" s="136" t="s">
        <v>11</v>
      </c>
      <c r="AG7" s="159" t="s">
        <v>4</v>
      </c>
      <c r="AH7" s="111" t="s">
        <v>2</v>
      </c>
      <c r="AM7" s="159" t="s">
        <v>4</v>
      </c>
      <c r="AN7" s="159" t="s">
        <v>4</v>
      </c>
    </row>
    <row r="8" spans="1:40" ht="15" thickBot="1" x14ac:dyDescent="0.4">
      <c r="A8" s="150" t="s">
        <v>76</v>
      </c>
      <c r="B8" s="22" t="s">
        <v>16</v>
      </c>
      <c r="C8" s="19" t="s">
        <v>41</v>
      </c>
      <c r="D8" s="123" t="s">
        <v>4</v>
      </c>
      <c r="E8" s="123" t="s">
        <v>4</v>
      </c>
      <c r="F8" s="136" t="s">
        <v>10</v>
      </c>
      <c r="G8" s="136" t="s">
        <v>10</v>
      </c>
      <c r="H8" s="109" t="s">
        <v>5</v>
      </c>
      <c r="I8" s="136" t="s">
        <v>10</v>
      </c>
      <c r="J8" s="136" t="s">
        <v>10</v>
      </c>
      <c r="K8" s="161" t="s">
        <v>11</v>
      </c>
      <c r="L8" s="161" t="s">
        <v>11</v>
      </c>
      <c r="M8" s="111" t="s">
        <v>2</v>
      </c>
      <c r="N8" s="111" t="s">
        <v>2</v>
      </c>
      <c r="O8" s="22" t="s">
        <v>16</v>
      </c>
      <c r="P8" s="22" t="s">
        <v>16</v>
      </c>
      <c r="Q8" s="136" t="s">
        <v>10</v>
      </c>
      <c r="R8" s="136" t="s">
        <v>11</v>
      </c>
      <c r="S8" s="159" t="s">
        <v>4</v>
      </c>
      <c r="T8" s="136" t="s">
        <v>10</v>
      </c>
      <c r="U8" s="136" t="s">
        <v>10</v>
      </c>
      <c r="V8" s="136" t="s">
        <v>10</v>
      </c>
      <c r="W8" s="111" t="s">
        <v>2</v>
      </c>
      <c r="X8" s="136" t="s">
        <v>10</v>
      </c>
      <c r="Y8" s="136" t="s">
        <v>11</v>
      </c>
      <c r="Z8" s="136" t="s">
        <v>11</v>
      </c>
      <c r="AA8" s="109" t="s">
        <v>5</v>
      </c>
      <c r="AB8" s="136" t="s">
        <v>10</v>
      </c>
      <c r="AC8" s="109" t="s">
        <v>5</v>
      </c>
      <c r="AD8" s="136" t="s">
        <v>10</v>
      </c>
      <c r="AE8" s="136" t="s">
        <v>10</v>
      </c>
      <c r="AF8" s="136" t="s">
        <v>11</v>
      </c>
      <c r="AG8" s="159" t="s">
        <v>4</v>
      </c>
      <c r="AH8" s="25" t="s">
        <v>6</v>
      </c>
      <c r="AM8" s="159" t="s">
        <v>4</v>
      </c>
      <c r="AN8" s="159" t="s">
        <v>4</v>
      </c>
    </row>
    <row r="9" spans="1:40" ht="15" thickBot="1" x14ac:dyDescent="0.4">
      <c r="B9" s="151"/>
      <c r="C9" s="151"/>
      <c r="D9" s="151"/>
    </row>
    <row r="10" spans="1:40" ht="15" thickBot="1" x14ac:dyDescent="0.4">
      <c r="A10" s="146" t="s">
        <v>9</v>
      </c>
      <c r="B10" s="132" t="s">
        <v>10</v>
      </c>
      <c r="C10" s="132" t="s">
        <v>10</v>
      </c>
      <c r="D10" s="119" t="s">
        <v>4</v>
      </c>
      <c r="E10" s="163" t="s">
        <v>3</v>
      </c>
      <c r="F10" s="25" t="s">
        <v>6</v>
      </c>
      <c r="G10" s="163" t="s">
        <v>3</v>
      </c>
      <c r="H10" s="109" t="s">
        <v>5</v>
      </c>
      <c r="I10" s="109" t="s">
        <v>5</v>
      </c>
      <c r="J10" s="109" t="s">
        <v>5</v>
      </c>
      <c r="K10" s="109" t="s">
        <v>4</v>
      </c>
      <c r="L10" s="109" t="s">
        <v>4</v>
      </c>
      <c r="M10" s="25" t="s">
        <v>6</v>
      </c>
      <c r="N10" s="25" t="s">
        <v>6</v>
      </c>
      <c r="O10" s="25" t="s">
        <v>6</v>
      </c>
      <c r="P10" s="111" t="s">
        <v>2</v>
      </c>
      <c r="Q10" s="25" t="s">
        <v>6</v>
      </c>
      <c r="R10" s="25" t="s">
        <v>3</v>
      </c>
      <c r="S10" s="159" t="s">
        <v>4</v>
      </c>
      <c r="T10" s="111" t="s">
        <v>2</v>
      </c>
      <c r="U10" s="111" t="s">
        <v>2</v>
      </c>
      <c r="V10" s="25" t="s">
        <v>6</v>
      </c>
      <c r="W10" s="25" t="s">
        <v>6</v>
      </c>
      <c r="X10" s="111" t="s">
        <v>2</v>
      </c>
      <c r="Y10" s="159" t="s">
        <v>4</v>
      </c>
      <c r="Z10" s="163" t="s">
        <v>3</v>
      </c>
      <c r="AA10" s="163" t="s">
        <v>3</v>
      </c>
      <c r="AB10" s="25" t="s">
        <v>6</v>
      </c>
      <c r="AC10" s="109" t="s">
        <v>5</v>
      </c>
      <c r="AD10" s="25" t="s">
        <v>6</v>
      </c>
      <c r="AE10" s="111" t="s">
        <v>2</v>
      </c>
      <c r="AF10" s="25" t="s">
        <v>3</v>
      </c>
      <c r="AG10" s="159" t="s">
        <v>4</v>
      </c>
      <c r="AH10" s="111" t="s">
        <v>2</v>
      </c>
      <c r="AM10" s="159" t="s">
        <v>4</v>
      </c>
      <c r="AN10" s="159" t="s">
        <v>4</v>
      </c>
    </row>
    <row r="11" spans="1:40" ht="15" thickBot="1" x14ac:dyDescent="0.4">
      <c r="A11" s="147" t="s">
        <v>15</v>
      </c>
      <c r="B11" s="111" t="s">
        <v>2</v>
      </c>
      <c r="C11" s="22" t="s">
        <v>16</v>
      </c>
      <c r="D11" s="132" t="s">
        <v>11</v>
      </c>
      <c r="E11" s="119" t="s">
        <v>4</v>
      </c>
      <c r="F11" s="117" t="s">
        <v>2</v>
      </c>
      <c r="G11" s="25" t="s">
        <v>6</v>
      </c>
      <c r="H11" s="25" t="s">
        <v>3</v>
      </c>
      <c r="I11" s="25" t="s">
        <v>6</v>
      </c>
      <c r="J11" s="25" t="s">
        <v>6</v>
      </c>
      <c r="K11" s="25" t="s">
        <v>3</v>
      </c>
      <c r="L11" s="25" t="s">
        <v>3</v>
      </c>
      <c r="M11" s="117" t="s">
        <v>2</v>
      </c>
      <c r="N11" s="117" t="s">
        <v>2</v>
      </c>
      <c r="O11" s="25" t="s">
        <v>6</v>
      </c>
      <c r="P11" s="25" t="s">
        <v>6</v>
      </c>
      <c r="Q11" s="25" t="s">
        <v>6</v>
      </c>
      <c r="R11" s="159" t="s">
        <v>4</v>
      </c>
      <c r="S11" s="25" t="s">
        <v>3</v>
      </c>
      <c r="T11" s="25" t="s">
        <v>6</v>
      </c>
      <c r="U11" s="25" t="s">
        <v>6</v>
      </c>
      <c r="V11" s="111" t="s">
        <v>2</v>
      </c>
      <c r="W11" s="111" t="s">
        <v>2</v>
      </c>
      <c r="X11" s="25" t="s">
        <v>6</v>
      </c>
      <c r="Y11" s="25" t="s">
        <v>3</v>
      </c>
      <c r="Z11" s="159" t="s">
        <v>4</v>
      </c>
      <c r="AA11" s="124" t="s">
        <v>37</v>
      </c>
      <c r="AB11" s="25" t="s">
        <v>6</v>
      </c>
      <c r="AC11" s="25" t="s">
        <v>6</v>
      </c>
      <c r="AD11" s="109" t="s">
        <v>5</v>
      </c>
      <c r="AE11" s="25" t="s">
        <v>6</v>
      </c>
      <c r="AF11" s="159" t="s">
        <v>4</v>
      </c>
      <c r="AG11" s="19" t="s">
        <v>42</v>
      </c>
      <c r="AH11" s="19" t="s">
        <v>41</v>
      </c>
      <c r="AM11" s="159" t="s">
        <v>4</v>
      </c>
      <c r="AN11" s="159" t="s">
        <v>4</v>
      </c>
    </row>
    <row r="12" spans="1:40" ht="15" thickBot="1" x14ac:dyDescent="0.4">
      <c r="A12" s="149" t="s">
        <v>21</v>
      </c>
      <c r="B12" s="136" t="s">
        <v>10</v>
      </c>
      <c r="C12" s="136" t="s">
        <v>10</v>
      </c>
      <c r="D12" s="136" t="s">
        <v>11</v>
      </c>
      <c r="E12" s="119" t="s">
        <v>4</v>
      </c>
      <c r="F12" s="25" t="s">
        <v>6</v>
      </c>
      <c r="G12" s="109" t="s">
        <v>5</v>
      </c>
      <c r="H12" s="25" t="s">
        <v>3</v>
      </c>
      <c r="I12" s="25" t="s">
        <v>6</v>
      </c>
      <c r="J12" s="25" t="s">
        <v>6</v>
      </c>
      <c r="K12" s="25" t="s">
        <v>3</v>
      </c>
      <c r="L12" s="159" t="s">
        <v>4</v>
      </c>
      <c r="M12" s="117" t="s">
        <v>2</v>
      </c>
      <c r="N12" s="25" t="s">
        <v>6</v>
      </c>
      <c r="O12" s="25" t="s">
        <v>6</v>
      </c>
      <c r="P12" s="109" t="s">
        <v>5</v>
      </c>
      <c r="Q12" s="109" t="s">
        <v>5</v>
      </c>
      <c r="R12" s="159" t="s">
        <v>4</v>
      </c>
      <c r="S12" s="25" t="s">
        <v>3</v>
      </c>
      <c r="T12" s="25" t="s">
        <v>6</v>
      </c>
      <c r="U12" s="25" t="s">
        <v>6</v>
      </c>
      <c r="V12" s="25" t="s">
        <v>6</v>
      </c>
      <c r="W12" s="109" t="s">
        <v>5</v>
      </c>
      <c r="X12" s="109" t="s">
        <v>5</v>
      </c>
      <c r="Y12" s="159" t="s">
        <v>4</v>
      </c>
      <c r="Z12" s="163" t="s">
        <v>3</v>
      </c>
      <c r="AA12" s="163" t="s">
        <v>3</v>
      </c>
      <c r="AB12" s="111" t="s">
        <v>2</v>
      </c>
      <c r="AC12" s="78" t="s">
        <v>6</v>
      </c>
      <c r="AD12" s="78" t="s">
        <v>6</v>
      </c>
      <c r="AE12" s="78" t="s">
        <v>6</v>
      </c>
      <c r="AF12" s="79" t="s">
        <v>30</v>
      </c>
      <c r="AG12" s="142" t="s">
        <v>42</v>
      </c>
      <c r="AH12" s="142" t="s">
        <v>41</v>
      </c>
      <c r="AM12" s="159" t="s">
        <v>4</v>
      </c>
      <c r="AN12" s="159" t="s">
        <v>4</v>
      </c>
    </row>
    <row r="13" spans="1:40" ht="15" thickBot="1" x14ac:dyDescent="0.4">
      <c r="A13" s="150" t="s">
        <v>22</v>
      </c>
      <c r="B13" s="16" t="s">
        <v>10</v>
      </c>
      <c r="C13" s="110" t="s">
        <v>4</v>
      </c>
      <c r="D13" s="110" t="s">
        <v>4</v>
      </c>
      <c r="E13" s="78" t="s">
        <v>3</v>
      </c>
      <c r="F13" s="78" t="s">
        <v>6</v>
      </c>
      <c r="G13" s="78" t="s">
        <v>6</v>
      </c>
      <c r="H13" s="78" t="s">
        <v>3</v>
      </c>
      <c r="I13" s="78" t="s">
        <v>6</v>
      </c>
      <c r="J13" s="109" t="s">
        <v>5</v>
      </c>
      <c r="K13" s="109" t="s">
        <v>4</v>
      </c>
      <c r="L13" s="25" t="s">
        <v>3</v>
      </c>
      <c r="M13" s="25" t="s">
        <v>6</v>
      </c>
      <c r="N13" s="25" t="s">
        <v>6</v>
      </c>
      <c r="O13" s="111" t="s">
        <v>2</v>
      </c>
      <c r="P13" s="25" t="s">
        <v>6</v>
      </c>
      <c r="Q13" s="25" t="s">
        <v>6</v>
      </c>
      <c r="R13" s="25" t="s">
        <v>3</v>
      </c>
      <c r="S13" s="159" t="s">
        <v>4</v>
      </c>
      <c r="T13" s="117" t="s">
        <v>2</v>
      </c>
      <c r="U13" s="25" t="s">
        <v>6</v>
      </c>
      <c r="V13" s="25" t="s">
        <v>6</v>
      </c>
      <c r="W13" s="25" t="s">
        <v>6</v>
      </c>
      <c r="X13" s="25" t="s">
        <v>6</v>
      </c>
      <c r="Y13" s="25" t="s">
        <v>3</v>
      </c>
      <c r="Z13" s="159" t="s">
        <v>4</v>
      </c>
      <c r="AA13" s="109" t="s">
        <v>5</v>
      </c>
      <c r="AB13" s="109" t="s">
        <v>5</v>
      </c>
      <c r="AC13" s="25" t="s">
        <v>6</v>
      </c>
      <c r="AD13" s="25" t="s">
        <v>6</v>
      </c>
      <c r="AE13" s="25" t="s">
        <v>6</v>
      </c>
      <c r="AF13" s="25" t="s">
        <v>3</v>
      </c>
      <c r="AG13" s="159" t="s">
        <v>4</v>
      </c>
      <c r="AH13" s="79" t="s">
        <v>41</v>
      </c>
      <c r="AM13" s="159" t="s">
        <v>4</v>
      </c>
      <c r="AN13" s="159" t="s">
        <v>4</v>
      </c>
    </row>
    <row r="14" spans="1:40" ht="15" thickBot="1" x14ac:dyDescent="0.4">
      <c r="A14" s="150" t="s">
        <v>155</v>
      </c>
      <c r="B14" s="22" t="s">
        <v>16</v>
      </c>
      <c r="C14" s="16" t="s">
        <v>10</v>
      </c>
      <c r="D14" s="16" t="s">
        <v>11</v>
      </c>
      <c r="E14" s="123" t="s">
        <v>4</v>
      </c>
      <c r="F14" s="117" t="s">
        <v>2</v>
      </c>
      <c r="G14" s="25" t="s">
        <v>6</v>
      </c>
      <c r="H14" s="124" t="s">
        <v>37</v>
      </c>
      <c r="I14" s="25" t="s">
        <v>6</v>
      </c>
      <c r="J14" s="25" t="s">
        <v>6</v>
      </c>
      <c r="K14" s="22" t="s">
        <v>30</v>
      </c>
      <c r="L14" s="159" t="s">
        <v>4</v>
      </c>
      <c r="M14" s="25" t="s">
        <v>6</v>
      </c>
      <c r="N14" s="25" t="s">
        <v>6</v>
      </c>
      <c r="O14" s="111" t="s">
        <v>2</v>
      </c>
      <c r="P14" s="25" t="s">
        <v>6</v>
      </c>
      <c r="Q14" s="25" t="s">
        <v>6</v>
      </c>
      <c r="R14" s="22" t="s">
        <v>30</v>
      </c>
      <c r="S14" s="159" t="s">
        <v>4</v>
      </c>
      <c r="T14" s="25" t="s">
        <v>6</v>
      </c>
      <c r="U14" s="25" t="s">
        <v>6</v>
      </c>
      <c r="V14" s="111" t="s">
        <v>2</v>
      </c>
      <c r="W14" s="25" t="s">
        <v>6</v>
      </c>
      <c r="X14" s="25" t="s">
        <v>6</v>
      </c>
      <c r="Y14" s="22" t="s">
        <v>30</v>
      </c>
      <c r="Z14" s="159" t="s">
        <v>4</v>
      </c>
      <c r="AA14" s="163" t="s">
        <v>3</v>
      </c>
      <c r="AB14" s="25" t="s">
        <v>6</v>
      </c>
      <c r="AC14" s="25" t="s">
        <v>6</v>
      </c>
      <c r="AD14" s="109" t="s">
        <v>5</v>
      </c>
      <c r="AE14" s="109" t="s">
        <v>5</v>
      </c>
      <c r="AF14" s="159" t="s">
        <v>4</v>
      </c>
      <c r="AG14" s="159" t="s">
        <v>4</v>
      </c>
      <c r="AH14" s="19" t="s">
        <v>41</v>
      </c>
      <c r="AM14" s="159" t="s">
        <v>4</v>
      </c>
      <c r="AN14" s="159" t="s">
        <v>4</v>
      </c>
    </row>
    <row r="15" spans="1:40" ht="15" thickBot="1" x14ac:dyDescent="0.4">
      <c r="B15" s="151"/>
      <c r="C15" s="151"/>
      <c r="D15" s="151"/>
    </row>
    <row r="16" spans="1:40" ht="15" thickBot="1" x14ac:dyDescent="0.4">
      <c r="A16" s="146" t="s">
        <v>1</v>
      </c>
      <c r="B16" s="112" t="s">
        <v>6</v>
      </c>
      <c r="C16" s="113" t="s">
        <v>2</v>
      </c>
      <c r="D16" s="114" t="s">
        <v>3</v>
      </c>
      <c r="E16" s="164" t="s">
        <v>42</v>
      </c>
      <c r="F16" s="117" t="s">
        <v>2</v>
      </c>
      <c r="G16" s="190" t="s">
        <v>41</v>
      </c>
      <c r="H16" s="164" t="s">
        <v>42</v>
      </c>
      <c r="I16" s="142" t="s">
        <v>41</v>
      </c>
      <c r="J16" s="117" t="s">
        <v>2</v>
      </c>
      <c r="K16" s="164" t="s">
        <v>42</v>
      </c>
      <c r="L16" s="109" t="s">
        <v>4</v>
      </c>
      <c r="M16" s="142" t="s">
        <v>41</v>
      </c>
      <c r="N16" s="142" t="s">
        <v>41</v>
      </c>
      <c r="O16" s="19" t="s">
        <v>41</v>
      </c>
      <c r="P16" s="19" t="s">
        <v>41</v>
      </c>
      <c r="Q16" s="111" t="s">
        <v>2</v>
      </c>
      <c r="R16" s="159" t="s">
        <v>4</v>
      </c>
      <c r="S16" s="164" t="s">
        <v>42</v>
      </c>
      <c r="T16" s="142" t="s">
        <v>41</v>
      </c>
      <c r="U16" s="142" t="s">
        <v>41</v>
      </c>
      <c r="V16" s="19" t="s">
        <v>41</v>
      </c>
      <c r="W16" s="19" t="s">
        <v>41</v>
      </c>
      <c r="X16" s="19" t="s">
        <v>41</v>
      </c>
      <c r="Y16" s="159" t="s">
        <v>4</v>
      </c>
      <c r="Z16" s="164" t="s">
        <v>42</v>
      </c>
      <c r="AA16" s="19" t="s">
        <v>41</v>
      </c>
      <c r="AB16" s="19" t="s">
        <v>41</v>
      </c>
      <c r="AC16" s="19" t="s">
        <v>41</v>
      </c>
      <c r="AD16" s="111" t="s">
        <v>2</v>
      </c>
      <c r="AE16" s="111" t="s">
        <v>2</v>
      </c>
      <c r="AF16" s="164" t="s">
        <v>42</v>
      </c>
      <c r="AG16" s="109" t="s">
        <v>5</v>
      </c>
      <c r="AH16" s="109" t="s">
        <v>5</v>
      </c>
      <c r="AM16" s="159" t="s">
        <v>4</v>
      </c>
      <c r="AN16" s="159" t="s">
        <v>4</v>
      </c>
    </row>
    <row r="17" spans="1:40" ht="15" thickBot="1" x14ac:dyDescent="0.4">
      <c r="A17" s="147" t="s">
        <v>18</v>
      </c>
      <c r="B17" s="114" t="s">
        <v>6</v>
      </c>
      <c r="C17" s="114" t="s">
        <v>6</v>
      </c>
      <c r="D17" s="166" t="s">
        <v>4</v>
      </c>
      <c r="E17" s="166" t="s">
        <v>4</v>
      </c>
      <c r="F17" s="22" t="s">
        <v>16</v>
      </c>
      <c r="G17" s="22" t="s">
        <v>16</v>
      </c>
      <c r="H17" s="124" t="s">
        <v>37</v>
      </c>
      <c r="I17" s="22" t="s">
        <v>16</v>
      </c>
      <c r="J17" s="22" t="s">
        <v>16</v>
      </c>
      <c r="K17" s="159" t="s">
        <v>4</v>
      </c>
      <c r="L17" s="159" t="s">
        <v>4</v>
      </c>
      <c r="M17" s="22" t="s">
        <v>16</v>
      </c>
      <c r="N17" s="22" t="s">
        <v>16</v>
      </c>
      <c r="O17" s="22" t="s">
        <v>16</v>
      </c>
      <c r="P17" s="22" t="s">
        <v>16</v>
      </c>
      <c r="Q17" s="22" t="s">
        <v>16</v>
      </c>
      <c r="R17" s="159" t="s">
        <v>4</v>
      </c>
      <c r="S17" s="159" t="s">
        <v>4</v>
      </c>
      <c r="T17" s="22" t="s">
        <v>16</v>
      </c>
      <c r="U17" s="22" t="s">
        <v>16</v>
      </c>
      <c r="V17" s="22" t="s">
        <v>16</v>
      </c>
      <c r="W17" s="22" t="s">
        <v>16</v>
      </c>
      <c r="X17" s="22" t="s">
        <v>16</v>
      </c>
      <c r="Y17" s="159" t="s">
        <v>4</v>
      </c>
      <c r="Z17" s="159" t="s">
        <v>4</v>
      </c>
      <c r="AA17" s="124" t="s">
        <v>37</v>
      </c>
      <c r="AB17" s="22" t="s">
        <v>16</v>
      </c>
      <c r="AC17" s="168"/>
      <c r="AD17" s="168"/>
      <c r="AE17" s="168"/>
      <c r="AF17" s="159" t="s">
        <v>4</v>
      </c>
      <c r="AG17" s="159" t="s">
        <v>4</v>
      </c>
      <c r="AH17" s="168"/>
      <c r="AM17" s="159" t="s">
        <v>4</v>
      </c>
      <c r="AN17" s="159" t="s">
        <v>4</v>
      </c>
    </row>
    <row r="18" spans="1:40" ht="15" thickBot="1" x14ac:dyDescent="0.4">
      <c r="A18" s="149" t="s">
        <v>74</v>
      </c>
      <c r="B18" s="121" t="s">
        <v>6</v>
      </c>
      <c r="C18" s="117" t="s">
        <v>2</v>
      </c>
      <c r="D18" s="119" t="s">
        <v>4</v>
      </c>
      <c r="E18" s="143" t="s">
        <v>42</v>
      </c>
      <c r="F18" s="142" t="s">
        <v>41</v>
      </c>
      <c r="G18" s="142" t="s">
        <v>41</v>
      </c>
      <c r="H18" s="169" t="s">
        <v>42</v>
      </c>
      <c r="I18" s="142" t="s">
        <v>41</v>
      </c>
      <c r="J18" s="142" t="s">
        <v>41</v>
      </c>
      <c r="K18" s="159" t="s">
        <v>4</v>
      </c>
      <c r="L18" s="19" t="s">
        <v>42</v>
      </c>
      <c r="M18" s="19" t="s">
        <v>41</v>
      </c>
      <c r="N18" s="19" t="s">
        <v>41</v>
      </c>
      <c r="O18" s="111" t="s">
        <v>2</v>
      </c>
      <c r="P18" s="19" t="s">
        <v>41</v>
      </c>
      <c r="Q18" s="19" t="s">
        <v>41</v>
      </c>
      <c r="R18" s="159" t="s">
        <v>4</v>
      </c>
      <c r="S18" s="19" t="s">
        <v>41</v>
      </c>
      <c r="T18" s="111" t="s">
        <v>2</v>
      </c>
      <c r="U18" s="19" t="s">
        <v>41</v>
      </c>
      <c r="V18" s="19" t="s">
        <v>41</v>
      </c>
      <c r="W18" s="19" t="s">
        <v>41</v>
      </c>
      <c r="X18" s="19" t="s">
        <v>41</v>
      </c>
      <c r="Y18" s="164" t="s">
        <v>42</v>
      </c>
      <c r="Z18" s="159" t="s">
        <v>4</v>
      </c>
      <c r="AA18" s="109" t="s">
        <v>5</v>
      </c>
      <c r="AB18" s="109" t="s">
        <v>5</v>
      </c>
      <c r="AC18" s="109" t="s">
        <v>5</v>
      </c>
      <c r="AD18" s="19" t="s">
        <v>41</v>
      </c>
      <c r="AE18" s="19" t="s">
        <v>41</v>
      </c>
      <c r="AF18" s="164" t="s">
        <v>42</v>
      </c>
      <c r="AG18" s="136" t="s">
        <v>11</v>
      </c>
      <c r="AH18" s="136" t="s">
        <v>10</v>
      </c>
      <c r="AM18" s="159" t="s">
        <v>4</v>
      </c>
      <c r="AN18" s="159" t="s">
        <v>4</v>
      </c>
    </row>
    <row r="19" spans="1:40" ht="15" thickBot="1" x14ac:dyDescent="0.4">
      <c r="A19" s="150" t="s">
        <v>43</v>
      </c>
      <c r="B19" s="25" t="s">
        <v>6</v>
      </c>
      <c r="C19" s="25" t="s">
        <v>6</v>
      </c>
      <c r="D19" s="25" t="s">
        <v>3</v>
      </c>
      <c r="E19" s="166" t="s">
        <v>4</v>
      </c>
      <c r="F19" s="19" t="s">
        <v>41</v>
      </c>
      <c r="G19" s="19" t="s">
        <v>41</v>
      </c>
      <c r="H19" s="124" t="s">
        <v>37</v>
      </c>
      <c r="I19" s="19" t="s">
        <v>41</v>
      </c>
      <c r="J19" s="19" t="s">
        <v>41</v>
      </c>
      <c r="K19" s="159" t="s">
        <v>4</v>
      </c>
      <c r="L19" s="19" t="s">
        <v>42</v>
      </c>
      <c r="M19" s="142" t="s">
        <v>41</v>
      </c>
      <c r="N19" s="142" t="s">
        <v>41</v>
      </c>
      <c r="O19" s="142" t="s">
        <v>41</v>
      </c>
      <c r="P19" s="142" t="s">
        <v>41</v>
      </c>
      <c r="Q19" s="142" t="s">
        <v>41</v>
      </c>
      <c r="R19" s="169" t="s">
        <v>42</v>
      </c>
      <c r="S19" s="159" t="s">
        <v>4</v>
      </c>
      <c r="T19" s="19" t="s">
        <v>41</v>
      </c>
      <c r="U19" s="109" t="s">
        <v>5</v>
      </c>
      <c r="V19" s="109" t="s">
        <v>5</v>
      </c>
      <c r="W19" s="109" t="s">
        <v>5</v>
      </c>
      <c r="X19" s="109" t="s">
        <v>5</v>
      </c>
      <c r="Y19" s="164" t="s">
        <v>42</v>
      </c>
      <c r="Z19" s="159" t="s">
        <v>4</v>
      </c>
      <c r="AA19" s="19" t="s">
        <v>41</v>
      </c>
      <c r="AB19" s="19" t="s">
        <v>41</v>
      </c>
      <c r="AC19" s="19" t="s">
        <v>41</v>
      </c>
      <c r="AD19" s="19" t="s">
        <v>41</v>
      </c>
      <c r="AE19" s="19" t="s">
        <v>41</v>
      </c>
      <c r="AF19" s="159" t="s">
        <v>4</v>
      </c>
      <c r="AG19" s="136" t="s">
        <v>11</v>
      </c>
      <c r="AH19" s="136" t="s">
        <v>10</v>
      </c>
      <c r="AM19" s="159" t="s">
        <v>4</v>
      </c>
      <c r="AN19" s="159" t="s">
        <v>4</v>
      </c>
    </row>
    <row r="20" spans="1:40" x14ac:dyDescent="0.35">
      <c r="A20" s="150" t="s">
        <v>62</v>
      </c>
      <c r="B20" s="22" t="s">
        <v>16</v>
      </c>
      <c r="C20" s="25" t="s">
        <v>6</v>
      </c>
      <c r="D20" s="158" t="s">
        <v>30</v>
      </c>
      <c r="E20" s="123" t="s">
        <v>4</v>
      </c>
      <c r="F20" s="19" t="s">
        <v>41</v>
      </c>
      <c r="G20" s="19" t="s">
        <v>41</v>
      </c>
      <c r="H20" s="164" t="s">
        <v>42</v>
      </c>
      <c r="I20" s="109" t="s">
        <v>5</v>
      </c>
      <c r="J20" s="109" t="s">
        <v>5</v>
      </c>
      <c r="K20" s="19" t="s">
        <v>42</v>
      </c>
      <c r="L20" s="159" t="s">
        <v>4</v>
      </c>
      <c r="M20" s="109" t="s">
        <v>5</v>
      </c>
      <c r="N20" s="109" t="s">
        <v>5</v>
      </c>
      <c r="O20" s="79" t="s">
        <v>41</v>
      </c>
      <c r="P20" s="79" t="s">
        <v>41</v>
      </c>
      <c r="Q20" s="19" t="s">
        <v>41</v>
      </c>
      <c r="R20" s="164" t="s">
        <v>42</v>
      </c>
      <c r="S20" s="159" t="s">
        <v>4</v>
      </c>
      <c r="T20" s="19" t="s">
        <v>41</v>
      </c>
      <c r="U20" s="79" t="s">
        <v>41</v>
      </c>
      <c r="V20" s="79" t="s">
        <v>41</v>
      </c>
      <c r="W20" s="79" t="s">
        <v>41</v>
      </c>
      <c r="X20" s="79" t="s">
        <v>41</v>
      </c>
      <c r="Y20" s="159" t="s">
        <v>4</v>
      </c>
      <c r="Z20" s="164" t="s">
        <v>42</v>
      </c>
      <c r="AA20" s="164" t="s">
        <v>42</v>
      </c>
      <c r="AB20" s="19" t="s">
        <v>41</v>
      </c>
      <c r="AC20" s="19" t="s">
        <v>41</v>
      </c>
      <c r="AD20" s="164" t="s">
        <v>42</v>
      </c>
      <c r="AE20" s="19" t="s">
        <v>41</v>
      </c>
      <c r="AF20" s="159" t="s">
        <v>4</v>
      </c>
      <c r="AG20" s="109" t="s">
        <v>5</v>
      </c>
      <c r="AH20" s="136" t="s">
        <v>10</v>
      </c>
      <c r="AM20" s="159" t="s">
        <v>4</v>
      </c>
      <c r="AN20" s="159" t="s">
        <v>4</v>
      </c>
    </row>
    <row r="22" spans="1:40" x14ac:dyDescent="0.35">
      <c r="A22" s="137" t="s">
        <v>156</v>
      </c>
      <c r="B22">
        <f>COUNTIF(B4:B20,"*MS")</f>
        <v>4</v>
      </c>
      <c r="C22">
        <f t="shared" ref="C22:AN22" si="1">COUNTIF(C4:C20,"*MS")</f>
        <v>3</v>
      </c>
      <c r="D22">
        <f t="shared" si="1"/>
        <v>2</v>
      </c>
      <c r="E22">
        <f t="shared" si="1"/>
        <v>2</v>
      </c>
      <c r="F22">
        <f t="shared" si="1"/>
        <v>3</v>
      </c>
      <c r="G22">
        <f t="shared" si="1"/>
        <v>4</v>
      </c>
      <c r="H22">
        <f t="shared" si="1"/>
        <v>3</v>
      </c>
      <c r="I22">
        <f t="shared" si="1"/>
        <v>4</v>
      </c>
      <c r="J22">
        <f t="shared" si="1"/>
        <v>3</v>
      </c>
      <c r="K22">
        <f t="shared" si="1"/>
        <v>2</v>
      </c>
      <c r="L22">
        <f>COUNTIF(L4:L20,"*MS")</f>
        <v>2</v>
      </c>
      <c r="M22">
        <f t="shared" si="1"/>
        <v>3</v>
      </c>
      <c r="N22">
        <f t="shared" si="1"/>
        <v>4</v>
      </c>
      <c r="O22">
        <f t="shared" si="1"/>
        <v>3</v>
      </c>
      <c r="P22">
        <f t="shared" si="1"/>
        <v>3</v>
      </c>
      <c r="Q22">
        <f t="shared" si="1"/>
        <v>4</v>
      </c>
      <c r="R22">
        <f t="shared" si="1"/>
        <v>2</v>
      </c>
      <c r="S22">
        <f t="shared" si="1"/>
        <v>2</v>
      </c>
      <c r="T22">
        <f t="shared" si="1"/>
        <v>3</v>
      </c>
      <c r="U22">
        <f t="shared" si="1"/>
        <v>4</v>
      </c>
      <c r="V22">
        <f t="shared" si="1"/>
        <v>3</v>
      </c>
      <c r="W22">
        <f t="shared" si="1"/>
        <v>3</v>
      </c>
      <c r="X22">
        <f t="shared" si="1"/>
        <v>3</v>
      </c>
      <c r="Y22">
        <f t="shared" si="1"/>
        <v>2</v>
      </c>
      <c r="Z22">
        <f t="shared" si="1"/>
        <v>2</v>
      </c>
      <c r="AA22">
        <f t="shared" si="1"/>
        <v>3</v>
      </c>
      <c r="AB22">
        <f t="shared" si="1"/>
        <v>3</v>
      </c>
      <c r="AC22">
        <f t="shared" si="1"/>
        <v>4</v>
      </c>
      <c r="AD22">
        <f t="shared" si="1"/>
        <v>3</v>
      </c>
      <c r="AE22">
        <f t="shared" si="1"/>
        <v>3</v>
      </c>
      <c r="AF22">
        <f>COUNTIF(AF5:AF20,"*MS")</f>
        <v>2</v>
      </c>
      <c r="AG22">
        <f>COUNTIF(AG4:AG20,"*MS")</f>
        <v>2</v>
      </c>
      <c r="AH22">
        <f t="shared" si="1"/>
        <v>3</v>
      </c>
      <c r="AI22">
        <f t="shared" si="1"/>
        <v>1</v>
      </c>
      <c r="AJ22">
        <f t="shared" si="1"/>
        <v>0</v>
      </c>
      <c r="AK22">
        <f t="shared" si="1"/>
        <v>0</v>
      </c>
      <c r="AL22">
        <f t="shared" si="1"/>
        <v>0</v>
      </c>
      <c r="AM22">
        <f t="shared" si="1"/>
        <v>0</v>
      </c>
      <c r="AN22">
        <f t="shared" si="1"/>
        <v>0</v>
      </c>
    </row>
    <row r="23" spans="1:40" x14ac:dyDescent="0.35">
      <c r="A23" s="137" t="s">
        <v>157</v>
      </c>
      <c r="B23">
        <f>COUNTIF(B4:B20,"*ASS1")</f>
        <v>3</v>
      </c>
      <c r="C23">
        <f t="shared" ref="C23:AN23" si="2">COUNTIF(C4:C20,"*ASS1")</f>
        <v>3</v>
      </c>
      <c r="D23">
        <f t="shared" si="2"/>
        <v>2</v>
      </c>
      <c r="E23">
        <f t="shared" si="2"/>
        <v>2</v>
      </c>
      <c r="F23">
        <f t="shared" si="2"/>
        <v>3</v>
      </c>
      <c r="G23">
        <f t="shared" si="2"/>
        <v>4</v>
      </c>
      <c r="H23">
        <f t="shared" si="2"/>
        <v>3</v>
      </c>
      <c r="I23">
        <f t="shared" si="2"/>
        <v>3</v>
      </c>
      <c r="J23">
        <f t="shared" si="2"/>
        <v>2</v>
      </c>
      <c r="K23">
        <f t="shared" si="2"/>
        <v>2</v>
      </c>
      <c r="L23">
        <f>COUNTIF(L4:L20,"*ASS1")</f>
        <v>2</v>
      </c>
      <c r="M23">
        <f t="shared" si="2"/>
        <v>3</v>
      </c>
      <c r="N23">
        <f t="shared" si="2"/>
        <v>3</v>
      </c>
      <c r="O23">
        <f t="shared" si="2"/>
        <v>3</v>
      </c>
      <c r="P23">
        <f t="shared" si="2"/>
        <v>4</v>
      </c>
      <c r="Q23">
        <f t="shared" si="2"/>
        <v>3</v>
      </c>
      <c r="R23">
        <f t="shared" si="2"/>
        <v>2</v>
      </c>
      <c r="S23">
        <f t="shared" si="2"/>
        <v>2</v>
      </c>
      <c r="T23">
        <f t="shared" si="2"/>
        <v>3</v>
      </c>
      <c r="U23">
        <f t="shared" si="2"/>
        <v>3</v>
      </c>
      <c r="V23">
        <f t="shared" si="2"/>
        <v>3</v>
      </c>
      <c r="W23">
        <f t="shared" si="2"/>
        <v>3</v>
      </c>
      <c r="X23">
        <f t="shared" si="2"/>
        <v>3</v>
      </c>
      <c r="Y23">
        <f t="shared" si="2"/>
        <v>2</v>
      </c>
      <c r="Z23">
        <f t="shared" si="2"/>
        <v>2</v>
      </c>
      <c r="AA23">
        <f t="shared" si="2"/>
        <v>3</v>
      </c>
      <c r="AB23">
        <f t="shared" si="2"/>
        <v>3</v>
      </c>
      <c r="AC23">
        <f t="shared" si="2"/>
        <v>3</v>
      </c>
      <c r="AD23">
        <f t="shared" si="2"/>
        <v>3</v>
      </c>
      <c r="AE23">
        <f t="shared" si="2"/>
        <v>3</v>
      </c>
      <c r="AF23">
        <f>COUNTIF(AF5:AF20,"*ASS1")</f>
        <v>2</v>
      </c>
      <c r="AG23">
        <f>COUNTIF(AG4:AG20,"*ASS1")</f>
        <v>2</v>
      </c>
      <c r="AH23">
        <f t="shared" si="2"/>
        <v>4</v>
      </c>
      <c r="AI23">
        <f t="shared" si="2"/>
        <v>0</v>
      </c>
      <c r="AJ23">
        <f t="shared" si="2"/>
        <v>0</v>
      </c>
      <c r="AK23">
        <f t="shared" si="2"/>
        <v>0</v>
      </c>
      <c r="AL23">
        <f t="shared" si="2"/>
        <v>0</v>
      </c>
      <c r="AM23">
        <f t="shared" si="2"/>
        <v>0</v>
      </c>
      <c r="AN23">
        <f t="shared" si="2"/>
        <v>0</v>
      </c>
    </row>
    <row r="24" spans="1:40" x14ac:dyDescent="0.35">
      <c r="A24" s="137" t="s">
        <v>158</v>
      </c>
      <c r="B24">
        <f>COUNTIF(B4:B20,"*NST7")</f>
        <v>3</v>
      </c>
      <c r="C24">
        <f t="shared" ref="C24:AN24" si="3">COUNTIF(C4:C20,"*NST7")</f>
        <v>3</v>
      </c>
      <c r="D24">
        <f t="shared" si="3"/>
        <v>3</v>
      </c>
      <c r="E24">
        <f t="shared" si="3"/>
        <v>2</v>
      </c>
      <c r="F24">
        <f t="shared" si="3"/>
        <v>3</v>
      </c>
      <c r="G24">
        <f t="shared" si="3"/>
        <v>3</v>
      </c>
      <c r="H24">
        <f t="shared" si="3"/>
        <v>3</v>
      </c>
      <c r="I24">
        <f t="shared" si="3"/>
        <v>3</v>
      </c>
      <c r="J24">
        <f t="shared" si="3"/>
        <v>3</v>
      </c>
      <c r="K24">
        <f t="shared" si="3"/>
        <v>3</v>
      </c>
      <c r="L24">
        <f>COUNTIF(L4:L20,"*NST7")</f>
        <v>3</v>
      </c>
      <c r="M24">
        <f t="shared" si="3"/>
        <v>3</v>
      </c>
      <c r="N24">
        <f t="shared" si="3"/>
        <v>3</v>
      </c>
      <c r="O24">
        <f t="shared" si="3"/>
        <v>3</v>
      </c>
      <c r="P24">
        <f t="shared" si="3"/>
        <v>3</v>
      </c>
      <c r="Q24">
        <f t="shared" si="3"/>
        <v>3</v>
      </c>
      <c r="R24">
        <f t="shared" si="3"/>
        <v>3</v>
      </c>
      <c r="S24">
        <f t="shared" si="3"/>
        <v>3</v>
      </c>
      <c r="T24">
        <f t="shared" si="3"/>
        <v>3</v>
      </c>
      <c r="U24">
        <f t="shared" si="3"/>
        <v>3</v>
      </c>
      <c r="V24">
        <f t="shared" si="3"/>
        <v>3</v>
      </c>
      <c r="W24">
        <f t="shared" si="3"/>
        <v>3</v>
      </c>
      <c r="X24">
        <f t="shared" si="3"/>
        <v>3</v>
      </c>
      <c r="Y24">
        <f t="shared" si="3"/>
        <v>3</v>
      </c>
      <c r="Z24">
        <f t="shared" si="3"/>
        <v>3</v>
      </c>
      <c r="AA24">
        <f t="shared" si="3"/>
        <v>3</v>
      </c>
      <c r="AB24">
        <f t="shared" si="3"/>
        <v>3</v>
      </c>
      <c r="AC24">
        <f t="shared" si="3"/>
        <v>3</v>
      </c>
      <c r="AD24">
        <f t="shared" si="3"/>
        <v>3</v>
      </c>
      <c r="AE24">
        <f t="shared" si="3"/>
        <v>3</v>
      </c>
      <c r="AF24">
        <f>COUNTIF(AF5:AF20,"*NST7")</f>
        <v>3</v>
      </c>
      <c r="AG24">
        <f>COUNTIF(AG4:AG20,"*NST7")</f>
        <v>2</v>
      </c>
      <c r="AH24">
        <f t="shared" si="3"/>
        <v>3</v>
      </c>
      <c r="AI24">
        <f t="shared" si="3"/>
        <v>0</v>
      </c>
      <c r="AJ24">
        <f t="shared" si="3"/>
        <v>0</v>
      </c>
      <c r="AK24">
        <f t="shared" si="3"/>
        <v>0</v>
      </c>
      <c r="AL24">
        <f t="shared" si="3"/>
        <v>0</v>
      </c>
      <c r="AM24">
        <f t="shared" si="3"/>
        <v>0</v>
      </c>
      <c r="AN24">
        <f t="shared" si="3"/>
        <v>0</v>
      </c>
    </row>
    <row r="25" spans="1:40" x14ac:dyDescent="0.35">
      <c r="A25" s="137" t="s">
        <v>159</v>
      </c>
      <c r="B25">
        <f>COUNTIF(B4:B20,"*GS")</f>
        <v>3</v>
      </c>
      <c r="C25">
        <f t="shared" ref="C25:AN25" si="4">COUNTIF(C4:C20,"*GS")</f>
        <v>1</v>
      </c>
      <c r="D25">
        <f t="shared" si="4"/>
        <v>1</v>
      </c>
      <c r="E25">
        <f t="shared" si="4"/>
        <v>0</v>
      </c>
      <c r="F25">
        <f t="shared" si="4"/>
        <v>2</v>
      </c>
      <c r="G25">
        <f t="shared" si="4"/>
        <v>2</v>
      </c>
      <c r="H25">
        <f t="shared" si="4"/>
        <v>0</v>
      </c>
      <c r="I25">
        <f t="shared" si="4"/>
        <v>1</v>
      </c>
      <c r="J25">
        <f t="shared" si="4"/>
        <v>1</v>
      </c>
      <c r="K25">
        <f t="shared" si="4"/>
        <v>1</v>
      </c>
      <c r="L25">
        <f>COUNTIF(L4:L20,"*GS")</f>
        <v>0</v>
      </c>
      <c r="M25">
        <f t="shared" si="4"/>
        <v>1</v>
      </c>
      <c r="N25">
        <f t="shared" si="4"/>
        <v>1</v>
      </c>
      <c r="O25">
        <f t="shared" si="4"/>
        <v>2</v>
      </c>
      <c r="P25">
        <f t="shared" si="4"/>
        <v>2</v>
      </c>
      <c r="Q25">
        <f t="shared" si="4"/>
        <v>1</v>
      </c>
      <c r="R25">
        <f t="shared" si="4"/>
        <v>1</v>
      </c>
      <c r="S25">
        <f t="shared" si="4"/>
        <v>0</v>
      </c>
      <c r="T25">
        <f t="shared" si="4"/>
        <v>1</v>
      </c>
      <c r="U25">
        <f t="shared" si="4"/>
        <v>1</v>
      </c>
      <c r="V25">
        <f t="shared" si="4"/>
        <v>1</v>
      </c>
      <c r="W25">
        <f t="shared" si="4"/>
        <v>1</v>
      </c>
      <c r="X25">
        <f t="shared" si="4"/>
        <v>1</v>
      </c>
      <c r="Y25">
        <f t="shared" si="4"/>
        <v>1</v>
      </c>
      <c r="Z25">
        <f t="shared" si="4"/>
        <v>0</v>
      </c>
      <c r="AA25">
        <f t="shared" si="4"/>
        <v>0</v>
      </c>
      <c r="AB25">
        <f t="shared" si="4"/>
        <v>1</v>
      </c>
      <c r="AC25">
        <f t="shared" si="4"/>
        <v>0</v>
      </c>
      <c r="AD25">
        <f t="shared" si="4"/>
        <v>0</v>
      </c>
      <c r="AE25">
        <f t="shared" si="4"/>
        <v>0</v>
      </c>
      <c r="AF25">
        <f>COUNTIF(AF5:AF20,"*GS")</f>
        <v>1</v>
      </c>
      <c r="AG25">
        <f>COUNTIF(AG4:AG20,"*GS")</f>
        <v>0</v>
      </c>
      <c r="AH25">
        <f t="shared" si="4"/>
        <v>0</v>
      </c>
      <c r="AI25">
        <f t="shared" si="4"/>
        <v>0</v>
      </c>
      <c r="AJ25">
        <f t="shared" si="4"/>
        <v>0</v>
      </c>
      <c r="AK25">
        <f t="shared" si="4"/>
        <v>0</v>
      </c>
      <c r="AL25">
        <f t="shared" si="4"/>
        <v>0</v>
      </c>
      <c r="AM25">
        <f t="shared" si="4"/>
        <v>0</v>
      </c>
      <c r="AN25">
        <f t="shared" si="4"/>
        <v>0</v>
      </c>
    </row>
    <row r="26" spans="1:40" x14ac:dyDescent="0.35">
      <c r="A26" s="137" t="s">
        <v>160</v>
      </c>
      <c r="B26">
        <f>COUNTIF(B4:B20,"C")</f>
        <v>1</v>
      </c>
      <c r="C26">
        <f t="shared" ref="C26:AN26" si="5">COUNTIF(C4:C20,"C")</f>
        <v>4</v>
      </c>
      <c r="D26">
        <f t="shared" si="5"/>
        <v>0</v>
      </c>
      <c r="E26">
        <f t="shared" si="5"/>
        <v>0</v>
      </c>
      <c r="F26">
        <f t="shared" si="5"/>
        <v>4</v>
      </c>
      <c r="G26">
        <f t="shared" si="5"/>
        <v>0</v>
      </c>
      <c r="H26">
        <f t="shared" si="5"/>
        <v>0</v>
      </c>
      <c r="I26">
        <f t="shared" si="5"/>
        <v>2</v>
      </c>
      <c r="J26">
        <f t="shared" si="5"/>
        <v>3</v>
      </c>
      <c r="K26">
        <f t="shared" si="5"/>
        <v>1</v>
      </c>
      <c r="L26">
        <f>COUNTIF(L4:L20,"C")</f>
        <v>0</v>
      </c>
      <c r="M26">
        <f t="shared" si="5"/>
        <v>4</v>
      </c>
      <c r="N26">
        <f t="shared" si="5"/>
        <v>3</v>
      </c>
      <c r="O26">
        <f t="shared" si="5"/>
        <v>4</v>
      </c>
      <c r="P26">
        <f t="shared" si="5"/>
        <v>1</v>
      </c>
      <c r="Q26">
        <f t="shared" si="5"/>
        <v>2</v>
      </c>
      <c r="R26">
        <f t="shared" si="5"/>
        <v>0</v>
      </c>
      <c r="S26">
        <f t="shared" si="5"/>
        <v>0</v>
      </c>
      <c r="T26">
        <f t="shared" si="5"/>
        <v>4</v>
      </c>
      <c r="U26">
        <f t="shared" si="5"/>
        <v>2</v>
      </c>
      <c r="V26">
        <f t="shared" si="5"/>
        <v>3</v>
      </c>
      <c r="W26">
        <f t="shared" si="5"/>
        <v>2</v>
      </c>
      <c r="X26">
        <f t="shared" si="5"/>
        <v>2</v>
      </c>
      <c r="Y26">
        <f t="shared" si="5"/>
        <v>0</v>
      </c>
      <c r="Z26">
        <f t="shared" si="5"/>
        <v>0</v>
      </c>
      <c r="AA26">
        <f t="shared" si="5"/>
        <v>0</v>
      </c>
      <c r="AB26">
        <f t="shared" si="5"/>
        <v>2</v>
      </c>
      <c r="AC26">
        <f t="shared" si="5"/>
        <v>0</v>
      </c>
      <c r="AD26">
        <f t="shared" si="5"/>
        <v>2</v>
      </c>
      <c r="AE26">
        <f t="shared" si="5"/>
        <v>3</v>
      </c>
      <c r="AF26">
        <f>COUNTIF(AF5:AF20,"C")</f>
        <v>0</v>
      </c>
      <c r="AG26">
        <f>COUNTIF(AG4:AG20,"C")</f>
        <v>0</v>
      </c>
      <c r="AH26">
        <f t="shared" si="5"/>
        <v>3</v>
      </c>
      <c r="AI26">
        <f t="shared" si="5"/>
        <v>1</v>
      </c>
      <c r="AJ26">
        <f t="shared" si="5"/>
        <v>0</v>
      </c>
      <c r="AK26">
        <f t="shared" si="5"/>
        <v>0</v>
      </c>
      <c r="AL26">
        <f t="shared" si="5"/>
        <v>0</v>
      </c>
      <c r="AM26">
        <f t="shared" si="5"/>
        <v>0</v>
      </c>
      <c r="AN26">
        <f t="shared" si="5"/>
        <v>0</v>
      </c>
    </row>
    <row r="27" spans="1:40" x14ac:dyDescent="0.35">
      <c r="A27" s="137" t="s">
        <v>161</v>
      </c>
      <c r="B27">
        <f t="shared" ref="B27" si="6">COUNTIF(B4:B20,"PL")</f>
        <v>1</v>
      </c>
      <c r="C27">
        <f t="shared" ref="C27:AN27" si="7">COUNTIF(C4:C20,"PL")</f>
        <v>0</v>
      </c>
      <c r="D27">
        <f t="shared" si="7"/>
        <v>0</v>
      </c>
      <c r="E27">
        <f t="shared" si="7"/>
        <v>0</v>
      </c>
      <c r="F27">
        <f t="shared" si="7"/>
        <v>0</v>
      </c>
      <c r="G27">
        <f t="shared" si="7"/>
        <v>2</v>
      </c>
      <c r="H27">
        <f t="shared" si="7"/>
        <v>3</v>
      </c>
      <c r="I27">
        <f t="shared" si="7"/>
        <v>2</v>
      </c>
      <c r="J27">
        <f t="shared" si="7"/>
        <v>3</v>
      </c>
      <c r="K27">
        <f t="shared" si="7"/>
        <v>0</v>
      </c>
      <c r="L27">
        <f>COUNTIF(L4:L20,"PL")</f>
        <v>0</v>
      </c>
      <c r="M27">
        <f t="shared" si="7"/>
        <v>1</v>
      </c>
      <c r="N27">
        <f t="shared" si="7"/>
        <v>1</v>
      </c>
      <c r="O27">
        <f t="shared" si="7"/>
        <v>0</v>
      </c>
      <c r="P27">
        <f t="shared" si="7"/>
        <v>2</v>
      </c>
      <c r="Q27">
        <f t="shared" si="7"/>
        <v>2</v>
      </c>
      <c r="R27">
        <f t="shared" si="7"/>
        <v>0</v>
      </c>
      <c r="S27">
        <f t="shared" si="7"/>
        <v>0</v>
      </c>
      <c r="T27">
        <f t="shared" si="7"/>
        <v>1</v>
      </c>
      <c r="U27">
        <f t="shared" si="7"/>
        <v>2</v>
      </c>
      <c r="V27">
        <f t="shared" si="7"/>
        <v>2</v>
      </c>
      <c r="W27">
        <f t="shared" si="7"/>
        <v>3</v>
      </c>
      <c r="X27">
        <f t="shared" si="7"/>
        <v>3</v>
      </c>
      <c r="Y27">
        <f t="shared" si="7"/>
        <v>0</v>
      </c>
      <c r="Z27">
        <f t="shared" si="7"/>
        <v>0</v>
      </c>
      <c r="AA27">
        <f t="shared" si="7"/>
        <v>4</v>
      </c>
      <c r="AB27">
        <f t="shared" si="7"/>
        <v>3</v>
      </c>
      <c r="AC27">
        <f t="shared" si="7"/>
        <v>4</v>
      </c>
      <c r="AD27">
        <f t="shared" si="7"/>
        <v>3</v>
      </c>
      <c r="AE27">
        <f t="shared" si="7"/>
        <v>2</v>
      </c>
      <c r="AF27">
        <f>COUNTIF(AF5:AF20,"PL")</f>
        <v>0</v>
      </c>
      <c r="AG27">
        <f>COUNTIF(AG4:AG20,"PL")</f>
        <v>2</v>
      </c>
      <c r="AH27">
        <f t="shared" si="7"/>
        <v>1</v>
      </c>
      <c r="AI27">
        <f t="shared" si="7"/>
        <v>0</v>
      </c>
      <c r="AJ27">
        <f t="shared" si="7"/>
        <v>0</v>
      </c>
      <c r="AK27">
        <f t="shared" si="7"/>
        <v>0</v>
      </c>
      <c r="AL27">
        <f t="shared" si="7"/>
        <v>0</v>
      </c>
      <c r="AM27">
        <f t="shared" si="7"/>
        <v>0</v>
      </c>
      <c r="AN27">
        <f t="shared" si="7"/>
        <v>0</v>
      </c>
    </row>
    <row r="28" spans="1:40" x14ac:dyDescent="0.35">
      <c r="A28" s="137" t="s">
        <v>33</v>
      </c>
      <c r="B28">
        <f>COUNTIF(B4:B20,"UPL")</f>
        <v>0</v>
      </c>
      <c r="C28">
        <f t="shared" ref="C28:AN28" si="8">COUNTIF(C4:C20,"UPL")</f>
        <v>0</v>
      </c>
      <c r="D28">
        <f t="shared" si="8"/>
        <v>0</v>
      </c>
      <c r="E28">
        <f t="shared" si="8"/>
        <v>0</v>
      </c>
      <c r="F28">
        <f t="shared" si="8"/>
        <v>0</v>
      </c>
      <c r="G28">
        <f t="shared" si="8"/>
        <v>0</v>
      </c>
      <c r="H28">
        <f t="shared" si="8"/>
        <v>0</v>
      </c>
      <c r="I28">
        <f t="shared" si="8"/>
        <v>0</v>
      </c>
      <c r="J28">
        <f t="shared" si="8"/>
        <v>0</v>
      </c>
      <c r="K28">
        <f t="shared" si="8"/>
        <v>0</v>
      </c>
      <c r="L28">
        <f>COUNTIF(L4:L20,"UPL")</f>
        <v>0</v>
      </c>
      <c r="M28">
        <f t="shared" si="8"/>
        <v>0</v>
      </c>
      <c r="N28">
        <f t="shared" si="8"/>
        <v>0</v>
      </c>
      <c r="O28">
        <f t="shared" si="8"/>
        <v>0</v>
      </c>
      <c r="P28">
        <f t="shared" si="8"/>
        <v>0</v>
      </c>
      <c r="Q28">
        <f t="shared" si="8"/>
        <v>0</v>
      </c>
      <c r="R28">
        <f t="shared" si="8"/>
        <v>0</v>
      </c>
      <c r="S28">
        <f t="shared" si="8"/>
        <v>0</v>
      </c>
      <c r="T28">
        <f t="shared" si="8"/>
        <v>0</v>
      </c>
      <c r="U28">
        <f t="shared" si="8"/>
        <v>0</v>
      </c>
      <c r="V28">
        <f t="shared" si="8"/>
        <v>0</v>
      </c>
      <c r="W28">
        <f t="shared" si="8"/>
        <v>0</v>
      </c>
      <c r="X28">
        <f t="shared" si="8"/>
        <v>0</v>
      </c>
      <c r="Y28">
        <f t="shared" si="8"/>
        <v>0</v>
      </c>
      <c r="Z28">
        <f t="shared" si="8"/>
        <v>0</v>
      </c>
      <c r="AA28">
        <f t="shared" si="8"/>
        <v>0</v>
      </c>
      <c r="AB28">
        <f t="shared" si="8"/>
        <v>0</v>
      </c>
      <c r="AC28">
        <f t="shared" si="8"/>
        <v>0</v>
      </c>
      <c r="AD28">
        <f t="shared" si="8"/>
        <v>0</v>
      </c>
      <c r="AE28">
        <f t="shared" si="8"/>
        <v>0</v>
      </c>
      <c r="AF28">
        <f>COUNTIF(AF5:AF20,"UPL")</f>
        <v>0</v>
      </c>
      <c r="AG28">
        <f>COUNTIF(AG4:AG20,"UPL")</f>
        <v>0</v>
      </c>
      <c r="AH28">
        <f t="shared" si="8"/>
        <v>0</v>
      </c>
      <c r="AI28">
        <f t="shared" si="8"/>
        <v>0</v>
      </c>
      <c r="AJ28">
        <f t="shared" si="8"/>
        <v>0</v>
      </c>
      <c r="AK28">
        <f t="shared" si="8"/>
        <v>0</v>
      </c>
      <c r="AL28">
        <f t="shared" si="8"/>
        <v>0</v>
      </c>
      <c r="AM28">
        <f t="shared" si="8"/>
        <v>0</v>
      </c>
      <c r="AN28">
        <f t="shared" si="8"/>
        <v>0</v>
      </c>
    </row>
    <row r="29" spans="1:40" x14ac:dyDescent="0.35">
      <c r="A29" s="137" t="s">
        <v>162</v>
      </c>
      <c r="B29" s="138">
        <f t="shared" ref="B29" si="9">SUM(B22:B28)</f>
        <v>15</v>
      </c>
      <c r="C29" s="138">
        <f t="shared" ref="C29:AN29" si="10">SUM(C22:C28)</f>
        <v>14</v>
      </c>
      <c r="D29" s="138">
        <f t="shared" si="10"/>
        <v>8</v>
      </c>
      <c r="E29" s="138">
        <f t="shared" si="10"/>
        <v>6</v>
      </c>
      <c r="F29" s="138">
        <f t="shared" si="10"/>
        <v>15</v>
      </c>
      <c r="G29" s="138">
        <f t="shared" si="10"/>
        <v>15</v>
      </c>
      <c r="H29" s="138">
        <f t="shared" si="10"/>
        <v>12</v>
      </c>
      <c r="I29" s="138">
        <f t="shared" si="10"/>
        <v>15</v>
      </c>
      <c r="J29" s="138">
        <f t="shared" si="10"/>
        <v>15</v>
      </c>
      <c r="K29" s="138">
        <f t="shared" si="10"/>
        <v>9</v>
      </c>
      <c r="L29" s="138">
        <f t="shared" si="10"/>
        <v>7</v>
      </c>
      <c r="M29" s="138">
        <f t="shared" si="10"/>
        <v>15</v>
      </c>
      <c r="N29" s="138">
        <f t="shared" si="10"/>
        <v>15</v>
      </c>
      <c r="O29" s="138">
        <f t="shared" si="10"/>
        <v>15</v>
      </c>
      <c r="P29" s="138">
        <f t="shared" si="10"/>
        <v>15</v>
      </c>
      <c r="Q29" s="138">
        <f t="shared" si="10"/>
        <v>15</v>
      </c>
      <c r="R29" s="138">
        <f t="shared" si="10"/>
        <v>8</v>
      </c>
      <c r="S29" s="138">
        <f t="shared" si="10"/>
        <v>7</v>
      </c>
      <c r="T29" s="138">
        <f t="shared" si="10"/>
        <v>15</v>
      </c>
      <c r="U29" s="138">
        <f t="shared" si="10"/>
        <v>15</v>
      </c>
      <c r="V29" s="138">
        <f t="shared" si="10"/>
        <v>15</v>
      </c>
      <c r="W29" s="138">
        <f t="shared" si="10"/>
        <v>15</v>
      </c>
      <c r="X29" s="138">
        <f t="shared" si="10"/>
        <v>15</v>
      </c>
      <c r="Y29" s="138">
        <f t="shared" si="10"/>
        <v>8</v>
      </c>
      <c r="Z29" s="138">
        <f t="shared" si="10"/>
        <v>7</v>
      </c>
      <c r="AA29" s="138">
        <f t="shared" si="10"/>
        <v>13</v>
      </c>
      <c r="AB29" s="138">
        <f t="shared" si="10"/>
        <v>15</v>
      </c>
      <c r="AC29" s="138">
        <f t="shared" si="10"/>
        <v>14</v>
      </c>
      <c r="AD29" s="138">
        <f t="shared" si="10"/>
        <v>14</v>
      </c>
      <c r="AE29" s="138">
        <f t="shared" si="10"/>
        <v>14</v>
      </c>
      <c r="AF29" s="138">
        <f t="shared" si="10"/>
        <v>8</v>
      </c>
      <c r="AG29" s="138">
        <f t="shared" si="10"/>
        <v>8</v>
      </c>
      <c r="AH29" s="138">
        <f t="shared" si="10"/>
        <v>14</v>
      </c>
      <c r="AI29" s="138">
        <f t="shared" si="10"/>
        <v>2</v>
      </c>
      <c r="AJ29" s="138">
        <f t="shared" si="10"/>
        <v>0</v>
      </c>
      <c r="AK29" s="138">
        <f t="shared" si="10"/>
        <v>0</v>
      </c>
      <c r="AL29" s="138">
        <f t="shared" si="10"/>
        <v>0</v>
      </c>
      <c r="AM29" s="138">
        <f t="shared" si="10"/>
        <v>0</v>
      </c>
      <c r="AN29" s="138">
        <f t="shared" si="10"/>
        <v>0</v>
      </c>
    </row>
  </sheetData>
  <autoFilter ref="A1:A20" xr:uid="{00000000-0009-0000-0000-000010000000}"/>
  <conditionalFormatting sqref="B22:B25">
    <cfRule type="cellIs" dxfId="166" priority="11" operator="lessThan">
      <formula>3</formula>
    </cfRule>
  </conditionalFormatting>
  <conditionalFormatting sqref="C22:AN25">
    <cfRule type="cellIs" dxfId="165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H30"/>
  <sheetViews>
    <sheetView zoomScale="70" zoomScaleNormal="70" workbookViewId="0">
      <pane xSplit="1" topLeftCell="D1" activePane="topRight" state="frozen"/>
      <selection pane="topRight" activeCell="E18" sqref="E18"/>
    </sheetView>
  </sheetViews>
  <sheetFormatPr defaultRowHeight="14.5" x14ac:dyDescent="0.35"/>
  <cols>
    <col min="1" max="1" width="22.7265625" bestFit="1" customWidth="1"/>
    <col min="2" max="3" width="8.7265625" hidden="1" customWidth="1"/>
    <col min="4" max="34" width="8.7265625" customWidth="1"/>
  </cols>
  <sheetData>
    <row r="1" spans="1:34" x14ac:dyDescent="0.35">
      <c r="A1" s="70"/>
      <c r="B1" s="2" t="str">
        <f t="shared" ref="B1:E1" si="0">TEXT(B2,"ddd")</f>
        <v>Thu</v>
      </c>
      <c r="C1" s="2" t="str">
        <f t="shared" si="0"/>
        <v>Fri</v>
      </c>
      <c r="D1" s="2" t="str">
        <f t="shared" si="0"/>
        <v>Sat</v>
      </c>
      <c r="E1" s="2" t="str">
        <f t="shared" si="0"/>
        <v>Sun</v>
      </c>
      <c r="F1" s="2" t="str">
        <f t="shared" ref="F1:AH1" si="1">TEXT(F2,"ddd")</f>
        <v>Mon</v>
      </c>
      <c r="G1" s="2" t="str">
        <f t="shared" si="1"/>
        <v>Tue</v>
      </c>
      <c r="H1" s="2" t="str">
        <f t="shared" si="1"/>
        <v>Wed</v>
      </c>
      <c r="I1" s="2" t="str">
        <f t="shared" si="1"/>
        <v>Thu</v>
      </c>
      <c r="J1" s="2" t="str">
        <f t="shared" si="1"/>
        <v>Fri</v>
      </c>
      <c r="K1" s="2" t="str">
        <f t="shared" si="1"/>
        <v>Sat</v>
      </c>
      <c r="L1" s="2" t="str">
        <f t="shared" si="1"/>
        <v>Sun</v>
      </c>
      <c r="M1" s="2" t="str">
        <f t="shared" si="1"/>
        <v>Mon</v>
      </c>
      <c r="N1" s="2" t="str">
        <f t="shared" si="1"/>
        <v>Tue</v>
      </c>
      <c r="O1" s="2" t="str">
        <f t="shared" si="1"/>
        <v>Wed</v>
      </c>
      <c r="P1" s="2" t="str">
        <f t="shared" si="1"/>
        <v>Thu</v>
      </c>
      <c r="Q1" s="2" t="str">
        <f t="shared" si="1"/>
        <v>Fri</v>
      </c>
      <c r="R1" s="2" t="str">
        <f t="shared" si="1"/>
        <v>Sat</v>
      </c>
      <c r="S1" s="2" t="str">
        <f t="shared" si="1"/>
        <v>Sun</v>
      </c>
      <c r="T1" s="2" t="str">
        <f t="shared" si="1"/>
        <v>Mon</v>
      </c>
      <c r="U1" s="2" t="str">
        <f t="shared" si="1"/>
        <v>Tue</v>
      </c>
      <c r="V1" s="2" t="str">
        <f t="shared" si="1"/>
        <v>Wed</v>
      </c>
      <c r="W1" s="2" t="str">
        <f t="shared" si="1"/>
        <v>Thu</v>
      </c>
      <c r="X1" s="2" t="str">
        <f t="shared" si="1"/>
        <v>Fri</v>
      </c>
      <c r="Y1" s="2" t="str">
        <f t="shared" si="1"/>
        <v>Sat</v>
      </c>
      <c r="Z1" s="2" t="str">
        <f t="shared" si="1"/>
        <v>Sun</v>
      </c>
      <c r="AA1" s="2" t="str">
        <f t="shared" si="1"/>
        <v>Mon</v>
      </c>
      <c r="AB1" s="2" t="str">
        <f t="shared" si="1"/>
        <v>Tue</v>
      </c>
      <c r="AC1" s="2" t="str">
        <f t="shared" si="1"/>
        <v>Wed</v>
      </c>
      <c r="AD1" s="2" t="str">
        <f t="shared" si="1"/>
        <v>Thu</v>
      </c>
      <c r="AE1" s="2" t="str">
        <f t="shared" si="1"/>
        <v>Fri</v>
      </c>
      <c r="AF1" s="2" t="str">
        <f t="shared" si="1"/>
        <v>Sat</v>
      </c>
      <c r="AG1" s="2" t="str">
        <f t="shared" si="1"/>
        <v>Sun</v>
      </c>
      <c r="AH1" s="2" t="str">
        <f t="shared" si="1"/>
        <v>Mon</v>
      </c>
    </row>
    <row r="2" spans="1:34" x14ac:dyDescent="0.35">
      <c r="A2" s="104" t="s">
        <v>0</v>
      </c>
      <c r="B2" s="31">
        <v>44833</v>
      </c>
      <c r="C2" s="31">
        <v>44834</v>
      </c>
      <c r="D2" s="31">
        <v>44835</v>
      </c>
      <c r="E2" s="31">
        <v>44836</v>
      </c>
      <c r="F2" s="31">
        <v>44837</v>
      </c>
      <c r="G2" s="31">
        <v>44838</v>
      </c>
      <c r="H2" s="31">
        <v>44839</v>
      </c>
      <c r="I2" s="31">
        <v>44840</v>
      </c>
      <c r="J2" s="31">
        <v>44841</v>
      </c>
      <c r="K2" s="31">
        <v>44842</v>
      </c>
      <c r="L2" s="31">
        <v>44843</v>
      </c>
      <c r="M2" s="31">
        <v>44844</v>
      </c>
      <c r="N2" s="31">
        <v>44845</v>
      </c>
      <c r="O2" s="31">
        <v>44846</v>
      </c>
      <c r="P2" s="31">
        <v>44847</v>
      </c>
      <c r="Q2" s="31">
        <v>44848</v>
      </c>
      <c r="R2" s="31">
        <v>44849</v>
      </c>
      <c r="S2" s="31">
        <v>44850</v>
      </c>
      <c r="T2" s="31">
        <v>44851</v>
      </c>
      <c r="U2" s="31">
        <v>44852</v>
      </c>
      <c r="V2" s="31">
        <v>44853</v>
      </c>
      <c r="W2" s="31">
        <v>44854</v>
      </c>
      <c r="X2" s="31">
        <v>44855</v>
      </c>
      <c r="Y2" s="31">
        <v>44856</v>
      </c>
      <c r="Z2" s="31">
        <v>44857</v>
      </c>
      <c r="AA2" s="31">
        <v>44858</v>
      </c>
      <c r="AB2" s="31">
        <v>44859</v>
      </c>
      <c r="AC2" s="31">
        <v>44860</v>
      </c>
      <c r="AD2" s="31">
        <v>44861</v>
      </c>
      <c r="AE2" s="31">
        <v>44862</v>
      </c>
      <c r="AF2" s="31">
        <v>44863</v>
      </c>
      <c r="AG2" s="31">
        <v>44864</v>
      </c>
      <c r="AH2" s="31">
        <v>44865</v>
      </c>
    </row>
    <row r="3" spans="1:34" ht="15" thickBot="1" x14ac:dyDescent="0.4">
      <c r="A3" s="105"/>
      <c r="B3" s="106"/>
      <c r="C3" s="106"/>
      <c r="D3" s="106"/>
      <c r="E3" s="106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</row>
    <row r="4" spans="1:34" ht="15" thickBot="1" x14ac:dyDescent="0.4">
      <c r="A4" s="171" t="s">
        <v>14</v>
      </c>
      <c r="B4" s="152" t="s">
        <v>41</v>
      </c>
      <c r="C4" s="152" t="s">
        <v>41</v>
      </c>
      <c r="D4" s="159" t="s">
        <v>4</v>
      </c>
      <c r="E4" s="159" t="s">
        <v>4</v>
      </c>
      <c r="F4" s="109" t="s">
        <v>5</v>
      </c>
      <c r="G4" s="109" t="s">
        <v>5</v>
      </c>
      <c r="H4" s="161" t="s">
        <v>11</v>
      </c>
      <c r="I4" s="173" t="s">
        <v>10</v>
      </c>
      <c r="J4" s="173" t="s">
        <v>10</v>
      </c>
      <c r="K4" s="173" t="s">
        <v>11</v>
      </c>
      <c r="L4" s="108" t="s">
        <v>4</v>
      </c>
      <c r="M4" s="173" t="s">
        <v>10</v>
      </c>
      <c r="N4" s="173" t="s">
        <v>10</v>
      </c>
      <c r="O4" s="173" t="s">
        <v>10</v>
      </c>
      <c r="P4" s="109" t="s">
        <v>5</v>
      </c>
      <c r="Q4" s="109" t="s">
        <v>5</v>
      </c>
      <c r="R4" s="120" t="s">
        <v>4</v>
      </c>
      <c r="S4" s="120" t="s">
        <v>4</v>
      </c>
      <c r="T4" s="109" t="s">
        <v>5</v>
      </c>
      <c r="U4" s="109" t="s">
        <v>5</v>
      </c>
      <c r="V4" s="109" t="s">
        <v>5</v>
      </c>
      <c r="W4" s="109" t="s">
        <v>5</v>
      </c>
      <c r="X4" s="109" t="s">
        <v>5</v>
      </c>
      <c r="Y4" s="120" t="s">
        <v>4</v>
      </c>
      <c r="Z4" s="120" t="s">
        <v>4</v>
      </c>
      <c r="AA4" s="177" t="s">
        <v>11</v>
      </c>
      <c r="AB4" s="173" t="s">
        <v>10</v>
      </c>
      <c r="AC4" s="173" t="s">
        <v>10</v>
      </c>
      <c r="AD4" s="173" t="s">
        <v>10</v>
      </c>
      <c r="AE4" s="173" t="s">
        <v>10</v>
      </c>
      <c r="AF4" s="108" t="s">
        <v>4</v>
      </c>
      <c r="AG4" s="112" t="s">
        <v>3</v>
      </c>
      <c r="AH4" s="174" t="s">
        <v>2</v>
      </c>
    </row>
    <row r="5" spans="1:34" ht="15" thickBot="1" x14ac:dyDescent="0.4">
      <c r="A5" s="175" t="s">
        <v>12</v>
      </c>
      <c r="B5" s="120" t="s">
        <v>5</v>
      </c>
      <c r="C5" s="120" t="s">
        <v>5</v>
      </c>
      <c r="D5" s="19" t="s">
        <v>42</v>
      </c>
      <c r="E5" s="161" t="s">
        <v>11</v>
      </c>
      <c r="F5" s="177" t="s">
        <v>10</v>
      </c>
      <c r="G5" s="177" t="s">
        <v>10</v>
      </c>
      <c r="H5" s="161" t="s">
        <v>11</v>
      </c>
      <c r="I5" s="176" t="s">
        <v>2</v>
      </c>
      <c r="J5" s="176" t="s">
        <v>2</v>
      </c>
      <c r="K5" s="108" t="s">
        <v>4</v>
      </c>
      <c r="L5" s="177" t="s">
        <v>11</v>
      </c>
      <c r="M5" s="177" t="s">
        <v>10</v>
      </c>
      <c r="N5" s="177" t="s">
        <v>10</v>
      </c>
      <c r="O5" s="176" t="s">
        <v>2</v>
      </c>
      <c r="P5" s="177" t="s">
        <v>10</v>
      </c>
      <c r="Q5" s="177" t="s">
        <v>10</v>
      </c>
      <c r="R5" s="177" t="s">
        <v>11</v>
      </c>
      <c r="S5" s="177" t="s">
        <v>11</v>
      </c>
      <c r="T5" s="177" t="s">
        <v>10</v>
      </c>
      <c r="U5" s="176" t="s">
        <v>2</v>
      </c>
      <c r="V5" s="176" t="s">
        <v>2</v>
      </c>
      <c r="W5" s="177" t="s">
        <v>10</v>
      </c>
      <c r="X5" s="177" t="s">
        <v>10</v>
      </c>
      <c r="Y5" s="177" t="s">
        <v>11</v>
      </c>
      <c r="Z5" s="177" t="s">
        <v>11</v>
      </c>
      <c r="AA5" s="178" t="s">
        <v>37</v>
      </c>
      <c r="AB5" s="116" t="s">
        <v>5</v>
      </c>
      <c r="AC5" s="116" t="s">
        <v>5</v>
      </c>
      <c r="AD5" s="116" t="s">
        <v>5</v>
      </c>
      <c r="AE5" s="116" t="s">
        <v>5</v>
      </c>
      <c r="AF5" s="177" t="s">
        <v>11</v>
      </c>
      <c r="AG5" s="110" t="s">
        <v>4</v>
      </c>
      <c r="AH5" s="163" t="s">
        <v>6</v>
      </c>
    </row>
    <row r="6" spans="1:34" ht="15" thickBot="1" x14ac:dyDescent="0.4">
      <c r="A6" s="179" t="s">
        <v>75</v>
      </c>
      <c r="B6" s="120" t="s">
        <v>5</v>
      </c>
      <c r="C6" s="19" t="s">
        <v>41</v>
      </c>
      <c r="D6" s="119" t="s">
        <v>4</v>
      </c>
      <c r="E6" s="136" t="s">
        <v>11</v>
      </c>
      <c r="F6" s="181" t="s">
        <v>10</v>
      </c>
      <c r="G6" s="181" t="s">
        <v>10</v>
      </c>
      <c r="H6" s="161" t="s">
        <v>11</v>
      </c>
      <c r="I6" s="177" t="s">
        <v>10</v>
      </c>
      <c r="J6" s="180" t="s">
        <v>2</v>
      </c>
      <c r="K6" s="119" t="s">
        <v>4</v>
      </c>
      <c r="L6" s="181" t="s">
        <v>11</v>
      </c>
      <c r="M6" s="181" t="s">
        <v>10</v>
      </c>
      <c r="N6" s="181" t="s">
        <v>10</v>
      </c>
      <c r="O6" s="181" t="s">
        <v>10</v>
      </c>
      <c r="P6" s="181" t="s">
        <v>10</v>
      </c>
      <c r="Q6" s="180" t="s">
        <v>2</v>
      </c>
      <c r="R6" s="119" t="s">
        <v>4</v>
      </c>
      <c r="S6" s="177" t="s">
        <v>11</v>
      </c>
      <c r="T6" s="181" t="s">
        <v>10</v>
      </c>
      <c r="U6" s="181" t="s">
        <v>10</v>
      </c>
      <c r="V6" s="181" t="s">
        <v>10</v>
      </c>
      <c r="W6" s="181" t="s">
        <v>10</v>
      </c>
      <c r="X6" s="180" t="s">
        <v>2</v>
      </c>
      <c r="Y6" s="181" t="s">
        <v>11</v>
      </c>
      <c r="Z6" s="181" t="s">
        <v>11</v>
      </c>
      <c r="AA6" s="177" t="s">
        <v>11</v>
      </c>
      <c r="AB6" s="181" t="s">
        <v>10</v>
      </c>
      <c r="AC6" s="181" t="s">
        <v>10</v>
      </c>
      <c r="AD6" s="180" t="s">
        <v>2</v>
      </c>
      <c r="AE6" s="180" t="s">
        <v>2</v>
      </c>
      <c r="AF6" s="119" t="s">
        <v>4</v>
      </c>
      <c r="AG6" s="121" t="s">
        <v>3</v>
      </c>
      <c r="AH6" s="121" t="s">
        <v>6</v>
      </c>
    </row>
    <row r="7" spans="1:34" ht="15" thickBot="1" x14ac:dyDescent="0.4">
      <c r="A7" s="182" t="s">
        <v>77</v>
      </c>
      <c r="B7" s="19" t="s">
        <v>41</v>
      </c>
      <c r="C7" s="19" t="s">
        <v>41</v>
      </c>
      <c r="D7" s="19" t="s">
        <v>42</v>
      </c>
      <c r="E7" s="123" t="s">
        <v>4</v>
      </c>
      <c r="F7" s="172" t="s">
        <v>2</v>
      </c>
      <c r="G7" s="181" t="s">
        <v>10</v>
      </c>
      <c r="H7" s="183" t="s">
        <v>37</v>
      </c>
      <c r="I7" s="177" t="s">
        <v>10</v>
      </c>
      <c r="J7" s="185" t="s">
        <v>10</v>
      </c>
      <c r="K7" s="185" t="s">
        <v>11</v>
      </c>
      <c r="L7" s="123" t="s">
        <v>4</v>
      </c>
      <c r="M7" s="184" t="s">
        <v>2</v>
      </c>
      <c r="N7" s="184" t="s">
        <v>2</v>
      </c>
      <c r="O7" s="185" t="s">
        <v>10</v>
      </c>
      <c r="P7" s="185" t="s">
        <v>10</v>
      </c>
      <c r="Q7" s="185" t="s">
        <v>10</v>
      </c>
      <c r="R7" s="185" t="s">
        <v>11</v>
      </c>
      <c r="S7" s="185" t="s">
        <v>11</v>
      </c>
      <c r="T7" s="184" t="s">
        <v>2</v>
      </c>
      <c r="U7" s="185" t="s">
        <v>10</v>
      </c>
      <c r="V7" s="185" t="s">
        <v>10</v>
      </c>
      <c r="W7" s="185" t="s">
        <v>10</v>
      </c>
      <c r="X7" s="185" t="s">
        <v>10</v>
      </c>
      <c r="Y7" s="120" t="s">
        <v>4</v>
      </c>
      <c r="Z7" s="120" t="s">
        <v>4</v>
      </c>
      <c r="AA7" s="177" t="s">
        <v>11</v>
      </c>
      <c r="AB7" s="184" t="s">
        <v>2</v>
      </c>
      <c r="AC7" s="185" t="s">
        <v>11</v>
      </c>
      <c r="AD7" s="185" t="s">
        <v>10</v>
      </c>
      <c r="AE7" s="185" t="s">
        <v>10</v>
      </c>
      <c r="AF7" s="185" t="s">
        <v>11</v>
      </c>
      <c r="AG7" s="123" t="s">
        <v>4</v>
      </c>
      <c r="AH7" s="184" t="s">
        <v>2</v>
      </c>
    </row>
    <row r="8" spans="1:34" x14ac:dyDescent="0.35">
      <c r="A8" s="182" t="s">
        <v>76</v>
      </c>
      <c r="B8" s="19" t="s">
        <v>41</v>
      </c>
      <c r="C8" s="19" t="s">
        <v>41</v>
      </c>
      <c r="D8" s="123" t="s">
        <v>4</v>
      </c>
      <c r="E8" s="123" t="s">
        <v>4</v>
      </c>
      <c r="F8" s="185" t="s">
        <v>10</v>
      </c>
      <c r="G8" s="185" t="s">
        <v>10</v>
      </c>
      <c r="H8" s="183" t="s">
        <v>37</v>
      </c>
      <c r="I8" s="185" t="s">
        <v>10</v>
      </c>
      <c r="J8" s="185" t="s">
        <v>10</v>
      </c>
      <c r="K8" s="185" t="s">
        <v>11</v>
      </c>
      <c r="L8" s="185" t="s">
        <v>11</v>
      </c>
      <c r="M8" s="184" t="s">
        <v>2</v>
      </c>
      <c r="N8" s="184" t="s">
        <v>2</v>
      </c>
      <c r="O8" s="22" t="s">
        <v>16</v>
      </c>
      <c r="P8" s="185" t="s">
        <v>10</v>
      </c>
      <c r="Q8" s="185" t="s">
        <v>10</v>
      </c>
      <c r="R8" s="185" t="s">
        <v>11</v>
      </c>
      <c r="S8" s="123" t="s">
        <v>4</v>
      </c>
      <c r="T8" s="185" t="s">
        <v>10</v>
      </c>
      <c r="U8" s="185" t="s">
        <v>10</v>
      </c>
      <c r="V8" s="185" t="s">
        <v>10</v>
      </c>
      <c r="W8" s="184" t="s">
        <v>2</v>
      </c>
      <c r="X8" s="185" t="s">
        <v>10</v>
      </c>
      <c r="Y8" s="185" t="s">
        <v>11</v>
      </c>
      <c r="Z8" s="185" t="s">
        <v>11</v>
      </c>
      <c r="AA8" s="183" t="s">
        <v>37</v>
      </c>
      <c r="AB8" s="185" t="s">
        <v>10</v>
      </c>
      <c r="AC8" s="131" t="s">
        <v>5</v>
      </c>
      <c r="AD8" s="185" t="s">
        <v>10</v>
      </c>
      <c r="AE8" s="185" t="s">
        <v>10</v>
      </c>
      <c r="AF8" s="185" t="s">
        <v>11</v>
      </c>
      <c r="AG8" s="123" t="s">
        <v>4</v>
      </c>
      <c r="AH8" s="25" t="s">
        <v>6</v>
      </c>
    </row>
    <row r="9" spans="1:34" ht="15" thickBot="1" x14ac:dyDescent="0.4">
      <c r="A9" s="151"/>
      <c r="B9" s="151"/>
      <c r="C9" s="151"/>
      <c r="D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</row>
    <row r="10" spans="1:34" ht="15" thickBot="1" x14ac:dyDescent="0.4">
      <c r="A10" s="171" t="s">
        <v>9</v>
      </c>
      <c r="B10" s="132" t="s">
        <v>10</v>
      </c>
      <c r="C10" s="132" t="s">
        <v>10</v>
      </c>
      <c r="D10" s="159" t="s">
        <v>4</v>
      </c>
      <c r="E10" s="25" t="s">
        <v>3</v>
      </c>
      <c r="F10" s="114" t="s">
        <v>6</v>
      </c>
      <c r="G10" s="114" t="s">
        <v>3</v>
      </c>
      <c r="H10" s="183" t="s">
        <v>37</v>
      </c>
      <c r="I10" s="109" t="s">
        <v>5</v>
      </c>
      <c r="J10" s="109" t="s">
        <v>5</v>
      </c>
      <c r="K10" s="120" t="s">
        <v>4</v>
      </c>
      <c r="L10" s="120" t="s">
        <v>4</v>
      </c>
      <c r="M10" s="78" t="s">
        <v>6</v>
      </c>
      <c r="N10" s="78" t="s">
        <v>6</v>
      </c>
      <c r="O10" s="78" t="s">
        <v>6</v>
      </c>
      <c r="P10" s="172" t="s">
        <v>2</v>
      </c>
      <c r="Q10" s="78" t="s">
        <v>6</v>
      </c>
      <c r="R10" s="112" t="s">
        <v>3</v>
      </c>
      <c r="S10" s="108" t="s">
        <v>4</v>
      </c>
      <c r="T10" s="172" t="s">
        <v>2</v>
      </c>
      <c r="U10" s="172" t="s">
        <v>2</v>
      </c>
      <c r="V10" s="78" t="s">
        <v>6</v>
      </c>
      <c r="W10" s="78" t="s">
        <v>6</v>
      </c>
      <c r="X10" s="172" t="s">
        <v>2</v>
      </c>
      <c r="Y10" s="114" t="s">
        <v>3</v>
      </c>
      <c r="Z10" s="123" t="s">
        <v>4</v>
      </c>
      <c r="AA10" s="112" t="s">
        <v>3</v>
      </c>
      <c r="AB10" s="112" t="s">
        <v>6</v>
      </c>
      <c r="AC10" s="178" t="s">
        <v>37</v>
      </c>
      <c r="AD10" s="112" t="s">
        <v>6</v>
      </c>
      <c r="AE10" s="129" t="s">
        <v>41</v>
      </c>
      <c r="AF10" s="112" t="s">
        <v>3</v>
      </c>
      <c r="AG10" s="108" t="s">
        <v>4</v>
      </c>
      <c r="AH10" s="174" t="s">
        <v>2</v>
      </c>
    </row>
    <row r="11" spans="1:34" ht="15" thickBot="1" x14ac:dyDescent="0.4">
      <c r="A11" s="175" t="s">
        <v>15</v>
      </c>
      <c r="B11" s="111" t="s">
        <v>2</v>
      </c>
      <c r="C11" s="132" t="s">
        <v>10</v>
      </c>
      <c r="D11" s="132" t="s">
        <v>11</v>
      </c>
      <c r="E11" s="159" t="s">
        <v>4</v>
      </c>
      <c r="F11" s="176" t="s">
        <v>2</v>
      </c>
      <c r="G11" s="114" t="s">
        <v>6</v>
      </c>
      <c r="H11" s="25" t="s">
        <v>3</v>
      </c>
      <c r="I11" s="114" t="s">
        <v>6</v>
      </c>
      <c r="J11" s="114" t="s">
        <v>6</v>
      </c>
      <c r="K11" s="114" t="s">
        <v>3</v>
      </c>
      <c r="L11" s="114" t="s">
        <v>3</v>
      </c>
      <c r="M11" s="176" t="s">
        <v>2</v>
      </c>
      <c r="N11" s="176" t="s">
        <v>2</v>
      </c>
      <c r="O11" s="114" t="s">
        <v>6</v>
      </c>
      <c r="P11" s="114" t="s">
        <v>6</v>
      </c>
      <c r="Q11" s="19" t="s">
        <v>176</v>
      </c>
      <c r="R11" s="110" t="s">
        <v>4</v>
      </c>
      <c r="S11" s="114" t="s">
        <v>3</v>
      </c>
      <c r="T11" s="114" t="s">
        <v>6</v>
      </c>
      <c r="U11" s="114" t="s">
        <v>6</v>
      </c>
      <c r="V11" s="114" t="s">
        <v>6</v>
      </c>
      <c r="W11" s="176" t="s">
        <v>2</v>
      </c>
      <c r="X11" s="114" t="s">
        <v>6</v>
      </c>
      <c r="Y11" s="123" t="s">
        <v>4</v>
      </c>
      <c r="Z11" s="112" t="s">
        <v>3</v>
      </c>
      <c r="AA11" s="178" t="s">
        <v>37</v>
      </c>
      <c r="AB11" s="114" t="s">
        <v>6</v>
      </c>
      <c r="AC11" s="114" t="s">
        <v>6</v>
      </c>
      <c r="AD11" s="116" t="s">
        <v>5</v>
      </c>
      <c r="AE11" s="114" t="s">
        <v>6</v>
      </c>
      <c r="AF11" s="110" t="s">
        <v>4</v>
      </c>
      <c r="AG11" s="129" t="s">
        <v>42</v>
      </c>
      <c r="AH11" s="186" t="s">
        <v>41</v>
      </c>
    </row>
    <row r="12" spans="1:34" x14ac:dyDescent="0.35">
      <c r="A12" s="179" t="s">
        <v>21</v>
      </c>
      <c r="B12" s="136" t="s">
        <v>10</v>
      </c>
      <c r="C12" s="136" t="s">
        <v>10</v>
      </c>
      <c r="D12" s="136" t="s">
        <v>11</v>
      </c>
      <c r="E12" s="119" t="s">
        <v>4</v>
      </c>
      <c r="F12" s="121" t="s">
        <v>6</v>
      </c>
      <c r="G12" s="120" t="s">
        <v>5</v>
      </c>
      <c r="H12" s="25" t="s">
        <v>3</v>
      </c>
      <c r="I12" s="121" t="s">
        <v>6</v>
      </c>
      <c r="J12" s="121" t="s">
        <v>6</v>
      </c>
      <c r="K12" s="121" t="s">
        <v>3</v>
      </c>
      <c r="L12" s="119" t="s">
        <v>4</v>
      </c>
      <c r="M12" s="25" t="s">
        <v>6</v>
      </c>
      <c r="N12" s="121" t="s">
        <v>6</v>
      </c>
      <c r="O12" s="25" t="s">
        <v>6</v>
      </c>
      <c r="P12" s="120" t="s">
        <v>5</v>
      </c>
      <c r="Q12" s="120" t="s">
        <v>5</v>
      </c>
      <c r="R12" s="119" t="s">
        <v>4</v>
      </c>
      <c r="S12" s="119" t="s">
        <v>4</v>
      </c>
      <c r="T12" s="121" t="s">
        <v>6</v>
      </c>
      <c r="U12" s="121" t="s">
        <v>6</v>
      </c>
      <c r="V12" s="120" t="s">
        <v>5</v>
      </c>
      <c r="W12" s="120" t="s">
        <v>5</v>
      </c>
      <c r="X12" s="120" t="s">
        <v>5</v>
      </c>
      <c r="Y12" s="119" t="s">
        <v>4</v>
      </c>
      <c r="Z12" s="121" t="s">
        <v>3</v>
      </c>
      <c r="AA12" s="112" t="s">
        <v>3</v>
      </c>
      <c r="AB12" s="180" t="s">
        <v>2</v>
      </c>
      <c r="AC12" s="78" t="s">
        <v>41</v>
      </c>
      <c r="AD12" s="78" t="s">
        <v>6</v>
      </c>
      <c r="AE12" s="78" t="s">
        <v>6</v>
      </c>
      <c r="AF12" s="78" t="s">
        <v>30</v>
      </c>
      <c r="AG12" s="78" t="s">
        <v>42</v>
      </c>
      <c r="AH12" s="78" t="s">
        <v>41</v>
      </c>
    </row>
    <row r="13" spans="1:34" ht="15" thickBot="1" x14ac:dyDescent="0.4">
      <c r="A13" s="182" t="s">
        <v>22</v>
      </c>
      <c r="B13" s="16" t="s">
        <v>10</v>
      </c>
      <c r="C13" s="117" t="s">
        <v>2</v>
      </c>
      <c r="D13" s="110" t="s">
        <v>4</v>
      </c>
      <c r="E13" s="78" t="s">
        <v>3</v>
      </c>
      <c r="F13" s="78" t="s">
        <v>6</v>
      </c>
      <c r="G13" s="78" t="s">
        <v>6</v>
      </c>
      <c r="H13" s="78" t="s">
        <v>3</v>
      </c>
      <c r="I13" s="78" t="s">
        <v>6</v>
      </c>
      <c r="J13" s="131" t="s">
        <v>5</v>
      </c>
      <c r="K13" s="131" t="s">
        <v>4</v>
      </c>
      <c r="L13" s="25" t="s">
        <v>3</v>
      </c>
      <c r="M13" s="176" t="s">
        <v>2</v>
      </c>
      <c r="N13" s="78" t="s">
        <v>6</v>
      </c>
      <c r="O13" s="78" t="s">
        <v>6</v>
      </c>
      <c r="P13" s="78" t="s">
        <v>6</v>
      </c>
      <c r="Q13" s="78" t="s">
        <v>6</v>
      </c>
      <c r="R13" s="78" t="s">
        <v>3</v>
      </c>
      <c r="S13" s="78" t="s">
        <v>3</v>
      </c>
      <c r="T13" s="184" t="s">
        <v>2</v>
      </c>
      <c r="U13" s="25" t="s">
        <v>6</v>
      </c>
      <c r="V13" s="25" t="s">
        <v>6</v>
      </c>
      <c r="W13" s="25" t="s">
        <v>6</v>
      </c>
      <c r="X13" s="25" t="s">
        <v>6</v>
      </c>
      <c r="Y13" s="25" t="s">
        <v>3</v>
      </c>
      <c r="Z13" s="123" t="s">
        <v>4</v>
      </c>
      <c r="AA13" s="131" t="s">
        <v>5</v>
      </c>
      <c r="AB13" s="131" t="s">
        <v>5</v>
      </c>
      <c r="AC13" s="25" t="s">
        <v>6</v>
      </c>
      <c r="AD13" s="25" t="s">
        <v>6</v>
      </c>
      <c r="AE13" s="25" t="s">
        <v>6</v>
      </c>
      <c r="AF13" s="25" t="s">
        <v>3</v>
      </c>
      <c r="AG13" s="123" t="s">
        <v>4</v>
      </c>
      <c r="AH13" s="78" t="s">
        <v>41</v>
      </c>
    </row>
    <row r="14" spans="1:34" ht="15" thickBot="1" x14ac:dyDescent="0.4">
      <c r="A14" s="182" t="s">
        <v>155</v>
      </c>
      <c r="B14" s="143" t="s">
        <v>16</v>
      </c>
      <c r="C14" s="16" t="s">
        <v>10</v>
      </c>
      <c r="D14" s="16" t="s">
        <v>11</v>
      </c>
      <c r="E14" s="123" t="s">
        <v>4</v>
      </c>
      <c r="F14" s="184" t="s">
        <v>2</v>
      </c>
      <c r="G14" s="78" t="s">
        <v>6</v>
      </c>
      <c r="H14" s="183" t="s">
        <v>37</v>
      </c>
      <c r="I14" s="25" t="s">
        <v>6</v>
      </c>
      <c r="J14" s="25" t="s">
        <v>6</v>
      </c>
      <c r="K14" s="22" t="s">
        <v>30</v>
      </c>
      <c r="L14" s="123" t="s">
        <v>4</v>
      </c>
      <c r="M14" s="78" t="s">
        <v>6</v>
      </c>
      <c r="N14" s="78" t="s">
        <v>6</v>
      </c>
      <c r="O14" s="184" t="s">
        <v>2</v>
      </c>
      <c r="P14" s="25" t="s">
        <v>6</v>
      </c>
      <c r="Q14" s="78" t="s">
        <v>6</v>
      </c>
      <c r="R14" s="22" t="s">
        <v>30</v>
      </c>
      <c r="S14" s="123" t="s">
        <v>4</v>
      </c>
      <c r="T14" s="25" t="s">
        <v>6</v>
      </c>
      <c r="U14" s="25" t="s">
        <v>6</v>
      </c>
      <c r="V14" s="184" t="s">
        <v>2</v>
      </c>
      <c r="W14" s="78" t="s">
        <v>6</v>
      </c>
      <c r="X14" s="78" t="s">
        <v>6</v>
      </c>
      <c r="Y14" s="184" t="s">
        <v>34</v>
      </c>
      <c r="Z14" s="123" t="s">
        <v>4</v>
      </c>
      <c r="AA14" s="112" t="s">
        <v>3</v>
      </c>
      <c r="AB14" s="25" t="s">
        <v>6</v>
      </c>
      <c r="AC14" s="131" t="s">
        <v>5</v>
      </c>
      <c r="AD14" s="131" t="s">
        <v>5</v>
      </c>
      <c r="AE14" s="129" t="s">
        <v>41</v>
      </c>
      <c r="AF14" s="123" t="s">
        <v>4</v>
      </c>
      <c r="AG14" s="123" t="s">
        <v>4</v>
      </c>
      <c r="AH14" s="184" t="s">
        <v>2</v>
      </c>
    </row>
    <row r="15" spans="1:34" ht="15" thickBot="1" x14ac:dyDescent="0.4">
      <c r="A15" s="151"/>
      <c r="B15" s="151"/>
      <c r="C15" s="151"/>
      <c r="D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</row>
    <row r="16" spans="1:34" ht="15" thickBot="1" x14ac:dyDescent="0.4">
      <c r="A16" s="171" t="s">
        <v>1</v>
      </c>
      <c r="B16" s="140" t="s">
        <v>6</v>
      </c>
      <c r="C16" s="113" t="s">
        <v>2</v>
      </c>
      <c r="D16" s="114" t="s">
        <v>3</v>
      </c>
      <c r="E16" s="164" t="s">
        <v>42</v>
      </c>
      <c r="F16" s="172" t="s">
        <v>2</v>
      </c>
      <c r="G16" s="129" t="s">
        <v>41</v>
      </c>
      <c r="H16" s="164" t="s">
        <v>42</v>
      </c>
      <c r="I16" s="129" t="s">
        <v>41</v>
      </c>
      <c r="J16" s="172" t="s">
        <v>2</v>
      </c>
      <c r="K16" s="127" t="s">
        <v>42</v>
      </c>
      <c r="L16" s="120" t="s">
        <v>4</v>
      </c>
      <c r="M16" s="142" t="s">
        <v>41</v>
      </c>
      <c r="N16" s="142" t="s">
        <v>41</v>
      </c>
      <c r="O16" s="142" t="s">
        <v>41</v>
      </c>
      <c r="P16" s="142" t="s">
        <v>41</v>
      </c>
      <c r="Q16" s="172" t="s">
        <v>2</v>
      </c>
      <c r="R16" s="108" t="s">
        <v>4</v>
      </c>
      <c r="S16" s="127" t="s">
        <v>42</v>
      </c>
      <c r="T16" s="142" t="s">
        <v>41</v>
      </c>
      <c r="U16" s="142" t="s">
        <v>41</v>
      </c>
      <c r="V16" s="127" t="s">
        <v>41</v>
      </c>
      <c r="W16" s="127" t="s">
        <v>41</v>
      </c>
      <c r="X16" s="127" t="s">
        <v>41</v>
      </c>
      <c r="Y16" s="108" t="s">
        <v>4</v>
      </c>
      <c r="Z16" s="127" t="s">
        <v>42</v>
      </c>
      <c r="AA16" s="19" t="s">
        <v>42</v>
      </c>
      <c r="AB16" s="127" t="s">
        <v>41</v>
      </c>
      <c r="AC16" s="127" t="s">
        <v>41</v>
      </c>
      <c r="AD16" s="172" t="s">
        <v>2</v>
      </c>
      <c r="AE16" s="172" t="s">
        <v>2</v>
      </c>
      <c r="AF16" s="127" t="s">
        <v>42</v>
      </c>
      <c r="AG16" s="120" t="s">
        <v>4</v>
      </c>
      <c r="AH16" s="187" t="s">
        <v>5</v>
      </c>
    </row>
    <row r="17" spans="1:34" ht="15" thickBot="1" x14ac:dyDescent="0.4">
      <c r="A17" s="175" t="s">
        <v>43</v>
      </c>
      <c r="B17" s="140" t="s">
        <v>6</v>
      </c>
      <c r="C17" s="140" t="s">
        <v>6</v>
      </c>
      <c r="D17" s="25" t="s">
        <v>3</v>
      </c>
      <c r="E17" s="166" t="s">
        <v>4</v>
      </c>
      <c r="F17" s="129" t="s">
        <v>41</v>
      </c>
      <c r="G17" s="129" t="s">
        <v>41</v>
      </c>
      <c r="H17" s="178" t="s">
        <v>37</v>
      </c>
      <c r="I17" s="129" t="s">
        <v>41</v>
      </c>
      <c r="J17" s="129" t="s">
        <v>41</v>
      </c>
      <c r="K17" s="110" t="s">
        <v>4</v>
      </c>
      <c r="L17" s="142" t="s">
        <v>42</v>
      </c>
      <c r="M17" s="142" t="s">
        <v>41</v>
      </c>
      <c r="N17" s="142" t="s">
        <v>41</v>
      </c>
      <c r="O17" s="142" t="s">
        <v>41</v>
      </c>
      <c r="P17" s="142" t="s">
        <v>41</v>
      </c>
      <c r="Q17" s="142" t="s">
        <v>6</v>
      </c>
      <c r="R17" s="110" t="s">
        <v>4</v>
      </c>
      <c r="S17" s="127" t="s">
        <v>42</v>
      </c>
      <c r="T17" s="129" t="s">
        <v>41</v>
      </c>
      <c r="U17" s="116" t="s">
        <v>5</v>
      </c>
      <c r="V17" s="116" t="s">
        <v>5</v>
      </c>
      <c r="W17" s="116" t="s">
        <v>5</v>
      </c>
      <c r="X17" s="116" t="s">
        <v>5</v>
      </c>
      <c r="Y17" s="129" t="s">
        <v>42</v>
      </c>
      <c r="Z17" s="110" t="s">
        <v>4</v>
      </c>
      <c r="AA17" s="19" t="s">
        <v>42</v>
      </c>
      <c r="AB17" s="129" t="s">
        <v>41</v>
      </c>
      <c r="AC17" s="114" t="s">
        <v>6</v>
      </c>
      <c r="AD17" s="129" t="s">
        <v>41</v>
      </c>
      <c r="AE17" s="114" t="s">
        <v>6</v>
      </c>
      <c r="AF17" s="110" t="s">
        <v>4</v>
      </c>
      <c r="AG17" s="177" t="s">
        <v>11</v>
      </c>
      <c r="AH17" s="188" t="s">
        <v>10</v>
      </c>
    </row>
    <row r="18" spans="1:34" ht="15" thickBot="1" x14ac:dyDescent="0.4">
      <c r="A18" s="182" t="s">
        <v>74</v>
      </c>
      <c r="B18" s="25" t="s">
        <v>6</v>
      </c>
      <c r="C18" s="25" t="s">
        <v>6</v>
      </c>
      <c r="D18" s="166" t="s">
        <v>4</v>
      </c>
      <c r="E18" s="142" t="s">
        <v>42</v>
      </c>
      <c r="F18" s="142" t="s">
        <v>41</v>
      </c>
      <c r="G18" s="142" t="s">
        <v>41</v>
      </c>
      <c r="H18" s="142" t="s">
        <v>42</v>
      </c>
      <c r="I18" s="142" t="s">
        <v>41</v>
      </c>
      <c r="J18" s="142" t="s">
        <v>41</v>
      </c>
      <c r="K18" s="123" t="s">
        <v>4</v>
      </c>
      <c r="L18" s="123" t="s">
        <v>4</v>
      </c>
      <c r="M18" s="19" t="s">
        <v>41</v>
      </c>
      <c r="N18" s="19" t="s">
        <v>41</v>
      </c>
      <c r="O18" s="184" t="s">
        <v>2</v>
      </c>
      <c r="P18" s="19" t="s">
        <v>41</v>
      </c>
      <c r="Q18" s="19" t="s">
        <v>41</v>
      </c>
      <c r="R18" s="19" t="s">
        <v>42</v>
      </c>
      <c r="S18" s="119" t="s">
        <v>4</v>
      </c>
      <c r="T18" s="184" t="s">
        <v>2</v>
      </c>
      <c r="U18" s="19" t="s">
        <v>41</v>
      </c>
      <c r="V18" s="19" t="s">
        <v>41</v>
      </c>
      <c r="W18" s="19" t="s">
        <v>41</v>
      </c>
      <c r="X18" s="19" t="s">
        <v>41</v>
      </c>
      <c r="Y18" s="19" t="s">
        <v>42</v>
      </c>
      <c r="Z18" s="123" t="s">
        <v>4</v>
      </c>
      <c r="AA18" s="183" t="s">
        <v>37</v>
      </c>
      <c r="AB18" s="131" t="s">
        <v>5</v>
      </c>
      <c r="AC18" s="131" t="s">
        <v>5</v>
      </c>
      <c r="AD18" s="19" t="s">
        <v>41</v>
      </c>
      <c r="AE18" s="19" t="s">
        <v>41</v>
      </c>
      <c r="AF18" s="19" t="s">
        <v>42</v>
      </c>
      <c r="AG18" s="185" t="s">
        <v>11</v>
      </c>
      <c r="AH18" s="185" t="s">
        <v>10</v>
      </c>
    </row>
    <row r="19" spans="1:34" x14ac:dyDescent="0.35">
      <c r="A19" s="182" t="s">
        <v>62</v>
      </c>
      <c r="B19" s="22" t="s">
        <v>16</v>
      </c>
      <c r="C19" s="78" t="s">
        <v>6</v>
      </c>
      <c r="D19" s="158" t="s">
        <v>30</v>
      </c>
      <c r="E19" s="123" t="s">
        <v>4</v>
      </c>
      <c r="F19" s="19" t="s">
        <v>41</v>
      </c>
      <c r="G19" s="19" t="s">
        <v>41</v>
      </c>
      <c r="H19" s="164" t="s">
        <v>42</v>
      </c>
      <c r="I19" s="131" t="s">
        <v>5</v>
      </c>
      <c r="J19" s="131" t="s">
        <v>5</v>
      </c>
      <c r="K19" s="19" t="s">
        <v>42</v>
      </c>
      <c r="L19" s="19" t="s">
        <v>42</v>
      </c>
      <c r="M19" s="131" t="s">
        <v>5</v>
      </c>
      <c r="N19" s="131" t="s">
        <v>5</v>
      </c>
      <c r="O19" s="142" t="s">
        <v>41</v>
      </c>
      <c r="P19" s="142" t="s">
        <v>41</v>
      </c>
      <c r="Q19" s="19" t="s">
        <v>41</v>
      </c>
      <c r="R19" s="19" t="s">
        <v>42</v>
      </c>
      <c r="S19" s="123" t="s">
        <v>4</v>
      </c>
      <c r="T19" s="19" t="s">
        <v>41</v>
      </c>
      <c r="U19" s="142" t="s">
        <v>41</v>
      </c>
      <c r="V19" s="142" t="s">
        <v>41</v>
      </c>
      <c r="W19" s="142" t="s">
        <v>41</v>
      </c>
      <c r="X19" s="142" t="s">
        <v>41</v>
      </c>
      <c r="Y19" s="22" t="s">
        <v>30</v>
      </c>
      <c r="Z19" s="19" t="s">
        <v>42</v>
      </c>
      <c r="AA19" s="19" t="s">
        <v>42</v>
      </c>
      <c r="AB19" s="19" t="s">
        <v>41</v>
      </c>
      <c r="AC19" s="19" t="s">
        <v>41</v>
      </c>
      <c r="AD19" s="19" t="s">
        <v>41</v>
      </c>
      <c r="AE19" s="172" t="s">
        <v>2</v>
      </c>
      <c r="AF19" s="123" t="s">
        <v>4</v>
      </c>
      <c r="AG19" s="185" t="s">
        <v>11</v>
      </c>
      <c r="AH19" s="185" t="s">
        <v>10</v>
      </c>
    </row>
    <row r="20" spans="1:34" x14ac:dyDescent="0.35">
      <c r="A20" s="182" t="s">
        <v>171</v>
      </c>
      <c r="B20" s="22" t="s">
        <v>16</v>
      </c>
      <c r="C20" s="22" t="s">
        <v>16</v>
      </c>
      <c r="D20" s="123" t="s">
        <v>4</v>
      </c>
      <c r="E20" s="123" t="s">
        <v>4</v>
      </c>
      <c r="F20" s="22" t="s">
        <v>16</v>
      </c>
      <c r="G20" s="22" t="s">
        <v>16</v>
      </c>
      <c r="H20" s="183" t="s">
        <v>37</v>
      </c>
      <c r="I20" s="22" t="s">
        <v>16</v>
      </c>
      <c r="J20" s="22" t="s">
        <v>16</v>
      </c>
      <c r="K20" s="123" t="s">
        <v>4</v>
      </c>
      <c r="L20" s="123" t="s">
        <v>4</v>
      </c>
      <c r="M20" s="22" t="s">
        <v>16</v>
      </c>
      <c r="N20" s="22" t="s">
        <v>16</v>
      </c>
      <c r="O20" s="22" t="s">
        <v>16</v>
      </c>
      <c r="P20" s="22" t="s">
        <v>16</v>
      </c>
      <c r="Q20" s="22" t="s">
        <v>16</v>
      </c>
      <c r="R20" s="123" t="s">
        <v>4</v>
      </c>
      <c r="S20" s="123" t="s">
        <v>4</v>
      </c>
      <c r="T20" s="22" t="s">
        <v>16</v>
      </c>
      <c r="U20" s="22" t="s">
        <v>16</v>
      </c>
      <c r="V20" s="22" t="s">
        <v>16</v>
      </c>
      <c r="W20" s="22" t="s">
        <v>16</v>
      </c>
      <c r="X20" s="22" t="s">
        <v>16</v>
      </c>
      <c r="Y20" s="123" t="s">
        <v>4</v>
      </c>
      <c r="Z20" s="123" t="s">
        <v>4</v>
      </c>
      <c r="AA20" s="183" t="s">
        <v>37</v>
      </c>
      <c r="AB20" s="22" t="s">
        <v>16</v>
      </c>
      <c r="AC20" s="22" t="s">
        <v>16</v>
      </c>
      <c r="AD20" s="22" t="s">
        <v>16</v>
      </c>
      <c r="AE20" s="22" t="s">
        <v>16</v>
      </c>
      <c r="AF20" s="123" t="s">
        <v>4</v>
      </c>
      <c r="AG20" s="123" t="s">
        <v>4</v>
      </c>
      <c r="AH20" s="22" t="s">
        <v>16</v>
      </c>
    </row>
    <row r="22" spans="1:34" x14ac:dyDescent="0.35">
      <c r="A22" s="189" t="s">
        <v>156</v>
      </c>
      <c r="B22">
        <f t="shared" ref="B22:AH22" si="2">COUNTIF(B4:B20,"*MS")</f>
        <v>3</v>
      </c>
      <c r="C22">
        <f t="shared" si="2"/>
        <v>3</v>
      </c>
      <c r="D22">
        <f t="shared" si="2"/>
        <v>2</v>
      </c>
      <c r="E22">
        <f t="shared" si="2"/>
        <v>2</v>
      </c>
      <c r="F22">
        <f t="shared" si="2"/>
        <v>3</v>
      </c>
      <c r="G22">
        <f t="shared" si="2"/>
        <v>4</v>
      </c>
      <c r="H22">
        <f t="shared" si="2"/>
        <v>3</v>
      </c>
      <c r="I22">
        <f t="shared" si="2"/>
        <v>4</v>
      </c>
      <c r="J22">
        <f t="shared" si="2"/>
        <v>3</v>
      </c>
      <c r="K22">
        <f t="shared" si="2"/>
        <v>2</v>
      </c>
      <c r="L22">
        <f t="shared" si="2"/>
        <v>2</v>
      </c>
      <c r="M22">
        <f t="shared" si="2"/>
        <v>3</v>
      </c>
      <c r="N22">
        <f t="shared" si="2"/>
        <v>4</v>
      </c>
      <c r="O22">
        <f t="shared" si="2"/>
        <v>4</v>
      </c>
      <c r="P22">
        <f t="shared" si="2"/>
        <v>3</v>
      </c>
      <c r="Q22">
        <f t="shared" si="2"/>
        <v>4</v>
      </c>
      <c r="R22">
        <f t="shared" si="2"/>
        <v>2</v>
      </c>
      <c r="S22">
        <f t="shared" si="2"/>
        <v>2</v>
      </c>
      <c r="T22">
        <f t="shared" si="2"/>
        <v>3</v>
      </c>
      <c r="U22">
        <f t="shared" si="2"/>
        <v>4</v>
      </c>
      <c r="V22">
        <f t="shared" si="2"/>
        <v>3</v>
      </c>
      <c r="W22">
        <f t="shared" si="2"/>
        <v>3</v>
      </c>
      <c r="X22">
        <f t="shared" si="2"/>
        <v>3</v>
      </c>
      <c r="Y22">
        <f t="shared" si="2"/>
        <v>2</v>
      </c>
      <c r="Z22">
        <f t="shared" si="2"/>
        <v>2</v>
      </c>
      <c r="AA22">
        <f t="shared" si="2"/>
        <v>3</v>
      </c>
      <c r="AB22">
        <f t="shared" si="2"/>
        <v>3</v>
      </c>
      <c r="AC22">
        <f t="shared" si="2"/>
        <v>3</v>
      </c>
      <c r="AD22">
        <f t="shared" si="2"/>
        <v>3</v>
      </c>
      <c r="AE22">
        <f t="shared" si="2"/>
        <v>4</v>
      </c>
      <c r="AF22">
        <f t="shared" si="2"/>
        <v>2</v>
      </c>
      <c r="AG22">
        <f t="shared" si="2"/>
        <v>2</v>
      </c>
      <c r="AH22">
        <f t="shared" si="2"/>
        <v>3</v>
      </c>
    </row>
    <row r="23" spans="1:34" x14ac:dyDescent="0.35">
      <c r="A23" s="189" t="s">
        <v>157</v>
      </c>
      <c r="B23">
        <f t="shared" ref="B23:AH23" si="3">COUNTIF(B4:B20,"*ASS1")</f>
        <v>3</v>
      </c>
      <c r="C23">
        <f t="shared" si="3"/>
        <v>4</v>
      </c>
      <c r="D23">
        <f t="shared" si="3"/>
        <v>2</v>
      </c>
      <c r="E23">
        <f t="shared" si="3"/>
        <v>2</v>
      </c>
      <c r="F23">
        <f t="shared" si="3"/>
        <v>3</v>
      </c>
      <c r="G23">
        <f t="shared" si="3"/>
        <v>4</v>
      </c>
      <c r="H23">
        <f t="shared" si="3"/>
        <v>3</v>
      </c>
      <c r="I23">
        <f t="shared" si="3"/>
        <v>3</v>
      </c>
      <c r="J23">
        <f t="shared" si="3"/>
        <v>2</v>
      </c>
      <c r="K23">
        <f t="shared" si="3"/>
        <v>2</v>
      </c>
      <c r="L23">
        <f t="shared" si="3"/>
        <v>2</v>
      </c>
      <c r="M23">
        <f t="shared" si="3"/>
        <v>3</v>
      </c>
      <c r="N23">
        <f t="shared" si="3"/>
        <v>3</v>
      </c>
      <c r="O23">
        <f t="shared" si="3"/>
        <v>3</v>
      </c>
      <c r="P23">
        <f t="shared" si="3"/>
        <v>4</v>
      </c>
      <c r="Q23">
        <f t="shared" si="3"/>
        <v>2</v>
      </c>
      <c r="R23">
        <f t="shared" si="3"/>
        <v>2</v>
      </c>
      <c r="S23">
        <f t="shared" si="3"/>
        <v>2</v>
      </c>
      <c r="T23">
        <f t="shared" si="3"/>
        <v>3</v>
      </c>
      <c r="U23">
        <f t="shared" si="3"/>
        <v>3</v>
      </c>
      <c r="V23">
        <f t="shared" si="3"/>
        <v>3</v>
      </c>
      <c r="W23">
        <f t="shared" si="3"/>
        <v>3</v>
      </c>
      <c r="X23">
        <f t="shared" si="3"/>
        <v>3</v>
      </c>
      <c r="Y23">
        <f t="shared" si="3"/>
        <v>2</v>
      </c>
      <c r="Z23">
        <f t="shared" si="3"/>
        <v>2</v>
      </c>
      <c r="AA23">
        <f t="shared" si="3"/>
        <v>3</v>
      </c>
      <c r="AB23">
        <f t="shared" si="3"/>
        <v>3</v>
      </c>
      <c r="AC23">
        <f t="shared" si="3"/>
        <v>3</v>
      </c>
      <c r="AD23">
        <f t="shared" si="3"/>
        <v>3</v>
      </c>
      <c r="AE23">
        <f t="shared" si="3"/>
        <v>3</v>
      </c>
      <c r="AF23">
        <f t="shared" si="3"/>
        <v>2</v>
      </c>
      <c r="AG23">
        <f t="shared" si="3"/>
        <v>2</v>
      </c>
      <c r="AH23">
        <f t="shared" si="3"/>
        <v>3</v>
      </c>
    </row>
    <row r="24" spans="1:34" x14ac:dyDescent="0.35">
      <c r="A24" s="189" t="s">
        <v>158</v>
      </c>
      <c r="B24">
        <f t="shared" ref="B24:AH24" si="4">COUNTIF(B4:B20,"*NST7")</f>
        <v>3</v>
      </c>
      <c r="C24">
        <f t="shared" si="4"/>
        <v>4</v>
      </c>
      <c r="D24">
        <f t="shared" si="4"/>
        <v>3</v>
      </c>
      <c r="E24">
        <f t="shared" si="4"/>
        <v>2</v>
      </c>
      <c r="F24">
        <f t="shared" si="4"/>
        <v>3</v>
      </c>
      <c r="G24">
        <f t="shared" si="4"/>
        <v>4</v>
      </c>
      <c r="H24">
        <f t="shared" si="4"/>
        <v>3</v>
      </c>
      <c r="I24">
        <f t="shared" si="4"/>
        <v>4</v>
      </c>
      <c r="J24">
        <f t="shared" si="4"/>
        <v>3</v>
      </c>
      <c r="K24">
        <f t="shared" si="4"/>
        <v>3</v>
      </c>
      <c r="L24">
        <f t="shared" si="4"/>
        <v>3</v>
      </c>
      <c r="M24">
        <f t="shared" si="4"/>
        <v>3</v>
      </c>
      <c r="N24">
        <f t="shared" si="4"/>
        <v>3</v>
      </c>
      <c r="O24">
        <f t="shared" si="4"/>
        <v>3</v>
      </c>
      <c r="P24">
        <f t="shared" si="4"/>
        <v>4</v>
      </c>
      <c r="Q24">
        <f t="shared" si="4"/>
        <v>3</v>
      </c>
      <c r="R24">
        <f t="shared" si="4"/>
        <v>3</v>
      </c>
      <c r="S24">
        <f t="shared" si="4"/>
        <v>3</v>
      </c>
      <c r="T24">
        <f t="shared" si="4"/>
        <v>3</v>
      </c>
      <c r="U24">
        <f t="shared" si="4"/>
        <v>3</v>
      </c>
      <c r="V24">
        <f t="shared" si="4"/>
        <v>3</v>
      </c>
      <c r="W24">
        <f t="shared" si="4"/>
        <v>3</v>
      </c>
      <c r="X24">
        <f t="shared" si="4"/>
        <v>3</v>
      </c>
      <c r="Y24">
        <f t="shared" si="4"/>
        <v>3</v>
      </c>
      <c r="Z24">
        <f t="shared" si="4"/>
        <v>3</v>
      </c>
      <c r="AA24">
        <f t="shared" si="4"/>
        <v>3</v>
      </c>
      <c r="AB24">
        <f t="shared" si="4"/>
        <v>3</v>
      </c>
      <c r="AC24">
        <f t="shared" si="4"/>
        <v>3</v>
      </c>
      <c r="AD24">
        <f t="shared" si="4"/>
        <v>3</v>
      </c>
      <c r="AE24">
        <f t="shared" si="4"/>
        <v>3</v>
      </c>
      <c r="AF24">
        <f t="shared" si="4"/>
        <v>3</v>
      </c>
      <c r="AG24">
        <f t="shared" si="4"/>
        <v>3</v>
      </c>
      <c r="AH24">
        <f t="shared" si="4"/>
        <v>3</v>
      </c>
    </row>
    <row r="25" spans="1:34" x14ac:dyDescent="0.35">
      <c r="A25" s="189" t="s">
        <v>159</v>
      </c>
      <c r="B25">
        <f t="shared" ref="B25:AH25" si="5">COUNTIF(B4:B20,"*GS")</f>
        <v>3</v>
      </c>
      <c r="C25">
        <f t="shared" si="5"/>
        <v>1</v>
      </c>
      <c r="D25">
        <f t="shared" si="5"/>
        <v>1</v>
      </c>
      <c r="E25">
        <f t="shared" si="5"/>
        <v>0</v>
      </c>
      <c r="F25">
        <f t="shared" si="5"/>
        <v>1</v>
      </c>
      <c r="G25">
        <f t="shared" si="5"/>
        <v>1</v>
      </c>
      <c r="H25">
        <f t="shared" si="5"/>
        <v>0</v>
      </c>
      <c r="I25">
        <f t="shared" si="5"/>
        <v>1</v>
      </c>
      <c r="J25">
        <f t="shared" si="5"/>
        <v>1</v>
      </c>
      <c r="K25">
        <f t="shared" si="5"/>
        <v>1</v>
      </c>
      <c r="L25">
        <f t="shared" si="5"/>
        <v>0</v>
      </c>
      <c r="M25">
        <f t="shared" si="5"/>
        <v>1</v>
      </c>
      <c r="N25">
        <f t="shared" si="5"/>
        <v>1</v>
      </c>
      <c r="O25">
        <f t="shared" si="5"/>
        <v>2</v>
      </c>
      <c r="P25">
        <f t="shared" si="5"/>
        <v>1</v>
      </c>
      <c r="Q25">
        <f t="shared" si="5"/>
        <v>1</v>
      </c>
      <c r="R25">
        <f t="shared" si="5"/>
        <v>1</v>
      </c>
      <c r="S25">
        <f t="shared" si="5"/>
        <v>0</v>
      </c>
      <c r="T25">
        <f t="shared" si="5"/>
        <v>1</v>
      </c>
      <c r="U25">
        <f t="shared" si="5"/>
        <v>1</v>
      </c>
      <c r="V25">
        <f t="shared" si="5"/>
        <v>1</v>
      </c>
      <c r="W25">
        <f t="shared" si="5"/>
        <v>1</v>
      </c>
      <c r="X25">
        <f t="shared" si="5"/>
        <v>1</v>
      </c>
      <c r="Y25">
        <f t="shared" si="5"/>
        <v>1</v>
      </c>
      <c r="Z25">
        <f t="shared" si="5"/>
        <v>0</v>
      </c>
      <c r="AA25">
        <f t="shared" si="5"/>
        <v>0</v>
      </c>
      <c r="AB25">
        <f t="shared" si="5"/>
        <v>1</v>
      </c>
      <c r="AC25">
        <f t="shared" si="5"/>
        <v>1</v>
      </c>
      <c r="AD25">
        <f t="shared" si="5"/>
        <v>1</v>
      </c>
      <c r="AE25">
        <f t="shared" si="5"/>
        <v>1</v>
      </c>
      <c r="AF25">
        <f t="shared" si="5"/>
        <v>1</v>
      </c>
      <c r="AG25">
        <f t="shared" si="5"/>
        <v>0</v>
      </c>
      <c r="AH25">
        <f t="shared" si="5"/>
        <v>1</v>
      </c>
    </row>
    <row r="26" spans="1:34" x14ac:dyDescent="0.35">
      <c r="A26" s="189" t="s">
        <v>160</v>
      </c>
      <c r="B26">
        <f>COUNTIF(B4:B20,"C")</f>
        <v>1</v>
      </c>
      <c r="C26">
        <f>COUNTIF(C4:C20,"C")</f>
        <v>2</v>
      </c>
      <c r="D26">
        <f>COUNTIF(D4:D20,"WO")</f>
        <v>7</v>
      </c>
      <c r="E26">
        <f>COUNTIF(E4:E20,"WO")</f>
        <v>9</v>
      </c>
      <c r="F26">
        <f>COUNTIF(F4:F20,"C")</f>
        <v>4</v>
      </c>
      <c r="G26">
        <f>COUNTIF(G4:G20,"C")</f>
        <v>0</v>
      </c>
      <c r="H26">
        <f>COUNTIF(H4:H20,"C")</f>
        <v>0</v>
      </c>
      <c r="I26">
        <f>COUNTIF(I4:I20,"C")</f>
        <v>1</v>
      </c>
      <c r="J26">
        <f>COUNTIF(J4:J20,"C")</f>
        <v>3</v>
      </c>
      <c r="K26">
        <f>COUNTIF(K4:K20,"WO")</f>
        <v>7</v>
      </c>
      <c r="L26">
        <f>COUNTIF(L4:L20,"WO")</f>
        <v>8</v>
      </c>
      <c r="M26">
        <f>COUNTIF(M4:M20,"C")</f>
        <v>4</v>
      </c>
      <c r="N26">
        <f>COUNTIF(N4:N20,"C")</f>
        <v>3</v>
      </c>
      <c r="O26">
        <f>COUNTIF(O4:O20,"C")</f>
        <v>3</v>
      </c>
      <c r="P26">
        <f>COUNTIF(P4:P20,"C")</f>
        <v>1</v>
      </c>
      <c r="Q26">
        <f>COUNTIF(Q4:Q20,"C")</f>
        <v>2</v>
      </c>
      <c r="R26">
        <f>COUNTIF(R4:R20,"WO")</f>
        <v>7</v>
      </c>
      <c r="S26">
        <f>COUNTIF(S4:S20,"WO")</f>
        <v>8</v>
      </c>
      <c r="T26">
        <f>COUNTIF(T4:T20,"C")</f>
        <v>4</v>
      </c>
      <c r="U26">
        <f>COUNTIF(U4:U20,"C")</f>
        <v>2</v>
      </c>
      <c r="V26">
        <f>COUNTIF(V4:V20,"C")</f>
        <v>2</v>
      </c>
      <c r="W26">
        <f>COUNTIF(W4:W20,"C")</f>
        <v>2</v>
      </c>
      <c r="X26">
        <f>COUNTIF(X4:X20,"C")</f>
        <v>2</v>
      </c>
      <c r="Y26">
        <f>COUNTIF(Y4:Y20,"WO")</f>
        <v>6</v>
      </c>
      <c r="Z26">
        <f>COUNTIF(Z4:Z20,"WO")</f>
        <v>8</v>
      </c>
      <c r="AA26">
        <f>COUNTIF(AA4:AA20,"C")</f>
        <v>0</v>
      </c>
      <c r="AB26">
        <f>COUNTIF(AB4:AB20,"C")</f>
        <v>2</v>
      </c>
      <c r="AC26">
        <f>COUNTIF(AC4:AC20,"C")</f>
        <v>0</v>
      </c>
      <c r="AD26">
        <f>COUNTIF(AD4:AD20,"C")</f>
        <v>2</v>
      </c>
      <c r="AE26">
        <f>COUNTIF(AE4:AE20,"C")</f>
        <v>3</v>
      </c>
      <c r="AF26">
        <f>COUNTIF(AF4:AF20,"WO")</f>
        <v>7</v>
      </c>
      <c r="AG26">
        <f>COUNTIF(AG4:AG20,"WO")</f>
        <v>8</v>
      </c>
      <c r="AH26">
        <f>COUNTIF(AH4:AH20,"C")</f>
        <v>4</v>
      </c>
    </row>
    <row r="27" spans="1:34" x14ac:dyDescent="0.35">
      <c r="A27" s="189" t="s">
        <v>161</v>
      </c>
      <c r="B27">
        <f t="shared" ref="B27:AH27" si="6">COUNTIF(B4:B20,"PL")</f>
        <v>2</v>
      </c>
      <c r="C27">
        <f t="shared" si="6"/>
        <v>1</v>
      </c>
      <c r="D27">
        <f t="shared" si="6"/>
        <v>0</v>
      </c>
      <c r="E27">
        <f t="shared" si="6"/>
        <v>0</v>
      </c>
      <c r="F27">
        <f t="shared" si="6"/>
        <v>1</v>
      </c>
      <c r="G27">
        <f t="shared" si="6"/>
        <v>2</v>
      </c>
      <c r="H27">
        <f t="shared" si="6"/>
        <v>0</v>
      </c>
      <c r="I27">
        <f t="shared" si="6"/>
        <v>2</v>
      </c>
      <c r="J27">
        <f t="shared" si="6"/>
        <v>3</v>
      </c>
      <c r="K27">
        <f t="shared" si="6"/>
        <v>0</v>
      </c>
      <c r="L27">
        <f t="shared" si="6"/>
        <v>0</v>
      </c>
      <c r="M27">
        <f t="shared" si="6"/>
        <v>1</v>
      </c>
      <c r="N27">
        <f t="shared" si="6"/>
        <v>1</v>
      </c>
      <c r="O27">
        <f t="shared" si="6"/>
        <v>0</v>
      </c>
      <c r="P27">
        <f t="shared" si="6"/>
        <v>2</v>
      </c>
      <c r="Q27">
        <f t="shared" si="6"/>
        <v>2</v>
      </c>
      <c r="R27">
        <f t="shared" si="6"/>
        <v>0</v>
      </c>
      <c r="S27">
        <f t="shared" si="6"/>
        <v>0</v>
      </c>
      <c r="T27">
        <f t="shared" si="6"/>
        <v>1</v>
      </c>
      <c r="U27">
        <f t="shared" si="6"/>
        <v>2</v>
      </c>
      <c r="V27">
        <f t="shared" si="6"/>
        <v>3</v>
      </c>
      <c r="W27">
        <f t="shared" si="6"/>
        <v>3</v>
      </c>
      <c r="X27">
        <f t="shared" si="6"/>
        <v>3</v>
      </c>
      <c r="Y27">
        <f t="shared" si="6"/>
        <v>0</v>
      </c>
      <c r="Z27">
        <f t="shared" si="6"/>
        <v>0</v>
      </c>
      <c r="AA27">
        <f t="shared" si="6"/>
        <v>1</v>
      </c>
      <c r="AB27">
        <f t="shared" si="6"/>
        <v>3</v>
      </c>
      <c r="AC27">
        <f t="shared" si="6"/>
        <v>4</v>
      </c>
      <c r="AD27">
        <f t="shared" si="6"/>
        <v>3</v>
      </c>
      <c r="AE27">
        <f t="shared" si="6"/>
        <v>1</v>
      </c>
      <c r="AF27">
        <f t="shared" si="6"/>
        <v>0</v>
      </c>
      <c r="AG27">
        <f t="shared" si="6"/>
        <v>0</v>
      </c>
      <c r="AH27">
        <f t="shared" si="6"/>
        <v>1</v>
      </c>
    </row>
    <row r="28" spans="1:34" x14ac:dyDescent="0.35">
      <c r="A28" s="189" t="s">
        <v>33</v>
      </c>
      <c r="B28">
        <f t="shared" ref="B28:AH28" si="7">COUNTIF(B4:B20,"UPL")</f>
        <v>0</v>
      </c>
      <c r="C28">
        <f t="shared" si="7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7"/>
        <v>0</v>
      </c>
      <c r="I28">
        <f t="shared" si="7"/>
        <v>0</v>
      </c>
      <c r="J28">
        <f t="shared" si="7"/>
        <v>0</v>
      </c>
      <c r="K28">
        <f t="shared" si="7"/>
        <v>0</v>
      </c>
      <c r="L28">
        <f t="shared" si="7"/>
        <v>0</v>
      </c>
      <c r="M28">
        <f t="shared" si="7"/>
        <v>0</v>
      </c>
      <c r="N28">
        <f t="shared" si="7"/>
        <v>0</v>
      </c>
      <c r="O28">
        <f t="shared" si="7"/>
        <v>0</v>
      </c>
      <c r="P28">
        <f t="shared" si="7"/>
        <v>0</v>
      </c>
      <c r="Q28">
        <f t="shared" si="7"/>
        <v>0</v>
      </c>
      <c r="R28">
        <f t="shared" si="7"/>
        <v>0</v>
      </c>
      <c r="S28">
        <f t="shared" si="7"/>
        <v>0</v>
      </c>
      <c r="T28">
        <f t="shared" si="7"/>
        <v>0</v>
      </c>
      <c r="U28">
        <f t="shared" si="7"/>
        <v>0</v>
      </c>
      <c r="V28">
        <f t="shared" si="7"/>
        <v>0</v>
      </c>
      <c r="W28">
        <f t="shared" si="7"/>
        <v>0</v>
      </c>
      <c r="X28">
        <f t="shared" si="7"/>
        <v>0</v>
      </c>
      <c r="Y28">
        <f t="shared" si="7"/>
        <v>1</v>
      </c>
      <c r="Z28">
        <f t="shared" si="7"/>
        <v>0</v>
      </c>
      <c r="AA28">
        <f t="shared" si="7"/>
        <v>0</v>
      </c>
      <c r="AB28">
        <f t="shared" si="7"/>
        <v>0</v>
      </c>
      <c r="AC28">
        <f t="shared" si="7"/>
        <v>0</v>
      </c>
      <c r="AD28">
        <f t="shared" si="7"/>
        <v>0</v>
      </c>
      <c r="AE28">
        <f t="shared" si="7"/>
        <v>0</v>
      </c>
      <c r="AF28">
        <f t="shared" si="7"/>
        <v>0</v>
      </c>
      <c r="AG28">
        <f t="shared" si="7"/>
        <v>0</v>
      </c>
      <c r="AH28">
        <f t="shared" si="7"/>
        <v>0</v>
      </c>
    </row>
    <row r="29" spans="1:34" x14ac:dyDescent="0.35">
      <c r="A29" s="189" t="s">
        <v>172</v>
      </c>
      <c r="B29">
        <f t="shared" ref="B29:AH29" si="8">COUNTIF(B4:B20,"H")</f>
        <v>0</v>
      </c>
      <c r="C29">
        <f t="shared" si="8"/>
        <v>0</v>
      </c>
      <c r="D29">
        <f t="shared" si="8"/>
        <v>0</v>
      </c>
      <c r="E29">
        <f t="shared" si="8"/>
        <v>0</v>
      </c>
      <c r="F29">
        <f t="shared" si="8"/>
        <v>0</v>
      </c>
      <c r="G29">
        <f t="shared" si="8"/>
        <v>0</v>
      </c>
      <c r="H29">
        <f t="shared" si="8"/>
        <v>6</v>
      </c>
      <c r="I29">
        <f t="shared" si="8"/>
        <v>0</v>
      </c>
      <c r="J29">
        <f t="shared" si="8"/>
        <v>0</v>
      </c>
      <c r="K29">
        <f t="shared" si="8"/>
        <v>0</v>
      </c>
      <c r="L29">
        <f t="shared" si="8"/>
        <v>0</v>
      </c>
      <c r="M29">
        <f t="shared" si="8"/>
        <v>0</v>
      </c>
      <c r="N29">
        <f t="shared" si="8"/>
        <v>0</v>
      </c>
      <c r="O29">
        <f t="shared" si="8"/>
        <v>0</v>
      </c>
      <c r="P29">
        <f t="shared" si="8"/>
        <v>0</v>
      </c>
      <c r="Q29">
        <f t="shared" si="8"/>
        <v>0</v>
      </c>
      <c r="R29">
        <f t="shared" si="8"/>
        <v>0</v>
      </c>
      <c r="S29">
        <f t="shared" si="8"/>
        <v>0</v>
      </c>
      <c r="T29">
        <f t="shared" si="8"/>
        <v>0</v>
      </c>
      <c r="U29">
        <f t="shared" si="8"/>
        <v>0</v>
      </c>
      <c r="V29">
        <f t="shared" si="8"/>
        <v>0</v>
      </c>
      <c r="W29">
        <f t="shared" si="8"/>
        <v>0</v>
      </c>
      <c r="X29">
        <f t="shared" si="8"/>
        <v>0</v>
      </c>
      <c r="Y29">
        <f t="shared" si="8"/>
        <v>0</v>
      </c>
      <c r="Z29">
        <f t="shared" si="8"/>
        <v>0</v>
      </c>
      <c r="AA29">
        <f t="shared" si="8"/>
        <v>5</v>
      </c>
      <c r="AB29">
        <f t="shared" si="8"/>
        <v>0</v>
      </c>
      <c r="AC29">
        <f t="shared" si="8"/>
        <v>1</v>
      </c>
      <c r="AD29">
        <f t="shared" si="8"/>
        <v>0</v>
      </c>
      <c r="AE29">
        <f t="shared" si="8"/>
        <v>0</v>
      </c>
      <c r="AF29">
        <f t="shared" si="8"/>
        <v>0</v>
      </c>
      <c r="AG29">
        <f t="shared" si="8"/>
        <v>0</v>
      </c>
      <c r="AH29">
        <f t="shared" si="8"/>
        <v>0</v>
      </c>
    </row>
    <row r="30" spans="1:34" x14ac:dyDescent="0.35">
      <c r="A30" s="189" t="s">
        <v>162</v>
      </c>
      <c r="B30" s="138">
        <f>SUM(B22:B29)</f>
        <v>15</v>
      </c>
      <c r="C30" s="138">
        <f t="shared" ref="C30:AH30" si="9">SUM(C22:C29)</f>
        <v>15</v>
      </c>
      <c r="D30" s="138">
        <f t="shared" si="9"/>
        <v>15</v>
      </c>
      <c r="E30" s="138">
        <f t="shared" si="9"/>
        <v>15</v>
      </c>
      <c r="F30" s="138">
        <f t="shared" si="9"/>
        <v>15</v>
      </c>
      <c r="G30" s="138">
        <f t="shared" si="9"/>
        <v>15</v>
      </c>
      <c r="H30" s="138">
        <f t="shared" si="9"/>
        <v>15</v>
      </c>
      <c r="I30" s="138">
        <f t="shared" si="9"/>
        <v>15</v>
      </c>
      <c r="J30" s="138">
        <f t="shared" si="9"/>
        <v>15</v>
      </c>
      <c r="K30" s="138">
        <f t="shared" si="9"/>
        <v>15</v>
      </c>
      <c r="L30" s="138">
        <f t="shared" si="9"/>
        <v>15</v>
      </c>
      <c r="M30" s="138">
        <f t="shared" si="9"/>
        <v>15</v>
      </c>
      <c r="N30" s="138">
        <f t="shared" si="9"/>
        <v>15</v>
      </c>
      <c r="O30" s="138">
        <f t="shared" si="9"/>
        <v>15</v>
      </c>
      <c r="P30" s="138">
        <f t="shared" si="9"/>
        <v>15</v>
      </c>
      <c r="Q30" s="138">
        <f t="shared" si="9"/>
        <v>14</v>
      </c>
      <c r="R30" s="138">
        <f t="shared" si="9"/>
        <v>15</v>
      </c>
      <c r="S30" s="138">
        <f t="shared" si="9"/>
        <v>15</v>
      </c>
      <c r="T30" s="138">
        <f t="shared" si="9"/>
        <v>15</v>
      </c>
      <c r="U30" s="138">
        <f t="shared" si="9"/>
        <v>15</v>
      </c>
      <c r="V30" s="138">
        <f t="shared" si="9"/>
        <v>15</v>
      </c>
      <c r="W30" s="138">
        <f t="shared" si="9"/>
        <v>15</v>
      </c>
      <c r="X30" s="138">
        <f t="shared" si="9"/>
        <v>15</v>
      </c>
      <c r="Y30" s="138">
        <f t="shared" si="9"/>
        <v>15</v>
      </c>
      <c r="Z30" s="138">
        <f t="shared" si="9"/>
        <v>15</v>
      </c>
      <c r="AA30" s="138">
        <f t="shared" si="9"/>
        <v>15</v>
      </c>
      <c r="AB30" s="138">
        <f t="shared" si="9"/>
        <v>15</v>
      </c>
      <c r="AC30" s="138">
        <f t="shared" si="9"/>
        <v>15</v>
      </c>
      <c r="AD30" s="138">
        <f t="shared" si="9"/>
        <v>15</v>
      </c>
      <c r="AE30" s="138">
        <f t="shared" si="9"/>
        <v>15</v>
      </c>
      <c r="AF30" s="138">
        <f t="shared" si="9"/>
        <v>15</v>
      </c>
      <c r="AG30" s="138">
        <f t="shared" si="9"/>
        <v>15</v>
      </c>
      <c r="AH30" s="138">
        <f t="shared" si="9"/>
        <v>15</v>
      </c>
    </row>
  </sheetData>
  <conditionalFormatting sqref="B22:B25">
    <cfRule type="cellIs" dxfId="164" priority="17" operator="lessThan">
      <formula>3</formula>
    </cfRule>
  </conditionalFormatting>
  <conditionalFormatting sqref="D22:D25">
    <cfRule type="cellIs" dxfId="163" priority="16" operator="lessThan">
      <formula>3</formula>
    </cfRule>
  </conditionalFormatting>
  <conditionalFormatting sqref="C22:C25">
    <cfRule type="cellIs" dxfId="162" priority="15" operator="lessThan">
      <formula>3</formula>
    </cfRule>
  </conditionalFormatting>
  <conditionalFormatting sqref="F22:J25">
    <cfRule type="cellIs" dxfId="161" priority="14" operator="lessThan">
      <formula>3</formula>
    </cfRule>
  </conditionalFormatting>
  <conditionalFormatting sqref="M22:Q25">
    <cfRule type="cellIs" dxfId="160" priority="13" operator="lessThan">
      <formula>3</formula>
    </cfRule>
  </conditionalFormatting>
  <conditionalFormatting sqref="T22:X25">
    <cfRule type="cellIs" dxfId="159" priority="12" operator="lessThan">
      <formula>3</formula>
    </cfRule>
  </conditionalFormatting>
  <conditionalFormatting sqref="AA22:AE25">
    <cfRule type="cellIs" dxfId="158" priority="11" operator="lessThan">
      <formula>3</formula>
    </cfRule>
  </conditionalFormatting>
  <conditionalFormatting sqref="AH22:AH25">
    <cfRule type="cellIs" dxfId="157" priority="10" operator="lessThan">
      <formula>3</formula>
    </cfRule>
  </conditionalFormatting>
  <conditionalFormatting sqref="E22:E25">
    <cfRule type="cellIs" dxfId="156" priority="9" operator="lessThan">
      <formula>3</formula>
    </cfRule>
  </conditionalFormatting>
  <conditionalFormatting sqref="K22:K25">
    <cfRule type="cellIs" dxfId="155" priority="8" operator="lessThan">
      <formula>3</formula>
    </cfRule>
  </conditionalFormatting>
  <conditionalFormatting sqref="L22:L25">
    <cfRule type="cellIs" dxfId="154" priority="7" operator="lessThan">
      <formula>3</formula>
    </cfRule>
  </conditionalFormatting>
  <conditionalFormatting sqref="R22:R25">
    <cfRule type="cellIs" dxfId="153" priority="6" operator="lessThan">
      <formula>3</formula>
    </cfRule>
  </conditionalFormatting>
  <conditionalFormatting sqref="S22:S25">
    <cfRule type="cellIs" dxfId="152" priority="5" operator="lessThan">
      <formula>3</formula>
    </cfRule>
  </conditionalFormatting>
  <conditionalFormatting sqref="Y22:Y25">
    <cfRule type="cellIs" dxfId="151" priority="4" operator="lessThan">
      <formula>3</formula>
    </cfRule>
  </conditionalFormatting>
  <conditionalFormatting sqref="Z22:Z25">
    <cfRule type="cellIs" dxfId="150" priority="3" operator="lessThan">
      <formula>3</formula>
    </cfRule>
  </conditionalFormatting>
  <conditionalFormatting sqref="AF22:AF25">
    <cfRule type="cellIs" dxfId="149" priority="2" operator="lessThan">
      <formula>3</formula>
    </cfRule>
  </conditionalFormatting>
  <conditionalFormatting sqref="AG22:AG25">
    <cfRule type="cellIs" dxfId="148" priority="1" operator="lessThan">
      <formula>3</formula>
    </cfRule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L30"/>
  <sheetViews>
    <sheetView zoomScale="80" zoomScaleNormal="80" workbookViewId="0">
      <pane xSplit="1" topLeftCell="Q1" activePane="topRight" state="frozen"/>
      <selection pane="topRight" activeCell="AH5" sqref="AH5"/>
    </sheetView>
  </sheetViews>
  <sheetFormatPr defaultRowHeight="14.5" x14ac:dyDescent="0.35"/>
  <cols>
    <col min="1" max="1" width="23.08984375" customWidth="1"/>
    <col min="2" max="3" width="6.90625" customWidth="1"/>
    <col min="4" max="4" width="6.453125" customWidth="1"/>
    <col min="5" max="5" width="6.90625" customWidth="1"/>
    <col min="6" max="38" width="8.7265625" customWidth="1"/>
  </cols>
  <sheetData>
    <row r="1" spans="1:38" x14ac:dyDescent="0.35">
      <c r="A1" s="70"/>
      <c r="B1" s="2" t="str">
        <f t="shared" ref="B1:D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ref="E1:AL1" si="1">TEXT(E2,"ddd")</f>
        <v>Tue</v>
      </c>
      <c r="F1" s="2" t="str">
        <f t="shared" si="1"/>
        <v>Wed</v>
      </c>
      <c r="G1" s="2" t="str">
        <f t="shared" si="1"/>
        <v>Thu</v>
      </c>
      <c r="H1" s="2" t="str">
        <f t="shared" si="1"/>
        <v>Fri</v>
      </c>
      <c r="I1" s="2" t="str">
        <f t="shared" si="1"/>
        <v>Sat</v>
      </c>
      <c r="J1" s="2" t="str">
        <f t="shared" si="1"/>
        <v>Sun</v>
      </c>
      <c r="K1" s="2" t="str">
        <f t="shared" si="1"/>
        <v>Mon</v>
      </c>
      <c r="L1" s="2" t="str">
        <f t="shared" si="1"/>
        <v>Tue</v>
      </c>
      <c r="M1" s="2" t="str">
        <f t="shared" si="1"/>
        <v>Wed</v>
      </c>
      <c r="N1" s="2" t="str">
        <f t="shared" si="1"/>
        <v>Thu</v>
      </c>
      <c r="O1" s="2" t="str">
        <f t="shared" si="1"/>
        <v>Fri</v>
      </c>
      <c r="P1" s="2" t="str">
        <f t="shared" si="1"/>
        <v>Sat</v>
      </c>
      <c r="Q1" s="2" t="str">
        <f t="shared" si="1"/>
        <v>Sun</v>
      </c>
      <c r="R1" s="2" t="str">
        <f t="shared" si="1"/>
        <v>Mon</v>
      </c>
      <c r="S1" s="2" t="str">
        <f t="shared" si="1"/>
        <v>Tue</v>
      </c>
      <c r="T1" s="2" t="str">
        <f t="shared" si="1"/>
        <v>Wed</v>
      </c>
      <c r="U1" s="2" t="str">
        <f t="shared" si="1"/>
        <v>Thu</v>
      </c>
      <c r="V1" s="2" t="str">
        <f t="shared" si="1"/>
        <v>Fri</v>
      </c>
      <c r="W1" s="2" t="str">
        <f t="shared" si="1"/>
        <v>Sat</v>
      </c>
      <c r="X1" s="2" t="str">
        <f t="shared" si="1"/>
        <v>Sun</v>
      </c>
      <c r="Y1" s="2" t="str">
        <f t="shared" si="1"/>
        <v>Mon</v>
      </c>
      <c r="Z1" s="2" t="str">
        <f t="shared" si="1"/>
        <v>Tue</v>
      </c>
      <c r="AA1" s="2" t="str">
        <f t="shared" si="1"/>
        <v>Wed</v>
      </c>
      <c r="AB1" s="2" t="str">
        <f t="shared" si="1"/>
        <v>Thu</v>
      </c>
      <c r="AC1" s="2" t="str">
        <f t="shared" si="1"/>
        <v>Fri</v>
      </c>
      <c r="AD1" s="2" t="str">
        <f t="shared" si="1"/>
        <v>Sat</v>
      </c>
      <c r="AE1" s="2" t="str">
        <f t="shared" si="1"/>
        <v>Sun</v>
      </c>
      <c r="AF1" s="2" t="str">
        <f t="shared" si="1"/>
        <v>Mon</v>
      </c>
      <c r="AG1" s="2" t="str">
        <f t="shared" si="1"/>
        <v>Tue</v>
      </c>
      <c r="AH1" s="2" t="str">
        <f t="shared" si="1"/>
        <v>Wed</v>
      </c>
      <c r="AI1" s="2" t="str">
        <f t="shared" si="1"/>
        <v>Thu</v>
      </c>
      <c r="AJ1" s="2" t="str">
        <f t="shared" si="1"/>
        <v>Fri</v>
      </c>
      <c r="AK1" s="2" t="str">
        <f t="shared" si="1"/>
        <v>Sat</v>
      </c>
      <c r="AL1" s="2" t="str">
        <f t="shared" si="1"/>
        <v>Sun</v>
      </c>
    </row>
    <row r="2" spans="1:38" x14ac:dyDescent="0.35">
      <c r="A2" s="104" t="s">
        <v>0</v>
      </c>
      <c r="B2" s="31">
        <v>44863</v>
      </c>
      <c r="C2" s="31">
        <v>44864</v>
      </c>
      <c r="D2" s="31">
        <v>44865</v>
      </c>
      <c r="E2" s="31">
        <v>44866</v>
      </c>
      <c r="F2" s="31">
        <v>44867</v>
      </c>
      <c r="G2" s="31">
        <v>44868</v>
      </c>
      <c r="H2" s="31">
        <v>44869</v>
      </c>
      <c r="I2" s="31">
        <v>44870</v>
      </c>
      <c r="J2" s="31">
        <v>44871</v>
      </c>
      <c r="K2" s="31">
        <v>44872</v>
      </c>
      <c r="L2" s="31">
        <v>44873</v>
      </c>
      <c r="M2" s="31">
        <v>44874</v>
      </c>
      <c r="N2" s="31">
        <v>44875</v>
      </c>
      <c r="O2" s="31">
        <v>44876</v>
      </c>
      <c r="P2" s="31">
        <v>44877</v>
      </c>
      <c r="Q2" s="31">
        <v>44878</v>
      </c>
      <c r="R2" s="31">
        <v>44879</v>
      </c>
      <c r="S2" s="31">
        <v>44880</v>
      </c>
      <c r="T2" s="31">
        <v>44881</v>
      </c>
      <c r="U2" s="31">
        <v>44882</v>
      </c>
      <c r="V2" s="31">
        <v>44883</v>
      </c>
      <c r="W2" s="31">
        <v>44884</v>
      </c>
      <c r="X2" s="31">
        <v>44885</v>
      </c>
      <c r="Y2" s="31">
        <v>44886</v>
      </c>
      <c r="Z2" s="31">
        <v>44887</v>
      </c>
      <c r="AA2" s="31">
        <v>44888</v>
      </c>
      <c r="AB2" s="31">
        <v>44889</v>
      </c>
      <c r="AC2" s="31">
        <v>44890</v>
      </c>
      <c r="AD2" s="31">
        <v>44891</v>
      </c>
      <c r="AE2" s="31">
        <v>44892</v>
      </c>
      <c r="AF2" s="31">
        <v>44893</v>
      </c>
      <c r="AG2" s="31">
        <v>44894</v>
      </c>
      <c r="AH2" s="31">
        <v>44895</v>
      </c>
      <c r="AI2" s="31">
        <v>44896</v>
      </c>
      <c r="AJ2" s="31">
        <v>44897</v>
      </c>
      <c r="AK2" s="31">
        <v>44898</v>
      </c>
      <c r="AL2" s="31">
        <v>44899</v>
      </c>
    </row>
    <row r="3" spans="1:38" ht="15" thickBot="1" x14ac:dyDescent="0.4">
      <c r="A3" s="105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</row>
    <row r="4" spans="1:38" ht="15" thickBot="1" x14ac:dyDescent="0.4">
      <c r="A4" s="171" t="s">
        <v>14</v>
      </c>
      <c r="B4" s="108" t="s">
        <v>4</v>
      </c>
      <c r="C4" s="112" t="s">
        <v>3</v>
      </c>
      <c r="D4" s="174" t="s">
        <v>2</v>
      </c>
      <c r="E4" s="163" t="s">
        <v>6</v>
      </c>
      <c r="F4" s="163" t="s">
        <v>6</v>
      </c>
      <c r="G4" s="163" t="s">
        <v>6</v>
      </c>
      <c r="H4" s="187" t="s">
        <v>5</v>
      </c>
      <c r="I4" s="123" t="s">
        <v>4</v>
      </c>
      <c r="J4" s="123" t="s">
        <v>4</v>
      </c>
      <c r="K4" s="187" t="s">
        <v>5</v>
      </c>
      <c r="L4" s="163" t="s">
        <v>6</v>
      </c>
      <c r="M4" s="163" t="s">
        <v>6</v>
      </c>
      <c r="N4" s="163" t="s">
        <v>6</v>
      </c>
      <c r="O4" s="163" t="s">
        <v>6</v>
      </c>
      <c r="P4" s="163" t="s">
        <v>3</v>
      </c>
      <c r="Q4" s="123" t="s">
        <v>4</v>
      </c>
      <c r="R4" s="174" t="s">
        <v>2</v>
      </c>
      <c r="S4" s="163" t="s">
        <v>6</v>
      </c>
      <c r="T4" s="163" t="s">
        <v>6</v>
      </c>
      <c r="U4" s="163" t="s">
        <v>6</v>
      </c>
      <c r="V4" s="163" t="s">
        <v>6</v>
      </c>
      <c r="W4" s="163" t="s">
        <v>3</v>
      </c>
      <c r="X4" s="123" t="s">
        <v>4</v>
      </c>
      <c r="Y4" s="78" t="s">
        <v>6</v>
      </c>
      <c r="Z4" s="78" t="s">
        <v>6</v>
      </c>
      <c r="AA4" s="78" t="s">
        <v>6</v>
      </c>
      <c r="AB4" s="78" t="s">
        <v>6</v>
      </c>
      <c r="AC4" s="78" t="s">
        <v>6</v>
      </c>
      <c r="AD4" s="163" t="s">
        <v>3</v>
      </c>
      <c r="AE4" s="123" t="s">
        <v>4</v>
      </c>
      <c r="AF4" s="184" t="s">
        <v>2</v>
      </c>
      <c r="AG4" s="25" t="s">
        <v>6</v>
      </c>
      <c r="AH4" s="78" t="s">
        <v>6</v>
      </c>
      <c r="AI4" s="19" t="s">
        <v>41</v>
      </c>
      <c r="AJ4" s="19" t="s">
        <v>41</v>
      </c>
      <c r="AK4" s="19" t="s">
        <v>42</v>
      </c>
      <c r="AL4" s="123" t="s">
        <v>4</v>
      </c>
    </row>
    <row r="5" spans="1:38" ht="15" thickBot="1" x14ac:dyDescent="0.4">
      <c r="A5" s="175" t="s">
        <v>12</v>
      </c>
      <c r="B5" s="177" t="s">
        <v>11</v>
      </c>
      <c r="C5" s="110" t="s">
        <v>4</v>
      </c>
      <c r="D5" s="163" t="s">
        <v>6</v>
      </c>
      <c r="E5" s="163" t="s">
        <v>6</v>
      </c>
      <c r="F5" s="174" t="s">
        <v>2</v>
      </c>
      <c r="G5" s="174" t="s">
        <v>2</v>
      </c>
      <c r="H5" s="163" t="s">
        <v>6</v>
      </c>
      <c r="I5" s="163" t="s">
        <v>3</v>
      </c>
      <c r="J5" s="163" t="s">
        <v>3</v>
      </c>
      <c r="K5" s="163" t="s">
        <v>6</v>
      </c>
      <c r="L5" s="174" t="s">
        <v>2</v>
      </c>
      <c r="M5" s="163" t="s">
        <v>6</v>
      </c>
      <c r="N5" s="163" t="s">
        <v>6</v>
      </c>
      <c r="O5" s="163" t="s">
        <v>6</v>
      </c>
      <c r="P5" s="123" t="s">
        <v>4</v>
      </c>
      <c r="Q5" s="163" t="s">
        <v>3</v>
      </c>
      <c r="R5" s="163" t="s">
        <v>6</v>
      </c>
      <c r="S5" s="174" t="s">
        <v>2</v>
      </c>
      <c r="T5" s="163" t="s">
        <v>6</v>
      </c>
      <c r="U5" s="163" t="s">
        <v>6</v>
      </c>
      <c r="V5" s="174" t="s">
        <v>2</v>
      </c>
      <c r="W5" s="123" t="s">
        <v>4</v>
      </c>
      <c r="X5" s="163" t="s">
        <v>3</v>
      </c>
      <c r="Y5" s="187" t="s">
        <v>5</v>
      </c>
      <c r="Z5" s="187" t="s">
        <v>5</v>
      </c>
      <c r="AA5" s="187" t="s">
        <v>5</v>
      </c>
      <c r="AB5" s="187" t="s">
        <v>5</v>
      </c>
      <c r="AC5" s="78" t="s">
        <v>6</v>
      </c>
      <c r="AD5" s="78" t="s">
        <v>3</v>
      </c>
      <c r="AE5" s="78" t="s">
        <v>3</v>
      </c>
      <c r="AF5" s="78" t="s">
        <v>6</v>
      </c>
      <c r="AG5" s="78" t="s">
        <v>6</v>
      </c>
      <c r="AH5" s="184" t="s">
        <v>2</v>
      </c>
      <c r="AI5" s="131" t="s">
        <v>5</v>
      </c>
      <c r="AJ5" s="184" t="s">
        <v>2</v>
      </c>
      <c r="AK5" s="123" t="s">
        <v>4</v>
      </c>
      <c r="AL5" s="19" t="s">
        <v>42</v>
      </c>
    </row>
    <row r="6" spans="1:38" ht="15" thickBot="1" x14ac:dyDescent="0.4">
      <c r="A6" s="179" t="s">
        <v>75</v>
      </c>
      <c r="B6" s="119" t="s">
        <v>4</v>
      </c>
      <c r="C6" s="121" t="s">
        <v>6</v>
      </c>
      <c r="D6" s="186" t="s">
        <v>41</v>
      </c>
      <c r="E6" s="121" t="s">
        <v>6</v>
      </c>
      <c r="F6" s="163" t="s">
        <v>6</v>
      </c>
      <c r="G6" s="163" t="s">
        <v>6</v>
      </c>
      <c r="H6" s="174" t="s">
        <v>2</v>
      </c>
      <c r="I6" s="123" t="s">
        <v>4</v>
      </c>
      <c r="J6" s="163" t="s">
        <v>3</v>
      </c>
      <c r="K6" s="163" t="s">
        <v>6</v>
      </c>
      <c r="L6" s="187" t="s">
        <v>5</v>
      </c>
      <c r="M6" s="187" t="s">
        <v>5</v>
      </c>
      <c r="N6" s="187" t="s">
        <v>5</v>
      </c>
      <c r="O6" s="187" t="s">
        <v>5</v>
      </c>
      <c r="P6" s="123" t="s">
        <v>4</v>
      </c>
      <c r="Q6" s="163" t="s">
        <v>3</v>
      </c>
      <c r="R6" s="163" t="s">
        <v>6</v>
      </c>
      <c r="S6" s="163" t="s">
        <v>6</v>
      </c>
      <c r="T6" s="163" t="s">
        <v>6</v>
      </c>
      <c r="U6" s="174" t="s">
        <v>2</v>
      </c>
      <c r="V6" s="163" t="s">
        <v>6</v>
      </c>
      <c r="W6" s="163" t="s">
        <v>3</v>
      </c>
      <c r="X6" s="123" t="s">
        <v>4</v>
      </c>
      <c r="Y6" s="163" t="s">
        <v>6</v>
      </c>
      <c r="Z6" s="163" t="s">
        <v>6</v>
      </c>
      <c r="AA6" s="163" t="s">
        <v>6</v>
      </c>
      <c r="AB6" s="163" t="s">
        <v>6</v>
      </c>
      <c r="AC6" s="174" t="s">
        <v>2</v>
      </c>
      <c r="AD6" s="123" t="s">
        <v>4</v>
      </c>
      <c r="AE6" s="163" t="s">
        <v>3</v>
      </c>
      <c r="AF6" s="25" t="s">
        <v>6</v>
      </c>
      <c r="AG6" s="25" t="s">
        <v>6</v>
      </c>
      <c r="AH6" s="25" t="s">
        <v>6</v>
      </c>
      <c r="AI6" s="19" t="s">
        <v>41</v>
      </c>
      <c r="AJ6" s="19" t="s">
        <v>41</v>
      </c>
      <c r="AK6" s="123" t="s">
        <v>4</v>
      </c>
      <c r="AL6" s="19" t="s">
        <v>42</v>
      </c>
    </row>
    <row r="7" spans="1:38" ht="15" thickBot="1" x14ac:dyDescent="0.4">
      <c r="A7" s="182" t="s">
        <v>77</v>
      </c>
      <c r="B7" s="185" t="s">
        <v>11</v>
      </c>
      <c r="C7" s="123" t="s">
        <v>4</v>
      </c>
      <c r="D7" s="184" t="s">
        <v>2</v>
      </c>
      <c r="E7" s="163" t="s">
        <v>6</v>
      </c>
      <c r="F7" s="163" t="s">
        <v>6</v>
      </c>
      <c r="G7" s="163" t="s">
        <v>6</v>
      </c>
      <c r="H7" s="163" t="s">
        <v>6</v>
      </c>
      <c r="I7" s="163" t="s">
        <v>3</v>
      </c>
      <c r="J7" s="123" t="s">
        <v>4</v>
      </c>
      <c r="K7" s="174" t="s">
        <v>2</v>
      </c>
      <c r="L7" s="163" t="s">
        <v>6</v>
      </c>
      <c r="M7" s="163" t="s">
        <v>6</v>
      </c>
      <c r="N7" s="163" t="s">
        <v>6</v>
      </c>
      <c r="O7" s="163" t="s">
        <v>6</v>
      </c>
      <c r="P7" s="163" t="s">
        <v>3</v>
      </c>
      <c r="Q7" s="123" t="s">
        <v>4</v>
      </c>
      <c r="R7" s="174" t="s">
        <v>2</v>
      </c>
      <c r="S7" s="187" t="s">
        <v>5</v>
      </c>
      <c r="T7" s="187" t="s">
        <v>5</v>
      </c>
      <c r="U7" s="187" t="s">
        <v>5</v>
      </c>
      <c r="V7" s="187" t="s">
        <v>5</v>
      </c>
      <c r="W7" s="123" t="s">
        <v>4</v>
      </c>
      <c r="X7" s="163" t="s">
        <v>3</v>
      </c>
      <c r="Y7" s="78" t="s">
        <v>6</v>
      </c>
      <c r="Z7" s="78" t="s">
        <v>6</v>
      </c>
      <c r="AA7" s="78" t="s">
        <v>6</v>
      </c>
      <c r="AB7" s="78" t="s">
        <v>6</v>
      </c>
      <c r="AC7" s="78" t="s">
        <v>6</v>
      </c>
      <c r="AD7" s="123" t="s">
        <v>4</v>
      </c>
      <c r="AE7" s="123" t="s">
        <v>4</v>
      </c>
      <c r="AF7" s="25" t="s">
        <v>6</v>
      </c>
      <c r="AG7" s="25" t="s">
        <v>6</v>
      </c>
      <c r="AH7" s="25" t="s">
        <v>6</v>
      </c>
      <c r="AI7" s="131" t="s">
        <v>5</v>
      </c>
      <c r="AJ7" s="131" t="s">
        <v>5</v>
      </c>
      <c r="AK7" s="19" t="s">
        <v>42</v>
      </c>
      <c r="AL7" s="131" t="s">
        <v>4</v>
      </c>
    </row>
    <row r="8" spans="1:38" ht="15" thickBot="1" x14ac:dyDescent="0.4">
      <c r="A8" s="182" t="s">
        <v>76</v>
      </c>
      <c r="B8" s="185" t="s">
        <v>11</v>
      </c>
      <c r="C8" s="123" t="s">
        <v>4</v>
      </c>
      <c r="D8" s="25" t="s">
        <v>6</v>
      </c>
      <c r="E8" s="174" t="s">
        <v>2</v>
      </c>
      <c r="F8" s="163" t="s">
        <v>6</v>
      </c>
      <c r="G8" s="163" t="s">
        <v>6</v>
      </c>
      <c r="H8" s="163" t="s">
        <v>6</v>
      </c>
      <c r="I8" s="22" t="s">
        <v>30</v>
      </c>
      <c r="J8" s="123" t="s">
        <v>4</v>
      </c>
      <c r="K8" s="163" t="s">
        <v>6</v>
      </c>
      <c r="L8" s="163" t="s">
        <v>6</v>
      </c>
      <c r="M8" s="163" t="s">
        <v>6</v>
      </c>
      <c r="N8" s="174" t="s">
        <v>2</v>
      </c>
      <c r="O8" s="163" t="s">
        <v>6</v>
      </c>
      <c r="P8" s="123" t="s">
        <v>4</v>
      </c>
      <c r="Q8" s="123" t="s">
        <v>4</v>
      </c>
      <c r="R8" s="192" t="s">
        <v>34</v>
      </c>
      <c r="S8" s="163" t="s">
        <v>6</v>
      </c>
      <c r="T8" s="174" t="s">
        <v>2</v>
      </c>
      <c r="U8" s="163" t="s">
        <v>6</v>
      </c>
      <c r="V8" s="163" t="s">
        <v>6</v>
      </c>
      <c r="W8" s="22" t="s">
        <v>30</v>
      </c>
      <c r="X8" s="123" t="s">
        <v>4</v>
      </c>
      <c r="Y8" s="78" t="s">
        <v>6</v>
      </c>
      <c r="Z8" s="78" t="s">
        <v>6</v>
      </c>
      <c r="AA8" s="78" t="s">
        <v>6</v>
      </c>
      <c r="AB8" s="78" t="s">
        <v>6</v>
      </c>
      <c r="AC8" s="78" t="s">
        <v>6</v>
      </c>
      <c r="AD8" s="78" t="s">
        <v>30</v>
      </c>
      <c r="AE8" s="123" t="s">
        <v>4</v>
      </c>
      <c r="AF8" s="184" t="s">
        <v>2</v>
      </c>
      <c r="AG8" s="25" t="s">
        <v>6</v>
      </c>
      <c r="AH8" s="25" t="s">
        <v>6</v>
      </c>
      <c r="AI8" s="19" t="s">
        <v>41</v>
      </c>
      <c r="AJ8" s="19" t="s">
        <v>41</v>
      </c>
      <c r="AK8" s="22" t="s">
        <v>30</v>
      </c>
      <c r="AL8" s="123" t="s">
        <v>4</v>
      </c>
    </row>
    <row r="9" spans="1:38" ht="15" thickBot="1" x14ac:dyDescent="0.4">
      <c r="A9" s="151"/>
      <c r="B9" s="151"/>
      <c r="C9" s="151"/>
      <c r="D9" s="151"/>
      <c r="AF9" s="70"/>
      <c r="AG9" s="70"/>
      <c r="AH9" s="70"/>
      <c r="AI9" s="70"/>
      <c r="AJ9" s="70"/>
      <c r="AK9" s="70"/>
      <c r="AL9" s="70"/>
    </row>
    <row r="10" spans="1:38" ht="15" thickBot="1" x14ac:dyDescent="0.4">
      <c r="A10" s="171" t="s">
        <v>9</v>
      </c>
      <c r="B10" s="112" t="s">
        <v>3</v>
      </c>
      <c r="C10" s="108" t="s">
        <v>4</v>
      </c>
      <c r="D10" s="174" t="s">
        <v>2</v>
      </c>
      <c r="E10" s="174" t="s">
        <v>2</v>
      </c>
      <c r="F10" s="174" t="s">
        <v>2</v>
      </c>
      <c r="G10" s="186" t="s">
        <v>41</v>
      </c>
      <c r="H10" s="186" t="s">
        <v>41</v>
      </c>
      <c r="I10" s="186" t="s">
        <v>42</v>
      </c>
      <c r="J10" s="123" t="s">
        <v>4</v>
      </c>
      <c r="K10" s="174" t="s">
        <v>2</v>
      </c>
      <c r="L10" s="187" t="s">
        <v>5</v>
      </c>
      <c r="M10" s="187" t="s">
        <v>5</v>
      </c>
      <c r="N10" s="187" t="s">
        <v>5</v>
      </c>
      <c r="O10" s="187" t="s">
        <v>5</v>
      </c>
      <c r="P10" s="186" t="s">
        <v>42</v>
      </c>
      <c r="Q10" s="186" t="s">
        <v>42</v>
      </c>
      <c r="R10" s="174" t="s">
        <v>2</v>
      </c>
      <c r="S10" s="187" t="s">
        <v>5</v>
      </c>
      <c r="T10" s="187" t="s">
        <v>5</v>
      </c>
      <c r="U10" s="187" t="s">
        <v>5</v>
      </c>
      <c r="V10" s="187" t="s">
        <v>5</v>
      </c>
      <c r="W10" s="186" t="s">
        <v>42</v>
      </c>
      <c r="X10" s="186" t="s">
        <v>42</v>
      </c>
      <c r="Y10" s="174" t="s">
        <v>2</v>
      </c>
      <c r="Z10" s="187" t="s">
        <v>5</v>
      </c>
      <c r="AA10" s="187" t="s">
        <v>5</v>
      </c>
      <c r="AB10" s="187" t="s">
        <v>5</v>
      </c>
      <c r="AC10" s="22" t="s">
        <v>16</v>
      </c>
      <c r="AD10" s="186" t="s">
        <v>42</v>
      </c>
      <c r="AE10" s="186" t="s">
        <v>42</v>
      </c>
      <c r="AF10" s="184" t="s">
        <v>2</v>
      </c>
      <c r="AG10" s="184" t="s">
        <v>2</v>
      </c>
      <c r="AH10" s="22" t="s">
        <v>16</v>
      </c>
      <c r="AI10" s="185" t="s">
        <v>10</v>
      </c>
      <c r="AJ10" s="185" t="s">
        <v>10</v>
      </c>
      <c r="AK10" s="185" t="s">
        <v>11</v>
      </c>
      <c r="AL10" s="185" t="s">
        <v>11</v>
      </c>
    </row>
    <row r="11" spans="1:38" ht="15" thickBot="1" x14ac:dyDescent="0.4">
      <c r="A11" s="175" t="s">
        <v>15</v>
      </c>
      <c r="B11" s="110" t="s">
        <v>4</v>
      </c>
      <c r="C11" s="129" t="s">
        <v>42</v>
      </c>
      <c r="D11" s="186" t="s">
        <v>41</v>
      </c>
      <c r="E11" s="186" t="s">
        <v>41</v>
      </c>
      <c r="F11" s="186" t="s">
        <v>41</v>
      </c>
      <c r="G11" s="186" t="s">
        <v>41</v>
      </c>
      <c r="H11" s="174" t="s">
        <v>2</v>
      </c>
      <c r="I11" s="123" t="s">
        <v>4</v>
      </c>
      <c r="J11" s="186" t="s">
        <v>42</v>
      </c>
      <c r="K11" s="186" t="s">
        <v>41</v>
      </c>
      <c r="L11" s="186" t="s">
        <v>41</v>
      </c>
      <c r="M11" s="186" t="s">
        <v>41</v>
      </c>
      <c r="N11" s="186" t="s">
        <v>41</v>
      </c>
      <c r="O11" s="186" t="s">
        <v>41</v>
      </c>
      <c r="P11" s="123" t="s">
        <v>4</v>
      </c>
      <c r="Q11" s="123" t="s">
        <v>4</v>
      </c>
      <c r="R11" s="186" t="s">
        <v>41</v>
      </c>
      <c r="S11" s="186" t="s">
        <v>41</v>
      </c>
      <c r="T11" s="186" t="s">
        <v>41</v>
      </c>
      <c r="U11" s="186" t="s">
        <v>41</v>
      </c>
      <c r="V11" s="186" t="s">
        <v>41</v>
      </c>
      <c r="W11" s="123" t="s">
        <v>4</v>
      </c>
      <c r="X11" s="123" t="s">
        <v>4</v>
      </c>
      <c r="Y11" s="186" t="s">
        <v>41</v>
      </c>
      <c r="Z11" s="186" t="s">
        <v>41</v>
      </c>
      <c r="AA11" s="186" t="s">
        <v>41</v>
      </c>
      <c r="AB11" s="186" t="s">
        <v>41</v>
      </c>
      <c r="AC11" s="186" t="s">
        <v>41</v>
      </c>
      <c r="AD11" s="123" t="s">
        <v>4</v>
      </c>
      <c r="AE11" s="123" t="s">
        <v>4</v>
      </c>
      <c r="AF11" s="19" t="s">
        <v>41</v>
      </c>
      <c r="AG11" s="19" t="s">
        <v>41</v>
      </c>
      <c r="AH11" s="19" t="s">
        <v>41</v>
      </c>
      <c r="AI11" s="22" t="s">
        <v>16</v>
      </c>
      <c r="AJ11" s="184" t="s">
        <v>2</v>
      </c>
      <c r="AK11" s="123" t="s">
        <v>4</v>
      </c>
      <c r="AL11" s="123" t="s">
        <v>4</v>
      </c>
    </row>
    <row r="12" spans="1:38" ht="15" thickBot="1" x14ac:dyDescent="0.4">
      <c r="A12" s="179" t="s">
        <v>21</v>
      </c>
      <c r="B12" s="78" t="s">
        <v>30</v>
      </c>
      <c r="C12" s="129" t="s">
        <v>42</v>
      </c>
      <c r="D12" s="163" t="s">
        <v>6</v>
      </c>
      <c r="E12" s="186" t="s">
        <v>41</v>
      </c>
      <c r="F12" s="174" t="s">
        <v>34</v>
      </c>
      <c r="G12" s="174" t="s">
        <v>34</v>
      </c>
      <c r="H12" s="174" t="s">
        <v>2</v>
      </c>
      <c r="I12" s="186" t="s">
        <v>42</v>
      </c>
      <c r="J12" s="186" t="s">
        <v>42</v>
      </c>
      <c r="K12" s="186" t="s">
        <v>41</v>
      </c>
      <c r="L12" s="186" t="s">
        <v>41</v>
      </c>
      <c r="M12" s="186" t="s">
        <v>41</v>
      </c>
      <c r="N12" s="186" t="s">
        <v>41</v>
      </c>
      <c r="O12" s="186" t="s">
        <v>41</v>
      </c>
      <c r="P12" s="22" t="s">
        <v>30</v>
      </c>
      <c r="Q12" s="186" t="s">
        <v>42</v>
      </c>
      <c r="R12" s="186" t="s">
        <v>41</v>
      </c>
      <c r="S12" s="186" t="s">
        <v>41</v>
      </c>
      <c r="T12" s="174" t="s">
        <v>2</v>
      </c>
      <c r="U12" s="186" t="s">
        <v>41</v>
      </c>
      <c r="V12" s="186" t="s">
        <v>41</v>
      </c>
      <c r="W12" s="123" t="s">
        <v>4</v>
      </c>
      <c r="X12" s="123" t="s">
        <v>4</v>
      </c>
      <c r="Y12" s="186" t="s">
        <v>41</v>
      </c>
      <c r="Z12" s="186" t="s">
        <v>41</v>
      </c>
      <c r="AA12" s="174" t="s">
        <v>2</v>
      </c>
      <c r="AB12" s="78" t="s">
        <v>41</v>
      </c>
      <c r="AC12" s="78" t="s">
        <v>41</v>
      </c>
      <c r="AD12" s="78" t="s">
        <v>42</v>
      </c>
      <c r="AE12" s="123" t="s">
        <v>4</v>
      </c>
      <c r="AF12" s="131" t="s">
        <v>5</v>
      </c>
      <c r="AG12" s="131" t="s">
        <v>5</v>
      </c>
      <c r="AH12" s="131" t="s">
        <v>5</v>
      </c>
      <c r="AI12" s="185" t="s">
        <v>10</v>
      </c>
      <c r="AJ12" s="185" t="s">
        <v>10</v>
      </c>
      <c r="AK12" s="185" t="s">
        <v>11</v>
      </c>
      <c r="AL12" s="123" t="s">
        <v>4</v>
      </c>
    </row>
    <row r="13" spans="1:38" ht="15" thickBot="1" x14ac:dyDescent="0.4">
      <c r="A13" s="182" t="s">
        <v>22</v>
      </c>
      <c r="B13" s="25" t="s">
        <v>3</v>
      </c>
      <c r="C13" s="123" t="s">
        <v>4</v>
      </c>
      <c r="D13" s="78" t="s">
        <v>41</v>
      </c>
      <c r="E13" s="186" t="s">
        <v>41</v>
      </c>
      <c r="F13" s="186" t="s">
        <v>41</v>
      </c>
      <c r="G13" s="186" t="s">
        <v>41</v>
      </c>
      <c r="H13" s="186" t="s">
        <v>41</v>
      </c>
      <c r="I13" s="123" t="s">
        <v>4</v>
      </c>
      <c r="J13" s="123" t="s">
        <v>4</v>
      </c>
      <c r="K13" s="187" t="s">
        <v>5</v>
      </c>
      <c r="L13" s="186" t="s">
        <v>41</v>
      </c>
      <c r="M13" s="186" t="s">
        <v>41</v>
      </c>
      <c r="N13" s="186" t="s">
        <v>41</v>
      </c>
      <c r="O13" s="186" t="s">
        <v>41</v>
      </c>
      <c r="P13" s="186" t="s">
        <v>42</v>
      </c>
      <c r="Q13" s="123" t="s">
        <v>4</v>
      </c>
      <c r="R13" s="174" t="s">
        <v>2</v>
      </c>
      <c r="S13" s="186" t="s">
        <v>41</v>
      </c>
      <c r="T13" s="186" t="s">
        <v>41</v>
      </c>
      <c r="U13" s="186" t="s">
        <v>41</v>
      </c>
      <c r="V13" s="186" t="s">
        <v>41</v>
      </c>
      <c r="W13" s="186" t="s">
        <v>42</v>
      </c>
      <c r="X13" s="186" t="s">
        <v>42</v>
      </c>
      <c r="Y13" s="174" t="s">
        <v>2</v>
      </c>
      <c r="Z13" s="186" t="s">
        <v>41</v>
      </c>
      <c r="AA13" s="186" t="s">
        <v>41</v>
      </c>
      <c r="AB13" s="186" t="s">
        <v>41</v>
      </c>
      <c r="AC13" s="186" t="s">
        <v>41</v>
      </c>
      <c r="AD13" s="123" t="s">
        <v>4</v>
      </c>
      <c r="AE13" s="186" t="s">
        <v>42</v>
      </c>
      <c r="AF13" s="19" t="s">
        <v>41</v>
      </c>
      <c r="AG13" s="19" t="s">
        <v>41</v>
      </c>
      <c r="AH13" s="184" t="s">
        <v>2</v>
      </c>
      <c r="AI13" s="185" t="s">
        <v>10</v>
      </c>
      <c r="AJ13" s="185" t="s">
        <v>10</v>
      </c>
      <c r="AK13" s="123" t="s">
        <v>4</v>
      </c>
      <c r="AL13" s="185" t="s">
        <v>11</v>
      </c>
    </row>
    <row r="14" spans="1:38" ht="15" thickBot="1" x14ac:dyDescent="0.4">
      <c r="A14" s="182" t="s">
        <v>155</v>
      </c>
      <c r="B14" s="123" t="s">
        <v>4</v>
      </c>
      <c r="C14" s="123" t="s">
        <v>4</v>
      </c>
      <c r="D14" s="184" t="s">
        <v>2</v>
      </c>
      <c r="E14" s="19" t="s">
        <v>41</v>
      </c>
      <c r="F14" s="19" t="s">
        <v>41</v>
      </c>
      <c r="G14" s="19" t="s">
        <v>41</v>
      </c>
      <c r="H14" s="19" t="s">
        <v>41</v>
      </c>
      <c r="I14" s="123" t="s">
        <v>4</v>
      </c>
      <c r="J14" s="123" t="s">
        <v>4</v>
      </c>
      <c r="K14" s="19" t="s">
        <v>41</v>
      </c>
      <c r="L14" s="19" t="s">
        <v>41</v>
      </c>
      <c r="M14" s="174" t="s">
        <v>2</v>
      </c>
      <c r="N14" s="19" t="s">
        <v>41</v>
      </c>
      <c r="O14" s="19" t="s">
        <v>41</v>
      </c>
      <c r="P14" s="123" t="s">
        <v>4</v>
      </c>
      <c r="Q14" s="123" t="s">
        <v>4</v>
      </c>
      <c r="R14" s="19" t="s">
        <v>41</v>
      </c>
      <c r="S14" s="19" t="s">
        <v>41</v>
      </c>
      <c r="T14" s="186" t="s">
        <v>41</v>
      </c>
      <c r="U14" s="186" t="s">
        <v>41</v>
      </c>
      <c r="V14" s="19" t="s">
        <v>41</v>
      </c>
      <c r="W14" s="123" t="s">
        <v>4</v>
      </c>
      <c r="X14" s="123" t="s">
        <v>4</v>
      </c>
      <c r="Y14" s="19" t="s">
        <v>41</v>
      </c>
      <c r="Z14" s="19" t="s">
        <v>41</v>
      </c>
      <c r="AA14" s="186" t="s">
        <v>41</v>
      </c>
      <c r="AB14" s="19" t="s">
        <v>41</v>
      </c>
      <c r="AC14" s="19" t="s">
        <v>41</v>
      </c>
      <c r="AD14" s="123" t="s">
        <v>4</v>
      </c>
      <c r="AE14" s="123" t="s">
        <v>4</v>
      </c>
      <c r="AF14" s="19" t="s">
        <v>41</v>
      </c>
      <c r="AG14" s="19" t="s">
        <v>41</v>
      </c>
      <c r="AH14" s="19" t="s">
        <v>41</v>
      </c>
      <c r="AI14" s="22" t="s">
        <v>16</v>
      </c>
      <c r="AJ14" s="22" t="s">
        <v>16</v>
      </c>
      <c r="AK14" s="185" t="s">
        <v>11</v>
      </c>
      <c r="AL14" s="123" t="s">
        <v>4</v>
      </c>
    </row>
    <row r="15" spans="1:38" ht="15" thickBot="1" x14ac:dyDescent="0.4">
      <c r="A15" s="151"/>
      <c r="B15" s="151"/>
      <c r="C15" s="151"/>
      <c r="D15" s="151"/>
      <c r="AF15" s="70"/>
      <c r="AG15" s="70"/>
      <c r="AH15" s="70"/>
      <c r="AI15" s="70"/>
      <c r="AJ15" s="70"/>
      <c r="AK15" s="70"/>
      <c r="AL15" s="70"/>
    </row>
    <row r="16" spans="1:38" ht="15" thickBot="1" x14ac:dyDescent="0.4">
      <c r="A16" s="171" t="s">
        <v>1</v>
      </c>
      <c r="B16" s="127" t="s">
        <v>42</v>
      </c>
      <c r="C16" s="120" t="s">
        <v>4</v>
      </c>
      <c r="D16" s="187" t="s">
        <v>5</v>
      </c>
      <c r="E16" s="188" t="s">
        <v>10</v>
      </c>
      <c r="F16" s="188" t="s">
        <v>10</v>
      </c>
      <c r="G16" s="188" t="s">
        <v>10</v>
      </c>
      <c r="H16" s="188" t="s">
        <v>10</v>
      </c>
      <c r="I16" s="188" t="s">
        <v>11</v>
      </c>
      <c r="J16" s="123" t="s">
        <v>4</v>
      </c>
      <c r="K16" s="188" t="s">
        <v>10</v>
      </c>
      <c r="L16" s="187" t="s">
        <v>5</v>
      </c>
      <c r="M16" s="187" t="s">
        <v>5</v>
      </c>
      <c r="N16" s="188" t="s">
        <v>10</v>
      </c>
      <c r="O16" s="188" t="s">
        <v>10</v>
      </c>
      <c r="P16" s="188" t="s">
        <v>11</v>
      </c>
      <c r="Q16" s="188" t="s">
        <v>11</v>
      </c>
      <c r="R16" s="188" t="s">
        <v>10</v>
      </c>
      <c r="S16" s="188" t="s">
        <v>10</v>
      </c>
      <c r="T16" s="187" t="s">
        <v>5</v>
      </c>
      <c r="U16" s="187" t="s">
        <v>5</v>
      </c>
      <c r="V16" s="188" t="s">
        <v>10</v>
      </c>
      <c r="W16" s="188" t="s">
        <v>11</v>
      </c>
      <c r="X16" s="188" t="s">
        <v>11</v>
      </c>
      <c r="Y16" s="188" t="s">
        <v>10</v>
      </c>
      <c r="Z16" s="188" t="s">
        <v>10</v>
      </c>
      <c r="AA16" s="187" t="s">
        <v>5</v>
      </c>
      <c r="AB16" s="187" t="s">
        <v>5</v>
      </c>
      <c r="AC16" s="188" t="s">
        <v>10</v>
      </c>
      <c r="AD16" s="188" t="s">
        <v>11</v>
      </c>
      <c r="AE16" s="188" t="s">
        <v>11</v>
      </c>
      <c r="AF16" s="185" t="s">
        <v>10</v>
      </c>
      <c r="AG16" s="185" t="s">
        <v>10</v>
      </c>
      <c r="AH16" s="185" t="s">
        <v>10</v>
      </c>
      <c r="AI16" s="184" t="s">
        <v>2</v>
      </c>
      <c r="AJ16" s="184" t="s">
        <v>2</v>
      </c>
      <c r="AK16" s="25" t="s">
        <v>3</v>
      </c>
      <c r="AL16" s="123" t="s">
        <v>4</v>
      </c>
    </row>
    <row r="17" spans="1:38" ht="15" thickBot="1" x14ac:dyDescent="0.4">
      <c r="A17" s="175" t="s">
        <v>43</v>
      </c>
      <c r="B17" s="110" t="s">
        <v>4</v>
      </c>
      <c r="C17" s="177" t="s">
        <v>11</v>
      </c>
      <c r="D17" s="188" t="s">
        <v>10</v>
      </c>
      <c r="E17" s="188" t="s">
        <v>10</v>
      </c>
      <c r="F17" s="174" t="s">
        <v>2</v>
      </c>
      <c r="G17" s="174" t="s">
        <v>2</v>
      </c>
      <c r="H17" s="188" t="s">
        <v>10</v>
      </c>
      <c r="I17" s="123" t="s">
        <v>4</v>
      </c>
      <c r="J17" s="188" t="s">
        <v>11</v>
      </c>
      <c r="K17" s="174" t="s">
        <v>2</v>
      </c>
      <c r="L17" s="188" t="s">
        <v>10</v>
      </c>
      <c r="M17" s="188" t="s">
        <v>10</v>
      </c>
      <c r="N17" s="188" t="s">
        <v>10</v>
      </c>
      <c r="O17" s="188" t="s">
        <v>10</v>
      </c>
      <c r="P17" s="188" t="s">
        <v>11</v>
      </c>
      <c r="Q17" s="188" t="s">
        <v>11</v>
      </c>
      <c r="R17" s="188" t="s">
        <v>10</v>
      </c>
      <c r="S17" s="188" t="s">
        <v>10</v>
      </c>
      <c r="T17" s="188" t="s">
        <v>10</v>
      </c>
      <c r="U17" s="188" t="s">
        <v>10</v>
      </c>
      <c r="V17" s="174" t="s">
        <v>2</v>
      </c>
      <c r="W17" s="123" t="s">
        <v>4</v>
      </c>
      <c r="X17" s="188" t="s">
        <v>11</v>
      </c>
      <c r="Y17" s="174" t="s">
        <v>2</v>
      </c>
      <c r="Z17" s="188" t="s">
        <v>10</v>
      </c>
      <c r="AA17" s="188" t="s">
        <v>10</v>
      </c>
      <c r="AB17" s="188" t="s">
        <v>10</v>
      </c>
      <c r="AC17" s="188" t="s">
        <v>10</v>
      </c>
      <c r="AD17" s="188" t="s">
        <v>11</v>
      </c>
      <c r="AE17" s="188" t="s">
        <v>11</v>
      </c>
      <c r="AF17" s="184" t="s">
        <v>2</v>
      </c>
      <c r="AG17" s="22" t="s">
        <v>16</v>
      </c>
      <c r="AH17" s="19" t="s">
        <v>41</v>
      </c>
      <c r="AI17" s="25" t="s">
        <v>6</v>
      </c>
      <c r="AJ17" s="25" t="s">
        <v>6</v>
      </c>
      <c r="AK17" s="123" t="s">
        <v>4</v>
      </c>
      <c r="AL17" s="25" t="s">
        <v>3</v>
      </c>
    </row>
    <row r="18" spans="1:38" ht="15" thickBot="1" x14ac:dyDescent="0.4">
      <c r="A18" s="182" t="s">
        <v>74</v>
      </c>
      <c r="B18" s="19" t="s">
        <v>42</v>
      </c>
      <c r="C18" s="185" t="s">
        <v>11</v>
      </c>
      <c r="D18" s="185" t="s">
        <v>10</v>
      </c>
      <c r="E18" s="174" t="s">
        <v>2</v>
      </c>
      <c r="F18" s="174" t="s">
        <v>2</v>
      </c>
      <c r="G18" s="185" t="s">
        <v>10</v>
      </c>
      <c r="H18" s="185" t="s">
        <v>10</v>
      </c>
      <c r="I18" s="188" t="s">
        <v>11</v>
      </c>
      <c r="J18" s="188" t="s">
        <v>11</v>
      </c>
      <c r="K18" s="185" t="s">
        <v>10</v>
      </c>
      <c r="L18" s="185" t="s">
        <v>10</v>
      </c>
      <c r="M18" s="185" t="s">
        <v>10</v>
      </c>
      <c r="N18" s="185" t="s">
        <v>10</v>
      </c>
      <c r="O18" s="185" t="s">
        <v>10</v>
      </c>
      <c r="P18" s="123" t="s">
        <v>4</v>
      </c>
      <c r="Q18" s="123" t="s">
        <v>4</v>
      </c>
      <c r="R18" s="188" t="s">
        <v>10</v>
      </c>
      <c r="S18" s="174" t="s">
        <v>2</v>
      </c>
      <c r="T18" s="188" t="s">
        <v>10</v>
      </c>
      <c r="U18" s="188" t="s">
        <v>10</v>
      </c>
      <c r="V18" s="188" t="s">
        <v>10</v>
      </c>
      <c r="W18" s="123" t="s">
        <v>4</v>
      </c>
      <c r="X18" s="123" t="s">
        <v>4</v>
      </c>
      <c r="Y18" s="188" t="s">
        <v>10</v>
      </c>
      <c r="Z18" s="174" t="s">
        <v>2</v>
      </c>
      <c r="AA18" s="188" t="s">
        <v>10</v>
      </c>
      <c r="AB18" s="188" t="s">
        <v>10</v>
      </c>
      <c r="AC18" s="188" t="s">
        <v>10</v>
      </c>
      <c r="AD18" s="123" t="s">
        <v>4</v>
      </c>
      <c r="AE18" s="123" t="s">
        <v>4</v>
      </c>
      <c r="AF18" s="185" t="s">
        <v>10</v>
      </c>
      <c r="AG18" s="185" t="s">
        <v>10</v>
      </c>
      <c r="AH18" s="185" t="s">
        <v>10</v>
      </c>
      <c r="AI18" s="184" t="s">
        <v>2</v>
      </c>
      <c r="AJ18" s="25" t="s">
        <v>6</v>
      </c>
      <c r="AK18" s="25" t="s">
        <v>3</v>
      </c>
      <c r="AL18" s="123" t="s">
        <v>4</v>
      </c>
    </row>
    <row r="19" spans="1:38" ht="15" thickBot="1" x14ac:dyDescent="0.4">
      <c r="A19" s="182" t="s">
        <v>62</v>
      </c>
      <c r="B19" s="123" t="s">
        <v>4</v>
      </c>
      <c r="C19" s="185" t="s">
        <v>11</v>
      </c>
      <c r="D19" s="185" t="s">
        <v>10</v>
      </c>
      <c r="E19" s="188" t="s">
        <v>10</v>
      </c>
      <c r="F19" s="188" t="s">
        <v>10</v>
      </c>
      <c r="G19" s="188" t="s">
        <v>10</v>
      </c>
      <c r="H19" s="174" t="s">
        <v>2</v>
      </c>
      <c r="I19" s="123" t="s">
        <v>4</v>
      </c>
      <c r="J19" s="188" t="s">
        <v>11</v>
      </c>
      <c r="K19" s="188" t="s">
        <v>10</v>
      </c>
      <c r="L19" s="188" t="s">
        <v>10</v>
      </c>
      <c r="M19" s="187" t="s">
        <v>5</v>
      </c>
      <c r="N19" s="187" t="s">
        <v>5</v>
      </c>
      <c r="O19" s="187" t="s">
        <v>5</v>
      </c>
      <c r="P19" s="187" t="s">
        <v>5</v>
      </c>
      <c r="Q19" s="187" t="s">
        <v>5</v>
      </c>
      <c r="R19" s="187" t="s">
        <v>5</v>
      </c>
      <c r="S19" s="187" t="s">
        <v>5</v>
      </c>
      <c r="T19" s="187" t="s">
        <v>5</v>
      </c>
      <c r="U19" s="187" t="s">
        <v>5</v>
      </c>
      <c r="V19" s="188" t="s">
        <v>10</v>
      </c>
      <c r="W19" s="188" t="s">
        <v>11</v>
      </c>
      <c r="X19" s="123" t="s">
        <v>4</v>
      </c>
      <c r="Y19" s="188" t="s">
        <v>10</v>
      </c>
      <c r="Z19" s="188" t="s">
        <v>10</v>
      </c>
      <c r="AA19" s="188" t="s">
        <v>10</v>
      </c>
      <c r="AB19" s="188" t="s">
        <v>10</v>
      </c>
      <c r="AC19" s="174" t="s">
        <v>2</v>
      </c>
      <c r="AD19" s="123" t="s">
        <v>4</v>
      </c>
      <c r="AE19" s="123" t="s">
        <v>4</v>
      </c>
      <c r="AF19" s="185" t="s">
        <v>10</v>
      </c>
      <c r="AG19" s="184" t="s">
        <v>2</v>
      </c>
      <c r="AH19" s="184" t="s">
        <v>2</v>
      </c>
      <c r="AI19" s="25" t="s">
        <v>6</v>
      </c>
      <c r="AJ19" s="25" t="s">
        <v>6</v>
      </c>
      <c r="AK19" s="123" t="s">
        <v>4</v>
      </c>
      <c r="AL19" s="25" t="s">
        <v>3</v>
      </c>
    </row>
    <row r="20" spans="1:38" ht="15" thickBot="1" x14ac:dyDescent="0.4">
      <c r="A20" s="182" t="s">
        <v>171</v>
      </c>
      <c r="B20" s="123" t="s">
        <v>4</v>
      </c>
      <c r="C20" s="123" t="s">
        <v>4</v>
      </c>
      <c r="D20" s="22" t="s">
        <v>16</v>
      </c>
      <c r="E20" s="22" t="s">
        <v>16</v>
      </c>
      <c r="F20" s="188" t="s">
        <v>10</v>
      </c>
      <c r="G20" s="188" t="s">
        <v>10</v>
      </c>
      <c r="H20" s="188" t="s">
        <v>10</v>
      </c>
      <c r="I20" s="188" t="s">
        <v>11</v>
      </c>
      <c r="J20" s="123" t="s">
        <v>4</v>
      </c>
      <c r="K20" s="174" t="s">
        <v>2</v>
      </c>
      <c r="L20" s="188" t="s">
        <v>10</v>
      </c>
      <c r="M20" s="188" t="s">
        <v>10</v>
      </c>
      <c r="N20" s="188" t="s">
        <v>10</v>
      </c>
      <c r="O20" s="187" t="s">
        <v>5</v>
      </c>
      <c r="P20" s="123" t="s">
        <v>4</v>
      </c>
      <c r="Q20" s="123" t="s">
        <v>4</v>
      </c>
      <c r="R20" s="187" t="s">
        <v>5</v>
      </c>
      <c r="S20" s="188" t="s">
        <v>10</v>
      </c>
      <c r="T20" s="188" t="s">
        <v>10</v>
      </c>
      <c r="U20" s="188" t="s">
        <v>10</v>
      </c>
      <c r="V20" s="188" t="s">
        <v>10</v>
      </c>
      <c r="W20" s="188" t="s">
        <v>11</v>
      </c>
      <c r="X20" s="123" t="s">
        <v>4</v>
      </c>
      <c r="Y20" s="174" t="s">
        <v>2</v>
      </c>
      <c r="Z20" s="22" t="s">
        <v>16</v>
      </c>
      <c r="AA20" s="22" t="s">
        <v>16</v>
      </c>
      <c r="AB20" s="22" t="s">
        <v>16</v>
      </c>
      <c r="AC20" s="188" t="s">
        <v>10</v>
      </c>
      <c r="AD20" s="188" t="s">
        <v>11</v>
      </c>
      <c r="AE20" s="123" t="s">
        <v>4</v>
      </c>
      <c r="AF20" s="22" t="s">
        <v>16</v>
      </c>
      <c r="AG20" s="185" t="s">
        <v>10</v>
      </c>
      <c r="AH20" s="184" t="s">
        <v>2</v>
      </c>
      <c r="AI20" s="25" t="s">
        <v>6</v>
      </c>
      <c r="AJ20" s="25" t="s">
        <v>6</v>
      </c>
      <c r="AK20" s="123" t="s">
        <v>4</v>
      </c>
      <c r="AL20" s="123" t="s">
        <v>4</v>
      </c>
    </row>
    <row r="22" spans="1:38" x14ac:dyDescent="0.35">
      <c r="A22" s="189" t="s">
        <v>156</v>
      </c>
      <c r="B22">
        <f>COUNTIF(B4:B20,"*MS")</f>
        <v>2</v>
      </c>
      <c r="C22">
        <f>COUNTIF(C4:C20,"*MS")</f>
        <v>2</v>
      </c>
      <c r="D22">
        <f>COUNTIF(D4:D20,"*MS")</f>
        <v>3</v>
      </c>
      <c r="E22">
        <f>COUNTIF(E4:E20,"*MS")</f>
        <v>4</v>
      </c>
      <c r="F22">
        <f t="shared" ref="F22:AL22" si="2">COUNTIF(F4:F20,"*MS")</f>
        <v>4</v>
      </c>
      <c r="G22">
        <f t="shared" si="2"/>
        <v>4</v>
      </c>
      <c r="H22">
        <f t="shared" si="2"/>
        <v>3</v>
      </c>
      <c r="I22">
        <f t="shared" si="2"/>
        <v>2</v>
      </c>
      <c r="J22">
        <f t="shared" si="2"/>
        <v>2</v>
      </c>
      <c r="K22">
        <f t="shared" si="2"/>
        <v>3</v>
      </c>
      <c r="L22">
        <f t="shared" si="2"/>
        <v>3</v>
      </c>
      <c r="M22">
        <f t="shared" si="2"/>
        <v>4</v>
      </c>
      <c r="N22">
        <f t="shared" si="2"/>
        <v>3</v>
      </c>
      <c r="O22">
        <f t="shared" si="2"/>
        <v>4</v>
      </c>
      <c r="P22">
        <f t="shared" si="2"/>
        <v>2</v>
      </c>
      <c r="Q22">
        <f t="shared" si="2"/>
        <v>2</v>
      </c>
      <c r="R22">
        <f t="shared" si="2"/>
        <v>2</v>
      </c>
      <c r="S22">
        <f t="shared" si="2"/>
        <v>3</v>
      </c>
      <c r="T22">
        <f t="shared" si="2"/>
        <v>3</v>
      </c>
      <c r="U22">
        <f t="shared" si="2"/>
        <v>3</v>
      </c>
      <c r="V22">
        <f t="shared" si="2"/>
        <v>3</v>
      </c>
      <c r="W22">
        <f>COUNTIF(W4:W20,"*MS")</f>
        <v>2</v>
      </c>
      <c r="X22">
        <f>COUNTIF(X4:X20,"*MS")</f>
        <v>2</v>
      </c>
      <c r="Y22">
        <f>COUNTIF(Y5:Y20,"*MS")</f>
        <v>3</v>
      </c>
      <c r="Z22">
        <f>COUNTIF(Z5:Z20,"*MS")</f>
        <v>3</v>
      </c>
      <c r="AA22">
        <f>COUNTIF(AA5:AA20,"*MS")</f>
        <v>3</v>
      </c>
      <c r="AB22">
        <f>COUNTIF(AB5:AB20,"*MS")</f>
        <v>3</v>
      </c>
      <c r="AC22">
        <f>COUNTIF(AC5:AC20,"*MS")</f>
        <v>3</v>
      </c>
      <c r="AD22">
        <f>COUNTIF(AD4:AD20,"*MS")</f>
        <v>2</v>
      </c>
      <c r="AE22">
        <f t="shared" si="2"/>
        <v>2</v>
      </c>
      <c r="AF22">
        <f t="shared" si="2"/>
        <v>3</v>
      </c>
      <c r="AG22">
        <f t="shared" si="2"/>
        <v>5</v>
      </c>
      <c r="AH22">
        <f t="shared" si="2"/>
        <v>4</v>
      </c>
      <c r="AI22">
        <f t="shared" si="2"/>
        <v>3</v>
      </c>
      <c r="AJ22">
        <f t="shared" si="2"/>
        <v>4</v>
      </c>
      <c r="AK22">
        <f t="shared" si="2"/>
        <v>2</v>
      </c>
      <c r="AL22">
        <f t="shared" si="2"/>
        <v>2</v>
      </c>
    </row>
    <row r="23" spans="1:38" x14ac:dyDescent="0.35">
      <c r="A23" s="189" t="s">
        <v>157</v>
      </c>
      <c r="B23">
        <f>COUNTIF(B4:B20,"*ASS1")</f>
        <v>2</v>
      </c>
      <c r="C23">
        <f>COUNTIF(C4:C20,"*ASS1")</f>
        <v>2</v>
      </c>
      <c r="D23">
        <f>COUNTIF(D4:D20,"*ASS1")</f>
        <v>3</v>
      </c>
      <c r="E23">
        <f>COUNTIF(E4:E20,"*ASS1")</f>
        <v>4</v>
      </c>
      <c r="F23">
        <f t="shared" ref="F23:AL23" si="3">COUNTIF(F4:F20,"*ASS1")</f>
        <v>3</v>
      </c>
      <c r="G23">
        <f t="shared" si="3"/>
        <v>4</v>
      </c>
      <c r="H23">
        <f t="shared" si="3"/>
        <v>3</v>
      </c>
      <c r="I23">
        <f t="shared" si="3"/>
        <v>2</v>
      </c>
      <c r="J23">
        <f t="shared" si="3"/>
        <v>2</v>
      </c>
      <c r="K23">
        <f t="shared" si="3"/>
        <v>3</v>
      </c>
      <c r="L23">
        <f t="shared" si="3"/>
        <v>4</v>
      </c>
      <c r="M23">
        <f t="shared" si="3"/>
        <v>3</v>
      </c>
      <c r="N23">
        <f t="shared" si="3"/>
        <v>4</v>
      </c>
      <c r="O23">
        <f t="shared" si="3"/>
        <v>4</v>
      </c>
      <c r="P23">
        <f t="shared" si="3"/>
        <v>2</v>
      </c>
      <c r="Q23">
        <f t="shared" si="3"/>
        <v>2</v>
      </c>
      <c r="R23">
        <f t="shared" si="3"/>
        <v>3</v>
      </c>
      <c r="S23">
        <f t="shared" si="3"/>
        <v>4</v>
      </c>
      <c r="T23">
        <f t="shared" si="3"/>
        <v>3</v>
      </c>
      <c r="U23">
        <f t="shared" si="3"/>
        <v>4</v>
      </c>
      <c r="V23">
        <f t="shared" si="3"/>
        <v>4</v>
      </c>
      <c r="W23">
        <f>COUNTIF(W4:W20,"*ASS1")</f>
        <v>2</v>
      </c>
      <c r="X23">
        <f>COUNTIF(X4:X20,"*ASS1")</f>
        <v>2</v>
      </c>
      <c r="Y23">
        <f>COUNTIF(Y5:Y20,"*ASS1")</f>
        <v>3</v>
      </c>
      <c r="Z23">
        <f>COUNTIF(Z5:Z20,"*ASS1")</f>
        <v>4</v>
      </c>
      <c r="AA23">
        <f>COUNTIF(AA5:AA20,"*ASS1")</f>
        <v>3</v>
      </c>
      <c r="AB23">
        <f>COUNTIF(AB5:AB20,"*ASS1")</f>
        <v>4</v>
      </c>
      <c r="AC23">
        <f>COUNTIF(AC5:AC20,"*ASS1")</f>
        <v>4</v>
      </c>
      <c r="AD23">
        <f>COUNTIF(AD4:AD20,"*ASS1")</f>
        <v>2</v>
      </c>
      <c r="AE23">
        <f t="shared" si="3"/>
        <v>2</v>
      </c>
      <c r="AF23">
        <f t="shared" si="3"/>
        <v>3</v>
      </c>
      <c r="AG23">
        <f t="shared" si="3"/>
        <v>3</v>
      </c>
      <c r="AH23">
        <f t="shared" si="3"/>
        <v>3</v>
      </c>
      <c r="AI23">
        <f t="shared" si="3"/>
        <v>3</v>
      </c>
      <c r="AJ23">
        <f t="shared" si="3"/>
        <v>3</v>
      </c>
      <c r="AK23">
        <f t="shared" si="3"/>
        <v>2</v>
      </c>
      <c r="AL23">
        <f t="shared" si="3"/>
        <v>2</v>
      </c>
    </row>
    <row r="24" spans="1:38" x14ac:dyDescent="0.35">
      <c r="A24" s="189" t="s">
        <v>158</v>
      </c>
      <c r="B24">
        <f>COUNTIF(B4:B20,"*NST7")</f>
        <v>3</v>
      </c>
      <c r="C24">
        <f>COUNTIF(C4:C20,"*NST7")</f>
        <v>3</v>
      </c>
      <c r="D24">
        <f>COUNTIF(D4:D20,"*NST7")</f>
        <v>3</v>
      </c>
      <c r="E24">
        <f>COUNTIF(E4:E20,"*NST7")</f>
        <v>3</v>
      </c>
      <c r="F24">
        <f t="shared" ref="F24:AL24" si="4">COUNTIF(F4:F20,"*NST7")</f>
        <v>3</v>
      </c>
      <c r="G24">
        <f t="shared" si="4"/>
        <v>4</v>
      </c>
      <c r="H24">
        <f t="shared" si="4"/>
        <v>4</v>
      </c>
      <c r="I24">
        <f t="shared" si="4"/>
        <v>3</v>
      </c>
      <c r="J24">
        <f t="shared" si="4"/>
        <v>3</v>
      </c>
      <c r="K24">
        <f t="shared" si="4"/>
        <v>3</v>
      </c>
      <c r="L24">
        <f t="shared" si="4"/>
        <v>4</v>
      </c>
      <c r="M24">
        <f t="shared" si="4"/>
        <v>3</v>
      </c>
      <c r="N24">
        <f t="shared" si="4"/>
        <v>4</v>
      </c>
      <c r="O24">
        <f t="shared" si="4"/>
        <v>3</v>
      </c>
      <c r="P24">
        <f t="shared" si="4"/>
        <v>2</v>
      </c>
      <c r="Q24">
        <f t="shared" si="4"/>
        <v>2</v>
      </c>
      <c r="R24">
        <f t="shared" si="4"/>
        <v>3</v>
      </c>
      <c r="S24">
        <f t="shared" si="4"/>
        <v>3</v>
      </c>
      <c r="T24">
        <f t="shared" si="4"/>
        <v>3</v>
      </c>
      <c r="U24">
        <f t="shared" si="4"/>
        <v>3</v>
      </c>
      <c r="V24">
        <f t="shared" si="4"/>
        <v>4</v>
      </c>
      <c r="W24">
        <f>COUNTIF(W4:W20,"*NST7")</f>
        <v>3</v>
      </c>
      <c r="X24">
        <f>COUNTIF(X4:X20,"*NST7")</f>
        <v>2</v>
      </c>
      <c r="Y24">
        <f>COUNTIF(Y5:Y20,"*NST7")</f>
        <v>3</v>
      </c>
      <c r="Z24">
        <f>COUNTIF(Z5:Z20,"*NST7")</f>
        <v>3</v>
      </c>
      <c r="AA24">
        <f>COUNTIF(AA5:AA20,"*NST7")</f>
        <v>3</v>
      </c>
      <c r="AB24">
        <f>COUNTIF(AB5:AB20,"*NST7")</f>
        <v>3</v>
      </c>
      <c r="AC24">
        <f>COUNTIF(AC5:AC20,"*NST7")</f>
        <v>4</v>
      </c>
      <c r="AD24">
        <f>COUNTIF(AD4:AD20,"*NST7")</f>
        <v>3</v>
      </c>
      <c r="AE24">
        <f t="shared" si="4"/>
        <v>2</v>
      </c>
      <c r="AF24">
        <f t="shared" si="4"/>
        <v>3</v>
      </c>
      <c r="AG24">
        <f t="shared" si="4"/>
        <v>3</v>
      </c>
      <c r="AH24">
        <f t="shared" si="4"/>
        <v>2</v>
      </c>
      <c r="AI24">
        <f t="shared" si="4"/>
        <v>3</v>
      </c>
      <c r="AJ24">
        <f t="shared" si="4"/>
        <v>3</v>
      </c>
      <c r="AK24">
        <f t="shared" si="4"/>
        <v>3</v>
      </c>
      <c r="AL24">
        <f t="shared" si="4"/>
        <v>2</v>
      </c>
    </row>
    <row r="25" spans="1:38" x14ac:dyDescent="0.35">
      <c r="A25" s="189" t="s">
        <v>159</v>
      </c>
      <c r="B25">
        <f>COUNTIF(B4:B20,"*GS")</f>
        <v>1</v>
      </c>
      <c r="C25">
        <f>COUNTIF(C4:C20,"*GS")</f>
        <v>0</v>
      </c>
      <c r="D25">
        <f>COUNTIF(D4:D20,"*GS")</f>
        <v>1</v>
      </c>
      <c r="E25">
        <f>COUNTIF(E4:E20,"*GS")</f>
        <v>1</v>
      </c>
      <c r="F25">
        <f t="shared" ref="F25:AL25" si="5">COUNTIF(F4:F20,"*GS")</f>
        <v>0</v>
      </c>
      <c r="G25">
        <f t="shared" si="5"/>
        <v>0</v>
      </c>
      <c r="H25">
        <f t="shared" si="5"/>
        <v>0</v>
      </c>
      <c r="I25">
        <f t="shared" si="5"/>
        <v>1</v>
      </c>
      <c r="J25">
        <f t="shared" si="5"/>
        <v>0</v>
      </c>
      <c r="K25">
        <f t="shared" si="5"/>
        <v>0</v>
      </c>
      <c r="L25">
        <f t="shared" si="5"/>
        <v>0</v>
      </c>
      <c r="M25">
        <f t="shared" si="5"/>
        <v>0</v>
      </c>
      <c r="N25">
        <f t="shared" si="5"/>
        <v>0</v>
      </c>
      <c r="O25">
        <f t="shared" si="5"/>
        <v>0</v>
      </c>
      <c r="P25">
        <f t="shared" si="5"/>
        <v>1</v>
      </c>
      <c r="Q25">
        <f t="shared" si="5"/>
        <v>0</v>
      </c>
      <c r="R25">
        <f t="shared" si="5"/>
        <v>0</v>
      </c>
      <c r="S25">
        <f t="shared" si="5"/>
        <v>0</v>
      </c>
      <c r="T25">
        <f t="shared" si="5"/>
        <v>0</v>
      </c>
      <c r="U25">
        <f t="shared" si="5"/>
        <v>0</v>
      </c>
      <c r="V25">
        <f t="shared" si="5"/>
        <v>0</v>
      </c>
      <c r="W25">
        <f>COUNTIF(W4:W20,"*GS")</f>
        <v>1</v>
      </c>
      <c r="X25">
        <f>COUNTIF(X4:X20,"*GS")</f>
        <v>0</v>
      </c>
      <c r="Y25">
        <f>COUNTIF(Y5:Y20,"*GS")</f>
        <v>0</v>
      </c>
      <c r="Z25">
        <f>COUNTIF(Z5:Z20,"*GS")</f>
        <v>1</v>
      </c>
      <c r="AA25">
        <f>COUNTIF(AA5:AA20,"*GS")</f>
        <v>1</v>
      </c>
      <c r="AB25">
        <f>COUNTIF(AB5:AB20,"*GS")</f>
        <v>1</v>
      </c>
      <c r="AC25">
        <f>COUNTIF(AC5:AC20,"*GS")</f>
        <v>1</v>
      </c>
      <c r="AD25">
        <f>COUNTIF(AD4:AD20,"*GS")</f>
        <v>1</v>
      </c>
      <c r="AE25">
        <f t="shared" si="5"/>
        <v>0</v>
      </c>
      <c r="AF25">
        <f t="shared" si="5"/>
        <v>1</v>
      </c>
      <c r="AG25">
        <f t="shared" si="5"/>
        <v>1</v>
      </c>
      <c r="AH25">
        <f t="shared" si="5"/>
        <v>1</v>
      </c>
      <c r="AI25">
        <f t="shared" si="5"/>
        <v>2</v>
      </c>
      <c r="AJ25">
        <f t="shared" si="5"/>
        <v>1</v>
      </c>
      <c r="AK25">
        <f t="shared" si="5"/>
        <v>1</v>
      </c>
      <c r="AL25">
        <f t="shared" si="5"/>
        <v>0</v>
      </c>
    </row>
    <row r="26" spans="1:38" x14ac:dyDescent="0.35">
      <c r="A26" s="189" t="s">
        <v>160</v>
      </c>
      <c r="B26">
        <f>COUNTIF(B4:B20,"WO")</f>
        <v>7</v>
      </c>
      <c r="C26">
        <f>COUNTIF(C4:C20,"WO")</f>
        <v>8</v>
      </c>
      <c r="D26">
        <f>COUNTIF(D4:D20,"C")</f>
        <v>4</v>
      </c>
      <c r="E26">
        <f>COUNTIF(E4:E20,"C")</f>
        <v>3</v>
      </c>
      <c r="F26">
        <f t="shared" ref="F26:AL26" si="6">COUNTIF(F4:F20,"C")</f>
        <v>4</v>
      </c>
      <c r="G26">
        <f t="shared" si="6"/>
        <v>2</v>
      </c>
      <c r="H26">
        <f t="shared" si="6"/>
        <v>4</v>
      </c>
      <c r="I26">
        <f t="shared" si="6"/>
        <v>0</v>
      </c>
      <c r="J26">
        <f t="shared" si="6"/>
        <v>0</v>
      </c>
      <c r="K26">
        <f t="shared" si="6"/>
        <v>4</v>
      </c>
      <c r="L26">
        <f t="shared" si="6"/>
        <v>1</v>
      </c>
      <c r="M26">
        <f t="shared" si="6"/>
        <v>1</v>
      </c>
      <c r="N26">
        <f t="shared" si="6"/>
        <v>1</v>
      </c>
      <c r="O26">
        <f t="shared" si="6"/>
        <v>0</v>
      </c>
      <c r="P26">
        <f t="shared" si="6"/>
        <v>0</v>
      </c>
      <c r="Q26">
        <f t="shared" si="6"/>
        <v>0</v>
      </c>
      <c r="R26">
        <f t="shared" si="6"/>
        <v>4</v>
      </c>
      <c r="S26">
        <f t="shared" si="6"/>
        <v>2</v>
      </c>
      <c r="T26">
        <f t="shared" si="6"/>
        <v>2</v>
      </c>
      <c r="U26">
        <f t="shared" si="6"/>
        <v>1</v>
      </c>
      <c r="V26">
        <f t="shared" si="6"/>
        <v>2</v>
      </c>
      <c r="W26">
        <f>COUNTIF(W4:W20,"C")</f>
        <v>0</v>
      </c>
      <c r="X26">
        <f>COUNTIF(X4:X20,"C")</f>
        <v>0</v>
      </c>
      <c r="Y26">
        <f>COUNTIF(Y5:Y20,"C")</f>
        <v>4</v>
      </c>
      <c r="Z26">
        <f>COUNTIF(Z5:Z20,"C")</f>
        <v>1</v>
      </c>
      <c r="AA26">
        <f>COUNTIF(AA5:AA20,"C")</f>
        <v>1</v>
      </c>
      <c r="AB26">
        <f>COUNTIF(AB5:AB20,"C")</f>
        <v>0</v>
      </c>
      <c r="AC26">
        <f>COUNTIF(AC5:AC20,"C")</f>
        <v>2</v>
      </c>
      <c r="AD26">
        <f>COUNTIF(AD4:AD20,"C")</f>
        <v>0</v>
      </c>
      <c r="AE26">
        <f t="shared" si="6"/>
        <v>0</v>
      </c>
      <c r="AF26">
        <f t="shared" si="6"/>
        <v>4</v>
      </c>
      <c r="AG26">
        <f t="shared" si="6"/>
        <v>2</v>
      </c>
      <c r="AH26">
        <f t="shared" si="6"/>
        <v>4</v>
      </c>
      <c r="AI26">
        <f t="shared" si="6"/>
        <v>2</v>
      </c>
      <c r="AJ26">
        <f t="shared" si="6"/>
        <v>3</v>
      </c>
      <c r="AK26">
        <f t="shared" si="6"/>
        <v>0</v>
      </c>
      <c r="AL26">
        <f t="shared" si="6"/>
        <v>0</v>
      </c>
    </row>
    <row r="27" spans="1:38" x14ac:dyDescent="0.35">
      <c r="A27" s="189" t="s">
        <v>161</v>
      </c>
      <c r="B27">
        <f>COUNTIF(B4:B20,"PL")</f>
        <v>0</v>
      </c>
      <c r="C27">
        <f>COUNTIF(C4:C20,"PL")</f>
        <v>0</v>
      </c>
      <c r="D27">
        <f>COUNTIF(D4:D20,"PL")</f>
        <v>1</v>
      </c>
      <c r="E27">
        <f>COUNTIF(E4:E20,"PL")</f>
        <v>0</v>
      </c>
      <c r="F27">
        <f t="shared" ref="F27:AL27" si="7">COUNTIF(F4:F20,"PL")</f>
        <v>0</v>
      </c>
      <c r="G27">
        <f t="shared" si="7"/>
        <v>0</v>
      </c>
      <c r="H27">
        <f t="shared" si="7"/>
        <v>1</v>
      </c>
      <c r="I27">
        <f t="shared" si="7"/>
        <v>0</v>
      </c>
      <c r="J27">
        <f t="shared" si="7"/>
        <v>0</v>
      </c>
      <c r="K27">
        <f t="shared" si="7"/>
        <v>2</v>
      </c>
      <c r="L27">
        <f t="shared" si="7"/>
        <v>3</v>
      </c>
      <c r="M27">
        <f t="shared" si="7"/>
        <v>4</v>
      </c>
      <c r="N27">
        <f t="shared" si="7"/>
        <v>3</v>
      </c>
      <c r="O27">
        <f t="shared" si="7"/>
        <v>4</v>
      </c>
      <c r="P27">
        <f t="shared" si="7"/>
        <v>1</v>
      </c>
      <c r="Q27">
        <f t="shared" si="7"/>
        <v>1</v>
      </c>
      <c r="R27">
        <f t="shared" si="7"/>
        <v>2</v>
      </c>
      <c r="S27">
        <f t="shared" si="7"/>
        <v>3</v>
      </c>
      <c r="T27">
        <f t="shared" si="7"/>
        <v>4</v>
      </c>
      <c r="U27">
        <f t="shared" si="7"/>
        <v>4</v>
      </c>
      <c r="V27">
        <f t="shared" si="7"/>
        <v>2</v>
      </c>
      <c r="W27">
        <f>COUNTIF(W4:W20,"PL")</f>
        <v>0</v>
      </c>
      <c r="X27">
        <f>COUNTIF(X4:X20,"PL")</f>
        <v>0</v>
      </c>
      <c r="Y27">
        <f>COUNTIF(Y5:Y20,"PL")</f>
        <v>1</v>
      </c>
      <c r="Z27">
        <f>COUNTIF(Z5:Z20,"PL")</f>
        <v>2</v>
      </c>
      <c r="AA27">
        <f>COUNTIF(AA5:AA20,"PL")</f>
        <v>3</v>
      </c>
      <c r="AB27">
        <f>COUNTIF(AB5:AB20,"PL")</f>
        <v>3</v>
      </c>
      <c r="AC27">
        <f>COUNTIF(AC5:AC20,"PL")</f>
        <v>0</v>
      </c>
      <c r="AD27">
        <f>COUNTIF(AD4:AD20,"PL")</f>
        <v>0</v>
      </c>
      <c r="AE27">
        <f t="shared" si="7"/>
        <v>0</v>
      </c>
      <c r="AF27">
        <f t="shared" si="7"/>
        <v>1</v>
      </c>
      <c r="AG27">
        <f t="shared" si="7"/>
        <v>1</v>
      </c>
      <c r="AH27">
        <f t="shared" si="7"/>
        <v>1</v>
      </c>
      <c r="AI27">
        <f t="shared" si="7"/>
        <v>2</v>
      </c>
      <c r="AJ27">
        <f t="shared" si="7"/>
        <v>1</v>
      </c>
      <c r="AK27">
        <f t="shared" si="7"/>
        <v>0</v>
      </c>
      <c r="AL27">
        <f t="shared" si="7"/>
        <v>0</v>
      </c>
    </row>
    <row r="28" spans="1:38" x14ac:dyDescent="0.35">
      <c r="A28" s="189" t="s">
        <v>33</v>
      </c>
      <c r="B28">
        <f>COUNTIF(B4:B20,"UPL")</f>
        <v>0</v>
      </c>
      <c r="C28">
        <f>COUNTIF(C4:C20,"UPL")</f>
        <v>0</v>
      </c>
      <c r="D28">
        <f>COUNTIF(D4:D20,"UPL")</f>
        <v>0</v>
      </c>
      <c r="E28">
        <f>COUNTIF(E4:E20,"UPL")</f>
        <v>0</v>
      </c>
      <c r="F28">
        <f t="shared" ref="F28:AL28" si="8">COUNTIF(F4:F20,"UPL")</f>
        <v>1</v>
      </c>
      <c r="G28">
        <f t="shared" si="8"/>
        <v>1</v>
      </c>
      <c r="H28">
        <f t="shared" si="8"/>
        <v>0</v>
      </c>
      <c r="I28">
        <f t="shared" si="8"/>
        <v>0</v>
      </c>
      <c r="J28">
        <f t="shared" si="8"/>
        <v>0</v>
      </c>
      <c r="K28">
        <f t="shared" si="8"/>
        <v>0</v>
      </c>
      <c r="L28">
        <f t="shared" si="8"/>
        <v>0</v>
      </c>
      <c r="M28">
        <f t="shared" si="8"/>
        <v>0</v>
      </c>
      <c r="N28">
        <f t="shared" si="8"/>
        <v>0</v>
      </c>
      <c r="O28">
        <f t="shared" si="8"/>
        <v>0</v>
      </c>
      <c r="P28">
        <f t="shared" si="8"/>
        <v>0</v>
      </c>
      <c r="Q28">
        <f t="shared" si="8"/>
        <v>0</v>
      </c>
      <c r="R28">
        <f t="shared" si="8"/>
        <v>1</v>
      </c>
      <c r="S28">
        <f t="shared" si="8"/>
        <v>0</v>
      </c>
      <c r="T28">
        <f t="shared" si="8"/>
        <v>0</v>
      </c>
      <c r="U28">
        <f t="shared" si="8"/>
        <v>0</v>
      </c>
      <c r="V28">
        <f t="shared" si="8"/>
        <v>0</v>
      </c>
      <c r="W28">
        <f>COUNTIF(W4:W20,"UPL")</f>
        <v>0</v>
      </c>
      <c r="X28">
        <f>COUNTIF(X4:X20,"UPL")</f>
        <v>0</v>
      </c>
      <c r="Y28">
        <f>COUNTIF(Y5:Y20,"UPL")</f>
        <v>0</v>
      </c>
      <c r="Z28">
        <f>COUNTIF(Z5:Z20,"UPL")</f>
        <v>0</v>
      </c>
      <c r="AA28">
        <f>COUNTIF(AA5:AA20,"UPL")</f>
        <v>0</v>
      </c>
      <c r="AB28">
        <f>COUNTIF(AB5:AB20,"UPL")</f>
        <v>0</v>
      </c>
      <c r="AC28">
        <f>COUNTIF(AC5:AC20,"UPL")</f>
        <v>0</v>
      </c>
      <c r="AD28">
        <f>COUNTIF(AD4:AD20,"UPL")</f>
        <v>0</v>
      </c>
      <c r="AE28">
        <f t="shared" si="8"/>
        <v>0</v>
      </c>
      <c r="AF28">
        <f t="shared" si="8"/>
        <v>0</v>
      </c>
      <c r="AG28">
        <f t="shared" si="8"/>
        <v>0</v>
      </c>
      <c r="AH28">
        <f t="shared" si="8"/>
        <v>0</v>
      </c>
      <c r="AI28">
        <f t="shared" si="8"/>
        <v>0</v>
      </c>
      <c r="AJ28">
        <f t="shared" si="8"/>
        <v>0</v>
      </c>
      <c r="AK28">
        <f t="shared" si="8"/>
        <v>0</v>
      </c>
      <c r="AL28">
        <f t="shared" si="8"/>
        <v>0</v>
      </c>
    </row>
    <row r="29" spans="1:38" x14ac:dyDescent="0.35">
      <c r="A29" s="189" t="s">
        <v>172</v>
      </c>
      <c r="B29">
        <f>COUNTIF(B4:B20,"H")</f>
        <v>0</v>
      </c>
      <c r="C29">
        <f>COUNTIF(C4:C20,"H")</f>
        <v>0</v>
      </c>
      <c r="D29">
        <f>COUNTIF(D4:D20,"H")</f>
        <v>0</v>
      </c>
      <c r="E29">
        <f>COUNTIF(E4:E20,"H")</f>
        <v>0</v>
      </c>
      <c r="F29">
        <f t="shared" ref="F29:AL29" si="9">COUNTIF(F4:F20,"H")</f>
        <v>0</v>
      </c>
      <c r="G29">
        <f t="shared" si="9"/>
        <v>0</v>
      </c>
      <c r="H29">
        <f t="shared" si="9"/>
        <v>0</v>
      </c>
      <c r="I29">
        <f t="shared" si="9"/>
        <v>0</v>
      </c>
      <c r="J29">
        <f t="shared" si="9"/>
        <v>0</v>
      </c>
      <c r="K29">
        <f t="shared" si="9"/>
        <v>0</v>
      </c>
      <c r="L29">
        <f t="shared" si="9"/>
        <v>0</v>
      </c>
      <c r="M29">
        <f t="shared" si="9"/>
        <v>0</v>
      </c>
      <c r="N29">
        <f t="shared" si="9"/>
        <v>0</v>
      </c>
      <c r="O29">
        <f t="shared" si="9"/>
        <v>0</v>
      </c>
      <c r="P29">
        <f t="shared" si="9"/>
        <v>0</v>
      </c>
      <c r="Q29">
        <f t="shared" si="9"/>
        <v>0</v>
      </c>
      <c r="R29">
        <f t="shared" si="9"/>
        <v>0</v>
      </c>
      <c r="S29">
        <f t="shared" si="9"/>
        <v>0</v>
      </c>
      <c r="T29">
        <f t="shared" si="9"/>
        <v>0</v>
      </c>
      <c r="U29">
        <f t="shared" si="9"/>
        <v>0</v>
      </c>
      <c r="V29">
        <f t="shared" si="9"/>
        <v>0</v>
      </c>
      <c r="W29">
        <f>COUNTIF(W4:W20,"H")</f>
        <v>0</v>
      </c>
      <c r="X29">
        <f>COUNTIF(X4:X20,"H")</f>
        <v>0</v>
      </c>
      <c r="Y29">
        <f>COUNTIF(Y5:Y20,"H")</f>
        <v>0</v>
      </c>
      <c r="Z29">
        <f>COUNTIF(Z5:Z20,"H")</f>
        <v>0</v>
      </c>
      <c r="AA29">
        <f>COUNTIF(AA5:AA20,"H")</f>
        <v>0</v>
      </c>
      <c r="AB29">
        <f>COUNTIF(AB5:AB20,"H")</f>
        <v>0</v>
      </c>
      <c r="AC29">
        <f>COUNTIF(AC5:AC20,"H")</f>
        <v>0</v>
      </c>
      <c r="AD29">
        <f>COUNTIF(AD4:AD20,"H")</f>
        <v>0</v>
      </c>
      <c r="AE29">
        <f t="shared" si="9"/>
        <v>0</v>
      </c>
      <c r="AF29">
        <f t="shared" si="9"/>
        <v>0</v>
      </c>
      <c r="AG29">
        <f t="shared" si="9"/>
        <v>0</v>
      </c>
      <c r="AH29">
        <f t="shared" si="9"/>
        <v>0</v>
      </c>
      <c r="AI29">
        <f t="shared" si="9"/>
        <v>0</v>
      </c>
      <c r="AJ29">
        <f t="shared" si="9"/>
        <v>0</v>
      </c>
      <c r="AK29">
        <f t="shared" si="9"/>
        <v>0</v>
      </c>
      <c r="AL29">
        <f t="shared" si="9"/>
        <v>0</v>
      </c>
    </row>
    <row r="30" spans="1:38" x14ac:dyDescent="0.35">
      <c r="A30" s="189" t="s">
        <v>162</v>
      </c>
      <c r="B30" s="138">
        <f t="shared" ref="B30:D30" si="10">SUM(B22:B29)</f>
        <v>15</v>
      </c>
      <c r="C30" s="138">
        <f t="shared" si="10"/>
        <v>15</v>
      </c>
      <c r="D30" s="138">
        <f t="shared" si="10"/>
        <v>15</v>
      </c>
      <c r="E30" s="138">
        <f t="shared" ref="E30:AL30" si="11">SUM(E22:E29)</f>
        <v>15</v>
      </c>
      <c r="F30" s="138">
        <f t="shared" si="11"/>
        <v>15</v>
      </c>
      <c r="G30" s="138">
        <f t="shared" si="11"/>
        <v>15</v>
      </c>
      <c r="H30" s="138">
        <f t="shared" si="11"/>
        <v>15</v>
      </c>
      <c r="I30" s="138">
        <f t="shared" si="11"/>
        <v>8</v>
      </c>
      <c r="J30" s="138">
        <f t="shared" si="11"/>
        <v>7</v>
      </c>
      <c r="K30" s="138">
        <f t="shared" si="11"/>
        <v>15</v>
      </c>
      <c r="L30" s="138">
        <f t="shared" si="11"/>
        <v>15</v>
      </c>
      <c r="M30" s="138">
        <f t="shared" si="11"/>
        <v>15</v>
      </c>
      <c r="N30" s="138">
        <f t="shared" si="11"/>
        <v>15</v>
      </c>
      <c r="O30" s="138">
        <f t="shared" si="11"/>
        <v>15</v>
      </c>
      <c r="P30" s="138">
        <f t="shared" si="11"/>
        <v>8</v>
      </c>
      <c r="Q30" s="138">
        <f t="shared" si="11"/>
        <v>7</v>
      </c>
      <c r="R30" s="138">
        <f t="shared" si="11"/>
        <v>15</v>
      </c>
      <c r="S30" s="138">
        <f t="shared" si="11"/>
        <v>15</v>
      </c>
      <c r="T30" s="138">
        <f t="shared" si="11"/>
        <v>15</v>
      </c>
      <c r="U30" s="138">
        <f t="shared" si="11"/>
        <v>15</v>
      </c>
      <c r="V30" s="138">
        <f t="shared" si="11"/>
        <v>15</v>
      </c>
      <c r="W30" s="138">
        <f t="shared" si="11"/>
        <v>8</v>
      </c>
      <c r="X30" s="138">
        <f t="shared" si="11"/>
        <v>6</v>
      </c>
      <c r="Y30" s="138">
        <f t="shared" si="11"/>
        <v>14</v>
      </c>
      <c r="Z30" s="138">
        <f t="shared" si="11"/>
        <v>14</v>
      </c>
      <c r="AA30" s="138">
        <f t="shared" si="11"/>
        <v>14</v>
      </c>
      <c r="AB30" s="138">
        <f t="shared" si="11"/>
        <v>14</v>
      </c>
      <c r="AC30" s="138">
        <f t="shared" si="11"/>
        <v>14</v>
      </c>
      <c r="AD30" s="138">
        <f t="shared" si="11"/>
        <v>8</v>
      </c>
      <c r="AE30" s="138">
        <f t="shared" si="11"/>
        <v>6</v>
      </c>
      <c r="AF30" s="138">
        <f t="shared" si="11"/>
        <v>15</v>
      </c>
      <c r="AG30" s="138">
        <f t="shared" si="11"/>
        <v>15</v>
      </c>
      <c r="AH30" s="138">
        <f t="shared" si="11"/>
        <v>15</v>
      </c>
      <c r="AI30" s="138">
        <f t="shared" si="11"/>
        <v>15</v>
      </c>
      <c r="AJ30" s="138">
        <f t="shared" si="11"/>
        <v>15</v>
      </c>
      <c r="AK30" s="138">
        <f t="shared" si="11"/>
        <v>8</v>
      </c>
      <c r="AL30" s="138">
        <f t="shared" si="11"/>
        <v>6</v>
      </c>
    </row>
  </sheetData>
  <conditionalFormatting sqref="D22:D25">
    <cfRule type="cellIs" dxfId="147" priority="11" operator="lessThan">
      <formula>3</formula>
    </cfRule>
  </conditionalFormatting>
  <conditionalFormatting sqref="B22:B25">
    <cfRule type="cellIs" dxfId="146" priority="3" operator="lessThan">
      <formula>3</formula>
    </cfRule>
  </conditionalFormatting>
  <conditionalFormatting sqref="C22:C25">
    <cfRule type="cellIs" dxfId="145" priority="2" operator="lessThan">
      <formula>3</formula>
    </cfRule>
  </conditionalFormatting>
  <conditionalFormatting sqref="E22:AL25">
    <cfRule type="cellIs" dxfId="144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I30"/>
  <sheetViews>
    <sheetView zoomScale="62" zoomScaleNormal="62" workbookViewId="0">
      <pane xSplit="1" topLeftCell="J1" activePane="topRight" state="frozen"/>
      <selection pane="topRight" activeCell="AK10" sqref="AK10"/>
    </sheetView>
  </sheetViews>
  <sheetFormatPr defaultRowHeight="14.5" x14ac:dyDescent="0.35"/>
  <cols>
    <col min="1" max="1" width="23.81640625" bestFit="1" customWidth="1"/>
    <col min="2" max="4" width="8.7265625" hidden="1" customWidth="1"/>
    <col min="5" max="35" width="8.7265625" customWidth="1"/>
  </cols>
  <sheetData>
    <row r="1" spans="1:35" x14ac:dyDescent="0.35">
      <c r="A1" s="70"/>
      <c r="B1" s="2" t="str">
        <f t="shared" ref="B1:AI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si="0"/>
        <v>Thu</v>
      </c>
      <c r="F1" s="2" t="str">
        <f t="shared" si="0"/>
        <v>Fri</v>
      </c>
      <c r="G1" s="2" t="str">
        <f t="shared" si="0"/>
        <v>Sat</v>
      </c>
      <c r="H1" s="2" t="str">
        <f t="shared" si="0"/>
        <v>Sun</v>
      </c>
      <c r="I1" s="2" t="str">
        <f t="shared" si="0"/>
        <v>Mon</v>
      </c>
      <c r="J1" s="2" t="str">
        <f t="shared" si="0"/>
        <v>Tue</v>
      </c>
      <c r="K1" s="2" t="str">
        <f t="shared" si="0"/>
        <v>Wed</v>
      </c>
      <c r="L1" s="2" t="str">
        <f t="shared" si="0"/>
        <v>Thu</v>
      </c>
      <c r="M1" s="2" t="str">
        <f t="shared" si="0"/>
        <v>Fri</v>
      </c>
      <c r="N1" s="2" t="str">
        <f t="shared" si="0"/>
        <v>Sat</v>
      </c>
      <c r="O1" s="2" t="str">
        <f t="shared" si="0"/>
        <v>Sun</v>
      </c>
      <c r="P1" s="2" t="str">
        <f t="shared" si="0"/>
        <v>Mon</v>
      </c>
      <c r="Q1" s="2" t="str">
        <f t="shared" si="0"/>
        <v>Tue</v>
      </c>
      <c r="R1" s="2" t="str">
        <f t="shared" si="0"/>
        <v>Wed</v>
      </c>
      <c r="S1" s="2" t="str">
        <f t="shared" si="0"/>
        <v>Thu</v>
      </c>
      <c r="T1" s="2" t="str">
        <f t="shared" si="0"/>
        <v>Fri</v>
      </c>
      <c r="U1" s="2" t="str">
        <f t="shared" si="0"/>
        <v>Sat</v>
      </c>
      <c r="V1" s="2" t="str">
        <f t="shared" si="0"/>
        <v>Sun</v>
      </c>
      <c r="W1" s="2" t="str">
        <f t="shared" si="0"/>
        <v>Mon</v>
      </c>
      <c r="X1" s="2" t="str">
        <f t="shared" si="0"/>
        <v>Tue</v>
      </c>
      <c r="Y1" s="2" t="str">
        <f t="shared" si="0"/>
        <v>Wed</v>
      </c>
      <c r="Z1" s="2" t="str">
        <f t="shared" si="0"/>
        <v>Thu</v>
      </c>
      <c r="AA1" s="2" t="str">
        <f t="shared" si="0"/>
        <v>Fri</v>
      </c>
      <c r="AB1" s="2" t="str">
        <f t="shared" si="0"/>
        <v>Sat</v>
      </c>
      <c r="AC1" s="2" t="str">
        <f t="shared" si="0"/>
        <v>Sun</v>
      </c>
      <c r="AD1" s="2" t="str">
        <f t="shared" si="0"/>
        <v>Mon</v>
      </c>
      <c r="AE1" s="2" t="str">
        <f t="shared" si="0"/>
        <v>Tue</v>
      </c>
      <c r="AF1" s="2" t="str">
        <f t="shared" si="0"/>
        <v>Wed</v>
      </c>
      <c r="AG1" s="2" t="str">
        <f t="shared" si="0"/>
        <v>Thu</v>
      </c>
      <c r="AH1" s="2" t="str">
        <f t="shared" si="0"/>
        <v>Fri</v>
      </c>
      <c r="AI1" s="2" t="str">
        <f t="shared" si="0"/>
        <v>Sat</v>
      </c>
    </row>
    <row r="2" spans="1:35" x14ac:dyDescent="0.35">
      <c r="A2" s="104" t="s">
        <v>0</v>
      </c>
      <c r="B2" s="31">
        <v>44893</v>
      </c>
      <c r="C2" s="31">
        <v>44894</v>
      </c>
      <c r="D2" s="31">
        <v>44895</v>
      </c>
      <c r="E2" s="31">
        <v>44896</v>
      </c>
      <c r="F2" s="31">
        <v>44897</v>
      </c>
      <c r="G2" s="31">
        <v>44898</v>
      </c>
      <c r="H2" s="31">
        <v>44899</v>
      </c>
      <c r="I2" s="31">
        <v>44900</v>
      </c>
      <c r="J2" s="31">
        <v>44901</v>
      </c>
      <c r="K2" s="31">
        <v>44902</v>
      </c>
      <c r="L2" s="31">
        <v>44903</v>
      </c>
      <c r="M2" s="31">
        <v>44904</v>
      </c>
      <c r="N2" s="31">
        <v>44905</v>
      </c>
      <c r="O2" s="31">
        <v>44906</v>
      </c>
      <c r="P2" s="31">
        <v>44907</v>
      </c>
      <c r="Q2" s="31">
        <v>44908</v>
      </c>
      <c r="R2" s="31">
        <v>44909</v>
      </c>
      <c r="S2" s="31">
        <v>44910</v>
      </c>
      <c r="T2" s="31">
        <v>44911</v>
      </c>
      <c r="U2" s="31">
        <v>44912</v>
      </c>
      <c r="V2" s="31">
        <v>44913</v>
      </c>
      <c r="W2" s="31">
        <v>44914</v>
      </c>
      <c r="X2" s="31">
        <v>44915</v>
      </c>
      <c r="Y2" s="31">
        <v>44916</v>
      </c>
      <c r="Z2" s="31">
        <v>44917</v>
      </c>
      <c r="AA2" s="31">
        <v>44918</v>
      </c>
      <c r="AB2" s="31">
        <v>44919</v>
      </c>
      <c r="AC2" s="31">
        <v>44920</v>
      </c>
      <c r="AD2" s="31">
        <v>44921</v>
      </c>
      <c r="AE2" s="31">
        <v>44922</v>
      </c>
      <c r="AF2" s="31">
        <v>44923</v>
      </c>
      <c r="AG2" s="31">
        <v>44924</v>
      </c>
      <c r="AH2" s="31">
        <v>44925</v>
      </c>
      <c r="AI2" s="31">
        <v>44926</v>
      </c>
    </row>
    <row r="3" spans="1:35" ht="15" thickBot="1" x14ac:dyDescent="0.4">
      <c r="A3" s="105"/>
      <c r="B3" s="191"/>
      <c r="C3" s="191"/>
      <c r="D3" s="191"/>
      <c r="E3" s="170"/>
      <c r="F3" s="170"/>
      <c r="G3" s="170"/>
      <c r="H3" s="170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</row>
    <row r="4" spans="1:35" x14ac:dyDescent="0.35">
      <c r="A4" s="171" t="s">
        <v>14</v>
      </c>
      <c r="B4" s="184" t="s">
        <v>2</v>
      </c>
      <c r="C4" s="25" t="s">
        <v>6</v>
      </c>
      <c r="D4" s="78" t="s">
        <v>6</v>
      </c>
      <c r="E4" s="19" t="s">
        <v>41</v>
      </c>
      <c r="F4" s="19" t="s">
        <v>41</v>
      </c>
      <c r="G4" s="123" t="s">
        <v>4</v>
      </c>
      <c r="H4" s="19" t="s">
        <v>42</v>
      </c>
      <c r="I4" s="184" t="s">
        <v>2</v>
      </c>
      <c r="J4" s="184" t="s">
        <v>2</v>
      </c>
      <c r="K4" s="19" t="s">
        <v>41</v>
      </c>
      <c r="L4" s="19" t="s">
        <v>41</v>
      </c>
      <c r="M4" s="19" t="s">
        <v>41</v>
      </c>
      <c r="N4" s="19" t="s">
        <v>42</v>
      </c>
      <c r="O4" s="19" t="s">
        <v>42</v>
      </c>
      <c r="P4" s="184" t="s">
        <v>2</v>
      </c>
      <c r="Q4" s="19" t="s">
        <v>41</v>
      </c>
      <c r="R4" s="19" t="s">
        <v>41</v>
      </c>
      <c r="S4" s="19" t="s">
        <v>41</v>
      </c>
      <c r="T4" s="19" t="s">
        <v>41</v>
      </c>
      <c r="U4" s="123" t="s">
        <v>4</v>
      </c>
      <c r="V4" s="123" t="s">
        <v>4</v>
      </c>
      <c r="W4" s="19" t="s">
        <v>41</v>
      </c>
      <c r="X4" s="19" t="s">
        <v>41</v>
      </c>
      <c r="Y4" s="19" t="s">
        <v>41</v>
      </c>
      <c r="Z4" s="19" t="s">
        <v>41</v>
      </c>
      <c r="AA4" s="184" t="s">
        <v>2</v>
      </c>
      <c r="AB4" s="123" t="s">
        <v>4</v>
      </c>
      <c r="AC4" s="19" t="s">
        <v>42</v>
      </c>
      <c r="AD4" s="19" t="s">
        <v>41</v>
      </c>
      <c r="AE4" s="184" t="s">
        <v>2</v>
      </c>
      <c r="AF4" s="19" t="s">
        <v>41</v>
      </c>
      <c r="AG4" s="19" t="s">
        <v>41</v>
      </c>
      <c r="AH4" s="19" t="s">
        <v>41</v>
      </c>
      <c r="AI4" s="123" t="s">
        <v>4</v>
      </c>
    </row>
    <row r="5" spans="1:35" ht="15" thickBot="1" x14ac:dyDescent="0.4">
      <c r="A5" s="175" t="s">
        <v>12</v>
      </c>
      <c r="B5" s="78" t="s">
        <v>6</v>
      </c>
      <c r="C5" s="78" t="s">
        <v>6</v>
      </c>
      <c r="D5" s="78" t="s">
        <v>6</v>
      </c>
      <c r="E5" s="131" t="s">
        <v>5</v>
      </c>
      <c r="F5" s="184" t="s">
        <v>2</v>
      </c>
      <c r="G5" s="19" t="s">
        <v>42</v>
      </c>
      <c r="H5" s="123" t="s">
        <v>4</v>
      </c>
      <c r="I5" s="19" t="s">
        <v>41</v>
      </c>
      <c r="J5" s="19" t="s">
        <v>41</v>
      </c>
      <c r="K5" s="131" t="s">
        <v>5</v>
      </c>
      <c r="L5" s="131" t="s">
        <v>5</v>
      </c>
      <c r="M5" s="131" t="s">
        <v>5</v>
      </c>
      <c r="N5" s="131" t="s">
        <v>4</v>
      </c>
      <c r="O5" s="131" t="s">
        <v>4</v>
      </c>
      <c r="P5" s="131" t="s">
        <v>5</v>
      </c>
      <c r="Q5" s="131" t="s">
        <v>5</v>
      </c>
      <c r="R5" s="131" t="s">
        <v>5</v>
      </c>
      <c r="S5" s="131" t="s">
        <v>5</v>
      </c>
      <c r="T5" s="131" t="s">
        <v>5</v>
      </c>
      <c r="U5" s="19" t="s">
        <v>42</v>
      </c>
      <c r="V5" s="19" t="s">
        <v>42</v>
      </c>
      <c r="W5" s="19" t="s">
        <v>41</v>
      </c>
      <c r="X5" s="184" t="s">
        <v>2</v>
      </c>
      <c r="Y5" s="184" t="s">
        <v>2</v>
      </c>
      <c r="Z5" s="19" t="s">
        <v>41</v>
      </c>
      <c r="AA5" s="19" t="s">
        <v>41</v>
      </c>
      <c r="AB5" s="19" t="s">
        <v>42</v>
      </c>
      <c r="AC5" s="123" t="s">
        <v>4</v>
      </c>
      <c r="AD5" s="184" t="s">
        <v>2</v>
      </c>
      <c r="AE5" s="19" t="s">
        <v>41</v>
      </c>
      <c r="AF5" s="19" t="s">
        <v>41</v>
      </c>
      <c r="AG5" s="19" t="s">
        <v>41</v>
      </c>
      <c r="AH5" s="184" t="s">
        <v>2</v>
      </c>
      <c r="AI5" s="19" t="s">
        <v>42</v>
      </c>
    </row>
    <row r="6" spans="1:35" x14ac:dyDescent="0.35">
      <c r="A6" s="179" t="s">
        <v>75</v>
      </c>
      <c r="B6" s="25" t="s">
        <v>6</v>
      </c>
      <c r="C6" s="131" t="s">
        <v>5</v>
      </c>
      <c r="D6" s="131" t="s">
        <v>5</v>
      </c>
      <c r="E6" s="19" t="s">
        <v>41</v>
      </c>
      <c r="F6" s="25" t="s">
        <v>6</v>
      </c>
      <c r="G6" s="123" t="s">
        <v>4</v>
      </c>
      <c r="H6" s="19" t="s">
        <v>42</v>
      </c>
      <c r="I6" s="19" t="s">
        <v>41</v>
      </c>
      <c r="J6" s="19" t="s">
        <v>41</v>
      </c>
      <c r="K6" s="19" t="s">
        <v>41</v>
      </c>
      <c r="L6" s="19" t="s">
        <v>41</v>
      </c>
      <c r="M6" s="184" t="s">
        <v>2</v>
      </c>
      <c r="N6" s="123" t="s">
        <v>4</v>
      </c>
      <c r="O6" s="25" t="s">
        <v>3</v>
      </c>
      <c r="P6" s="19" t="s">
        <v>41</v>
      </c>
      <c r="Q6" s="19" t="s">
        <v>41</v>
      </c>
      <c r="R6" s="19" t="s">
        <v>41</v>
      </c>
      <c r="S6" s="19" t="s">
        <v>41</v>
      </c>
      <c r="T6" s="184" t="s">
        <v>2</v>
      </c>
      <c r="U6" s="123" t="s">
        <v>4</v>
      </c>
      <c r="V6" s="19" t="s">
        <v>42</v>
      </c>
      <c r="W6" s="19" t="s">
        <v>41</v>
      </c>
      <c r="X6" s="19" t="s">
        <v>41</v>
      </c>
      <c r="Y6" s="19" t="s">
        <v>41</v>
      </c>
      <c r="Z6" s="22" t="s">
        <v>16</v>
      </c>
      <c r="AA6" s="131" t="s">
        <v>5</v>
      </c>
      <c r="AB6" s="131" t="s">
        <v>4</v>
      </c>
      <c r="AC6" s="131" t="s">
        <v>4</v>
      </c>
      <c r="AD6" s="19" t="s">
        <v>41</v>
      </c>
      <c r="AE6" s="19" t="s">
        <v>41</v>
      </c>
      <c r="AF6" s="19" t="s">
        <v>41</v>
      </c>
      <c r="AG6" s="131" t="s">
        <v>5</v>
      </c>
      <c r="AH6" s="131" t="s">
        <v>5</v>
      </c>
      <c r="AI6" s="131" t="s">
        <v>4</v>
      </c>
    </row>
    <row r="7" spans="1:35" x14ac:dyDescent="0.35">
      <c r="A7" s="182" t="s">
        <v>77</v>
      </c>
      <c r="B7" s="25" t="s">
        <v>6</v>
      </c>
      <c r="C7" s="25" t="s">
        <v>6</v>
      </c>
      <c r="D7" s="25" t="s">
        <v>6</v>
      </c>
      <c r="E7" s="131" t="s">
        <v>5</v>
      </c>
      <c r="F7" s="131" t="s">
        <v>5</v>
      </c>
      <c r="G7" s="19" t="s">
        <v>42</v>
      </c>
      <c r="H7" s="131" t="s">
        <v>4</v>
      </c>
      <c r="I7" s="131" t="s">
        <v>5</v>
      </c>
      <c r="J7" s="131" t="s">
        <v>5</v>
      </c>
      <c r="K7" s="131" t="s">
        <v>5</v>
      </c>
      <c r="L7" s="19" t="s">
        <v>41</v>
      </c>
      <c r="M7" s="19" t="s">
        <v>41</v>
      </c>
      <c r="N7" s="19" t="s">
        <v>42</v>
      </c>
      <c r="O7" s="123" t="s">
        <v>4</v>
      </c>
      <c r="P7" s="19" t="s">
        <v>41</v>
      </c>
      <c r="Q7" s="19" t="s">
        <v>41</v>
      </c>
      <c r="R7" s="184" t="s">
        <v>2</v>
      </c>
      <c r="S7" s="184" t="s">
        <v>2</v>
      </c>
      <c r="T7" s="19" t="s">
        <v>41</v>
      </c>
      <c r="U7" s="19" t="s">
        <v>42</v>
      </c>
      <c r="V7" s="123" t="s">
        <v>4</v>
      </c>
      <c r="W7" s="19" t="s">
        <v>41</v>
      </c>
      <c r="X7" s="19" t="s">
        <v>41</v>
      </c>
      <c r="Y7" s="19" t="s">
        <v>41</v>
      </c>
      <c r="Z7" s="184" t="s">
        <v>2</v>
      </c>
      <c r="AA7" s="19" t="s">
        <v>41</v>
      </c>
      <c r="AB7" s="19" t="s">
        <v>42</v>
      </c>
      <c r="AC7" s="123" t="s">
        <v>4</v>
      </c>
      <c r="AD7" s="19" t="s">
        <v>41</v>
      </c>
      <c r="AE7" s="19" t="s">
        <v>41</v>
      </c>
      <c r="AF7" s="19" t="s">
        <v>41</v>
      </c>
      <c r="AG7" s="184" t="s">
        <v>2</v>
      </c>
      <c r="AH7" s="19" t="s">
        <v>41</v>
      </c>
      <c r="AI7" s="19" t="s">
        <v>42</v>
      </c>
    </row>
    <row r="8" spans="1:35" x14ac:dyDescent="0.35">
      <c r="A8" s="182" t="s">
        <v>76</v>
      </c>
      <c r="B8" s="184" t="s">
        <v>2</v>
      </c>
      <c r="C8" s="25" t="s">
        <v>6</v>
      </c>
      <c r="D8" s="25" t="s">
        <v>6</v>
      </c>
      <c r="E8" s="19" t="s">
        <v>41</v>
      </c>
      <c r="F8" s="19" t="s">
        <v>41</v>
      </c>
      <c r="G8" s="22" t="s">
        <v>30</v>
      </c>
      <c r="H8" s="123" t="s">
        <v>4</v>
      </c>
      <c r="I8" s="19" t="s">
        <v>41</v>
      </c>
      <c r="J8" s="19" t="s">
        <v>41</v>
      </c>
      <c r="K8" s="184" t="s">
        <v>34</v>
      </c>
      <c r="L8" s="184" t="s">
        <v>2</v>
      </c>
      <c r="M8" s="25" t="s">
        <v>6</v>
      </c>
      <c r="N8" s="123" t="s">
        <v>4</v>
      </c>
      <c r="O8" s="123" t="s">
        <v>4</v>
      </c>
      <c r="P8" s="19" t="s">
        <v>41</v>
      </c>
      <c r="Q8" s="131" t="s">
        <v>5</v>
      </c>
      <c r="R8" s="19" t="s">
        <v>41</v>
      </c>
      <c r="S8" s="19" t="s">
        <v>41</v>
      </c>
      <c r="T8" s="19" t="s">
        <v>41</v>
      </c>
      <c r="U8" s="131" t="s">
        <v>4</v>
      </c>
      <c r="V8" s="131" t="s">
        <v>4</v>
      </c>
      <c r="W8" s="131" t="s">
        <v>5</v>
      </c>
      <c r="X8" s="19" t="s">
        <v>41</v>
      </c>
      <c r="Y8" s="22" t="s">
        <v>16</v>
      </c>
      <c r="Z8" s="19" t="s">
        <v>41</v>
      </c>
      <c r="AA8" s="19" t="s">
        <v>41</v>
      </c>
      <c r="AB8" s="123" t="s">
        <v>4</v>
      </c>
      <c r="AC8" s="19" t="s">
        <v>42</v>
      </c>
      <c r="AD8" s="19" t="s">
        <v>41</v>
      </c>
      <c r="AE8" s="19" t="s">
        <v>41</v>
      </c>
      <c r="AF8" s="184" t="s">
        <v>2</v>
      </c>
      <c r="AG8" s="19" t="s">
        <v>41</v>
      </c>
      <c r="AH8" s="19" t="s">
        <v>41</v>
      </c>
      <c r="AI8" s="123" t="s">
        <v>4</v>
      </c>
    </row>
    <row r="9" spans="1:35" ht="15" thickBot="1" x14ac:dyDescent="0.4">
      <c r="A9" s="151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</row>
    <row r="10" spans="1:35" x14ac:dyDescent="0.35">
      <c r="A10" s="171" t="s">
        <v>9</v>
      </c>
      <c r="B10" s="184" t="s">
        <v>2</v>
      </c>
      <c r="C10" s="184" t="s">
        <v>2</v>
      </c>
      <c r="D10" s="19" t="s">
        <v>41</v>
      </c>
      <c r="E10" s="185" t="s">
        <v>10</v>
      </c>
      <c r="F10" s="185" t="s">
        <v>10</v>
      </c>
      <c r="G10" s="185" t="s">
        <v>11</v>
      </c>
      <c r="H10" s="185" t="s">
        <v>11</v>
      </c>
      <c r="I10" s="131" t="s">
        <v>5</v>
      </c>
      <c r="J10" s="131" t="s">
        <v>5</v>
      </c>
      <c r="K10" s="131" t="s">
        <v>5</v>
      </c>
      <c r="L10" s="131" t="s">
        <v>5</v>
      </c>
      <c r="M10" s="131" t="s">
        <v>5</v>
      </c>
      <c r="N10" s="131" t="s">
        <v>4</v>
      </c>
      <c r="O10" s="185" t="s">
        <v>11</v>
      </c>
      <c r="P10" s="185" t="s">
        <v>10</v>
      </c>
      <c r="Q10" s="185" t="s">
        <v>10</v>
      </c>
      <c r="R10" s="185" t="s">
        <v>10</v>
      </c>
      <c r="S10" s="185" t="s">
        <v>10</v>
      </c>
      <c r="T10" s="185" t="s">
        <v>10</v>
      </c>
      <c r="U10" s="185" t="s">
        <v>11</v>
      </c>
      <c r="V10" s="123" t="s">
        <v>4</v>
      </c>
      <c r="W10" s="185" t="s">
        <v>10</v>
      </c>
      <c r="X10" s="185" t="s">
        <v>10</v>
      </c>
      <c r="Y10" s="185" t="s">
        <v>10</v>
      </c>
      <c r="Z10" s="185" t="s">
        <v>10</v>
      </c>
      <c r="AA10" s="185" t="s">
        <v>10</v>
      </c>
      <c r="AB10" s="185" t="s">
        <v>11</v>
      </c>
      <c r="AC10" s="185" t="s">
        <v>11</v>
      </c>
      <c r="AD10" s="184" t="s">
        <v>2</v>
      </c>
      <c r="AE10" s="185" t="s">
        <v>10</v>
      </c>
      <c r="AF10" s="185" t="s">
        <v>10</v>
      </c>
      <c r="AG10" s="185" t="s">
        <v>10</v>
      </c>
      <c r="AH10" s="185" t="s">
        <v>10</v>
      </c>
      <c r="AI10" s="185" t="s">
        <v>11</v>
      </c>
    </row>
    <row r="11" spans="1:35" ht="15" thickBot="1" x14ac:dyDescent="0.4">
      <c r="A11" s="175" t="s">
        <v>15</v>
      </c>
      <c r="B11" s="19" t="s">
        <v>41</v>
      </c>
      <c r="C11" s="19" t="s">
        <v>41</v>
      </c>
      <c r="D11" s="19" t="s">
        <v>41</v>
      </c>
      <c r="E11" s="22" t="s">
        <v>16</v>
      </c>
      <c r="F11" s="184" t="s">
        <v>2</v>
      </c>
      <c r="G11" s="123" t="s">
        <v>4</v>
      </c>
      <c r="H11" s="123" t="s">
        <v>4</v>
      </c>
      <c r="I11" s="185" t="s">
        <v>10</v>
      </c>
      <c r="J11" s="185" t="s">
        <v>10</v>
      </c>
      <c r="K11" s="185" t="s">
        <v>10</v>
      </c>
      <c r="L11" s="185" t="s">
        <v>10</v>
      </c>
      <c r="M11" s="185" t="s">
        <v>10</v>
      </c>
      <c r="N11" s="185" t="s">
        <v>11</v>
      </c>
      <c r="O11" s="123" t="s">
        <v>4</v>
      </c>
      <c r="P11" s="184" t="s">
        <v>2</v>
      </c>
      <c r="Q11" s="185" t="s">
        <v>10</v>
      </c>
      <c r="R11" s="185" t="s">
        <v>10</v>
      </c>
      <c r="S11" s="185" t="s">
        <v>10</v>
      </c>
      <c r="T11" s="185" t="s">
        <v>10</v>
      </c>
      <c r="U11" s="123" t="s">
        <v>4</v>
      </c>
      <c r="V11" s="185" t="s">
        <v>11</v>
      </c>
      <c r="W11" s="185" t="s">
        <v>10</v>
      </c>
      <c r="X11" s="185" t="s">
        <v>10</v>
      </c>
      <c r="Y11" s="185" t="s">
        <v>10</v>
      </c>
      <c r="Z11" s="185" t="s">
        <v>10</v>
      </c>
      <c r="AA11" s="184" t="s">
        <v>2</v>
      </c>
      <c r="AB11" s="123" t="s">
        <v>4</v>
      </c>
      <c r="AC11" s="185" t="s">
        <v>11</v>
      </c>
      <c r="AD11" s="185" t="s">
        <v>10</v>
      </c>
      <c r="AE11" s="185" t="s">
        <v>10</v>
      </c>
      <c r="AF11" s="185" t="s">
        <v>10</v>
      </c>
      <c r="AG11" s="185" t="s">
        <v>10</v>
      </c>
      <c r="AH11" s="185" t="s">
        <v>10</v>
      </c>
      <c r="AI11" s="131" t="s">
        <v>4</v>
      </c>
    </row>
    <row r="12" spans="1:35" x14ac:dyDescent="0.35">
      <c r="A12" s="179" t="s">
        <v>21</v>
      </c>
      <c r="B12" s="131" t="s">
        <v>5</v>
      </c>
      <c r="C12" s="131" t="s">
        <v>5</v>
      </c>
      <c r="D12" s="131" t="s">
        <v>5</v>
      </c>
      <c r="E12" s="185" t="s">
        <v>10</v>
      </c>
      <c r="F12" s="185" t="s">
        <v>10</v>
      </c>
      <c r="G12" s="185" t="s">
        <v>11</v>
      </c>
      <c r="H12" s="123" t="s">
        <v>4</v>
      </c>
      <c r="I12" s="184" t="s">
        <v>2</v>
      </c>
      <c r="J12" s="185" t="s">
        <v>10</v>
      </c>
      <c r="K12" s="185" t="s">
        <v>10</v>
      </c>
      <c r="L12" s="185" t="s">
        <v>10</v>
      </c>
      <c r="M12" s="185" t="s">
        <v>10</v>
      </c>
      <c r="N12" s="185" t="s">
        <v>11</v>
      </c>
      <c r="O12" s="123" t="s">
        <v>4</v>
      </c>
      <c r="P12" s="185" t="s">
        <v>10</v>
      </c>
      <c r="Q12" s="184" t="s">
        <v>2</v>
      </c>
      <c r="R12" s="184" t="s">
        <v>2</v>
      </c>
      <c r="S12" s="19" t="s">
        <v>41</v>
      </c>
      <c r="T12" s="19" t="s">
        <v>41</v>
      </c>
      <c r="U12" s="185" t="s">
        <v>11</v>
      </c>
      <c r="V12" s="185" t="s">
        <v>11</v>
      </c>
      <c r="W12" s="184" t="s">
        <v>2</v>
      </c>
      <c r="X12" s="184" t="s">
        <v>2</v>
      </c>
      <c r="Y12" s="19" t="s">
        <v>41</v>
      </c>
      <c r="Z12" s="19" t="s">
        <v>41</v>
      </c>
      <c r="AA12" s="185" t="s">
        <v>10</v>
      </c>
      <c r="AB12" s="185" t="s">
        <v>11</v>
      </c>
      <c r="AC12" s="123" t="s">
        <v>4</v>
      </c>
      <c r="AD12" s="131" t="s">
        <v>5</v>
      </c>
      <c r="AE12" s="131" t="s">
        <v>5</v>
      </c>
      <c r="AF12" s="131" t="s">
        <v>5</v>
      </c>
      <c r="AG12" s="19" t="s">
        <v>41</v>
      </c>
      <c r="AH12" s="19" t="s">
        <v>41</v>
      </c>
      <c r="AI12" s="185" t="s">
        <v>11</v>
      </c>
    </row>
    <row r="13" spans="1:35" x14ac:dyDescent="0.35">
      <c r="A13" s="182" t="s">
        <v>22</v>
      </c>
      <c r="B13" s="19" t="s">
        <v>41</v>
      </c>
      <c r="C13" s="19" t="s">
        <v>41</v>
      </c>
      <c r="D13" s="184" t="s">
        <v>2</v>
      </c>
      <c r="E13" s="185" t="s">
        <v>10</v>
      </c>
      <c r="F13" s="185" t="s">
        <v>10</v>
      </c>
      <c r="G13" s="123" t="s">
        <v>4</v>
      </c>
      <c r="H13" s="185" t="s">
        <v>11</v>
      </c>
      <c r="I13" s="185" t="s">
        <v>10</v>
      </c>
      <c r="J13" s="185" t="s">
        <v>10</v>
      </c>
      <c r="K13" s="185" t="s">
        <v>10</v>
      </c>
      <c r="L13" s="185" t="s">
        <v>10</v>
      </c>
      <c r="M13" s="184" t="s">
        <v>2</v>
      </c>
      <c r="N13" s="123" t="s">
        <v>4</v>
      </c>
      <c r="O13" s="185" t="s">
        <v>11</v>
      </c>
      <c r="P13" s="185" t="s">
        <v>10</v>
      </c>
      <c r="Q13" s="185" t="s">
        <v>10</v>
      </c>
      <c r="R13" s="185" t="s">
        <v>10</v>
      </c>
      <c r="S13" s="185" t="s">
        <v>10</v>
      </c>
      <c r="T13" s="185" t="s">
        <v>10</v>
      </c>
      <c r="U13" s="123" t="s">
        <v>4</v>
      </c>
      <c r="V13" s="123" t="s">
        <v>4</v>
      </c>
      <c r="W13" s="185" t="s">
        <v>10</v>
      </c>
      <c r="X13" s="185" t="s">
        <v>10</v>
      </c>
      <c r="Y13" s="131" t="s">
        <v>5</v>
      </c>
      <c r="Z13" s="131" t="s">
        <v>5</v>
      </c>
      <c r="AA13" s="131" t="s">
        <v>5</v>
      </c>
      <c r="AB13" s="131" t="s">
        <v>4</v>
      </c>
      <c r="AC13" s="131" t="s">
        <v>4</v>
      </c>
      <c r="AD13" s="185" t="s">
        <v>10</v>
      </c>
      <c r="AE13" s="185" t="s">
        <v>10</v>
      </c>
      <c r="AF13" s="185" t="s">
        <v>10</v>
      </c>
      <c r="AG13" s="185" t="s">
        <v>10</v>
      </c>
      <c r="AH13" s="184" t="s">
        <v>2</v>
      </c>
      <c r="AI13" s="123" t="s">
        <v>4</v>
      </c>
    </row>
    <row r="14" spans="1:35" x14ac:dyDescent="0.35">
      <c r="A14" s="182" t="s">
        <v>155</v>
      </c>
      <c r="B14" s="19" t="s">
        <v>41</v>
      </c>
      <c r="C14" s="19" t="s">
        <v>41</v>
      </c>
      <c r="D14" s="19" t="s">
        <v>41</v>
      </c>
      <c r="E14" s="22" t="s">
        <v>16</v>
      </c>
      <c r="F14" s="22" t="s">
        <v>16</v>
      </c>
      <c r="G14" s="185" t="s">
        <v>11</v>
      </c>
      <c r="H14" s="123" t="s">
        <v>4</v>
      </c>
      <c r="I14" s="185" t="s">
        <v>10</v>
      </c>
      <c r="J14" s="185" t="s">
        <v>10</v>
      </c>
      <c r="K14" s="185" t="s">
        <v>10</v>
      </c>
      <c r="L14" s="185" t="s">
        <v>10</v>
      </c>
      <c r="M14" s="185" t="s">
        <v>10</v>
      </c>
      <c r="N14" s="185" t="s">
        <v>11</v>
      </c>
      <c r="O14" s="123" t="s">
        <v>4</v>
      </c>
      <c r="P14" s="185" t="s">
        <v>10</v>
      </c>
      <c r="Q14" s="185" t="s">
        <v>10</v>
      </c>
      <c r="R14" s="185" t="s">
        <v>10</v>
      </c>
      <c r="S14" s="185" t="s">
        <v>10</v>
      </c>
      <c r="T14" s="184" t="s">
        <v>2</v>
      </c>
      <c r="U14" s="131" t="s">
        <v>4</v>
      </c>
      <c r="V14" s="131" t="s">
        <v>4</v>
      </c>
      <c r="W14" s="185" t="s">
        <v>10</v>
      </c>
      <c r="X14" s="185" t="s">
        <v>10</v>
      </c>
      <c r="Y14" s="185" t="s">
        <v>10</v>
      </c>
      <c r="Z14" s="185" t="s">
        <v>10</v>
      </c>
      <c r="AA14" s="185" t="s">
        <v>10</v>
      </c>
      <c r="AB14" s="185" t="s">
        <v>11</v>
      </c>
      <c r="AC14" s="123" t="s">
        <v>4</v>
      </c>
      <c r="AD14" s="185" t="s">
        <v>10</v>
      </c>
      <c r="AE14" s="185" t="s">
        <v>10</v>
      </c>
      <c r="AF14" s="184" t="s">
        <v>2</v>
      </c>
      <c r="AG14" s="185" t="s">
        <v>10</v>
      </c>
      <c r="AH14" s="185" t="s">
        <v>10</v>
      </c>
      <c r="AI14" s="123" t="s">
        <v>4</v>
      </c>
    </row>
    <row r="15" spans="1:35" ht="15" thickBot="1" x14ac:dyDescent="0.4">
      <c r="A15" s="151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</row>
    <row r="16" spans="1:35" x14ac:dyDescent="0.35">
      <c r="A16" s="171" t="s">
        <v>1</v>
      </c>
      <c r="B16" s="185" t="s">
        <v>10</v>
      </c>
      <c r="C16" s="185" t="s">
        <v>10</v>
      </c>
      <c r="D16" s="185" t="s">
        <v>10</v>
      </c>
      <c r="E16" s="184" t="s">
        <v>2</v>
      </c>
      <c r="F16" s="184" t="s">
        <v>2</v>
      </c>
      <c r="G16" s="25" t="s">
        <v>3</v>
      </c>
      <c r="H16" s="123" t="s">
        <v>4</v>
      </c>
      <c r="I16" s="25" t="s">
        <v>6</v>
      </c>
      <c r="J16" s="25" t="s">
        <v>6</v>
      </c>
      <c r="K16" s="25" t="s">
        <v>6</v>
      </c>
      <c r="L16" s="25" t="s">
        <v>6</v>
      </c>
      <c r="M16" s="184" t="s">
        <v>2</v>
      </c>
      <c r="N16" s="25" t="s">
        <v>3</v>
      </c>
      <c r="O16" s="25" t="s">
        <v>3</v>
      </c>
      <c r="P16" s="25" t="s">
        <v>6</v>
      </c>
      <c r="Q16" s="25" t="s">
        <v>6</v>
      </c>
      <c r="R16" s="25" t="s">
        <v>6</v>
      </c>
      <c r="S16" s="131" t="s">
        <v>5</v>
      </c>
      <c r="T16" s="131" t="s">
        <v>5</v>
      </c>
      <c r="U16" s="131" t="s">
        <v>4</v>
      </c>
      <c r="V16" s="131" t="s">
        <v>4</v>
      </c>
      <c r="W16" s="131" t="s">
        <v>5</v>
      </c>
      <c r="X16" s="131" t="s">
        <v>5</v>
      </c>
      <c r="Y16" s="131" t="s">
        <v>5</v>
      </c>
      <c r="Z16" s="131" t="s">
        <v>5</v>
      </c>
      <c r="AA16" s="131" t="s">
        <v>5</v>
      </c>
      <c r="AB16" s="25" t="s">
        <v>3</v>
      </c>
      <c r="AC16" s="25" t="s">
        <v>3</v>
      </c>
      <c r="AD16" s="184" t="s">
        <v>2</v>
      </c>
      <c r="AE16" s="25" t="s">
        <v>6</v>
      </c>
      <c r="AF16" s="25" t="s">
        <v>6</v>
      </c>
      <c r="AG16" s="184" t="s">
        <v>2</v>
      </c>
      <c r="AH16" s="184" t="s">
        <v>2</v>
      </c>
      <c r="AI16" s="22" t="s">
        <v>30</v>
      </c>
    </row>
    <row r="17" spans="1:35" ht="15" thickBot="1" x14ac:dyDescent="0.4">
      <c r="A17" s="175" t="s">
        <v>43</v>
      </c>
      <c r="B17" s="184" t="s">
        <v>2</v>
      </c>
      <c r="C17" s="22" t="s">
        <v>16</v>
      </c>
      <c r="D17" s="22" t="s">
        <v>16</v>
      </c>
      <c r="E17" s="25" t="s">
        <v>6</v>
      </c>
      <c r="F17" s="25" t="s">
        <v>6</v>
      </c>
      <c r="G17" s="123" t="s">
        <v>4</v>
      </c>
      <c r="H17" s="25" t="s">
        <v>3</v>
      </c>
      <c r="I17" s="131" t="s">
        <v>5</v>
      </c>
      <c r="J17" s="131" t="s">
        <v>5</v>
      </c>
      <c r="K17" s="131" t="s">
        <v>5</v>
      </c>
      <c r="L17" s="131" t="s">
        <v>5</v>
      </c>
      <c r="M17" s="131" t="s">
        <v>5</v>
      </c>
      <c r="N17" s="131" t="s">
        <v>4</v>
      </c>
      <c r="O17" s="131" t="s">
        <v>4</v>
      </c>
      <c r="P17" s="131" t="s">
        <v>5</v>
      </c>
      <c r="Q17" s="131" t="s">
        <v>5</v>
      </c>
      <c r="R17" s="131" t="s">
        <v>5</v>
      </c>
      <c r="S17" s="25" t="s">
        <v>6</v>
      </c>
      <c r="T17" s="25" t="s">
        <v>6</v>
      </c>
      <c r="U17" s="25" t="s">
        <v>3</v>
      </c>
      <c r="V17" s="25" t="s">
        <v>3</v>
      </c>
      <c r="W17" s="25" t="s">
        <v>6</v>
      </c>
      <c r="X17" s="25" t="s">
        <v>6</v>
      </c>
      <c r="Y17" s="25" t="s">
        <v>6</v>
      </c>
      <c r="Z17" s="25" t="s">
        <v>6</v>
      </c>
      <c r="AA17" s="25" t="s">
        <v>6</v>
      </c>
      <c r="AB17" s="123" t="s">
        <v>4</v>
      </c>
      <c r="AC17" s="25" t="s">
        <v>3</v>
      </c>
      <c r="AD17" s="25" t="s">
        <v>6</v>
      </c>
      <c r="AE17" s="25" t="s">
        <v>6</v>
      </c>
      <c r="AF17" s="184" t="s">
        <v>2</v>
      </c>
      <c r="AG17" s="25" t="s">
        <v>6</v>
      </c>
      <c r="AH17" s="25" t="s">
        <v>6</v>
      </c>
      <c r="AI17" s="25" t="s">
        <v>3</v>
      </c>
    </row>
    <row r="18" spans="1:35" x14ac:dyDescent="0.35">
      <c r="A18" s="182" t="s">
        <v>74</v>
      </c>
      <c r="B18" s="185" t="s">
        <v>10</v>
      </c>
      <c r="C18" s="185" t="s">
        <v>10</v>
      </c>
      <c r="D18" s="185" t="s">
        <v>10</v>
      </c>
      <c r="E18" s="184" t="s">
        <v>2</v>
      </c>
      <c r="F18" s="25" t="s">
        <v>6</v>
      </c>
      <c r="G18" s="25" t="s">
        <v>3</v>
      </c>
      <c r="H18" s="123" t="s">
        <v>4</v>
      </c>
      <c r="I18" s="25" t="s">
        <v>6</v>
      </c>
      <c r="J18" s="25" t="s">
        <v>6</v>
      </c>
      <c r="K18" s="25" t="s">
        <v>6</v>
      </c>
      <c r="L18" s="25" t="s">
        <v>6</v>
      </c>
      <c r="M18" s="25" t="s">
        <v>6</v>
      </c>
      <c r="N18" s="123" t="s">
        <v>4</v>
      </c>
      <c r="O18" s="19" t="s">
        <v>42</v>
      </c>
      <c r="P18" s="25" t="s">
        <v>6</v>
      </c>
      <c r="Q18" s="25" t="s">
        <v>6</v>
      </c>
      <c r="R18" s="25" t="s">
        <v>6</v>
      </c>
      <c r="S18" s="25" t="s">
        <v>6</v>
      </c>
      <c r="T18" s="184" t="s">
        <v>2</v>
      </c>
      <c r="U18" s="123" t="s">
        <v>4</v>
      </c>
      <c r="V18" s="25" t="s">
        <v>3</v>
      </c>
      <c r="W18" s="25" t="s">
        <v>6</v>
      </c>
      <c r="X18" s="25" t="s">
        <v>6</v>
      </c>
      <c r="Y18" s="25" t="s">
        <v>6</v>
      </c>
      <c r="Z18" s="25" t="s">
        <v>6</v>
      </c>
      <c r="AA18" s="25" t="s">
        <v>6</v>
      </c>
      <c r="AB18" s="123" t="s">
        <v>4</v>
      </c>
      <c r="AC18" s="123" t="s">
        <v>4</v>
      </c>
      <c r="AD18" s="131" t="s">
        <v>5</v>
      </c>
      <c r="AE18" s="131" t="s">
        <v>5</v>
      </c>
      <c r="AF18" s="131" t="s">
        <v>5</v>
      </c>
      <c r="AG18" s="131" t="s">
        <v>5</v>
      </c>
      <c r="AH18" s="131" t="s">
        <v>5</v>
      </c>
      <c r="AI18" s="131" t="s">
        <v>4</v>
      </c>
    </row>
    <row r="19" spans="1:35" x14ac:dyDescent="0.35">
      <c r="A19" s="182" t="s">
        <v>62</v>
      </c>
      <c r="B19" s="185" t="s">
        <v>10</v>
      </c>
      <c r="C19" s="184" t="s">
        <v>2</v>
      </c>
      <c r="D19" s="184" t="s">
        <v>2</v>
      </c>
      <c r="E19" s="25" t="s">
        <v>6</v>
      </c>
      <c r="F19" s="19" t="s">
        <v>41</v>
      </c>
      <c r="G19" s="123" t="s">
        <v>4</v>
      </c>
      <c r="H19" s="25" t="s">
        <v>3</v>
      </c>
      <c r="I19" s="184" t="s">
        <v>2</v>
      </c>
      <c r="J19" s="131" t="s">
        <v>5</v>
      </c>
      <c r="K19" s="131" t="s">
        <v>5</v>
      </c>
      <c r="L19" s="131" t="s">
        <v>5</v>
      </c>
      <c r="M19" s="19" t="s">
        <v>41</v>
      </c>
      <c r="N19" s="25" t="s">
        <v>3</v>
      </c>
      <c r="O19" s="123" t="s">
        <v>4</v>
      </c>
      <c r="P19" s="184" t="s">
        <v>2</v>
      </c>
      <c r="Q19" s="25" t="s">
        <v>6</v>
      </c>
      <c r="R19" s="25" t="s">
        <v>6</v>
      </c>
      <c r="S19" s="25" t="s">
        <v>6</v>
      </c>
      <c r="T19" s="25" t="s">
        <v>6</v>
      </c>
      <c r="U19" s="25" t="s">
        <v>3</v>
      </c>
      <c r="V19" s="123" t="s">
        <v>4</v>
      </c>
      <c r="W19" s="184" t="s">
        <v>2</v>
      </c>
      <c r="X19" s="131" t="s">
        <v>5</v>
      </c>
      <c r="Y19" s="131" t="s">
        <v>5</v>
      </c>
      <c r="Z19" s="131" t="s">
        <v>5</v>
      </c>
      <c r="AA19" s="131" t="s">
        <v>5</v>
      </c>
      <c r="AB19" s="25" t="s">
        <v>3</v>
      </c>
      <c r="AC19" s="123" t="s">
        <v>4</v>
      </c>
      <c r="AD19" s="25" t="s">
        <v>6</v>
      </c>
      <c r="AE19" s="25" t="s">
        <v>6</v>
      </c>
      <c r="AF19" s="25" t="s">
        <v>6</v>
      </c>
      <c r="AG19" s="25" t="s">
        <v>6</v>
      </c>
      <c r="AH19" s="25" t="s">
        <v>6</v>
      </c>
      <c r="AI19" s="25" t="s">
        <v>3</v>
      </c>
    </row>
    <row r="20" spans="1:35" x14ac:dyDescent="0.35">
      <c r="A20" s="182" t="s">
        <v>171</v>
      </c>
      <c r="B20" s="22" t="s">
        <v>16</v>
      </c>
      <c r="C20" s="185" t="s">
        <v>10</v>
      </c>
      <c r="D20" s="184" t="s">
        <v>2</v>
      </c>
      <c r="E20" s="25" t="s">
        <v>6</v>
      </c>
      <c r="F20" s="25" t="s">
        <v>6</v>
      </c>
      <c r="G20" s="123" t="s">
        <v>4</v>
      </c>
      <c r="H20" s="123" t="s">
        <v>4</v>
      </c>
      <c r="I20" s="25" t="s">
        <v>6</v>
      </c>
      <c r="J20" s="25" t="s">
        <v>6</v>
      </c>
      <c r="K20" s="25" t="s">
        <v>6</v>
      </c>
      <c r="L20" s="25" t="s">
        <v>6</v>
      </c>
      <c r="M20" s="25" t="s">
        <v>6</v>
      </c>
      <c r="N20" s="22" t="s">
        <v>30</v>
      </c>
      <c r="O20" s="123" t="s">
        <v>4</v>
      </c>
      <c r="P20" s="25" t="s">
        <v>6</v>
      </c>
      <c r="Q20" s="25" t="s">
        <v>6</v>
      </c>
      <c r="R20" s="184" t="s">
        <v>2</v>
      </c>
      <c r="S20" s="25" t="s">
        <v>6</v>
      </c>
      <c r="T20" s="25" t="s">
        <v>6</v>
      </c>
      <c r="U20" s="22" t="s">
        <v>30</v>
      </c>
      <c r="V20" s="123" t="s">
        <v>4</v>
      </c>
      <c r="W20" s="25" t="s">
        <v>6</v>
      </c>
      <c r="X20" s="25" t="s">
        <v>6</v>
      </c>
      <c r="Y20" s="25" t="s">
        <v>6</v>
      </c>
      <c r="Z20" s="25" t="s">
        <v>6</v>
      </c>
      <c r="AA20" s="25" t="s">
        <v>6</v>
      </c>
      <c r="AB20" s="22" t="s">
        <v>30</v>
      </c>
      <c r="AC20" s="123" t="s">
        <v>4</v>
      </c>
      <c r="AD20" s="25" t="s">
        <v>6</v>
      </c>
      <c r="AE20" s="184" t="s">
        <v>2</v>
      </c>
      <c r="AF20" s="25" t="s">
        <v>6</v>
      </c>
      <c r="AG20" s="25" t="s">
        <v>6</v>
      </c>
      <c r="AH20" s="25" t="s">
        <v>6</v>
      </c>
      <c r="AI20" s="123" t="s">
        <v>4</v>
      </c>
    </row>
    <row r="22" spans="1:35" x14ac:dyDescent="0.35">
      <c r="A22" s="189" t="s">
        <v>156</v>
      </c>
      <c r="B22">
        <f t="shared" ref="B22:H22" si="1">COUNTIF(B4:B20,"*MS")</f>
        <v>3</v>
      </c>
      <c r="C22">
        <f t="shared" si="1"/>
        <v>4</v>
      </c>
      <c r="D22">
        <f t="shared" si="1"/>
        <v>4</v>
      </c>
      <c r="E22">
        <f t="shared" si="1"/>
        <v>3</v>
      </c>
      <c r="F22">
        <f t="shared" si="1"/>
        <v>4</v>
      </c>
      <c r="G22">
        <f>COUNTIF(G4:G20,"*MS")</f>
        <v>2</v>
      </c>
      <c r="H22">
        <f t="shared" si="1"/>
        <v>2</v>
      </c>
      <c r="I22">
        <f t="shared" ref="I22:AI22" si="2">COUNTIF(I4:I20,"*MS")</f>
        <v>3</v>
      </c>
      <c r="J22">
        <f t="shared" si="2"/>
        <v>3</v>
      </c>
      <c r="K22">
        <f t="shared" si="2"/>
        <v>3</v>
      </c>
      <c r="L22">
        <f t="shared" si="2"/>
        <v>3</v>
      </c>
      <c r="M22">
        <f t="shared" si="2"/>
        <v>3</v>
      </c>
      <c r="N22">
        <f t="shared" si="2"/>
        <v>2</v>
      </c>
      <c r="O22">
        <f t="shared" si="2"/>
        <v>2</v>
      </c>
      <c r="P22">
        <f t="shared" si="2"/>
        <v>3</v>
      </c>
      <c r="Q22">
        <f t="shared" si="2"/>
        <v>4</v>
      </c>
      <c r="R22">
        <f t="shared" ref="R22:AA22" si="3">COUNTIF(R4:R20,"*MS")</f>
        <v>3</v>
      </c>
      <c r="S22">
        <f t="shared" si="3"/>
        <v>4</v>
      </c>
      <c r="T22">
        <f t="shared" si="3"/>
        <v>3</v>
      </c>
      <c r="U22">
        <f t="shared" si="3"/>
        <v>2</v>
      </c>
      <c r="V22">
        <f t="shared" si="3"/>
        <v>2</v>
      </c>
      <c r="W22">
        <f>COUNTIF(W4:W20,"*MS")</f>
        <v>3</v>
      </c>
      <c r="X22">
        <f t="shared" si="3"/>
        <v>3</v>
      </c>
      <c r="Y22">
        <f t="shared" si="3"/>
        <v>3</v>
      </c>
      <c r="Z22">
        <f t="shared" si="3"/>
        <v>3</v>
      </c>
      <c r="AA22">
        <f t="shared" si="3"/>
        <v>3</v>
      </c>
      <c r="AB22">
        <f>COUNTIF(AB4:AB20,"*MS")</f>
        <v>2</v>
      </c>
      <c r="AC22">
        <f t="shared" si="2"/>
        <v>2</v>
      </c>
      <c r="AD22">
        <f t="shared" si="2"/>
        <v>3</v>
      </c>
      <c r="AE22">
        <f t="shared" si="2"/>
        <v>3</v>
      </c>
      <c r="AF22">
        <f t="shared" si="2"/>
        <v>3</v>
      </c>
      <c r="AG22">
        <f t="shared" si="2"/>
        <v>3</v>
      </c>
      <c r="AH22">
        <f t="shared" si="2"/>
        <v>3</v>
      </c>
      <c r="AI22">
        <f t="shared" si="2"/>
        <v>2</v>
      </c>
    </row>
    <row r="23" spans="1:35" x14ac:dyDescent="0.35">
      <c r="A23" s="189" t="s">
        <v>157</v>
      </c>
      <c r="B23">
        <f t="shared" ref="B23:H23" si="4">COUNTIF(B4:B20,"*ASS1")</f>
        <v>3</v>
      </c>
      <c r="C23">
        <f t="shared" si="4"/>
        <v>3</v>
      </c>
      <c r="D23">
        <f t="shared" si="4"/>
        <v>3</v>
      </c>
      <c r="E23">
        <f t="shared" si="4"/>
        <v>3</v>
      </c>
      <c r="F23">
        <f t="shared" si="4"/>
        <v>3</v>
      </c>
      <c r="G23">
        <f>COUNTIF(G4:G20,"*ASS1")</f>
        <v>2</v>
      </c>
      <c r="H23">
        <f t="shared" si="4"/>
        <v>2</v>
      </c>
      <c r="I23">
        <f t="shared" ref="I23:AI23" si="5">COUNTIF(I4:I20,"*ASS1")</f>
        <v>3</v>
      </c>
      <c r="J23">
        <f t="shared" si="5"/>
        <v>3</v>
      </c>
      <c r="K23">
        <f t="shared" si="5"/>
        <v>2</v>
      </c>
      <c r="L23">
        <f t="shared" si="5"/>
        <v>3</v>
      </c>
      <c r="M23">
        <f t="shared" si="5"/>
        <v>3</v>
      </c>
      <c r="N23">
        <f t="shared" si="5"/>
        <v>2</v>
      </c>
      <c r="O23">
        <f t="shared" si="5"/>
        <v>2</v>
      </c>
      <c r="P23">
        <f t="shared" si="5"/>
        <v>3</v>
      </c>
      <c r="Q23">
        <f t="shared" si="5"/>
        <v>3</v>
      </c>
      <c r="R23">
        <f t="shared" ref="R23:AA23" si="6">COUNTIF(R4:R20,"*ASS1")</f>
        <v>3</v>
      </c>
      <c r="S23">
        <f t="shared" si="6"/>
        <v>4</v>
      </c>
      <c r="T23">
        <f t="shared" si="6"/>
        <v>4</v>
      </c>
      <c r="U23">
        <f t="shared" si="6"/>
        <v>2</v>
      </c>
      <c r="V23">
        <f t="shared" si="6"/>
        <v>2</v>
      </c>
      <c r="W23">
        <f t="shared" si="6"/>
        <v>4</v>
      </c>
      <c r="X23">
        <f t="shared" si="6"/>
        <v>4</v>
      </c>
      <c r="Y23">
        <f t="shared" si="6"/>
        <v>4</v>
      </c>
      <c r="Z23">
        <f t="shared" si="6"/>
        <v>4</v>
      </c>
      <c r="AA23">
        <f t="shared" si="6"/>
        <v>3</v>
      </c>
      <c r="AB23">
        <f>COUNTIF(AB4:AB20,"*ASS1")</f>
        <v>2</v>
      </c>
      <c r="AC23">
        <f t="shared" si="5"/>
        <v>2</v>
      </c>
      <c r="AD23">
        <f t="shared" si="5"/>
        <v>4</v>
      </c>
      <c r="AE23">
        <f t="shared" si="5"/>
        <v>4</v>
      </c>
      <c r="AF23">
        <f t="shared" si="5"/>
        <v>4</v>
      </c>
      <c r="AG23">
        <f t="shared" si="5"/>
        <v>4</v>
      </c>
      <c r="AH23">
        <f t="shared" si="5"/>
        <v>4</v>
      </c>
      <c r="AI23">
        <f t="shared" si="5"/>
        <v>2</v>
      </c>
    </row>
    <row r="24" spans="1:35" x14ac:dyDescent="0.35">
      <c r="A24" s="189" t="s">
        <v>158</v>
      </c>
      <c r="B24">
        <f t="shared" ref="B24:H24" si="7">COUNTIF(B4:B20,"*NST7")</f>
        <v>3</v>
      </c>
      <c r="C24">
        <f t="shared" si="7"/>
        <v>3</v>
      </c>
      <c r="D24">
        <f t="shared" si="7"/>
        <v>2</v>
      </c>
      <c r="E24">
        <f t="shared" si="7"/>
        <v>3</v>
      </c>
      <c r="F24">
        <f t="shared" si="7"/>
        <v>3</v>
      </c>
      <c r="G24">
        <f>COUNTIF(G4:G20,"*NST7")</f>
        <v>3</v>
      </c>
      <c r="H24">
        <f t="shared" si="7"/>
        <v>2</v>
      </c>
      <c r="I24">
        <f t="shared" ref="I24:AI24" si="8">COUNTIF(I4:I20,"*NST7")</f>
        <v>3</v>
      </c>
      <c r="J24">
        <f t="shared" si="8"/>
        <v>4</v>
      </c>
      <c r="K24">
        <f t="shared" si="8"/>
        <v>4</v>
      </c>
      <c r="L24">
        <f t="shared" si="8"/>
        <v>4</v>
      </c>
      <c r="M24">
        <f t="shared" si="8"/>
        <v>3</v>
      </c>
      <c r="N24">
        <f t="shared" si="8"/>
        <v>3</v>
      </c>
      <c r="O24">
        <f t="shared" si="8"/>
        <v>2</v>
      </c>
      <c r="P24">
        <f t="shared" si="8"/>
        <v>4</v>
      </c>
      <c r="Q24">
        <f t="shared" si="8"/>
        <v>4</v>
      </c>
      <c r="R24">
        <f t="shared" ref="R24:AA24" si="9">COUNTIF(R4:R20,"*NST7")</f>
        <v>4</v>
      </c>
      <c r="S24">
        <f t="shared" si="9"/>
        <v>4</v>
      </c>
      <c r="T24">
        <f t="shared" si="9"/>
        <v>3</v>
      </c>
      <c r="U24">
        <f t="shared" si="9"/>
        <v>2</v>
      </c>
      <c r="V24">
        <f t="shared" si="9"/>
        <v>2</v>
      </c>
      <c r="W24">
        <f t="shared" si="9"/>
        <v>4</v>
      </c>
      <c r="X24">
        <f t="shared" si="9"/>
        <v>4</v>
      </c>
      <c r="Y24">
        <f t="shared" si="9"/>
        <v>3</v>
      </c>
      <c r="Z24">
        <f t="shared" si="9"/>
        <v>3</v>
      </c>
      <c r="AA24">
        <f t="shared" si="9"/>
        <v>3</v>
      </c>
      <c r="AB24">
        <f>COUNTIF(AB4:AB20,"*NST7")</f>
        <v>3</v>
      </c>
      <c r="AC24">
        <f t="shared" si="8"/>
        <v>2</v>
      </c>
      <c r="AD24">
        <f t="shared" si="8"/>
        <v>3</v>
      </c>
      <c r="AE24">
        <f t="shared" si="8"/>
        <v>4</v>
      </c>
      <c r="AF24">
        <f t="shared" si="8"/>
        <v>3</v>
      </c>
      <c r="AG24">
        <f t="shared" si="8"/>
        <v>4</v>
      </c>
      <c r="AH24">
        <f t="shared" si="8"/>
        <v>3</v>
      </c>
      <c r="AI24">
        <f t="shared" si="8"/>
        <v>2</v>
      </c>
    </row>
    <row r="25" spans="1:35" x14ac:dyDescent="0.35">
      <c r="A25" s="189" t="s">
        <v>159</v>
      </c>
      <c r="B25">
        <f t="shared" ref="B25:H25" si="10">COUNTIF(B4:B20,"*GS")</f>
        <v>1</v>
      </c>
      <c r="C25">
        <f t="shared" si="10"/>
        <v>1</v>
      </c>
      <c r="D25">
        <f t="shared" si="10"/>
        <v>1</v>
      </c>
      <c r="E25">
        <f t="shared" si="10"/>
        <v>2</v>
      </c>
      <c r="F25">
        <f t="shared" si="10"/>
        <v>1</v>
      </c>
      <c r="G25">
        <f>COUNTIF(G4:G20,"*GS")</f>
        <v>1</v>
      </c>
      <c r="H25">
        <f t="shared" si="10"/>
        <v>0</v>
      </c>
      <c r="I25">
        <f t="shared" ref="I25:AI25" si="11">COUNTIF(I4:I20,"*GS")</f>
        <v>0</v>
      </c>
      <c r="J25">
        <f t="shared" si="11"/>
        <v>0</v>
      </c>
      <c r="K25">
        <f t="shared" si="11"/>
        <v>0</v>
      </c>
      <c r="L25">
        <f t="shared" si="11"/>
        <v>0</v>
      </c>
      <c r="M25">
        <f t="shared" si="11"/>
        <v>0</v>
      </c>
      <c r="N25">
        <f t="shared" si="11"/>
        <v>1</v>
      </c>
      <c r="O25">
        <f t="shared" si="11"/>
        <v>0</v>
      </c>
      <c r="P25">
        <f t="shared" si="11"/>
        <v>0</v>
      </c>
      <c r="Q25">
        <f t="shared" si="11"/>
        <v>0</v>
      </c>
      <c r="R25">
        <f t="shared" ref="R25:AA25" si="12">COUNTIF(R4:R20,"*GS")</f>
        <v>0</v>
      </c>
      <c r="S25">
        <f t="shared" si="12"/>
        <v>0</v>
      </c>
      <c r="T25">
        <f t="shared" si="12"/>
        <v>0</v>
      </c>
      <c r="U25">
        <f t="shared" si="12"/>
        <v>1</v>
      </c>
      <c r="V25">
        <f t="shared" si="12"/>
        <v>0</v>
      </c>
      <c r="W25">
        <f t="shared" si="12"/>
        <v>0</v>
      </c>
      <c r="X25">
        <f t="shared" si="12"/>
        <v>0</v>
      </c>
      <c r="Y25">
        <f t="shared" si="12"/>
        <v>1</v>
      </c>
      <c r="Z25">
        <f t="shared" si="12"/>
        <v>1</v>
      </c>
      <c r="AA25">
        <f t="shared" si="12"/>
        <v>0</v>
      </c>
      <c r="AB25">
        <f>COUNTIF(AB4:AB20,"*GS")</f>
        <v>1</v>
      </c>
      <c r="AC25">
        <f t="shared" si="11"/>
        <v>0</v>
      </c>
      <c r="AD25">
        <f t="shared" si="11"/>
        <v>0</v>
      </c>
      <c r="AE25">
        <f t="shared" si="11"/>
        <v>0</v>
      </c>
      <c r="AF25">
        <f t="shared" si="11"/>
        <v>0</v>
      </c>
      <c r="AG25">
        <f t="shared" si="11"/>
        <v>0</v>
      </c>
      <c r="AH25">
        <f t="shared" si="11"/>
        <v>0</v>
      </c>
      <c r="AI25">
        <f t="shared" si="11"/>
        <v>1</v>
      </c>
    </row>
    <row r="26" spans="1:35" x14ac:dyDescent="0.35">
      <c r="A26" s="189" t="s">
        <v>160</v>
      </c>
      <c r="B26">
        <f t="shared" ref="B26:F26" si="13">COUNTIF(B4:B20,"C")</f>
        <v>4</v>
      </c>
      <c r="C26">
        <f t="shared" si="13"/>
        <v>2</v>
      </c>
      <c r="D26">
        <f t="shared" si="13"/>
        <v>3</v>
      </c>
      <c r="E26">
        <f t="shared" si="13"/>
        <v>2</v>
      </c>
      <c r="F26">
        <f t="shared" si="13"/>
        <v>3</v>
      </c>
      <c r="G26">
        <f t="shared" ref="G26:H26" si="14">COUNTIF(G4:G20,"WO")</f>
        <v>7</v>
      </c>
      <c r="H26">
        <f t="shared" si="14"/>
        <v>9</v>
      </c>
      <c r="I26">
        <f t="shared" ref="I26:AH26" si="15">COUNTIF(I4:I20,"C")</f>
        <v>3</v>
      </c>
      <c r="J26">
        <f t="shared" si="15"/>
        <v>1</v>
      </c>
      <c r="K26">
        <f t="shared" si="15"/>
        <v>0</v>
      </c>
      <c r="L26">
        <f t="shared" si="15"/>
        <v>1</v>
      </c>
      <c r="M26">
        <f t="shared" si="15"/>
        <v>3</v>
      </c>
      <c r="N26">
        <f>COUNTIF(N4:N20,"WO")</f>
        <v>7</v>
      </c>
      <c r="O26">
        <f>COUNTIF(O4:O20,"WO")</f>
        <v>9</v>
      </c>
      <c r="P26">
        <f t="shared" si="15"/>
        <v>3</v>
      </c>
      <c r="Q26">
        <f t="shared" si="15"/>
        <v>1</v>
      </c>
      <c r="R26">
        <f t="shared" ref="R26:AA26" si="16">COUNTIF(R4:R20,"C")</f>
        <v>3</v>
      </c>
      <c r="S26">
        <f t="shared" si="16"/>
        <v>1</v>
      </c>
      <c r="T26">
        <f>COUNTIF(T4:T20,"C")</f>
        <v>3</v>
      </c>
      <c r="U26">
        <f>COUNTIF(U4:U20,"WO")</f>
        <v>8</v>
      </c>
      <c r="V26">
        <f t="shared" ref="V26" si="17">COUNTIF(V4:V20,"WO")</f>
        <v>9</v>
      </c>
      <c r="W26">
        <f t="shared" si="16"/>
        <v>2</v>
      </c>
      <c r="X26">
        <f t="shared" si="16"/>
        <v>2</v>
      </c>
      <c r="Y26">
        <f t="shared" si="16"/>
        <v>1</v>
      </c>
      <c r="Z26">
        <f t="shared" si="16"/>
        <v>1</v>
      </c>
      <c r="AA26">
        <f t="shared" si="16"/>
        <v>2</v>
      </c>
      <c r="AB26">
        <f>COUNTIF(AB4:AB20,"WO")</f>
        <v>7</v>
      </c>
      <c r="AC26">
        <f t="shared" ref="AC26" si="18">COUNTIF(AC4:AC20,"WO")</f>
        <v>9</v>
      </c>
      <c r="AD26">
        <f t="shared" si="15"/>
        <v>3</v>
      </c>
      <c r="AE26">
        <f t="shared" si="15"/>
        <v>2</v>
      </c>
      <c r="AF26">
        <f t="shared" si="15"/>
        <v>3</v>
      </c>
      <c r="AG26">
        <f t="shared" si="15"/>
        <v>2</v>
      </c>
      <c r="AH26">
        <f t="shared" si="15"/>
        <v>3</v>
      </c>
      <c r="AI26">
        <f t="shared" ref="AI26" si="19">COUNTIF(AI4:AI20,"WO")</f>
        <v>8</v>
      </c>
    </row>
    <row r="27" spans="1:35" x14ac:dyDescent="0.35">
      <c r="A27" s="189" t="s">
        <v>161</v>
      </c>
      <c r="B27">
        <f t="shared" ref="B27:H27" si="20">COUNTIF(B4:B20,"PL")</f>
        <v>1</v>
      </c>
      <c r="C27">
        <f t="shared" si="20"/>
        <v>2</v>
      </c>
      <c r="D27">
        <f t="shared" si="20"/>
        <v>2</v>
      </c>
      <c r="E27">
        <f t="shared" si="20"/>
        <v>2</v>
      </c>
      <c r="F27">
        <f t="shared" si="20"/>
        <v>1</v>
      </c>
      <c r="G27">
        <f>COUNTIF(G4:G20,"PL")</f>
        <v>0</v>
      </c>
      <c r="H27">
        <f t="shared" si="20"/>
        <v>0</v>
      </c>
      <c r="I27">
        <f t="shared" ref="I27:AI27" si="21">COUNTIF(I4:I20,"PL")</f>
        <v>3</v>
      </c>
      <c r="J27">
        <f t="shared" si="21"/>
        <v>4</v>
      </c>
      <c r="K27">
        <f t="shared" si="21"/>
        <v>5</v>
      </c>
      <c r="L27">
        <f t="shared" si="21"/>
        <v>4</v>
      </c>
      <c r="M27">
        <f t="shared" si="21"/>
        <v>3</v>
      </c>
      <c r="N27">
        <f t="shared" si="21"/>
        <v>0</v>
      </c>
      <c r="O27">
        <f t="shared" si="21"/>
        <v>0</v>
      </c>
      <c r="P27">
        <f t="shared" si="21"/>
        <v>2</v>
      </c>
      <c r="Q27">
        <f t="shared" si="21"/>
        <v>3</v>
      </c>
      <c r="R27">
        <f t="shared" ref="R27:AA27" si="22">COUNTIF(R4:R20,"PL")</f>
        <v>2</v>
      </c>
      <c r="S27">
        <f t="shared" si="22"/>
        <v>2</v>
      </c>
      <c r="T27">
        <f t="shared" si="22"/>
        <v>2</v>
      </c>
      <c r="U27">
        <f t="shared" si="22"/>
        <v>0</v>
      </c>
      <c r="V27">
        <f t="shared" si="22"/>
        <v>0</v>
      </c>
      <c r="W27">
        <f t="shared" si="22"/>
        <v>2</v>
      </c>
      <c r="X27">
        <f t="shared" si="22"/>
        <v>2</v>
      </c>
      <c r="Y27">
        <f t="shared" si="22"/>
        <v>3</v>
      </c>
      <c r="Z27">
        <f t="shared" si="22"/>
        <v>3</v>
      </c>
      <c r="AA27">
        <f t="shared" si="22"/>
        <v>4</v>
      </c>
      <c r="AB27">
        <f>COUNTIF(AB4:AB20,"PL")</f>
        <v>0</v>
      </c>
      <c r="AC27">
        <f t="shared" si="21"/>
        <v>0</v>
      </c>
      <c r="AD27">
        <f t="shared" si="21"/>
        <v>2</v>
      </c>
      <c r="AE27">
        <f t="shared" si="21"/>
        <v>2</v>
      </c>
      <c r="AF27">
        <f t="shared" si="21"/>
        <v>2</v>
      </c>
      <c r="AG27">
        <f t="shared" si="21"/>
        <v>2</v>
      </c>
      <c r="AH27">
        <f t="shared" si="21"/>
        <v>2</v>
      </c>
      <c r="AI27">
        <f t="shared" si="21"/>
        <v>0</v>
      </c>
    </row>
    <row r="28" spans="1:35" x14ac:dyDescent="0.35">
      <c r="A28" s="189" t="s">
        <v>33</v>
      </c>
      <c r="B28">
        <f t="shared" ref="B28:H28" si="23">COUNTIF(B4:B20,"UPL")</f>
        <v>0</v>
      </c>
      <c r="C28">
        <f t="shared" si="23"/>
        <v>0</v>
      </c>
      <c r="D28">
        <f t="shared" si="23"/>
        <v>0</v>
      </c>
      <c r="E28">
        <f t="shared" si="23"/>
        <v>0</v>
      </c>
      <c r="F28">
        <f t="shared" si="23"/>
        <v>0</v>
      </c>
      <c r="G28">
        <f>COUNTIF(G4:G20,"UPL")</f>
        <v>0</v>
      </c>
      <c r="H28">
        <f t="shared" si="23"/>
        <v>0</v>
      </c>
      <c r="I28">
        <f t="shared" ref="I28:AI28" si="24">COUNTIF(I4:I20,"UPL")</f>
        <v>0</v>
      </c>
      <c r="J28">
        <f t="shared" si="24"/>
        <v>0</v>
      </c>
      <c r="K28">
        <f t="shared" si="24"/>
        <v>1</v>
      </c>
      <c r="L28">
        <f t="shared" si="24"/>
        <v>0</v>
      </c>
      <c r="M28">
        <f t="shared" si="24"/>
        <v>0</v>
      </c>
      <c r="N28">
        <f t="shared" si="24"/>
        <v>0</v>
      </c>
      <c r="O28">
        <f t="shared" si="24"/>
        <v>0</v>
      </c>
      <c r="P28">
        <f t="shared" si="24"/>
        <v>0</v>
      </c>
      <c r="Q28">
        <f t="shared" si="24"/>
        <v>0</v>
      </c>
      <c r="R28">
        <f t="shared" ref="R28:AA28" si="25">COUNTIF(R4:R20,"UPL")</f>
        <v>0</v>
      </c>
      <c r="S28">
        <f t="shared" si="25"/>
        <v>0</v>
      </c>
      <c r="T28">
        <f t="shared" si="25"/>
        <v>0</v>
      </c>
      <c r="U28">
        <f t="shared" si="25"/>
        <v>0</v>
      </c>
      <c r="V28">
        <f t="shared" si="25"/>
        <v>0</v>
      </c>
      <c r="W28">
        <f t="shared" si="25"/>
        <v>0</v>
      </c>
      <c r="X28">
        <f t="shared" si="25"/>
        <v>0</v>
      </c>
      <c r="Y28">
        <f t="shared" si="25"/>
        <v>0</v>
      </c>
      <c r="Z28">
        <f t="shared" si="25"/>
        <v>0</v>
      </c>
      <c r="AA28">
        <f t="shared" si="25"/>
        <v>0</v>
      </c>
      <c r="AB28">
        <f>COUNTIF(AB4:AB20,"UPL")</f>
        <v>0</v>
      </c>
      <c r="AC28">
        <f t="shared" si="24"/>
        <v>0</v>
      </c>
      <c r="AD28">
        <f t="shared" si="24"/>
        <v>0</v>
      </c>
      <c r="AE28">
        <f t="shared" si="24"/>
        <v>0</v>
      </c>
      <c r="AF28">
        <f t="shared" si="24"/>
        <v>0</v>
      </c>
      <c r="AG28">
        <f t="shared" si="24"/>
        <v>0</v>
      </c>
      <c r="AH28">
        <f t="shared" si="24"/>
        <v>0</v>
      </c>
      <c r="AI28">
        <f t="shared" si="24"/>
        <v>0</v>
      </c>
    </row>
    <row r="29" spans="1:35" x14ac:dyDescent="0.35">
      <c r="A29" s="189" t="s">
        <v>172</v>
      </c>
      <c r="B29">
        <f t="shared" ref="B29:H29" si="26">COUNTIF(B4:B20,"H")</f>
        <v>0</v>
      </c>
      <c r="C29">
        <f t="shared" si="26"/>
        <v>0</v>
      </c>
      <c r="D29">
        <f t="shared" si="26"/>
        <v>0</v>
      </c>
      <c r="E29">
        <f t="shared" si="26"/>
        <v>0</v>
      </c>
      <c r="F29">
        <f t="shared" si="26"/>
        <v>0</v>
      </c>
      <c r="G29">
        <f>COUNTIF(G4:G20,"H")</f>
        <v>0</v>
      </c>
      <c r="H29">
        <f t="shared" si="26"/>
        <v>0</v>
      </c>
      <c r="I29">
        <f t="shared" ref="I29:AI29" si="27">COUNTIF(I4:I20,"H")</f>
        <v>0</v>
      </c>
      <c r="J29">
        <f t="shared" si="27"/>
        <v>0</v>
      </c>
      <c r="K29">
        <f t="shared" si="27"/>
        <v>0</v>
      </c>
      <c r="L29">
        <f t="shared" si="27"/>
        <v>0</v>
      </c>
      <c r="M29">
        <f t="shared" si="27"/>
        <v>0</v>
      </c>
      <c r="N29">
        <f t="shared" si="27"/>
        <v>0</v>
      </c>
      <c r="O29">
        <f t="shared" si="27"/>
        <v>0</v>
      </c>
      <c r="P29">
        <f t="shared" si="27"/>
        <v>0</v>
      </c>
      <c r="Q29">
        <f t="shared" si="27"/>
        <v>0</v>
      </c>
      <c r="R29">
        <f t="shared" ref="R29:AA29" si="28">COUNTIF(R4:R20,"H")</f>
        <v>0</v>
      </c>
      <c r="S29">
        <f t="shared" si="28"/>
        <v>0</v>
      </c>
      <c r="T29">
        <f t="shared" si="28"/>
        <v>0</v>
      </c>
      <c r="U29">
        <f t="shared" si="28"/>
        <v>0</v>
      </c>
      <c r="V29">
        <f t="shared" si="28"/>
        <v>0</v>
      </c>
      <c r="W29">
        <f t="shared" si="28"/>
        <v>0</v>
      </c>
      <c r="X29">
        <f t="shared" si="28"/>
        <v>0</v>
      </c>
      <c r="Y29">
        <f t="shared" si="28"/>
        <v>0</v>
      </c>
      <c r="Z29">
        <f t="shared" si="28"/>
        <v>0</v>
      </c>
      <c r="AA29">
        <f t="shared" si="28"/>
        <v>0</v>
      </c>
      <c r="AB29">
        <f>COUNTIF(AB4:AB20,"H")</f>
        <v>0</v>
      </c>
      <c r="AC29">
        <f t="shared" si="27"/>
        <v>0</v>
      </c>
      <c r="AD29">
        <f t="shared" si="27"/>
        <v>0</v>
      </c>
      <c r="AE29">
        <f t="shared" si="27"/>
        <v>0</v>
      </c>
      <c r="AF29">
        <f t="shared" si="27"/>
        <v>0</v>
      </c>
      <c r="AG29">
        <f t="shared" si="27"/>
        <v>0</v>
      </c>
      <c r="AH29">
        <f t="shared" si="27"/>
        <v>0</v>
      </c>
      <c r="AI29">
        <f t="shared" si="27"/>
        <v>0</v>
      </c>
    </row>
    <row r="30" spans="1:35" x14ac:dyDescent="0.35">
      <c r="A30" s="189" t="s">
        <v>162</v>
      </c>
      <c r="B30" s="138">
        <f t="shared" ref="B30:H30" si="29">SUM(B22:B29)</f>
        <v>15</v>
      </c>
      <c r="C30" s="138">
        <f t="shared" si="29"/>
        <v>15</v>
      </c>
      <c r="D30" s="138">
        <f t="shared" si="29"/>
        <v>15</v>
      </c>
      <c r="E30" s="138">
        <f t="shared" si="29"/>
        <v>15</v>
      </c>
      <c r="F30" s="138">
        <f t="shared" si="29"/>
        <v>15</v>
      </c>
      <c r="G30" s="138">
        <f>SUM(G22:G29)</f>
        <v>15</v>
      </c>
      <c r="H30" s="138">
        <f t="shared" si="29"/>
        <v>15</v>
      </c>
      <c r="I30" s="138">
        <f t="shared" ref="I30:AI30" si="30">SUM(I22:I29)</f>
        <v>15</v>
      </c>
      <c r="J30" s="138">
        <f t="shared" si="30"/>
        <v>15</v>
      </c>
      <c r="K30" s="138">
        <f t="shared" si="30"/>
        <v>15</v>
      </c>
      <c r="L30" s="138">
        <f t="shared" si="30"/>
        <v>15</v>
      </c>
      <c r="M30" s="138">
        <f t="shared" si="30"/>
        <v>15</v>
      </c>
      <c r="N30" s="138">
        <f t="shared" si="30"/>
        <v>15</v>
      </c>
      <c r="O30" s="138">
        <f t="shared" si="30"/>
        <v>15</v>
      </c>
      <c r="P30" s="138">
        <f t="shared" si="30"/>
        <v>15</v>
      </c>
      <c r="Q30" s="138">
        <f t="shared" si="30"/>
        <v>15</v>
      </c>
      <c r="R30" s="138">
        <f t="shared" si="30"/>
        <v>15</v>
      </c>
      <c r="S30" s="138">
        <f t="shared" si="30"/>
        <v>15</v>
      </c>
      <c r="T30" s="138">
        <f t="shared" si="30"/>
        <v>15</v>
      </c>
      <c r="U30" s="138">
        <f t="shared" si="30"/>
        <v>15</v>
      </c>
      <c r="V30" s="138">
        <f t="shared" si="30"/>
        <v>15</v>
      </c>
      <c r="W30" s="138">
        <f t="shared" si="30"/>
        <v>15</v>
      </c>
      <c r="X30" s="138">
        <f t="shared" si="30"/>
        <v>15</v>
      </c>
      <c r="Y30" s="138">
        <f t="shared" si="30"/>
        <v>15</v>
      </c>
      <c r="Z30" s="138">
        <f t="shared" si="30"/>
        <v>15</v>
      </c>
      <c r="AA30" s="138">
        <f t="shared" si="30"/>
        <v>15</v>
      </c>
      <c r="AB30" s="138">
        <f t="shared" si="30"/>
        <v>15</v>
      </c>
      <c r="AC30" s="138">
        <f t="shared" si="30"/>
        <v>15</v>
      </c>
      <c r="AD30" s="138">
        <f t="shared" si="30"/>
        <v>15</v>
      </c>
      <c r="AE30" s="138">
        <f t="shared" si="30"/>
        <v>15</v>
      </c>
      <c r="AF30" s="138">
        <f t="shared" si="30"/>
        <v>15</v>
      </c>
      <c r="AG30" s="138">
        <f t="shared" si="30"/>
        <v>15</v>
      </c>
      <c r="AH30" s="138">
        <f t="shared" si="30"/>
        <v>15</v>
      </c>
      <c r="AI30" s="138">
        <f t="shared" si="30"/>
        <v>15</v>
      </c>
    </row>
  </sheetData>
  <conditionalFormatting sqref="B22:H25">
    <cfRule type="cellIs" dxfId="143" priority="5" operator="lessThan">
      <formula>3</formula>
    </cfRule>
  </conditionalFormatting>
  <conditionalFormatting sqref="I22:AI25">
    <cfRule type="cellIs" dxfId="142" priority="1" operator="lessThan">
      <formula>3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G31"/>
  <sheetViews>
    <sheetView zoomScale="54" zoomScaleNormal="54" workbookViewId="0">
      <pane xSplit="1" topLeftCell="B1" activePane="topRight" state="frozen"/>
      <selection pane="topRight" activeCell="AA5" sqref="AA5"/>
    </sheetView>
  </sheetViews>
  <sheetFormatPr defaultRowHeight="14.5" x14ac:dyDescent="0.35"/>
  <cols>
    <col min="1" max="1" width="23.81640625" bestFit="1" customWidth="1"/>
    <col min="2" max="32" width="8.7265625" customWidth="1"/>
    <col min="33" max="33" width="8.7265625" hidden="1" customWidth="1"/>
  </cols>
  <sheetData>
    <row r="1" spans="1:33" x14ac:dyDescent="0.35">
      <c r="A1" s="70"/>
      <c r="B1" s="2" t="str">
        <f t="shared" ref="B1:AG1" si="0">TEXT(B2,"ddd")</f>
        <v>Sun</v>
      </c>
      <c r="C1" s="2" t="str">
        <f t="shared" si="0"/>
        <v>Mon</v>
      </c>
      <c r="D1" s="2" t="str">
        <f t="shared" si="0"/>
        <v>Tue</v>
      </c>
      <c r="E1" s="2" t="str">
        <f t="shared" si="0"/>
        <v>Wed</v>
      </c>
      <c r="F1" s="2" t="str">
        <f t="shared" si="0"/>
        <v>Thu</v>
      </c>
      <c r="G1" s="2" t="str">
        <f t="shared" si="0"/>
        <v>Fri</v>
      </c>
      <c r="H1" s="2" t="str">
        <f t="shared" si="0"/>
        <v>Sat</v>
      </c>
      <c r="I1" s="2" t="str">
        <f t="shared" si="0"/>
        <v>Sun</v>
      </c>
      <c r="J1" s="2" t="str">
        <f t="shared" si="0"/>
        <v>Mon</v>
      </c>
      <c r="K1" s="2" t="str">
        <f t="shared" si="0"/>
        <v>Tue</v>
      </c>
      <c r="L1" s="2" t="str">
        <f t="shared" si="0"/>
        <v>Wed</v>
      </c>
      <c r="M1" s="2" t="str">
        <f t="shared" si="0"/>
        <v>Thu</v>
      </c>
      <c r="N1" s="2" t="str">
        <f t="shared" si="0"/>
        <v>Fri</v>
      </c>
      <c r="O1" s="2" t="str">
        <f t="shared" si="0"/>
        <v>Sat</v>
      </c>
      <c r="P1" s="2" t="str">
        <f t="shared" si="0"/>
        <v>Sun</v>
      </c>
      <c r="Q1" s="2" t="str">
        <f t="shared" si="0"/>
        <v>Mon</v>
      </c>
      <c r="R1" s="2" t="str">
        <f t="shared" si="0"/>
        <v>Tue</v>
      </c>
      <c r="S1" s="2" t="str">
        <f t="shared" si="0"/>
        <v>Wed</v>
      </c>
      <c r="T1" s="2" t="str">
        <f t="shared" si="0"/>
        <v>Thu</v>
      </c>
      <c r="U1" s="2" t="str">
        <f t="shared" si="0"/>
        <v>Fri</v>
      </c>
      <c r="V1" s="2" t="str">
        <f t="shared" si="0"/>
        <v>Sat</v>
      </c>
      <c r="W1" s="2" t="str">
        <f t="shared" si="0"/>
        <v>Sun</v>
      </c>
      <c r="X1" s="2" t="str">
        <f t="shared" si="0"/>
        <v>Mon</v>
      </c>
      <c r="Y1" s="2" t="str">
        <f t="shared" si="0"/>
        <v>Tue</v>
      </c>
      <c r="Z1" s="2" t="str">
        <f t="shared" si="0"/>
        <v>Wed</v>
      </c>
      <c r="AA1" s="2" t="str">
        <f t="shared" si="0"/>
        <v>Thu</v>
      </c>
      <c r="AB1" s="2" t="str">
        <f t="shared" si="0"/>
        <v>Fri</v>
      </c>
      <c r="AC1" s="2" t="str">
        <f t="shared" si="0"/>
        <v>Sat</v>
      </c>
      <c r="AD1" s="2" t="str">
        <f t="shared" si="0"/>
        <v>Sun</v>
      </c>
      <c r="AE1" s="2" t="str">
        <f t="shared" si="0"/>
        <v>Mon</v>
      </c>
      <c r="AF1" s="2" t="str">
        <f t="shared" si="0"/>
        <v>Tue</v>
      </c>
      <c r="AG1" s="2" t="str">
        <f t="shared" si="0"/>
        <v>Wed</v>
      </c>
    </row>
    <row r="2" spans="1:33" x14ac:dyDescent="0.35">
      <c r="A2" s="104" t="s">
        <v>0</v>
      </c>
      <c r="B2" s="31">
        <v>44927</v>
      </c>
      <c r="C2" s="31">
        <v>44928</v>
      </c>
      <c r="D2" s="31">
        <v>44929</v>
      </c>
      <c r="E2" s="31">
        <v>44930</v>
      </c>
      <c r="F2" s="31">
        <v>44931</v>
      </c>
      <c r="G2" s="31">
        <v>44932</v>
      </c>
      <c r="H2" s="31">
        <v>44933</v>
      </c>
      <c r="I2" s="31">
        <v>44934</v>
      </c>
      <c r="J2" s="31">
        <v>44935</v>
      </c>
      <c r="K2" s="31">
        <v>44936</v>
      </c>
      <c r="L2" s="31">
        <v>44937</v>
      </c>
      <c r="M2" s="31">
        <v>44938</v>
      </c>
      <c r="N2" s="31">
        <v>44939</v>
      </c>
      <c r="O2" s="31">
        <v>44940</v>
      </c>
      <c r="P2" s="31">
        <v>44941</v>
      </c>
      <c r="Q2" s="31">
        <v>44942</v>
      </c>
      <c r="R2" s="31">
        <v>44943</v>
      </c>
      <c r="S2" s="31">
        <v>44944</v>
      </c>
      <c r="T2" s="31">
        <v>44945</v>
      </c>
      <c r="U2" s="31">
        <v>44946</v>
      </c>
      <c r="V2" s="31">
        <v>44947</v>
      </c>
      <c r="W2" s="31">
        <v>44948</v>
      </c>
      <c r="X2" s="31">
        <v>44949</v>
      </c>
      <c r="Y2" s="31">
        <v>44950</v>
      </c>
      <c r="Z2" s="31">
        <v>44951</v>
      </c>
      <c r="AA2" s="31">
        <v>44952</v>
      </c>
      <c r="AB2" s="31">
        <v>44953</v>
      </c>
      <c r="AC2" s="31">
        <v>44954</v>
      </c>
      <c r="AD2" s="31">
        <v>44955</v>
      </c>
      <c r="AE2" s="31">
        <v>44956</v>
      </c>
      <c r="AF2" s="31">
        <v>44957</v>
      </c>
      <c r="AG2" s="31">
        <v>44958</v>
      </c>
    </row>
    <row r="3" spans="1:33" x14ac:dyDescent="0.35">
      <c r="A3" s="105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</row>
    <row r="4" spans="1:33" x14ac:dyDescent="0.35">
      <c r="A4" s="193" t="s">
        <v>12</v>
      </c>
      <c r="B4" s="185" t="s">
        <v>11</v>
      </c>
      <c r="C4" s="185" t="s">
        <v>10</v>
      </c>
      <c r="D4" s="185" t="s">
        <v>10</v>
      </c>
      <c r="E4" s="185" t="s">
        <v>10</v>
      </c>
      <c r="F4" s="185" t="s">
        <v>10</v>
      </c>
      <c r="G4" s="184" t="s">
        <v>2</v>
      </c>
      <c r="H4" s="123" t="s">
        <v>4</v>
      </c>
      <c r="I4" s="185" t="s">
        <v>11</v>
      </c>
      <c r="J4" s="185" t="s">
        <v>10</v>
      </c>
      <c r="K4" s="185" t="s">
        <v>10</v>
      </c>
      <c r="L4" s="185" t="s">
        <v>10</v>
      </c>
      <c r="M4" s="184" t="s">
        <v>2</v>
      </c>
      <c r="N4" s="185" t="s">
        <v>10</v>
      </c>
      <c r="O4" s="185" t="s">
        <v>11</v>
      </c>
      <c r="P4" s="185" t="s">
        <v>11</v>
      </c>
      <c r="Q4" s="185" t="s">
        <v>10</v>
      </c>
      <c r="R4" s="131" t="s">
        <v>5</v>
      </c>
      <c r="S4" s="131" t="s">
        <v>5</v>
      </c>
      <c r="T4" s="131" t="s">
        <v>5</v>
      </c>
      <c r="U4" s="131" t="s">
        <v>5</v>
      </c>
      <c r="V4" s="185" t="s">
        <v>11</v>
      </c>
      <c r="W4" s="185" t="s">
        <v>11</v>
      </c>
      <c r="X4" s="185" t="s">
        <v>10</v>
      </c>
      <c r="Y4" s="185" t="s">
        <v>10</v>
      </c>
      <c r="Z4" s="185" t="s">
        <v>10</v>
      </c>
      <c r="AA4" s="185" t="s">
        <v>11</v>
      </c>
      <c r="AB4" s="184" t="s">
        <v>2</v>
      </c>
      <c r="AC4" s="123" t="s">
        <v>4</v>
      </c>
      <c r="AD4" s="185" t="s">
        <v>11</v>
      </c>
      <c r="AE4" s="185" t="s">
        <v>10</v>
      </c>
      <c r="AF4" s="185" t="s">
        <v>10</v>
      </c>
      <c r="AG4" s="184" t="s">
        <v>2</v>
      </c>
    </row>
    <row r="5" spans="1:33" x14ac:dyDescent="0.35">
      <c r="A5" s="182" t="s">
        <v>21</v>
      </c>
      <c r="B5" s="123" t="s">
        <v>4</v>
      </c>
      <c r="C5" s="184" t="s">
        <v>2</v>
      </c>
      <c r="D5" s="185" t="s">
        <v>10</v>
      </c>
      <c r="E5" s="185" t="s">
        <v>10</v>
      </c>
      <c r="F5" s="185" t="s">
        <v>10</v>
      </c>
      <c r="G5" s="185" t="s">
        <v>10</v>
      </c>
      <c r="H5" s="185" t="s">
        <v>11</v>
      </c>
      <c r="I5" s="123" t="s">
        <v>4</v>
      </c>
      <c r="J5" s="184" t="s">
        <v>2</v>
      </c>
      <c r="K5" s="185" t="s">
        <v>10</v>
      </c>
      <c r="L5" s="185" t="s">
        <v>10</v>
      </c>
      <c r="M5" s="185" t="s">
        <v>10</v>
      </c>
      <c r="N5" s="131" t="s">
        <v>5</v>
      </c>
      <c r="O5" s="131" t="s">
        <v>4</v>
      </c>
      <c r="P5" s="131" t="s">
        <v>4</v>
      </c>
      <c r="Q5" s="131" t="s">
        <v>5</v>
      </c>
      <c r="R5" s="185" t="s">
        <v>10</v>
      </c>
      <c r="S5" s="185" t="s">
        <v>10</v>
      </c>
      <c r="T5" s="185" t="s">
        <v>10</v>
      </c>
      <c r="U5" s="185" t="s">
        <v>10</v>
      </c>
      <c r="V5" s="185" t="s">
        <v>11</v>
      </c>
      <c r="W5" s="123" t="s">
        <v>4</v>
      </c>
      <c r="X5" s="184" t="s">
        <v>2</v>
      </c>
      <c r="Y5" s="185" t="s">
        <v>10</v>
      </c>
      <c r="Z5" s="185" t="s">
        <v>10</v>
      </c>
      <c r="AA5" s="185" t="s">
        <v>11</v>
      </c>
      <c r="AB5" s="185" t="s">
        <v>10</v>
      </c>
      <c r="AC5" s="185" t="s">
        <v>11</v>
      </c>
      <c r="AD5" s="123" t="s">
        <v>4</v>
      </c>
      <c r="AE5" s="184" t="s">
        <v>2</v>
      </c>
      <c r="AF5" s="19" t="s">
        <v>41</v>
      </c>
      <c r="AG5" s="25" t="s">
        <v>6</v>
      </c>
    </row>
    <row r="6" spans="1:33" x14ac:dyDescent="0.35">
      <c r="A6" s="182" t="s">
        <v>75</v>
      </c>
      <c r="B6" s="185" t="s">
        <v>11</v>
      </c>
      <c r="C6" s="185" t="s">
        <v>10</v>
      </c>
      <c r="D6" s="185" t="s">
        <v>10</v>
      </c>
      <c r="E6" s="184" t="s">
        <v>2</v>
      </c>
      <c r="F6" s="185" t="s">
        <v>10</v>
      </c>
      <c r="G6" s="185" t="s">
        <v>10</v>
      </c>
      <c r="H6" s="185" t="s">
        <v>11</v>
      </c>
      <c r="I6" s="123" t="s">
        <v>4</v>
      </c>
      <c r="J6" s="185" t="s">
        <v>10</v>
      </c>
      <c r="K6" s="185" t="s">
        <v>10</v>
      </c>
      <c r="L6" s="184" t="s">
        <v>2</v>
      </c>
      <c r="M6" s="185" t="s">
        <v>10</v>
      </c>
      <c r="N6" s="185" t="s">
        <v>10</v>
      </c>
      <c r="O6" s="123" t="s">
        <v>4</v>
      </c>
      <c r="P6" s="185" t="s">
        <v>11</v>
      </c>
      <c r="Q6" s="185" t="s">
        <v>10</v>
      </c>
      <c r="R6" s="185" t="s">
        <v>10</v>
      </c>
      <c r="S6" s="184" t="s">
        <v>2</v>
      </c>
      <c r="T6" s="185" t="s">
        <v>10</v>
      </c>
      <c r="U6" s="185" t="s">
        <v>10</v>
      </c>
      <c r="V6" s="123" t="s">
        <v>4</v>
      </c>
      <c r="W6" s="185" t="s">
        <v>11</v>
      </c>
      <c r="X6" s="185" t="s">
        <v>10</v>
      </c>
      <c r="Y6" s="184" t="s">
        <v>2</v>
      </c>
      <c r="Z6" s="185" t="s">
        <v>10</v>
      </c>
      <c r="AA6" s="183" t="s">
        <v>37</v>
      </c>
      <c r="AB6" s="185" t="s">
        <v>10</v>
      </c>
      <c r="AC6" s="123" t="s">
        <v>4</v>
      </c>
      <c r="AD6" s="185" t="s">
        <v>11</v>
      </c>
      <c r="AE6" s="185" t="s">
        <v>10</v>
      </c>
      <c r="AF6" s="185" t="s">
        <v>10</v>
      </c>
      <c r="AG6" s="25" t="s">
        <v>6</v>
      </c>
    </row>
    <row r="7" spans="1:33" x14ac:dyDescent="0.35">
      <c r="A7" s="182" t="s">
        <v>77</v>
      </c>
      <c r="B7" s="123" t="s">
        <v>4</v>
      </c>
      <c r="C7" s="184" t="s">
        <v>2</v>
      </c>
      <c r="D7" s="185" t="s">
        <v>10</v>
      </c>
      <c r="E7" s="185" t="s">
        <v>10</v>
      </c>
      <c r="F7" s="185" t="s">
        <v>10</v>
      </c>
      <c r="G7" s="185" t="s">
        <v>10</v>
      </c>
      <c r="H7" s="185" t="s">
        <v>11</v>
      </c>
      <c r="I7" s="123" t="s">
        <v>4</v>
      </c>
      <c r="J7" s="184" t="s">
        <v>2</v>
      </c>
      <c r="K7" s="131" t="s">
        <v>5</v>
      </c>
      <c r="L7" s="185" t="s">
        <v>10</v>
      </c>
      <c r="M7" s="185" t="s">
        <v>10</v>
      </c>
      <c r="N7" s="185" t="s">
        <v>10</v>
      </c>
      <c r="O7" s="185" t="s">
        <v>11</v>
      </c>
      <c r="P7" s="123" t="s">
        <v>4</v>
      </c>
      <c r="Q7" s="184" t="s">
        <v>2</v>
      </c>
      <c r="R7" s="185" t="s">
        <v>10</v>
      </c>
      <c r="S7" s="185" t="s">
        <v>10</v>
      </c>
      <c r="T7" s="185" t="s">
        <v>10</v>
      </c>
      <c r="U7" s="185" t="s">
        <v>10</v>
      </c>
      <c r="V7" s="123" t="s">
        <v>4</v>
      </c>
      <c r="W7" s="123" t="s">
        <v>4</v>
      </c>
      <c r="X7" s="184" t="s">
        <v>2</v>
      </c>
      <c r="Y7" s="185" t="s">
        <v>10</v>
      </c>
      <c r="Z7" s="185" t="s">
        <v>10</v>
      </c>
      <c r="AA7" s="185" t="s">
        <v>11</v>
      </c>
      <c r="AB7" s="185" t="s">
        <v>10</v>
      </c>
      <c r="AC7" s="185" t="s">
        <v>11</v>
      </c>
      <c r="AD7" s="123" t="s">
        <v>4</v>
      </c>
      <c r="AE7" s="184" t="s">
        <v>2</v>
      </c>
      <c r="AF7" s="22" t="s">
        <v>16</v>
      </c>
      <c r="AG7" s="25" t="s">
        <v>6</v>
      </c>
    </row>
    <row r="8" spans="1:33" x14ac:dyDescent="0.35">
      <c r="A8" s="182" t="s">
        <v>76</v>
      </c>
      <c r="B8" s="123" t="s">
        <v>4</v>
      </c>
      <c r="C8" s="185" t="s">
        <v>10</v>
      </c>
      <c r="D8" s="184" t="s">
        <v>2</v>
      </c>
      <c r="E8" s="25" t="s">
        <v>6</v>
      </c>
      <c r="F8" s="22" t="s">
        <v>16</v>
      </c>
      <c r="G8" s="25" t="s">
        <v>6</v>
      </c>
      <c r="H8" s="22" t="s">
        <v>30</v>
      </c>
      <c r="I8" s="185" t="s">
        <v>11</v>
      </c>
      <c r="J8" s="185" t="s">
        <v>10</v>
      </c>
      <c r="K8" s="184" t="s">
        <v>2</v>
      </c>
      <c r="L8" s="184" t="s">
        <v>2</v>
      </c>
      <c r="M8" s="185" t="s">
        <v>10</v>
      </c>
      <c r="N8" s="185" t="s">
        <v>10</v>
      </c>
      <c r="O8" s="185" t="s">
        <v>11</v>
      </c>
      <c r="P8" s="123" t="s">
        <v>4</v>
      </c>
      <c r="Q8" s="185" t="s">
        <v>10</v>
      </c>
      <c r="R8" s="185" t="s">
        <v>10</v>
      </c>
      <c r="S8" s="185" t="s">
        <v>10</v>
      </c>
      <c r="T8" s="185" t="s">
        <v>10</v>
      </c>
      <c r="U8" s="184" t="s">
        <v>2</v>
      </c>
      <c r="V8" s="22" t="s">
        <v>30</v>
      </c>
      <c r="W8" s="123" t="s">
        <v>4</v>
      </c>
      <c r="X8" s="185" t="s">
        <v>10</v>
      </c>
      <c r="Y8" s="185" t="s">
        <v>10</v>
      </c>
      <c r="Z8" s="131" t="s">
        <v>5</v>
      </c>
      <c r="AA8" s="131" t="s">
        <v>5</v>
      </c>
      <c r="AB8" s="131" t="s">
        <v>5</v>
      </c>
      <c r="AC8" s="131" t="s">
        <v>5</v>
      </c>
      <c r="AD8" s="131" t="s">
        <v>5</v>
      </c>
      <c r="AE8" s="185" t="s">
        <v>10</v>
      </c>
      <c r="AF8" s="185" t="s">
        <v>10</v>
      </c>
      <c r="AG8" s="131" t="s">
        <v>5</v>
      </c>
    </row>
    <row r="9" spans="1:33" x14ac:dyDescent="0.35">
      <c r="A9" s="194"/>
      <c r="B9" s="195"/>
      <c r="C9" s="195"/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  <c r="AA9" s="195"/>
      <c r="AB9" s="195"/>
      <c r="AC9" s="195"/>
      <c r="AD9" s="195"/>
      <c r="AE9" s="195"/>
      <c r="AF9" s="196"/>
    </row>
    <row r="10" spans="1:33" x14ac:dyDescent="0.35">
      <c r="A10" s="193" t="s">
        <v>9</v>
      </c>
      <c r="B10" s="131" t="s">
        <v>4</v>
      </c>
      <c r="C10" s="131" t="s">
        <v>5</v>
      </c>
      <c r="D10" s="131" t="s">
        <v>5</v>
      </c>
      <c r="E10" s="131" t="s">
        <v>5</v>
      </c>
      <c r="F10" s="131" t="s">
        <v>5</v>
      </c>
      <c r="G10" s="131" t="s">
        <v>5</v>
      </c>
      <c r="H10" s="131" t="s">
        <v>4</v>
      </c>
      <c r="I10" s="131" t="s">
        <v>4</v>
      </c>
      <c r="J10" s="25" t="s">
        <v>6</v>
      </c>
      <c r="K10" s="25" t="s">
        <v>6</v>
      </c>
      <c r="L10" s="25" t="s">
        <v>6</v>
      </c>
      <c r="M10" s="25" t="s">
        <v>6</v>
      </c>
      <c r="N10" s="184" t="s">
        <v>2</v>
      </c>
      <c r="O10" s="25" t="s">
        <v>3</v>
      </c>
      <c r="P10" s="25" t="s">
        <v>3</v>
      </c>
      <c r="Q10" s="25" t="s">
        <v>6</v>
      </c>
      <c r="R10" s="25" t="s">
        <v>6</v>
      </c>
      <c r="S10" s="25" t="s">
        <v>6</v>
      </c>
      <c r="T10" s="184" t="s">
        <v>2</v>
      </c>
      <c r="U10" s="184" t="s">
        <v>2</v>
      </c>
      <c r="V10" s="25" t="s">
        <v>3</v>
      </c>
      <c r="W10" s="25" t="s">
        <v>3</v>
      </c>
      <c r="X10" s="25" t="s">
        <v>6</v>
      </c>
      <c r="Y10" s="25" t="s">
        <v>6</v>
      </c>
      <c r="Z10" s="25" t="s">
        <v>6</v>
      </c>
      <c r="AA10" s="25" t="s">
        <v>3</v>
      </c>
      <c r="AB10" s="131" t="s">
        <v>5</v>
      </c>
      <c r="AC10" s="131" t="s">
        <v>5</v>
      </c>
      <c r="AD10" s="131" t="s">
        <v>5</v>
      </c>
      <c r="AE10" s="25" t="s">
        <v>6</v>
      </c>
      <c r="AF10" s="25" t="s">
        <v>6</v>
      </c>
      <c r="AG10" s="19" t="s">
        <v>41</v>
      </c>
    </row>
    <row r="11" spans="1:33" x14ac:dyDescent="0.35">
      <c r="A11" s="193" t="s">
        <v>15</v>
      </c>
      <c r="B11" s="131" t="s">
        <v>4</v>
      </c>
      <c r="C11" s="25" t="s">
        <v>6</v>
      </c>
      <c r="D11" s="25" t="s">
        <v>6</v>
      </c>
      <c r="E11" s="25" t="s">
        <v>6</v>
      </c>
      <c r="F11" s="25" t="s">
        <v>6</v>
      </c>
      <c r="G11" s="25" t="s">
        <v>6</v>
      </c>
      <c r="H11" s="25" t="s">
        <v>3</v>
      </c>
      <c r="I11" s="25" t="s">
        <v>3</v>
      </c>
      <c r="J11" s="184" t="s">
        <v>2</v>
      </c>
      <c r="K11" s="184" t="s">
        <v>2</v>
      </c>
      <c r="L11" s="25" t="s">
        <v>6</v>
      </c>
      <c r="M11" s="25" t="s">
        <v>6</v>
      </c>
      <c r="N11" s="25" t="s">
        <v>6</v>
      </c>
      <c r="O11" s="123" t="s">
        <v>4</v>
      </c>
      <c r="P11" s="123" t="s">
        <v>4</v>
      </c>
      <c r="Q11" s="25" t="s">
        <v>6</v>
      </c>
      <c r="R11" s="25" t="s">
        <v>6</v>
      </c>
      <c r="S11" s="25" t="s">
        <v>6</v>
      </c>
      <c r="T11" s="25" t="s">
        <v>6</v>
      </c>
      <c r="U11" s="25" t="s">
        <v>6</v>
      </c>
      <c r="V11" s="123" t="s">
        <v>4</v>
      </c>
      <c r="W11" s="123" t="s">
        <v>4</v>
      </c>
      <c r="X11" s="25" t="s">
        <v>6</v>
      </c>
      <c r="Y11" s="197" t="s">
        <v>34</v>
      </c>
      <c r="Z11" s="184" t="s">
        <v>2</v>
      </c>
      <c r="AA11" s="25" t="s">
        <v>3</v>
      </c>
      <c r="AB11" s="25" t="s">
        <v>6</v>
      </c>
      <c r="AC11" s="25" t="s">
        <v>3</v>
      </c>
      <c r="AD11" s="25" t="s">
        <v>3</v>
      </c>
      <c r="AE11" s="184" t="s">
        <v>2</v>
      </c>
      <c r="AF11" s="25" t="s">
        <v>6</v>
      </c>
      <c r="AG11" s="19" t="s">
        <v>41</v>
      </c>
    </row>
    <row r="12" spans="1:33" x14ac:dyDescent="0.35">
      <c r="A12" s="182" t="s">
        <v>22</v>
      </c>
      <c r="B12" s="123" t="s">
        <v>4</v>
      </c>
      <c r="C12" s="25" t="s">
        <v>6</v>
      </c>
      <c r="D12" s="25" t="s">
        <v>6</v>
      </c>
      <c r="E12" s="25" t="s">
        <v>6</v>
      </c>
      <c r="F12" s="25" t="s">
        <v>6</v>
      </c>
      <c r="G12" s="184" t="s">
        <v>2</v>
      </c>
      <c r="H12" s="123" t="s">
        <v>4</v>
      </c>
      <c r="I12" s="25" t="s">
        <v>3</v>
      </c>
      <c r="J12" s="25" t="s">
        <v>6</v>
      </c>
      <c r="K12" s="25" t="s">
        <v>6</v>
      </c>
      <c r="L12" s="184" t="s">
        <v>2</v>
      </c>
      <c r="M12" s="25" t="s">
        <v>6</v>
      </c>
      <c r="N12" s="25" t="s">
        <v>6</v>
      </c>
      <c r="O12" s="25" t="s">
        <v>3</v>
      </c>
      <c r="P12" s="131" t="s">
        <v>4</v>
      </c>
      <c r="Q12" s="131" t="s">
        <v>5</v>
      </c>
      <c r="R12" s="131" t="s">
        <v>5</v>
      </c>
      <c r="S12" s="25" t="s">
        <v>6</v>
      </c>
      <c r="T12" s="25" t="s">
        <v>6</v>
      </c>
      <c r="U12" s="25" t="s">
        <v>6</v>
      </c>
      <c r="V12" s="25" t="s">
        <v>3</v>
      </c>
      <c r="W12" s="123" t="s">
        <v>4</v>
      </c>
      <c r="X12" s="184" t="s">
        <v>2</v>
      </c>
      <c r="Y12" s="25" t="s">
        <v>6</v>
      </c>
      <c r="Z12" s="25" t="s">
        <v>6</v>
      </c>
      <c r="AA12" s="25" t="s">
        <v>3</v>
      </c>
      <c r="AB12" s="25" t="s">
        <v>6</v>
      </c>
      <c r="AC12" s="25" t="s">
        <v>3</v>
      </c>
      <c r="AD12" s="123" t="s">
        <v>4</v>
      </c>
      <c r="AE12" s="25" t="s">
        <v>6</v>
      </c>
      <c r="AF12" s="131" t="s">
        <v>5</v>
      </c>
      <c r="AG12" s="131" t="s">
        <v>5</v>
      </c>
    </row>
    <row r="13" spans="1:33" x14ac:dyDescent="0.35">
      <c r="A13" s="182" t="s">
        <v>181</v>
      </c>
      <c r="B13" s="123" t="s">
        <v>4</v>
      </c>
      <c r="C13" s="22" t="s">
        <v>16</v>
      </c>
      <c r="D13" s="22" t="s">
        <v>16</v>
      </c>
      <c r="E13" s="22" t="s">
        <v>16</v>
      </c>
      <c r="F13" s="22" t="s">
        <v>16</v>
      </c>
      <c r="G13" s="22" t="s">
        <v>16</v>
      </c>
      <c r="H13" s="123" t="s">
        <v>4</v>
      </c>
      <c r="I13" s="123" t="s">
        <v>4</v>
      </c>
      <c r="J13" s="22" t="s">
        <v>16</v>
      </c>
      <c r="K13" s="22" t="s">
        <v>16</v>
      </c>
      <c r="L13" s="22" t="s">
        <v>16</v>
      </c>
      <c r="M13" s="22" t="s">
        <v>16</v>
      </c>
      <c r="N13" s="22" t="s">
        <v>16</v>
      </c>
      <c r="O13" s="123" t="s">
        <v>4</v>
      </c>
      <c r="P13" s="123" t="s">
        <v>4</v>
      </c>
      <c r="Q13" s="131" t="s">
        <v>5</v>
      </c>
      <c r="R13" s="22" t="s">
        <v>16</v>
      </c>
      <c r="S13" s="22" t="s">
        <v>16</v>
      </c>
      <c r="T13" s="22" t="s">
        <v>16</v>
      </c>
      <c r="U13" s="22" t="s">
        <v>16</v>
      </c>
      <c r="V13" s="123" t="s">
        <v>4</v>
      </c>
      <c r="W13" s="123" t="s">
        <v>4</v>
      </c>
      <c r="X13" s="22" t="s">
        <v>16</v>
      </c>
      <c r="Y13" s="22" t="s">
        <v>16</v>
      </c>
      <c r="Z13" s="22" t="s">
        <v>16</v>
      </c>
      <c r="AA13" s="183" t="s">
        <v>37</v>
      </c>
      <c r="AB13" s="22" t="s">
        <v>16</v>
      </c>
      <c r="AC13" s="123" t="s">
        <v>4</v>
      </c>
      <c r="AD13" s="123" t="s">
        <v>4</v>
      </c>
      <c r="AE13" s="22" t="s">
        <v>16</v>
      </c>
      <c r="AF13" s="22" t="s">
        <v>16</v>
      </c>
      <c r="AG13" s="19" t="s">
        <v>41</v>
      </c>
    </row>
    <row r="14" spans="1:33" x14ac:dyDescent="0.35">
      <c r="A14" s="182" t="s">
        <v>155</v>
      </c>
      <c r="B14" s="25" t="s">
        <v>3</v>
      </c>
      <c r="C14" s="25" t="s">
        <v>6</v>
      </c>
      <c r="D14" s="25" t="s">
        <v>6</v>
      </c>
      <c r="E14" s="184" t="s">
        <v>2</v>
      </c>
      <c r="F14" s="25" t="s">
        <v>6</v>
      </c>
      <c r="G14" s="25" t="s">
        <v>6</v>
      </c>
      <c r="H14" s="25" t="s">
        <v>3</v>
      </c>
      <c r="I14" s="123" t="s">
        <v>4</v>
      </c>
      <c r="J14" s="25" t="s">
        <v>6</v>
      </c>
      <c r="K14" s="25" t="s">
        <v>6</v>
      </c>
      <c r="L14" s="25" t="s">
        <v>6</v>
      </c>
      <c r="M14" s="184" t="s">
        <v>2</v>
      </c>
      <c r="N14" s="25" t="s">
        <v>6</v>
      </c>
      <c r="O14" s="123" t="s">
        <v>4</v>
      </c>
      <c r="P14" s="25" t="s">
        <v>3</v>
      </c>
      <c r="Q14" s="25" t="s">
        <v>6</v>
      </c>
      <c r="R14" s="25" t="s">
        <v>6</v>
      </c>
      <c r="S14" s="184" t="s">
        <v>2</v>
      </c>
      <c r="T14" s="25" t="s">
        <v>6</v>
      </c>
      <c r="U14" s="25" t="s">
        <v>6</v>
      </c>
      <c r="V14" s="123" t="s">
        <v>4</v>
      </c>
      <c r="W14" s="25" t="s">
        <v>3</v>
      </c>
      <c r="X14" s="25" t="s">
        <v>6</v>
      </c>
      <c r="Y14" s="25" t="s">
        <v>6</v>
      </c>
      <c r="Z14" s="25" t="s">
        <v>6</v>
      </c>
      <c r="AA14" s="183" t="s">
        <v>37</v>
      </c>
      <c r="AB14" s="25" t="s">
        <v>6</v>
      </c>
      <c r="AC14" s="123" t="s">
        <v>4</v>
      </c>
      <c r="AD14" s="25" t="s">
        <v>3</v>
      </c>
      <c r="AE14" s="25" t="s">
        <v>6</v>
      </c>
      <c r="AF14" s="25" t="s">
        <v>6</v>
      </c>
      <c r="AG14" s="19" t="s">
        <v>41</v>
      </c>
    </row>
    <row r="15" spans="1:33" x14ac:dyDescent="0.35">
      <c r="A15" s="194"/>
      <c r="B15" s="195"/>
      <c r="C15" s="195"/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6"/>
      <c r="AG15" s="70"/>
    </row>
    <row r="16" spans="1:33" x14ac:dyDescent="0.35">
      <c r="A16" s="193" t="s">
        <v>1</v>
      </c>
      <c r="B16" s="19" t="s">
        <v>42</v>
      </c>
      <c r="C16" s="19" t="s">
        <v>41</v>
      </c>
      <c r="D16" s="19" t="s">
        <v>41</v>
      </c>
      <c r="E16" s="19" t="s">
        <v>41</v>
      </c>
      <c r="F16" s="19" t="s">
        <v>41</v>
      </c>
      <c r="G16" s="184" t="s">
        <v>2</v>
      </c>
      <c r="H16" s="131" t="s">
        <v>4</v>
      </c>
      <c r="I16" s="131" t="s">
        <v>4</v>
      </c>
      <c r="J16" s="131" t="s">
        <v>5</v>
      </c>
      <c r="K16" s="131" t="s">
        <v>5</v>
      </c>
      <c r="L16" s="131" t="s">
        <v>5</v>
      </c>
      <c r="M16" s="131" t="s">
        <v>5</v>
      </c>
      <c r="N16" s="131" t="s">
        <v>5</v>
      </c>
      <c r="O16" s="19" t="s">
        <v>42</v>
      </c>
      <c r="P16" s="19" t="s">
        <v>42</v>
      </c>
      <c r="Q16" s="19" t="s">
        <v>41</v>
      </c>
      <c r="R16" s="19" t="s">
        <v>41</v>
      </c>
      <c r="S16" s="19" t="s">
        <v>41</v>
      </c>
      <c r="T16" s="19" t="s">
        <v>41</v>
      </c>
      <c r="U16" s="184" t="s">
        <v>2</v>
      </c>
      <c r="V16" s="123" t="s">
        <v>4</v>
      </c>
      <c r="W16" s="19" t="s">
        <v>42</v>
      </c>
      <c r="X16" s="19" t="s">
        <v>41</v>
      </c>
      <c r="Y16" s="19" t="s">
        <v>41</v>
      </c>
      <c r="Z16" s="19" t="s">
        <v>41</v>
      </c>
      <c r="AA16" s="19" t="s">
        <v>42</v>
      </c>
      <c r="AB16" s="184" t="s">
        <v>2</v>
      </c>
      <c r="AC16" s="19" t="s">
        <v>42</v>
      </c>
      <c r="AD16" s="19" t="s">
        <v>42</v>
      </c>
      <c r="AE16" s="19" t="s">
        <v>41</v>
      </c>
      <c r="AF16" s="184" t="s">
        <v>2</v>
      </c>
      <c r="AG16" s="185" t="s">
        <v>10</v>
      </c>
    </row>
    <row r="17" spans="1:33" x14ac:dyDescent="0.35">
      <c r="A17" s="193" t="s">
        <v>43</v>
      </c>
      <c r="B17" s="25" t="s">
        <v>3</v>
      </c>
      <c r="C17" s="184" t="s">
        <v>2</v>
      </c>
      <c r="D17" s="19" t="s">
        <v>41</v>
      </c>
      <c r="E17" s="19" t="s">
        <v>41</v>
      </c>
      <c r="F17" s="19" t="s">
        <v>41</v>
      </c>
      <c r="G17" s="19" t="s">
        <v>41</v>
      </c>
      <c r="H17" s="19" t="s">
        <v>42</v>
      </c>
      <c r="I17" s="123" t="s">
        <v>4</v>
      </c>
      <c r="J17" s="184" t="s">
        <v>2</v>
      </c>
      <c r="K17" s="19" t="s">
        <v>41</v>
      </c>
      <c r="L17" s="19" t="s">
        <v>41</v>
      </c>
      <c r="M17" s="19" t="s">
        <v>41</v>
      </c>
      <c r="N17" s="19" t="s">
        <v>41</v>
      </c>
      <c r="O17" s="123" t="s">
        <v>4</v>
      </c>
      <c r="P17" s="123" t="s">
        <v>4</v>
      </c>
      <c r="Q17" s="19" t="s">
        <v>41</v>
      </c>
      <c r="R17" s="19" t="s">
        <v>41</v>
      </c>
      <c r="S17" s="19" t="s">
        <v>41</v>
      </c>
      <c r="T17" s="19" t="s">
        <v>41</v>
      </c>
      <c r="U17" s="19" t="s">
        <v>41</v>
      </c>
      <c r="V17" s="19" t="s">
        <v>42</v>
      </c>
      <c r="W17" s="123" t="s">
        <v>4</v>
      </c>
      <c r="X17" s="184" t="s">
        <v>2</v>
      </c>
      <c r="Y17" s="19" t="s">
        <v>41</v>
      </c>
      <c r="Z17" s="19" t="s">
        <v>41</v>
      </c>
      <c r="AA17" s="19" t="s">
        <v>42</v>
      </c>
      <c r="AB17" s="19" t="s">
        <v>41</v>
      </c>
      <c r="AC17" s="19" t="s">
        <v>42</v>
      </c>
      <c r="AD17" s="123" t="s">
        <v>4</v>
      </c>
      <c r="AE17" s="184" t="s">
        <v>2</v>
      </c>
      <c r="AF17" s="19" t="s">
        <v>41</v>
      </c>
      <c r="AG17" s="185" t="s">
        <v>10</v>
      </c>
    </row>
    <row r="18" spans="1:33" x14ac:dyDescent="0.35">
      <c r="A18" s="182" t="s">
        <v>74</v>
      </c>
      <c r="B18" s="19" t="s">
        <v>42</v>
      </c>
      <c r="C18" s="184" t="s">
        <v>2</v>
      </c>
      <c r="D18" s="184" t="s">
        <v>2</v>
      </c>
      <c r="E18" s="131" t="s">
        <v>5</v>
      </c>
      <c r="F18" s="131" t="s">
        <v>5</v>
      </c>
      <c r="G18" s="19" t="s">
        <v>41</v>
      </c>
      <c r="H18" s="19" t="s">
        <v>42</v>
      </c>
      <c r="I18" s="19" t="s">
        <v>42</v>
      </c>
      <c r="J18" s="19" t="s">
        <v>41</v>
      </c>
      <c r="K18" s="184" t="s">
        <v>2</v>
      </c>
      <c r="L18" s="184" t="s">
        <v>2</v>
      </c>
      <c r="M18" s="19" t="s">
        <v>41</v>
      </c>
      <c r="N18" s="19" t="s">
        <v>41</v>
      </c>
      <c r="O18" s="22" t="s">
        <v>30</v>
      </c>
      <c r="P18" s="19" t="s">
        <v>42</v>
      </c>
      <c r="Q18" s="19" t="s">
        <v>41</v>
      </c>
      <c r="R18" s="184" t="s">
        <v>2</v>
      </c>
      <c r="S18" s="184" t="s">
        <v>2</v>
      </c>
      <c r="T18" s="19" t="s">
        <v>41</v>
      </c>
      <c r="U18" s="19" t="s">
        <v>41</v>
      </c>
      <c r="V18" s="19" t="s">
        <v>42</v>
      </c>
      <c r="W18" s="123" t="s">
        <v>4</v>
      </c>
      <c r="X18" s="19" t="s">
        <v>41</v>
      </c>
      <c r="Y18" s="19" t="s">
        <v>41</v>
      </c>
      <c r="Z18" s="19" t="s">
        <v>41</v>
      </c>
      <c r="AA18" s="183" t="s">
        <v>37</v>
      </c>
      <c r="AB18" s="19" t="s">
        <v>41</v>
      </c>
      <c r="AC18" s="22" t="s">
        <v>30</v>
      </c>
      <c r="AD18" s="123" t="s">
        <v>4</v>
      </c>
      <c r="AE18" s="19" t="s">
        <v>41</v>
      </c>
      <c r="AF18" s="184" t="s">
        <v>2</v>
      </c>
      <c r="AG18" s="185" t="s">
        <v>10</v>
      </c>
    </row>
    <row r="19" spans="1:33" x14ac:dyDescent="0.35">
      <c r="A19" s="182" t="s">
        <v>62</v>
      </c>
      <c r="B19" s="123" t="s">
        <v>4</v>
      </c>
      <c r="C19" s="19" t="s">
        <v>41</v>
      </c>
      <c r="D19" s="19" t="s">
        <v>41</v>
      </c>
      <c r="E19" s="19" t="s">
        <v>41</v>
      </c>
      <c r="F19" s="19" t="s">
        <v>41</v>
      </c>
      <c r="G19" s="184" t="s">
        <v>2</v>
      </c>
      <c r="H19" s="123" t="s">
        <v>4</v>
      </c>
      <c r="I19" s="19" t="s">
        <v>42</v>
      </c>
      <c r="J19" s="19" t="s">
        <v>41</v>
      </c>
      <c r="K19" s="19" t="s">
        <v>41</v>
      </c>
      <c r="L19" s="19" t="s">
        <v>41</v>
      </c>
      <c r="M19" s="19" t="s">
        <v>41</v>
      </c>
      <c r="N19" s="19" t="s">
        <v>41</v>
      </c>
      <c r="O19" s="19" t="s">
        <v>42</v>
      </c>
      <c r="P19" s="123" t="s">
        <v>4</v>
      </c>
      <c r="Q19" s="184" t="s">
        <v>2</v>
      </c>
      <c r="R19" s="19" t="s">
        <v>41</v>
      </c>
      <c r="S19" s="19" t="s">
        <v>41</v>
      </c>
      <c r="T19" s="184" t="s">
        <v>2</v>
      </c>
      <c r="U19" s="19" t="s">
        <v>41</v>
      </c>
      <c r="V19" s="123" t="s">
        <v>4</v>
      </c>
      <c r="W19" s="19" t="s">
        <v>42</v>
      </c>
      <c r="X19" s="19" t="s">
        <v>41</v>
      </c>
      <c r="Y19" s="19" t="s">
        <v>41</v>
      </c>
      <c r="Z19" s="184" t="s">
        <v>2</v>
      </c>
      <c r="AA19" s="19" t="s">
        <v>42</v>
      </c>
      <c r="AB19" s="19" t="s">
        <v>41</v>
      </c>
      <c r="AC19" s="123" t="s">
        <v>4</v>
      </c>
      <c r="AD19" s="19" t="s">
        <v>42</v>
      </c>
      <c r="AE19" s="19" t="s">
        <v>41</v>
      </c>
      <c r="AF19" s="19" t="s">
        <v>41</v>
      </c>
      <c r="AG19" s="22" t="s">
        <v>16</v>
      </c>
    </row>
    <row r="20" spans="1:33" x14ac:dyDescent="0.35">
      <c r="A20" s="182" t="s">
        <v>171</v>
      </c>
      <c r="B20" s="123" t="s">
        <v>4</v>
      </c>
      <c r="C20" s="19" t="s">
        <v>41</v>
      </c>
      <c r="D20" s="19" t="s">
        <v>41</v>
      </c>
      <c r="E20" s="19" t="s">
        <v>41</v>
      </c>
      <c r="F20" s="19" t="s">
        <v>41</v>
      </c>
      <c r="G20" s="19" t="s">
        <v>41</v>
      </c>
      <c r="H20" s="123" t="s">
        <v>4</v>
      </c>
      <c r="I20" s="123" t="s">
        <v>4</v>
      </c>
      <c r="J20" s="19" t="s">
        <v>41</v>
      </c>
      <c r="K20" s="19" t="s">
        <v>41</v>
      </c>
      <c r="L20" s="19" t="s">
        <v>41</v>
      </c>
      <c r="M20" s="19" t="s">
        <v>41</v>
      </c>
      <c r="N20" s="131" t="s">
        <v>5</v>
      </c>
      <c r="O20" s="131" t="s">
        <v>4</v>
      </c>
      <c r="P20" s="131" t="s">
        <v>4</v>
      </c>
      <c r="Q20" s="131" t="s">
        <v>5</v>
      </c>
      <c r="R20" s="22" t="s">
        <v>16</v>
      </c>
      <c r="S20" s="22" t="s">
        <v>16</v>
      </c>
      <c r="T20" s="22" t="s">
        <v>16</v>
      </c>
      <c r="U20" s="131" t="s">
        <v>5</v>
      </c>
      <c r="V20" s="131" t="s">
        <v>4</v>
      </c>
      <c r="W20" s="131" t="s">
        <v>4</v>
      </c>
      <c r="X20" s="131" t="s">
        <v>5</v>
      </c>
      <c r="Y20" s="22" t="s">
        <v>16</v>
      </c>
      <c r="Z20" s="22" t="s">
        <v>16</v>
      </c>
      <c r="AA20" s="183" t="s">
        <v>37</v>
      </c>
      <c r="AB20" s="19" t="s">
        <v>41</v>
      </c>
      <c r="AC20" s="123" t="s">
        <v>4</v>
      </c>
      <c r="AD20" s="123" t="s">
        <v>4</v>
      </c>
      <c r="AE20" s="22" t="s">
        <v>16</v>
      </c>
      <c r="AF20" s="22" t="s">
        <v>16</v>
      </c>
      <c r="AG20" s="22" t="s">
        <v>16</v>
      </c>
    </row>
    <row r="21" spans="1:33" x14ac:dyDescent="0.35">
      <c r="A21" s="182" t="s">
        <v>180</v>
      </c>
      <c r="B21" s="123" t="s">
        <v>4</v>
      </c>
      <c r="C21" s="22" t="s">
        <v>16</v>
      </c>
      <c r="D21" s="22" t="s">
        <v>16</v>
      </c>
      <c r="E21" s="22" t="s">
        <v>16</v>
      </c>
      <c r="F21" s="22" t="s">
        <v>16</v>
      </c>
      <c r="G21" s="22" t="s">
        <v>16</v>
      </c>
      <c r="H21" s="123" t="s">
        <v>4</v>
      </c>
      <c r="I21" s="123" t="s">
        <v>4</v>
      </c>
      <c r="J21" s="22" t="s">
        <v>16</v>
      </c>
      <c r="K21" s="22" t="s">
        <v>16</v>
      </c>
      <c r="L21" s="22" t="s">
        <v>16</v>
      </c>
      <c r="M21" s="22" t="s">
        <v>16</v>
      </c>
      <c r="N21" s="22" t="s">
        <v>16</v>
      </c>
      <c r="O21" s="123" t="s">
        <v>4</v>
      </c>
      <c r="P21" s="123" t="s">
        <v>4</v>
      </c>
      <c r="Q21" s="22" t="s">
        <v>16</v>
      </c>
      <c r="R21" s="22" t="s">
        <v>16</v>
      </c>
      <c r="S21" s="22" t="s">
        <v>16</v>
      </c>
      <c r="T21" s="22" t="s">
        <v>16</v>
      </c>
      <c r="U21" s="22" t="s">
        <v>16</v>
      </c>
      <c r="V21" s="123" t="s">
        <v>4</v>
      </c>
      <c r="W21" s="123" t="s">
        <v>4</v>
      </c>
      <c r="X21" s="22" t="s">
        <v>16</v>
      </c>
      <c r="Y21" s="22" t="s">
        <v>16</v>
      </c>
      <c r="Z21" s="22" t="s">
        <v>16</v>
      </c>
      <c r="AA21" s="183" t="s">
        <v>37</v>
      </c>
      <c r="AB21" s="22" t="s">
        <v>16</v>
      </c>
      <c r="AC21" s="123" t="s">
        <v>4</v>
      </c>
      <c r="AD21" s="123" t="s">
        <v>4</v>
      </c>
      <c r="AE21" s="22" t="s">
        <v>16</v>
      </c>
      <c r="AF21" s="19" t="s">
        <v>41</v>
      </c>
      <c r="AG21" s="22" t="s">
        <v>16</v>
      </c>
    </row>
    <row r="23" spans="1:33" x14ac:dyDescent="0.35">
      <c r="A23" s="189" t="s">
        <v>156</v>
      </c>
      <c r="B23">
        <f t="shared" ref="B23:AG23" si="1">COUNTIF(B4:B20,"*MS")</f>
        <v>2</v>
      </c>
      <c r="C23">
        <f t="shared" si="1"/>
        <v>3</v>
      </c>
      <c r="D23">
        <f t="shared" si="1"/>
        <v>3</v>
      </c>
      <c r="E23">
        <f t="shared" si="1"/>
        <v>3</v>
      </c>
      <c r="F23">
        <f t="shared" si="1"/>
        <v>3</v>
      </c>
      <c r="G23">
        <f t="shared" si="1"/>
        <v>3</v>
      </c>
      <c r="H23">
        <f t="shared" si="1"/>
        <v>2</v>
      </c>
      <c r="I23">
        <f t="shared" si="1"/>
        <v>2</v>
      </c>
      <c r="J23">
        <f t="shared" si="1"/>
        <v>3</v>
      </c>
      <c r="K23">
        <f t="shared" si="1"/>
        <v>3</v>
      </c>
      <c r="L23">
        <f t="shared" si="1"/>
        <v>3</v>
      </c>
      <c r="M23">
        <f t="shared" si="1"/>
        <v>3</v>
      </c>
      <c r="N23">
        <f t="shared" si="1"/>
        <v>3</v>
      </c>
      <c r="O23">
        <f t="shared" si="1"/>
        <v>2</v>
      </c>
      <c r="P23">
        <f t="shared" si="1"/>
        <v>2</v>
      </c>
      <c r="Q23">
        <f t="shared" si="1"/>
        <v>3</v>
      </c>
      <c r="R23">
        <f t="shared" si="1"/>
        <v>3</v>
      </c>
      <c r="S23">
        <f t="shared" si="1"/>
        <v>3</v>
      </c>
      <c r="T23">
        <f t="shared" si="1"/>
        <v>3</v>
      </c>
      <c r="U23">
        <f t="shared" si="1"/>
        <v>3</v>
      </c>
      <c r="V23">
        <f t="shared" si="1"/>
        <v>2</v>
      </c>
      <c r="W23">
        <f t="shared" si="1"/>
        <v>2</v>
      </c>
      <c r="X23">
        <f t="shared" si="1"/>
        <v>3</v>
      </c>
      <c r="Y23">
        <f t="shared" si="1"/>
        <v>3</v>
      </c>
      <c r="Z23">
        <f t="shared" si="1"/>
        <v>3</v>
      </c>
      <c r="AA23">
        <f t="shared" si="1"/>
        <v>3</v>
      </c>
      <c r="AB23">
        <f t="shared" si="1"/>
        <v>3</v>
      </c>
      <c r="AC23">
        <f t="shared" si="1"/>
        <v>2</v>
      </c>
      <c r="AD23">
        <f t="shared" si="1"/>
        <v>2</v>
      </c>
      <c r="AE23">
        <f t="shared" si="1"/>
        <v>3</v>
      </c>
      <c r="AF23">
        <f t="shared" si="1"/>
        <v>3</v>
      </c>
      <c r="AG23">
        <f t="shared" si="1"/>
        <v>3</v>
      </c>
    </row>
    <row r="24" spans="1:33" x14ac:dyDescent="0.35">
      <c r="A24" s="189" t="s">
        <v>157</v>
      </c>
      <c r="B24">
        <f t="shared" ref="B24:AG24" si="2">COUNTIF(B4:B20,"*ASS1")</f>
        <v>2</v>
      </c>
      <c r="C24">
        <f t="shared" si="2"/>
        <v>3</v>
      </c>
      <c r="D24">
        <f t="shared" si="2"/>
        <v>4</v>
      </c>
      <c r="E24">
        <f t="shared" si="2"/>
        <v>4</v>
      </c>
      <c r="F24">
        <f t="shared" si="2"/>
        <v>4</v>
      </c>
      <c r="G24">
        <f t="shared" si="2"/>
        <v>3</v>
      </c>
      <c r="H24">
        <f t="shared" si="2"/>
        <v>2</v>
      </c>
      <c r="I24">
        <f t="shared" si="2"/>
        <v>2</v>
      </c>
      <c r="J24">
        <f t="shared" si="2"/>
        <v>3</v>
      </c>
      <c r="K24">
        <f t="shared" si="2"/>
        <v>3</v>
      </c>
      <c r="L24">
        <f t="shared" si="2"/>
        <v>3</v>
      </c>
      <c r="M24">
        <f t="shared" si="2"/>
        <v>4</v>
      </c>
      <c r="N24">
        <f t="shared" si="2"/>
        <v>3</v>
      </c>
      <c r="O24">
        <f t="shared" si="2"/>
        <v>2</v>
      </c>
      <c r="P24">
        <f t="shared" si="2"/>
        <v>2</v>
      </c>
      <c r="Q24">
        <f t="shared" si="2"/>
        <v>3</v>
      </c>
      <c r="R24">
        <f t="shared" si="2"/>
        <v>3</v>
      </c>
      <c r="S24">
        <f t="shared" si="2"/>
        <v>3</v>
      </c>
      <c r="T24">
        <f t="shared" si="2"/>
        <v>3</v>
      </c>
      <c r="U24">
        <f t="shared" si="2"/>
        <v>3</v>
      </c>
      <c r="V24">
        <f t="shared" si="2"/>
        <v>2</v>
      </c>
      <c r="W24">
        <f t="shared" si="2"/>
        <v>2</v>
      </c>
      <c r="X24">
        <f t="shared" si="2"/>
        <v>3</v>
      </c>
      <c r="Y24">
        <f t="shared" si="2"/>
        <v>4</v>
      </c>
      <c r="Z24">
        <f t="shared" si="2"/>
        <v>3</v>
      </c>
      <c r="AA24">
        <f t="shared" si="2"/>
        <v>3</v>
      </c>
      <c r="AB24">
        <f t="shared" si="2"/>
        <v>4</v>
      </c>
      <c r="AC24">
        <f t="shared" si="2"/>
        <v>2</v>
      </c>
      <c r="AD24">
        <f t="shared" si="2"/>
        <v>2</v>
      </c>
      <c r="AE24">
        <f t="shared" si="2"/>
        <v>3</v>
      </c>
      <c r="AF24">
        <f t="shared" si="2"/>
        <v>3</v>
      </c>
      <c r="AG24">
        <f t="shared" si="2"/>
        <v>4</v>
      </c>
    </row>
    <row r="25" spans="1:33" x14ac:dyDescent="0.35">
      <c r="A25" s="189" t="s">
        <v>158</v>
      </c>
      <c r="B25">
        <f t="shared" ref="B25:AG25" si="3">COUNTIF(B4:B20,"*NST7")</f>
        <v>2</v>
      </c>
      <c r="C25">
        <f t="shared" si="3"/>
        <v>3</v>
      </c>
      <c r="D25">
        <f t="shared" si="3"/>
        <v>4</v>
      </c>
      <c r="E25">
        <f t="shared" si="3"/>
        <v>3</v>
      </c>
      <c r="F25">
        <f t="shared" si="3"/>
        <v>4</v>
      </c>
      <c r="G25">
        <f t="shared" si="3"/>
        <v>3</v>
      </c>
      <c r="H25">
        <f t="shared" si="3"/>
        <v>3</v>
      </c>
      <c r="I25">
        <f t="shared" si="3"/>
        <v>2</v>
      </c>
      <c r="J25">
        <f t="shared" si="3"/>
        <v>3</v>
      </c>
      <c r="K25">
        <f t="shared" si="3"/>
        <v>3</v>
      </c>
      <c r="L25">
        <f t="shared" si="3"/>
        <v>3</v>
      </c>
      <c r="M25">
        <f t="shared" si="3"/>
        <v>4</v>
      </c>
      <c r="N25">
        <f t="shared" si="3"/>
        <v>4</v>
      </c>
      <c r="O25">
        <f t="shared" si="3"/>
        <v>3</v>
      </c>
      <c r="P25">
        <f t="shared" si="3"/>
        <v>2</v>
      </c>
      <c r="Q25">
        <f t="shared" si="3"/>
        <v>3</v>
      </c>
      <c r="R25">
        <f t="shared" si="3"/>
        <v>4</v>
      </c>
      <c r="S25">
        <f t="shared" si="3"/>
        <v>3</v>
      </c>
      <c r="T25">
        <f t="shared" si="3"/>
        <v>4</v>
      </c>
      <c r="U25">
        <f t="shared" si="3"/>
        <v>3</v>
      </c>
      <c r="V25">
        <f t="shared" si="3"/>
        <v>2</v>
      </c>
      <c r="W25">
        <f t="shared" si="3"/>
        <v>2</v>
      </c>
      <c r="X25">
        <f t="shared" si="3"/>
        <v>3</v>
      </c>
      <c r="Y25">
        <f t="shared" si="3"/>
        <v>4</v>
      </c>
      <c r="Z25">
        <f t="shared" si="3"/>
        <v>4</v>
      </c>
      <c r="AA25">
        <f t="shared" si="3"/>
        <v>3</v>
      </c>
      <c r="AB25">
        <f t="shared" si="3"/>
        <v>3</v>
      </c>
      <c r="AC25">
        <f t="shared" si="3"/>
        <v>2</v>
      </c>
      <c r="AD25">
        <f t="shared" si="3"/>
        <v>2</v>
      </c>
      <c r="AE25">
        <f t="shared" si="3"/>
        <v>3</v>
      </c>
      <c r="AF25">
        <f t="shared" si="3"/>
        <v>3</v>
      </c>
      <c r="AG25">
        <f t="shared" si="3"/>
        <v>3</v>
      </c>
    </row>
    <row r="26" spans="1:33" x14ac:dyDescent="0.35">
      <c r="A26" s="189" t="s">
        <v>159</v>
      </c>
      <c r="B26">
        <f t="shared" ref="B26:AG26" si="4">COUNTIF(B4:B20,"*GS")</f>
        <v>0</v>
      </c>
      <c r="C26">
        <f t="shared" si="4"/>
        <v>1</v>
      </c>
      <c r="D26">
        <f t="shared" si="4"/>
        <v>1</v>
      </c>
      <c r="E26">
        <f t="shared" si="4"/>
        <v>1</v>
      </c>
      <c r="F26">
        <f t="shared" si="4"/>
        <v>2</v>
      </c>
      <c r="G26">
        <f t="shared" si="4"/>
        <v>1</v>
      </c>
      <c r="H26">
        <f t="shared" si="4"/>
        <v>1</v>
      </c>
      <c r="I26">
        <f t="shared" si="4"/>
        <v>0</v>
      </c>
      <c r="J26">
        <f t="shared" si="4"/>
        <v>1</v>
      </c>
      <c r="K26">
        <f t="shared" si="4"/>
        <v>1</v>
      </c>
      <c r="L26">
        <f t="shared" si="4"/>
        <v>1</v>
      </c>
      <c r="M26">
        <f t="shared" si="4"/>
        <v>1</v>
      </c>
      <c r="N26">
        <f t="shared" si="4"/>
        <v>1</v>
      </c>
      <c r="O26">
        <f t="shared" si="4"/>
        <v>1</v>
      </c>
      <c r="P26">
        <f t="shared" si="4"/>
        <v>0</v>
      </c>
      <c r="Q26">
        <f t="shared" si="4"/>
        <v>0</v>
      </c>
      <c r="R26">
        <f t="shared" si="4"/>
        <v>2</v>
      </c>
      <c r="S26">
        <f t="shared" si="4"/>
        <v>2</v>
      </c>
      <c r="T26">
        <f t="shared" si="4"/>
        <v>2</v>
      </c>
      <c r="U26">
        <f t="shared" si="4"/>
        <v>1</v>
      </c>
      <c r="V26">
        <f t="shared" si="4"/>
        <v>1</v>
      </c>
      <c r="W26">
        <f t="shared" si="4"/>
        <v>0</v>
      </c>
      <c r="X26">
        <f t="shared" si="4"/>
        <v>1</v>
      </c>
      <c r="Y26">
        <f t="shared" si="4"/>
        <v>2</v>
      </c>
      <c r="Z26">
        <f t="shared" si="4"/>
        <v>2</v>
      </c>
      <c r="AA26">
        <f t="shared" si="4"/>
        <v>0</v>
      </c>
      <c r="AB26">
        <f t="shared" si="4"/>
        <v>1</v>
      </c>
      <c r="AC26">
        <f t="shared" si="4"/>
        <v>1</v>
      </c>
      <c r="AD26">
        <f t="shared" si="4"/>
        <v>0</v>
      </c>
      <c r="AE26">
        <f t="shared" si="4"/>
        <v>2</v>
      </c>
      <c r="AF26">
        <f t="shared" si="4"/>
        <v>3</v>
      </c>
      <c r="AG26">
        <f t="shared" si="4"/>
        <v>2</v>
      </c>
    </row>
    <row r="27" spans="1:33" x14ac:dyDescent="0.35">
      <c r="A27" s="189" t="s">
        <v>160</v>
      </c>
      <c r="B27">
        <f>COUNTIF(B4:B20,"C")</f>
        <v>0</v>
      </c>
      <c r="C27">
        <f>COUNTIF(C4:C20,"C")</f>
        <v>4</v>
      </c>
      <c r="D27">
        <f>COUNTIF(D4:D20,"WO")</f>
        <v>0</v>
      </c>
      <c r="E27">
        <f>COUNTIF(E4:E20,"WO")</f>
        <v>0</v>
      </c>
      <c r="F27">
        <f>COUNTIF(F4:F20,"C")</f>
        <v>0</v>
      </c>
      <c r="G27">
        <f>COUNTIF(G4:G20,"C")</f>
        <v>4</v>
      </c>
      <c r="H27">
        <f>COUNTIF(H4:H20,"C")</f>
        <v>0</v>
      </c>
      <c r="I27">
        <f>COUNTIF(I4:I20,"C")</f>
        <v>0</v>
      </c>
      <c r="J27">
        <f>COUNTIF(J4:J20,"C")</f>
        <v>4</v>
      </c>
      <c r="K27">
        <f>COUNTIF(K4:K20,"WO")</f>
        <v>0</v>
      </c>
      <c r="L27">
        <f>COUNTIF(L4:L20,"WO")</f>
        <v>0</v>
      </c>
      <c r="M27">
        <f>COUNTIF(M4:M20,"C")</f>
        <v>2</v>
      </c>
      <c r="N27">
        <f>COUNTIF(N4:N20,"C")</f>
        <v>1</v>
      </c>
      <c r="O27">
        <f>COUNTIF(O4:O20,"C")</f>
        <v>0</v>
      </c>
      <c r="P27">
        <f>COUNTIF(P4:P20,"C")</f>
        <v>0</v>
      </c>
      <c r="Q27">
        <f>COUNTIF(Q4:Q20,"C")</f>
        <v>2</v>
      </c>
      <c r="R27">
        <f>COUNTIF(R4:R20,"WO")</f>
        <v>0</v>
      </c>
      <c r="S27">
        <f>COUNTIF(S4:S20,"WO")</f>
        <v>0</v>
      </c>
      <c r="T27">
        <f>COUNTIF(T4:T20,"C")</f>
        <v>2</v>
      </c>
      <c r="U27">
        <f>COUNTIF(U4:U20,"C")</f>
        <v>3</v>
      </c>
      <c r="V27">
        <f>COUNTIF(V4:V20,"C")</f>
        <v>0</v>
      </c>
      <c r="W27">
        <f>COUNTIF(W4:W20,"C")</f>
        <v>0</v>
      </c>
      <c r="X27">
        <f>COUNTIF(X4:X20,"C")</f>
        <v>4</v>
      </c>
      <c r="Y27">
        <f>COUNTIF(Y4:Y20,"WO")</f>
        <v>0</v>
      </c>
      <c r="Z27">
        <f>COUNTIF(Z4:Z20,"WO")</f>
        <v>0</v>
      </c>
      <c r="AA27">
        <f>COUNTIF(AA4:AA20,"C")</f>
        <v>0</v>
      </c>
      <c r="AB27">
        <f>COUNTIF(AB4:AB20,"C")</f>
        <v>2</v>
      </c>
      <c r="AC27">
        <f>COUNTIF(AC4:AC20,"C")</f>
        <v>0</v>
      </c>
      <c r="AD27">
        <f>COUNTIF(AD4:AD20,"C")</f>
        <v>0</v>
      </c>
      <c r="AE27">
        <f>COUNTIF(AE4:AE20,"C")</f>
        <v>4</v>
      </c>
      <c r="AF27">
        <f>COUNTIF(AF4:AF20,"WO")</f>
        <v>0</v>
      </c>
      <c r="AG27">
        <f>COUNTIF(AG4:AG20,"WO")</f>
        <v>0</v>
      </c>
    </row>
    <row r="28" spans="1:33" x14ac:dyDescent="0.35">
      <c r="A28" s="189" t="s">
        <v>161</v>
      </c>
      <c r="B28">
        <f t="shared" ref="B28:AG28" si="5">COUNTIF(B4:B20,"PL")</f>
        <v>0</v>
      </c>
      <c r="C28">
        <f t="shared" si="5"/>
        <v>1</v>
      </c>
      <c r="D28">
        <f t="shared" si="5"/>
        <v>1</v>
      </c>
      <c r="E28">
        <f t="shared" si="5"/>
        <v>2</v>
      </c>
      <c r="F28">
        <f t="shared" si="5"/>
        <v>2</v>
      </c>
      <c r="G28">
        <f t="shared" si="5"/>
        <v>1</v>
      </c>
      <c r="H28">
        <f t="shared" si="5"/>
        <v>0</v>
      </c>
      <c r="I28">
        <f t="shared" si="5"/>
        <v>0</v>
      </c>
      <c r="J28">
        <f t="shared" si="5"/>
        <v>1</v>
      </c>
      <c r="K28">
        <f t="shared" si="5"/>
        <v>2</v>
      </c>
      <c r="L28">
        <f t="shared" si="5"/>
        <v>1</v>
      </c>
      <c r="M28">
        <f t="shared" si="5"/>
        <v>1</v>
      </c>
      <c r="N28">
        <f t="shared" si="5"/>
        <v>3</v>
      </c>
      <c r="O28">
        <f t="shared" si="5"/>
        <v>0</v>
      </c>
      <c r="P28">
        <f t="shared" si="5"/>
        <v>0</v>
      </c>
      <c r="Q28">
        <f t="shared" si="5"/>
        <v>4</v>
      </c>
      <c r="R28">
        <f t="shared" si="5"/>
        <v>2</v>
      </c>
      <c r="S28">
        <f t="shared" si="5"/>
        <v>1</v>
      </c>
      <c r="T28">
        <f t="shared" si="5"/>
        <v>1</v>
      </c>
      <c r="U28">
        <f t="shared" si="5"/>
        <v>2</v>
      </c>
      <c r="V28">
        <f t="shared" si="5"/>
        <v>0</v>
      </c>
      <c r="W28">
        <f t="shared" si="5"/>
        <v>0</v>
      </c>
      <c r="X28">
        <f t="shared" si="5"/>
        <v>1</v>
      </c>
      <c r="Y28">
        <f t="shared" si="5"/>
        <v>0</v>
      </c>
      <c r="Z28">
        <f t="shared" si="5"/>
        <v>1</v>
      </c>
      <c r="AA28">
        <f t="shared" si="5"/>
        <v>1</v>
      </c>
      <c r="AB28">
        <f t="shared" si="5"/>
        <v>2</v>
      </c>
      <c r="AC28">
        <f t="shared" si="5"/>
        <v>2</v>
      </c>
      <c r="AD28">
        <f t="shared" si="5"/>
        <v>2</v>
      </c>
      <c r="AE28">
        <f t="shared" si="5"/>
        <v>0</v>
      </c>
      <c r="AF28">
        <f t="shared" si="5"/>
        <v>1</v>
      </c>
      <c r="AG28">
        <f t="shared" si="5"/>
        <v>2</v>
      </c>
    </row>
    <row r="29" spans="1:33" x14ac:dyDescent="0.35">
      <c r="A29" s="189" t="s">
        <v>33</v>
      </c>
      <c r="B29">
        <f t="shared" ref="B29:AG29" si="6">COUNTIF(B4:B20,"UPL")</f>
        <v>0</v>
      </c>
      <c r="C29">
        <f t="shared" si="6"/>
        <v>0</v>
      </c>
      <c r="D29">
        <f t="shared" si="6"/>
        <v>0</v>
      </c>
      <c r="E29">
        <f t="shared" si="6"/>
        <v>0</v>
      </c>
      <c r="F29">
        <f t="shared" si="6"/>
        <v>0</v>
      </c>
      <c r="G29">
        <f t="shared" si="6"/>
        <v>0</v>
      </c>
      <c r="H29">
        <f t="shared" si="6"/>
        <v>0</v>
      </c>
      <c r="I29">
        <f t="shared" si="6"/>
        <v>0</v>
      </c>
      <c r="J29">
        <f t="shared" si="6"/>
        <v>0</v>
      </c>
      <c r="K29">
        <f t="shared" si="6"/>
        <v>0</v>
      </c>
      <c r="L29">
        <f t="shared" si="6"/>
        <v>0</v>
      </c>
      <c r="M29">
        <f t="shared" si="6"/>
        <v>0</v>
      </c>
      <c r="N29">
        <f t="shared" si="6"/>
        <v>0</v>
      </c>
      <c r="O29">
        <f t="shared" si="6"/>
        <v>0</v>
      </c>
      <c r="P29">
        <f t="shared" si="6"/>
        <v>0</v>
      </c>
      <c r="Q29">
        <f t="shared" si="6"/>
        <v>0</v>
      </c>
      <c r="R29">
        <f t="shared" si="6"/>
        <v>0</v>
      </c>
      <c r="S29">
        <f t="shared" si="6"/>
        <v>0</v>
      </c>
      <c r="T29">
        <f t="shared" si="6"/>
        <v>0</v>
      </c>
      <c r="U29">
        <f t="shared" si="6"/>
        <v>0</v>
      </c>
      <c r="V29">
        <f t="shared" si="6"/>
        <v>0</v>
      </c>
      <c r="W29">
        <f t="shared" si="6"/>
        <v>0</v>
      </c>
      <c r="X29">
        <f t="shared" si="6"/>
        <v>0</v>
      </c>
      <c r="Y29">
        <f t="shared" si="6"/>
        <v>1</v>
      </c>
      <c r="Z29">
        <f t="shared" si="6"/>
        <v>0</v>
      </c>
      <c r="AA29">
        <f t="shared" si="6"/>
        <v>0</v>
      </c>
      <c r="AB29">
        <f t="shared" si="6"/>
        <v>0</v>
      </c>
      <c r="AC29">
        <f t="shared" si="6"/>
        <v>0</v>
      </c>
      <c r="AD29">
        <f t="shared" si="6"/>
        <v>0</v>
      </c>
      <c r="AE29">
        <f t="shared" si="6"/>
        <v>0</v>
      </c>
      <c r="AF29">
        <f t="shared" si="6"/>
        <v>0</v>
      </c>
      <c r="AG29">
        <f t="shared" si="6"/>
        <v>0</v>
      </c>
    </row>
    <row r="30" spans="1:33" x14ac:dyDescent="0.35">
      <c r="A30" s="189" t="s">
        <v>172</v>
      </c>
      <c r="B30">
        <f t="shared" ref="B30:AG30" si="7">COUNTIF(B4:B20,"H")</f>
        <v>0</v>
      </c>
      <c r="C30">
        <f t="shared" si="7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7"/>
        <v>0</v>
      </c>
      <c r="I30">
        <f t="shared" si="7"/>
        <v>0</v>
      </c>
      <c r="J30">
        <f t="shared" si="7"/>
        <v>0</v>
      </c>
      <c r="K30">
        <f t="shared" si="7"/>
        <v>0</v>
      </c>
      <c r="L30">
        <f t="shared" si="7"/>
        <v>0</v>
      </c>
      <c r="M30">
        <f t="shared" si="7"/>
        <v>0</v>
      </c>
      <c r="N30">
        <f t="shared" si="7"/>
        <v>0</v>
      </c>
      <c r="O30">
        <f t="shared" si="7"/>
        <v>0</v>
      </c>
      <c r="P30">
        <f t="shared" si="7"/>
        <v>0</v>
      </c>
      <c r="Q30">
        <f t="shared" si="7"/>
        <v>0</v>
      </c>
      <c r="R30">
        <f t="shared" si="7"/>
        <v>0</v>
      </c>
      <c r="S30">
        <f t="shared" si="7"/>
        <v>0</v>
      </c>
      <c r="T30">
        <f t="shared" si="7"/>
        <v>0</v>
      </c>
      <c r="U30">
        <f t="shared" si="7"/>
        <v>0</v>
      </c>
      <c r="V30">
        <f t="shared" si="7"/>
        <v>0</v>
      </c>
      <c r="W30">
        <f t="shared" si="7"/>
        <v>0</v>
      </c>
      <c r="X30">
        <f t="shared" si="7"/>
        <v>0</v>
      </c>
      <c r="Y30">
        <f t="shared" si="7"/>
        <v>0</v>
      </c>
      <c r="Z30">
        <f t="shared" si="7"/>
        <v>0</v>
      </c>
      <c r="AA30">
        <f t="shared" si="7"/>
        <v>5</v>
      </c>
      <c r="AB30">
        <f t="shared" si="7"/>
        <v>0</v>
      </c>
      <c r="AC30">
        <f t="shared" si="7"/>
        <v>0</v>
      </c>
      <c r="AD30">
        <f t="shared" si="7"/>
        <v>0</v>
      </c>
      <c r="AE30">
        <f t="shared" si="7"/>
        <v>0</v>
      </c>
      <c r="AF30">
        <f t="shared" si="7"/>
        <v>0</v>
      </c>
      <c r="AG30">
        <f t="shared" si="7"/>
        <v>0</v>
      </c>
    </row>
    <row r="31" spans="1:33" x14ac:dyDescent="0.35">
      <c r="A31" s="189" t="s">
        <v>162</v>
      </c>
      <c r="B31" s="138">
        <f t="shared" ref="B31:E31" si="8">SUM(B23:B30)</f>
        <v>6</v>
      </c>
      <c r="C31" s="138">
        <f t="shared" si="8"/>
        <v>15</v>
      </c>
      <c r="D31" s="138">
        <f>SUM(D23:D30)</f>
        <v>13</v>
      </c>
      <c r="E31" s="138">
        <f t="shared" si="8"/>
        <v>13</v>
      </c>
      <c r="F31" s="138">
        <f t="shared" ref="F31:AF31" si="9">SUM(F23:F30)</f>
        <v>15</v>
      </c>
      <c r="G31" s="138">
        <f t="shared" si="9"/>
        <v>15</v>
      </c>
      <c r="H31" s="138">
        <f t="shared" si="9"/>
        <v>8</v>
      </c>
      <c r="I31" s="138">
        <f t="shared" si="9"/>
        <v>6</v>
      </c>
      <c r="J31" s="138">
        <f t="shared" si="9"/>
        <v>15</v>
      </c>
      <c r="K31" s="138">
        <f t="shared" si="9"/>
        <v>12</v>
      </c>
      <c r="L31" s="138">
        <f t="shared" si="9"/>
        <v>11</v>
      </c>
      <c r="M31" s="138">
        <f t="shared" si="9"/>
        <v>15</v>
      </c>
      <c r="N31" s="138">
        <f t="shared" si="9"/>
        <v>15</v>
      </c>
      <c r="O31" s="138">
        <f t="shared" si="9"/>
        <v>8</v>
      </c>
      <c r="P31" s="138">
        <f t="shared" si="9"/>
        <v>6</v>
      </c>
      <c r="Q31" s="138">
        <f t="shared" si="9"/>
        <v>15</v>
      </c>
      <c r="R31" s="138">
        <f t="shared" si="9"/>
        <v>14</v>
      </c>
      <c r="S31" s="138">
        <f t="shared" si="9"/>
        <v>12</v>
      </c>
      <c r="T31" s="138">
        <f t="shared" si="9"/>
        <v>15</v>
      </c>
      <c r="U31" s="138">
        <f t="shared" si="9"/>
        <v>15</v>
      </c>
      <c r="V31" s="138">
        <f t="shared" si="9"/>
        <v>7</v>
      </c>
      <c r="W31" s="138">
        <f t="shared" si="9"/>
        <v>6</v>
      </c>
      <c r="X31" s="138">
        <f t="shared" si="9"/>
        <v>15</v>
      </c>
      <c r="Y31" s="138">
        <f t="shared" si="9"/>
        <v>14</v>
      </c>
      <c r="Z31" s="138">
        <f t="shared" si="9"/>
        <v>13</v>
      </c>
      <c r="AA31" s="138">
        <f t="shared" si="9"/>
        <v>15</v>
      </c>
      <c r="AB31" s="138">
        <f t="shared" si="9"/>
        <v>15</v>
      </c>
      <c r="AC31" s="138">
        <f t="shared" si="9"/>
        <v>9</v>
      </c>
      <c r="AD31" s="138">
        <f t="shared" si="9"/>
        <v>8</v>
      </c>
      <c r="AE31" s="138">
        <f t="shared" si="9"/>
        <v>15</v>
      </c>
      <c r="AF31" s="138">
        <f t="shared" si="9"/>
        <v>13</v>
      </c>
      <c r="AG31" s="138">
        <f t="shared" ref="AG31" si="10">SUM(AG23:AG30)</f>
        <v>14</v>
      </c>
    </row>
  </sheetData>
  <conditionalFormatting sqref="B23:E26">
    <cfRule type="cellIs" dxfId="141" priority="3" operator="lessThan">
      <formula>3</formula>
    </cfRule>
  </conditionalFormatting>
  <conditionalFormatting sqref="F23:AF26">
    <cfRule type="cellIs" dxfId="140" priority="2" operator="lessThan">
      <formula>3</formula>
    </cfRule>
  </conditionalFormatting>
  <conditionalFormatting sqref="AG23:AG26">
    <cfRule type="cellIs" dxfId="139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H30"/>
  <sheetViews>
    <sheetView zoomScale="70" zoomScaleNormal="70" workbookViewId="0">
      <pane xSplit="1" topLeftCell="B1" activePane="topRight" state="frozen"/>
      <selection pane="topRight" activeCell="V10" sqref="V10"/>
    </sheetView>
  </sheetViews>
  <sheetFormatPr defaultRowHeight="14.5" x14ac:dyDescent="0.35"/>
  <cols>
    <col min="1" max="1" width="23.81640625" bestFit="1" customWidth="1"/>
    <col min="2" max="8" width="8.7265625" customWidth="1"/>
    <col min="13" max="31" width="8.7265625" customWidth="1"/>
  </cols>
  <sheetData>
    <row r="1" spans="1:34" x14ac:dyDescent="0.35">
      <c r="A1" s="70"/>
      <c r="B1" s="2" t="str">
        <f t="shared" ref="B1:AH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si="0"/>
        <v>Thu</v>
      </c>
      <c r="F1" s="2" t="str">
        <f t="shared" si="0"/>
        <v>Fri</v>
      </c>
      <c r="G1" s="2" t="str">
        <f t="shared" si="0"/>
        <v>Sat</v>
      </c>
      <c r="H1" s="2" t="str">
        <f t="shared" si="0"/>
        <v>Sun</v>
      </c>
      <c r="I1" s="2" t="str">
        <f t="shared" si="0"/>
        <v>Mon</v>
      </c>
      <c r="J1" s="2" t="str">
        <f t="shared" si="0"/>
        <v>Tue</v>
      </c>
      <c r="K1" s="2" t="str">
        <f t="shared" si="0"/>
        <v>Wed</v>
      </c>
      <c r="L1" s="2" t="str">
        <f t="shared" si="0"/>
        <v>Thu</v>
      </c>
      <c r="M1" s="2" t="str">
        <f t="shared" si="0"/>
        <v>Fri</v>
      </c>
      <c r="N1" s="2" t="str">
        <f t="shared" si="0"/>
        <v>Sat</v>
      </c>
      <c r="O1" s="2" t="str">
        <f t="shared" si="0"/>
        <v>Sun</v>
      </c>
      <c r="P1" s="2" t="str">
        <f t="shared" si="0"/>
        <v>Mon</v>
      </c>
      <c r="Q1" s="2" t="str">
        <f t="shared" si="0"/>
        <v>Tue</v>
      </c>
      <c r="R1" s="2" t="str">
        <f t="shared" si="0"/>
        <v>Wed</v>
      </c>
      <c r="S1" s="2" t="str">
        <f t="shared" si="0"/>
        <v>Thu</v>
      </c>
      <c r="T1" s="2" t="str">
        <f t="shared" si="0"/>
        <v>Fri</v>
      </c>
      <c r="U1" s="2" t="str">
        <f t="shared" si="0"/>
        <v>Sat</v>
      </c>
      <c r="V1" s="2" t="str">
        <f t="shared" si="0"/>
        <v>Sun</v>
      </c>
      <c r="W1" s="2" t="str">
        <f t="shared" si="0"/>
        <v>Mon</v>
      </c>
      <c r="X1" s="2" t="str">
        <f t="shared" si="0"/>
        <v>Tue</v>
      </c>
      <c r="Y1" s="2" t="str">
        <f t="shared" si="0"/>
        <v>Wed</v>
      </c>
      <c r="Z1" s="2" t="str">
        <f t="shared" si="0"/>
        <v>Thu</v>
      </c>
      <c r="AA1" s="2" t="str">
        <f t="shared" si="0"/>
        <v>Fri</v>
      </c>
      <c r="AB1" s="2" t="str">
        <f t="shared" si="0"/>
        <v>Sat</v>
      </c>
      <c r="AC1" s="2" t="str">
        <f t="shared" si="0"/>
        <v>Sun</v>
      </c>
      <c r="AD1" s="2" t="str">
        <f t="shared" si="0"/>
        <v>Mon</v>
      </c>
      <c r="AE1" s="2" t="str">
        <f t="shared" si="0"/>
        <v>Tue</v>
      </c>
      <c r="AF1" s="2" t="str">
        <f t="shared" si="0"/>
        <v>Wed</v>
      </c>
      <c r="AG1" s="2" t="str">
        <f t="shared" si="0"/>
        <v>Thu</v>
      </c>
      <c r="AH1" s="2" t="str">
        <f t="shared" si="0"/>
        <v>Fri</v>
      </c>
    </row>
    <row r="2" spans="1:34" x14ac:dyDescent="0.35">
      <c r="A2" s="104" t="s">
        <v>0</v>
      </c>
      <c r="B2" s="31">
        <v>44956</v>
      </c>
      <c r="C2" s="31">
        <v>44957</v>
      </c>
      <c r="D2" s="31">
        <v>44958</v>
      </c>
      <c r="E2" s="31">
        <v>44959</v>
      </c>
      <c r="F2" s="31">
        <v>44960</v>
      </c>
      <c r="G2" s="31">
        <v>44961</v>
      </c>
      <c r="H2" s="31">
        <v>44962</v>
      </c>
      <c r="I2" s="31">
        <v>44963</v>
      </c>
      <c r="J2" s="31">
        <v>44964</v>
      </c>
      <c r="K2" s="31">
        <v>44965</v>
      </c>
      <c r="L2" s="31">
        <v>44966</v>
      </c>
      <c r="M2" s="31">
        <v>44967</v>
      </c>
      <c r="N2" s="31">
        <v>44968</v>
      </c>
      <c r="O2" s="31">
        <v>44969</v>
      </c>
      <c r="P2" s="31">
        <v>44970</v>
      </c>
      <c r="Q2" s="31">
        <v>44971</v>
      </c>
      <c r="R2" s="31">
        <v>44972</v>
      </c>
      <c r="S2" s="31">
        <v>44973</v>
      </c>
      <c r="T2" s="31">
        <v>44974</v>
      </c>
      <c r="U2" s="31">
        <v>44975</v>
      </c>
      <c r="V2" s="31">
        <v>44976</v>
      </c>
      <c r="W2" s="31">
        <v>44977</v>
      </c>
      <c r="X2" s="31">
        <v>44978</v>
      </c>
      <c r="Y2" s="31">
        <v>44979</v>
      </c>
      <c r="Z2" s="31">
        <v>44980</v>
      </c>
      <c r="AA2" s="31">
        <v>44981</v>
      </c>
      <c r="AB2" s="31">
        <v>44982</v>
      </c>
      <c r="AC2" s="31">
        <v>44983</v>
      </c>
      <c r="AD2" s="31">
        <v>44984</v>
      </c>
      <c r="AE2" s="31">
        <v>44985</v>
      </c>
      <c r="AF2" s="31">
        <v>44986</v>
      </c>
      <c r="AG2" s="31">
        <v>44987</v>
      </c>
      <c r="AH2" s="31">
        <v>44988</v>
      </c>
    </row>
    <row r="3" spans="1:34" x14ac:dyDescent="0.35">
      <c r="A3" s="105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</row>
    <row r="4" spans="1:34" x14ac:dyDescent="0.35">
      <c r="A4" s="193" t="s">
        <v>12</v>
      </c>
      <c r="B4" s="185" t="s">
        <v>10</v>
      </c>
      <c r="C4" s="185" t="s">
        <v>10</v>
      </c>
      <c r="D4" s="184" t="s">
        <v>2</v>
      </c>
      <c r="E4" s="25" t="s">
        <v>6</v>
      </c>
      <c r="F4" s="25" t="s">
        <v>6</v>
      </c>
      <c r="G4" s="25" t="s">
        <v>3</v>
      </c>
      <c r="H4" s="25" t="s">
        <v>3</v>
      </c>
      <c r="I4" s="131" t="s">
        <v>5</v>
      </c>
      <c r="J4" s="131" t="s">
        <v>5</v>
      </c>
      <c r="K4" s="131" t="s">
        <v>5</v>
      </c>
      <c r="L4" s="131" t="s">
        <v>5</v>
      </c>
      <c r="M4" s="131" t="s">
        <v>5</v>
      </c>
      <c r="N4" s="25" t="s">
        <v>3</v>
      </c>
      <c r="O4" s="25" t="s">
        <v>3</v>
      </c>
      <c r="P4" s="25" t="s">
        <v>6</v>
      </c>
      <c r="Q4" s="184" t="s">
        <v>2</v>
      </c>
      <c r="R4" s="25" t="s">
        <v>6</v>
      </c>
      <c r="S4" s="25" t="s">
        <v>6</v>
      </c>
      <c r="T4" s="25" t="s">
        <v>6</v>
      </c>
      <c r="U4" s="25" t="s">
        <v>3</v>
      </c>
      <c r="V4" s="123" t="s">
        <v>4</v>
      </c>
      <c r="W4" s="184" t="s">
        <v>2</v>
      </c>
      <c r="X4" s="25" t="s">
        <v>6</v>
      </c>
      <c r="Y4" s="25" t="s">
        <v>6</v>
      </c>
      <c r="Z4" s="25" t="s">
        <v>6</v>
      </c>
      <c r="AA4" s="25" t="s">
        <v>6</v>
      </c>
      <c r="AB4" s="25" t="s">
        <v>3</v>
      </c>
      <c r="AC4" s="123" t="s">
        <v>4</v>
      </c>
      <c r="AD4" s="184" t="s">
        <v>2</v>
      </c>
      <c r="AE4" s="25" t="s">
        <v>6</v>
      </c>
      <c r="AF4" s="19" t="s">
        <v>41</v>
      </c>
      <c r="AG4" s="19" t="s">
        <v>41</v>
      </c>
      <c r="AH4" s="19" t="s">
        <v>41</v>
      </c>
    </row>
    <row r="5" spans="1:34" x14ac:dyDescent="0.35">
      <c r="A5" s="182" t="s">
        <v>21</v>
      </c>
      <c r="B5" s="184" t="s">
        <v>2</v>
      </c>
      <c r="C5" s="22" t="s">
        <v>16</v>
      </c>
      <c r="D5" s="25" t="s">
        <v>6</v>
      </c>
      <c r="E5" s="25" t="s">
        <v>6</v>
      </c>
      <c r="F5" s="184" t="s">
        <v>2</v>
      </c>
      <c r="G5" s="123" t="s">
        <v>4</v>
      </c>
      <c r="H5" s="123" t="s">
        <v>4</v>
      </c>
      <c r="I5" s="25" t="s">
        <v>6</v>
      </c>
      <c r="J5" s="25" t="s">
        <v>6</v>
      </c>
      <c r="K5" s="25" t="s">
        <v>6</v>
      </c>
      <c r="L5" s="25" t="s">
        <v>6</v>
      </c>
      <c r="M5" s="25" t="s">
        <v>6</v>
      </c>
      <c r="N5" s="131" t="s">
        <v>5</v>
      </c>
      <c r="O5" s="131" t="s">
        <v>5</v>
      </c>
      <c r="P5" s="131" t="s">
        <v>5</v>
      </c>
      <c r="Q5" s="25" t="s">
        <v>6</v>
      </c>
      <c r="R5" s="25" t="s">
        <v>6</v>
      </c>
      <c r="S5" s="25" t="s">
        <v>6</v>
      </c>
      <c r="T5" s="25" t="s">
        <v>6</v>
      </c>
      <c r="U5" s="123" t="s">
        <v>4</v>
      </c>
      <c r="V5" s="25" t="s">
        <v>3</v>
      </c>
      <c r="W5" s="25" t="s">
        <v>6</v>
      </c>
      <c r="X5" s="25" t="s">
        <v>6</v>
      </c>
      <c r="Y5" s="25" t="s">
        <v>6</v>
      </c>
      <c r="Z5" s="25" t="s">
        <v>6</v>
      </c>
      <c r="AA5" s="25" t="s">
        <v>6</v>
      </c>
      <c r="AB5" s="123" t="s">
        <v>4</v>
      </c>
      <c r="AC5" s="25" t="s">
        <v>3</v>
      </c>
      <c r="AD5" s="25" t="s">
        <v>6</v>
      </c>
      <c r="AE5" s="184" t="s">
        <v>2</v>
      </c>
      <c r="AF5" s="19" t="s">
        <v>41</v>
      </c>
      <c r="AG5" s="19" t="s">
        <v>41</v>
      </c>
      <c r="AH5" s="184" t="s">
        <v>2</v>
      </c>
    </row>
    <row r="6" spans="1:34" x14ac:dyDescent="0.35">
      <c r="A6" s="182" t="s">
        <v>75</v>
      </c>
      <c r="B6" s="185" t="s">
        <v>10</v>
      </c>
      <c r="C6" s="184" t="s">
        <v>2</v>
      </c>
      <c r="D6" s="25" t="s">
        <v>6</v>
      </c>
      <c r="E6" s="25" t="s">
        <v>6</v>
      </c>
      <c r="F6" s="25" t="s">
        <v>6</v>
      </c>
      <c r="G6" s="123" t="s">
        <v>4</v>
      </c>
      <c r="H6" s="25" t="s">
        <v>3</v>
      </c>
      <c r="I6" s="25" t="s">
        <v>6</v>
      </c>
      <c r="J6" s="25" t="s">
        <v>6</v>
      </c>
      <c r="K6" s="25" t="s">
        <v>6</v>
      </c>
      <c r="L6" s="25" t="s">
        <v>6</v>
      </c>
      <c r="M6" s="25" t="s">
        <v>6</v>
      </c>
      <c r="N6" s="123" t="s">
        <v>4</v>
      </c>
      <c r="O6" s="123" t="s">
        <v>4</v>
      </c>
      <c r="P6" s="184" t="s">
        <v>2</v>
      </c>
      <c r="Q6" s="25" t="s">
        <v>6</v>
      </c>
      <c r="R6" s="25" t="s">
        <v>6</v>
      </c>
      <c r="S6" s="131" t="s">
        <v>5</v>
      </c>
      <c r="T6" s="131" t="s">
        <v>5</v>
      </c>
      <c r="U6" s="131" t="s">
        <v>5</v>
      </c>
      <c r="V6" s="131" t="s">
        <v>5</v>
      </c>
      <c r="W6" s="131" t="s">
        <v>5</v>
      </c>
      <c r="X6" s="131" t="s">
        <v>5</v>
      </c>
      <c r="Y6" s="131" t="s">
        <v>5</v>
      </c>
      <c r="Z6" s="131" t="s">
        <v>5</v>
      </c>
      <c r="AA6" s="131" t="s">
        <v>5</v>
      </c>
      <c r="AB6" s="25" t="s">
        <v>3</v>
      </c>
      <c r="AC6" s="123" t="s">
        <v>4</v>
      </c>
      <c r="AD6" s="25" t="s">
        <v>6</v>
      </c>
      <c r="AE6" s="25" t="s">
        <v>6</v>
      </c>
      <c r="AF6" s="19" t="s">
        <v>41</v>
      </c>
      <c r="AG6" s="184" t="s">
        <v>2</v>
      </c>
      <c r="AH6" s="19" t="s">
        <v>41</v>
      </c>
    </row>
    <row r="7" spans="1:34" x14ac:dyDescent="0.35">
      <c r="A7" s="182" t="s">
        <v>77</v>
      </c>
      <c r="B7" s="184" t="s">
        <v>2</v>
      </c>
      <c r="C7" s="22" t="s">
        <v>16</v>
      </c>
      <c r="D7" s="25" t="s">
        <v>6</v>
      </c>
      <c r="E7" s="25" t="s">
        <v>6</v>
      </c>
      <c r="F7" s="25" t="s">
        <v>6</v>
      </c>
      <c r="G7" s="25" t="s">
        <v>3</v>
      </c>
      <c r="H7" s="123" t="s">
        <v>4</v>
      </c>
      <c r="I7" s="184" t="s">
        <v>2</v>
      </c>
      <c r="J7" s="25" t="s">
        <v>6</v>
      </c>
      <c r="K7" s="25" t="s">
        <v>6</v>
      </c>
      <c r="L7" s="25" t="s">
        <v>6</v>
      </c>
      <c r="M7" s="131" t="s">
        <v>5</v>
      </c>
      <c r="N7" s="131" t="s">
        <v>5</v>
      </c>
      <c r="O7" s="25" t="s">
        <v>3</v>
      </c>
      <c r="P7" s="25" t="s">
        <v>6</v>
      </c>
      <c r="Q7" s="25" t="s">
        <v>6</v>
      </c>
      <c r="R7" s="25" t="s">
        <v>6</v>
      </c>
      <c r="S7" s="25" t="s">
        <v>6</v>
      </c>
      <c r="T7" s="184" t="s">
        <v>2</v>
      </c>
      <c r="U7" s="123" t="s">
        <v>4</v>
      </c>
      <c r="V7" s="25" t="s">
        <v>3</v>
      </c>
      <c r="W7" s="25" t="s">
        <v>6</v>
      </c>
      <c r="X7" s="25" t="s">
        <v>6</v>
      </c>
      <c r="Y7" s="25" t="s">
        <v>6</v>
      </c>
      <c r="Z7" s="25" t="s">
        <v>6</v>
      </c>
      <c r="AA7" s="184" t="s">
        <v>2</v>
      </c>
      <c r="AB7" s="123" t="s">
        <v>4</v>
      </c>
      <c r="AC7" s="25" t="s">
        <v>3</v>
      </c>
      <c r="AD7" s="25" t="s">
        <v>6</v>
      </c>
      <c r="AE7" s="25" t="s">
        <v>6</v>
      </c>
      <c r="AF7" s="22" t="s">
        <v>16</v>
      </c>
      <c r="AG7" s="19" t="s">
        <v>41</v>
      </c>
      <c r="AH7" s="184" t="s">
        <v>2</v>
      </c>
    </row>
    <row r="8" spans="1:34" x14ac:dyDescent="0.35">
      <c r="A8" s="182" t="s">
        <v>76</v>
      </c>
      <c r="B8" s="185" t="s">
        <v>10</v>
      </c>
      <c r="C8" s="185" t="s">
        <v>10</v>
      </c>
      <c r="D8" s="131" t="s">
        <v>5</v>
      </c>
      <c r="E8" s="131" t="s">
        <v>5</v>
      </c>
      <c r="F8" s="25" t="s">
        <v>6</v>
      </c>
      <c r="G8" s="22" t="s">
        <v>30</v>
      </c>
      <c r="H8" s="123" t="s">
        <v>4</v>
      </c>
      <c r="I8" s="25" t="s">
        <v>6</v>
      </c>
      <c r="J8" s="25" t="s">
        <v>6</v>
      </c>
      <c r="K8" s="184" t="s">
        <v>2</v>
      </c>
      <c r="L8" s="25" t="s">
        <v>6</v>
      </c>
      <c r="M8" s="25" t="s">
        <v>6</v>
      </c>
      <c r="N8" s="25" t="s">
        <v>3</v>
      </c>
      <c r="O8" s="123" t="s">
        <v>4</v>
      </c>
      <c r="P8" s="25" t="s">
        <v>6</v>
      </c>
      <c r="Q8" s="25" t="s">
        <v>6</v>
      </c>
      <c r="R8" s="184" t="s">
        <v>2</v>
      </c>
      <c r="S8" s="25" t="s">
        <v>6</v>
      </c>
      <c r="T8" s="25" t="s">
        <v>6</v>
      </c>
      <c r="U8" s="25" t="s">
        <v>3</v>
      </c>
      <c r="V8" s="123" t="s">
        <v>4</v>
      </c>
      <c r="W8" s="25" t="s">
        <v>6</v>
      </c>
      <c r="X8" s="25" t="s">
        <v>6</v>
      </c>
      <c r="Y8" s="184" t="s">
        <v>2</v>
      </c>
      <c r="Z8" s="25" t="s">
        <v>6</v>
      </c>
      <c r="AA8" s="25" t="s">
        <v>6</v>
      </c>
      <c r="AB8" s="22" t="s">
        <v>30</v>
      </c>
      <c r="AC8" s="123" t="s">
        <v>4</v>
      </c>
      <c r="AD8" s="25" t="s">
        <v>6</v>
      </c>
      <c r="AE8" s="25" t="s">
        <v>6</v>
      </c>
      <c r="AF8" s="184" t="s">
        <v>2</v>
      </c>
      <c r="AG8" s="19" t="s">
        <v>41</v>
      </c>
      <c r="AH8" s="19" t="s">
        <v>41</v>
      </c>
    </row>
    <row r="9" spans="1:34" x14ac:dyDescent="0.35">
      <c r="A9" s="194"/>
      <c r="B9" s="195"/>
      <c r="C9" s="196"/>
    </row>
    <row r="10" spans="1:34" x14ac:dyDescent="0.35">
      <c r="A10" s="193" t="s">
        <v>9</v>
      </c>
      <c r="B10" s="25" t="s">
        <v>6</v>
      </c>
      <c r="C10" s="25" t="s">
        <v>6</v>
      </c>
      <c r="D10" s="19" t="s">
        <v>41</v>
      </c>
      <c r="E10" s="184" t="s">
        <v>2</v>
      </c>
      <c r="F10" s="184" t="s">
        <v>2</v>
      </c>
      <c r="G10" s="19" t="s">
        <v>42</v>
      </c>
      <c r="H10" s="19" t="s">
        <v>42</v>
      </c>
      <c r="I10" s="184" t="s">
        <v>2</v>
      </c>
      <c r="J10" s="184" t="s">
        <v>2</v>
      </c>
      <c r="K10" s="22" t="s">
        <v>16</v>
      </c>
      <c r="L10" s="22" t="s">
        <v>16</v>
      </c>
      <c r="M10" s="22" t="s">
        <v>16</v>
      </c>
      <c r="N10" s="19" t="s">
        <v>42</v>
      </c>
      <c r="O10" s="19" t="s">
        <v>42</v>
      </c>
      <c r="P10" s="184" t="s">
        <v>2</v>
      </c>
      <c r="Q10" s="184" t="s">
        <v>2</v>
      </c>
      <c r="R10" s="19" t="s">
        <v>41</v>
      </c>
      <c r="S10" s="131" t="s">
        <v>5</v>
      </c>
      <c r="T10" s="131" t="s">
        <v>5</v>
      </c>
      <c r="U10" s="19" t="s">
        <v>42</v>
      </c>
      <c r="V10" s="19" t="s">
        <v>42</v>
      </c>
      <c r="W10" s="19" t="s">
        <v>41</v>
      </c>
      <c r="X10" s="19" t="s">
        <v>41</v>
      </c>
      <c r="Y10" s="19" t="s">
        <v>41</v>
      </c>
      <c r="Z10" s="19" t="s">
        <v>41</v>
      </c>
      <c r="AA10" s="131" t="s">
        <v>5</v>
      </c>
      <c r="AB10" s="131" t="s">
        <v>5</v>
      </c>
      <c r="AC10" s="131" t="s">
        <v>5</v>
      </c>
      <c r="AD10" s="19" t="s">
        <v>41</v>
      </c>
      <c r="AE10" s="19" t="s">
        <v>41</v>
      </c>
      <c r="AF10" s="185" t="s">
        <v>10</v>
      </c>
      <c r="AG10" s="185" t="s">
        <v>10</v>
      </c>
      <c r="AH10" s="185" t="s">
        <v>10</v>
      </c>
    </row>
    <row r="11" spans="1:34" x14ac:dyDescent="0.35">
      <c r="A11" s="193" t="s">
        <v>15</v>
      </c>
      <c r="B11" s="184" t="s">
        <v>2</v>
      </c>
      <c r="C11" s="25" t="s">
        <v>6</v>
      </c>
      <c r="D11" s="19" t="s">
        <v>41</v>
      </c>
      <c r="E11" s="19" t="s">
        <v>41</v>
      </c>
      <c r="F11" s="19" t="s">
        <v>41</v>
      </c>
      <c r="G11" s="123" t="s">
        <v>4</v>
      </c>
      <c r="H11" s="19" t="s">
        <v>42</v>
      </c>
      <c r="I11" s="19" t="s">
        <v>41</v>
      </c>
      <c r="J11" s="19" t="s">
        <v>41</v>
      </c>
      <c r="K11" s="131" t="s">
        <v>5</v>
      </c>
      <c r="L11" s="131" t="s">
        <v>5</v>
      </c>
      <c r="M11" s="131" t="s">
        <v>5</v>
      </c>
      <c r="N11" s="131" t="s">
        <v>4</v>
      </c>
      <c r="O11" s="131" t="s">
        <v>4</v>
      </c>
      <c r="P11" s="19" t="s">
        <v>41</v>
      </c>
      <c r="Q11" s="19" t="s">
        <v>41</v>
      </c>
      <c r="R11" s="19" t="s">
        <v>41</v>
      </c>
      <c r="S11" s="19" t="s">
        <v>41</v>
      </c>
      <c r="T11" s="19" t="s">
        <v>41</v>
      </c>
      <c r="U11" s="123" t="s">
        <v>4</v>
      </c>
      <c r="V11" s="19" t="s">
        <v>42</v>
      </c>
      <c r="W11" s="19" t="s">
        <v>41</v>
      </c>
      <c r="X11" s="19" t="s">
        <v>41</v>
      </c>
      <c r="Y11" s="19" t="s">
        <v>41</v>
      </c>
      <c r="Z11" s="184" t="s">
        <v>2</v>
      </c>
      <c r="AA11" s="19" t="s">
        <v>41</v>
      </c>
      <c r="AB11" s="19" t="s">
        <v>42</v>
      </c>
      <c r="AC11" s="19" t="s">
        <v>42</v>
      </c>
      <c r="AD11" s="19" t="s">
        <v>41</v>
      </c>
      <c r="AE11" s="19" t="s">
        <v>41</v>
      </c>
      <c r="AF11" s="185" t="s">
        <v>10</v>
      </c>
      <c r="AG11" s="185" t="s">
        <v>10</v>
      </c>
      <c r="AH11" s="185" t="s">
        <v>10</v>
      </c>
    </row>
    <row r="12" spans="1:34" x14ac:dyDescent="0.35">
      <c r="A12" s="182" t="s">
        <v>22</v>
      </c>
      <c r="B12" s="25" t="s">
        <v>6</v>
      </c>
      <c r="C12" s="131" t="s">
        <v>5</v>
      </c>
      <c r="D12" s="131" t="s">
        <v>5</v>
      </c>
      <c r="E12" s="19" t="s">
        <v>41</v>
      </c>
      <c r="F12" s="19" t="s">
        <v>41</v>
      </c>
      <c r="G12" s="19" t="s">
        <v>42</v>
      </c>
      <c r="H12" s="123" t="s">
        <v>4</v>
      </c>
      <c r="I12" s="184" t="s">
        <v>2</v>
      </c>
      <c r="J12" s="19" t="s">
        <v>41</v>
      </c>
      <c r="K12" s="19" t="s">
        <v>41</v>
      </c>
      <c r="L12" s="19" t="s">
        <v>41</v>
      </c>
      <c r="M12" s="19" t="s">
        <v>41</v>
      </c>
      <c r="N12" s="19" t="s">
        <v>42</v>
      </c>
      <c r="O12" s="123" t="s">
        <v>4</v>
      </c>
      <c r="P12" s="184" t="s">
        <v>2</v>
      </c>
      <c r="Q12" s="19" t="s">
        <v>41</v>
      </c>
      <c r="R12" s="19" t="s">
        <v>41</v>
      </c>
      <c r="S12" s="19" t="s">
        <v>41</v>
      </c>
      <c r="T12" s="19" t="s">
        <v>41</v>
      </c>
      <c r="U12" s="19" t="s">
        <v>42</v>
      </c>
      <c r="V12" s="123" t="s">
        <v>4</v>
      </c>
      <c r="W12" s="184" t="s">
        <v>2</v>
      </c>
      <c r="X12" s="19" t="s">
        <v>41</v>
      </c>
      <c r="Y12" s="19" t="s">
        <v>41</v>
      </c>
      <c r="Z12" s="19" t="s">
        <v>41</v>
      </c>
      <c r="AA12" s="131" t="s">
        <v>5</v>
      </c>
      <c r="AB12" s="131" t="s">
        <v>4</v>
      </c>
      <c r="AC12" s="131" t="s">
        <v>4</v>
      </c>
      <c r="AD12" s="131" t="s">
        <v>5</v>
      </c>
      <c r="AE12" s="131" t="s">
        <v>5</v>
      </c>
      <c r="AF12" s="131" t="s">
        <v>5</v>
      </c>
      <c r="AG12" s="131" t="s">
        <v>5</v>
      </c>
      <c r="AH12" s="131" t="s">
        <v>5</v>
      </c>
    </row>
    <row r="13" spans="1:34" x14ac:dyDescent="0.35">
      <c r="A13" s="182" t="s">
        <v>181</v>
      </c>
      <c r="B13" s="22" t="s">
        <v>16</v>
      </c>
      <c r="C13" s="22" t="s">
        <v>16</v>
      </c>
      <c r="D13" s="19" t="s">
        <v>41</v>
      </c>
      <c r="E13" s="19" t="s">
        <v>41</v>
      </c>
      <c r="F13" s="19" t="s">
        <v>41</v>
      </c>
      <c r="G13" s="123" t="s">
        <v>4</v>
      </c>
      <c r="H13" s="123" t="s">
        <v>4</v>
      </c>
      <c r="I13" s="19" t="s">
        <v>41</v>
      </c>
      <c r="J13" s="19" t="s">
        <v>41</v>
      </c>
      <c r="K13" s="19" t="s">
        <v>41</v>
      </c>
      <c r="L13" s="19" t="s">
        <v>41</v>
      </c>
      <c r="M13" s="19" t="s">
        <v>41</v>
      </c>
      <c r="N13" s="123" t="s">
        <v>4</v>
      </c>
      <c r="O13" s="123" t="s">
        <v>4</v>
      </c>
      <c r="P13" s="19" t="s">
        <v>41</v>
      </c>
      <c r="Q13" s="19" t="s">
        <v>41</v>
      </c>
      <c r="R13" s="19" t="s">
        <v>41</v>
      </c>
      <c r="S13" s="19" t="s">
        <v>41</v>
      </c>
      <c r="T13" s="19" t="s">
        <v>41</v>
      </c>
      <c r="U13" s="22" t="s">
        <v>30</v>
      </c>
      <c r="V13" s="123" t="s">
        <v>4</v>
      </c>
      <c r="W13" s="19" t="s">
        <v>41</v>
      </c>
      <c r="X13" s="19" t="s">
        <v>41</v>
      </c>
      <c r="Y13" s="19" t="s">
        <v>41</v>
      </c>
      <c r="Z13" s="19" t="s">
        <v>41</v>
      </c>
      <c r="AA13" s="19" t="s">
        <v>41</v>
      </c>
      <c r="AB13" s="123" t="s">
        <v>4</v>
      </c>
      <c r="AC13" s="123" t="s">
        <v>4</v>
      </c>
      <c r="AD13" s="19" t="s">
        <v>41</v>
      </c>
      <c r="AE13" s="19" t="s">
        <v>41</v>
      </c>
      <c r="AF13" s="185" t="s">
        <v>10</v>
      </c>
      <c r="AG13" s="185" t="s">
        <v>10</v>
      </c>
      <c r="AH13" s="185" t="s">
        <v>10</v>
      </c>
    </row>
    <row r="14" spans="1:34" x14ac:dyDescent="0.35">
      <c r="A14" s="182" t="s">
        <v>155</v>
      </c>
      <c r="B14" s="25" t="s">
        <v>6</v>
      </c>
      <c r="C14" s="25" t="s">
        <v>6</v>
      </c>
      <c r="D14" s="19" t="s">
        <v>41</v>
      </c>
      <c r="E14" s="19" t="s">
        <v>41</v>
      </c>
      <c r="F14" s="19" t="s">
        <v>41</v>
      </c>
      <c r="G14" s="123" t="s">
        <v>4</v>
      </c>
      <c r="H14" s="123" t="s">
        <v>4</v>
      </c>
      <c r="I14" s="19" t="s">
        <v>41</v>
      </c>
      <c r="J14" s="19" t="s">
        <v>41</v>
      </c>
      <c r="K14" s="19" t="s">
        <v>41</v>
      </c>
      <c r="L14" s="19" t="s">
        <v>41</v>
      </c>
      <c r="M14" s="19" t="s">
        <v>41</v>
      </c>
      <c r="N14" s="123" t="s">
        <v>4</v>
      </c>
      <c r="O14" s="19" t="s">
        <v>42</v>
      </c>
      <c r="P14" s="19" t="s">
        <v>41</v>
      </c>
      <c r="Q14" s="19" t="s">
        <v>41</v>
      </c>
      <c r="R14" s="184" t="s">
        <v>2</v>
      </c>
      <c r="S14" s="19" t="s">
        <v>41</v>
      </c>
      <c r="T14" s="19" t="s">
        <v>41</v>
      </c>
      <c r="U14" s="131" t="s">
        <v>5</v>
      </c>
      <c r="V14" s="131" t="s">
        <v>5</v>
      </c>
      <c r="W14" s="131" t="s">
        <v>5</v>
      </c>
      <c r="X14" s="131" t="s">
        <v>5</v>
      </c>
      <c r="Y14" s="131" t="s">
        <v>5</v>
      </c>
      <c r="Z14" s="19" t="s">
        <v>41</v>
      </c>
      <c r="AA14" s="19" t="s">
        <v>41</v>
      </c>
      <c r="AB14" s="19" t="s">
        <v>42</v>
      </c>
      <c r="AC14" s="19" t="s">
        <v>42</v>
      </c>
      <c r="AD14" s="19" t="s">
        <v>41</v>
      </c>
      <c r="AE14" s="19" t="s">
        <v>41</v>
      </c>
      <c r="AF14" s="184" t="s">
        <v>2</v>
      </c>
      <c r="AG14" s="185" t="s">
        <v>10</v>
      </c>
      <c r="AH14" s="185" t="s">
        <v>10</v>
      </c>
    </row>
    <row r="15" spans="1:34" x14ac:dyDescent="0.35">
      <c r="A15" s="194"/>
      <c r="B15" s="195"/>
      <c r="C15" s="196"/>
      <c r="D15" s="70"/>
    </row>
    <row r="16" spans="1:34" x14ac:dyDescent="0.35">
      <c r="A16" s="193" t="s">
        <v>1</v>
      </c>
      <c r="B16" s="19" t="s">
        <v>41</v>
      </c>
      <c r="C16" s="184" t="s">
        <v>2</v>
      </c>
      <c r="D16" s="185" t="s">
        <v>10</v>
      </c>
      <c r="E16" s="184" t="s">
        <v>2</v>
      </c>
      <c r="F16" s="185" t="s">
        <v>10</v>
      </c>
      <c r="G16" s="185" t="s">
        <v>11</v>
      </c>
      <c r="H16" s="185" t="s">
        <v>11</v>
      </c>
      <c r="I16" s="185" t="s">
        <v>10</v>
      </c>
      <c r="J16" s="185" t="s">
        <v>10</v>
      </c>
      <c r="K16" s="185" t="s">
        <v>10</v>
      </c>
      <c r="L16" s="184" t="s">
        <v>2</v>
      </c>
      <c r="M16" s="185" t="s">
        <v>10</v>
      </c>
      <c r="N16" s="185" t="s">
        <v>11</v>
      </c>
      <c r="O16" s="185" t="s">
        <v>11</v>
      </c>
      <c r="P16" s="185" t="s">
        <v>10</v>
      </c>
      <c r="Q16" s="185" t="s">
        <v>10</v>
      </c>
      <c r="R16" s="185" t="s">
        <v>10</v>
      </c>
      <c r="S16" s="184" t="s">
        <v>2</v>
      </c>
      <c r="T16" s="185" t="s">
        <v>10</v>
      </c>
      <c r="U16" s="131" t="s">
        <v>4</v>
      </c>
      <c r="V16" s="131" t="s">
        <v>4</v>
      </c>
      <c r="W16" s="185" t="s">
        <v>10</v>
      </c>
      <c r="X16" s="185" t="s">
        <v>10</v>
      </c>
      <c r="Y16" s="185" t="s">
        <v>10</v>
      </c>
      <c r="Z16" s="185" t="s">
        <v>10</v>
      </c>
      <c r="AA16" s="185" t="s">
        <v>10</v>
      </c>
      <c r="AB16" s="185" t="s">
        <v>11</v>
      </c>
      <c r="AC16" s="123" t="s">
        <v>4</v>
      </c>
      <c r="AD16" s="185" t="s">
        <v>10</v>
      </c>
      <c r="AE16" s="185" t="s">
        <v>10</v>
      </c>
      <c r="AF16" s="184" t="s">
        <v>2</v>
      </c>
      <c r="AG16" s="184" t="s">
        <v>2</v>
      </c>
      <c r="AH16" s="25" t="s">
        <v>6</v>
      </c>
    </row>
    <row r="17" spans="1:34" x14ac:dyDescent="0.35">
      <c r="A17" s="193" t="s">
        <v>43</v>
      </c>
      <c r="B17" s="184" t="s">
        <v>2</v>
      </c>
      <c r="C17" s="19" t="s">
        <v>41</v>
      </c>
      <c r="D17" s="185" t="s">
        <v>10</v>
      </c>
      <c r="E17" s="185" t="s">
        <v>10</v>
      </c>
      <c r="F17" s="185" t="s">
        <v>10</v>
      </c>
      <c r="G17" s="185" t="s">
        <v>11</v>
      </c>
      <c r="H17" s="123" t="s">
        <v>4</v>
      </c>
      <c r="I17" s="184" t="s">
        <v>2</v>
      </c>
      <c r="J17" s="185" t="s">
        <v>10</v>
      </c>
      <c r="K17" s="185" t="s">
        <v>10</v>
      </c>
      <c r="L17" s="185" t="s">
        <v>10</v>
      </c>
      <c r="M17" s="185" t="s">
        <v>10</v>
      </c>
      <c r="N17" s="185" t="s">
        <v>11</v>
      </c>
      <c r="O17" s="123" t="s">
        <v>4</v>
      </c>
      <c r="P17" s="184" t="s">
        <v>2</v>
      </c>
      <c r="Q17" s="185" t="s">
        <v>10</v>
      </c>
      <c r="R17" s="185" t="s">
        <v>10</v>
      </c>
      <c r="S17" s="185" t="s">
        <v>10</v>
      </c>
      <c r="T17" s="185" t="s">
        <v>10</v>
      </c>
      <c r="U17" s="185" t="s">
        <v>11</v>
      </c>
      <c r="V17" s="185" t="s">
        <v>11</v>
      </c>
      <c r="W17" s="184" t="s">
        <v>2</v>
      </c>
      <c r="X17" s="184" t="s">
        <v>2</v>
      </c>
      <c r="Y17" s="185" t="s">
        <v>10</v>
      </c>
      <c r="Z17" s="185" t="s">
        <v>10</v>
      </c>
      <c r="AA17" s="185" t="s">
        <v>10</v>
      </c>
      <c r="AB17" s="123" t="s">
        <v>4</v>
      </c>
      <c r="AC17" s="185" t="s">
        <v>11</v>
      </c>
      <c r="AD17" s="184" t="s">
        <v>2</v>
      </c>
      <c r="AE17" s="22" t="s">
        <v>16</v>
      </c>
      <c r="AF17" s="25" t="s">
        <v>6</v>
      </c>
      <c r="AG17" s="25" t="s">
        <v>6</v>
      </c>
      <c r="AH17" s="184" t="s">
        <v>2</v>
      </c>
    </row>
    <row r="18" spans="1:34" x14ac:dyDescent="0.35">
      <c r="A18" s="182" t="s">
        <v>74</v>
      </c>
      <c r="B18" s="19" t="s">
        <v>41</v>
      </c>
      <c r="C18" s="19" t="s">
        <v>41</v>
      </c>
      <c r="D18" s="185" t="s">
        <v>10</v>
      </c>
      <c r="E18" s="185" t="s">
        <v>10</v>
      </c>
      <c r="F18" s="185" t="s">
        <v>10</v>
      </c>
      <c r="G18" s="185" t="s">
        <v>11</v>
      </c>
      <c r="H18" s="123" t="s">
        <v>4</v>
      </c>
      <c r="I18" s="185" t="s">
        <v>10</v>
      </c>
      <c r="J18" s="185" t="s">
        <v>10</v>
      </c>
      <c r="K18" s="185" t="s">
        <v>10</v>
      </c>
      <c r="L18" s="185" t="s">
        <v>10</v>
      </c>
      <c r="M18" s="185" t="s">
        <v>10</v>
      </c>
      <c r="N18" s="185" t="s">
        <v>11</v>
      </c>
      <c r="O18" s="123" t="s">
        <v>4</v>
      </c>
      <c r="P18" s="185" t="s">
        <v>10</v>
      </c>
      <c r="Q18" s="185" t="s">
        <v>10</v>
      </c>
      <c r="R18" s="184" t="s">
        <v>2</v>
      </c>
      <c r="S18" s="185" t="s">
        <v>10</v>
      </c>
      <c r="T18" s="185" t="s">
        <v>10</v>
      </c>
      <c r="U18" s="185" t="s">
        <v>11</v>
      </c>
      <c r="V18" s="185" t="s">
        <v>11</v>
      </c>
      <c r="W18" s="185" t="s">
        <v>10</v>
      </c>
      <c r="X18" s="185" t="s">
        <v>10</v>
      </c>
      <c r="Y18" s="184" t="s">
        <v>2</v>
      </c>
      <c r="Z18" s="185" t="s">
        <v>10</v>
      </c>
      <c r="AA18" s="185" t="s">
        <v>10</v>
      </c>
      <c r="AB18" s="185" t="s">
        <v>11</v>
      </c>
      <c r="AC18" s="185" t="s">
        <v>11</v>
      </c>
      <c r="AD18" s="185" t="s">
        <v>10</v>
      </c>
      <c r="AE18" s="185" t="s">
        <v>10</v>
      </c>
      <c r="AF18" s="184" t="s">
        <v>2</v>
      </c>
      <c r="AG18" s="25" t="s">
        <v>6</v>
      </c>
      <c r="AH18" s="25" t="s">
        <v>6</v>
      </c>
    </row>
    <row r="19" spans="1:34" x14ac:dyDescent="0.35">
      <c r="A19" s="182" t="s">
        <v>62</v>
      </c>
      <c r="B19" s="19" t="s">
        <v>41</v>
      </c>
      <c r="C19" s="19" t="s">
        <v>41</v>
      </c>
      <c r="D19" s="185" t="s">
        <v>10</v>
      </c>
      <c r="E19" s="185" t="s">
        <v>10</v>
      </c>
      <c r="F19" s="184" t="s">
        <v>2</v>
      </c>
      <c r="G19" s="123" t="s">
        <v>4</v>
      </c>
      <c r="H19" s="185" t="s">
        <v>11</v>
      </c>
      <c r="I19" s="185" t="s">
        <v>10</v>
      </c>
      <c r="J19" s="185" t="s">
        <v>10</v>
      </c>
      <c r="K19" s="185" t="s">
        <v>10</v>
      </c>
      <c r="L19" s="185" t="s">
        <v>10</v>
      </c>
      <c r="M19" s="184" t="s">
        <v>2</v>
      </c>
      <c r="N19" s="22" t="s">
        <v>30</v>
      </c>
      <c r="O19" s="185" t="s">
        <v>11</v>
      </c>
      <c r="P19" s="185" t="s">
        <v>10</v>
      </c>
      <c r="Q19" s="184" t="s">
        <v>2</v>
      </c>
      <c r="R19" s="185" t="s">
        <v>10</v>
      </c>
      <c r="S19" s="185" t="s">
        <v>10</v>
      </c>
      <c r="T19" s="184" t="s">
        <v>2</v>
      </c>
      <c r="U19" s="123" t="s">
        <v>4</v>
      </c>
      <c r="V19" s="185" t="s">
        <v>11</v>
      </c>
      <c r="W19" s="185" t="s">
        <v>10</v>
      </c>
      <c r="X19" s="185" t="s">
        <v>10</v>
      </c>
      <c r="Y19" s="185" t="s">
        <v>10</v>
      </c>
      <c r="Z19" s="184" t="s">
        <v>2</v>
      </c>
      <c r="AA19" s="131" t="s">
        <v>5</v>
      </c>
      <c r="AB19" s="131" t="s">
        <v>5</v>
      </c>
      <c r="AC19" s="185" t="s">
        <v>11</v>
      </c>
      <c r="AD19" s="185" t="s">
        <v>10</v>
      </c>
      <c r="AE19" s="184" t="s">
        <v>2</v>
      </c>
      <c r="AF19" s="25" t="s">
        <v>6</v>
      </c>
      <c r="AG19" s="25" t="s">
        <v>6</v>
      </c>
      <c r="AH19" s="25" t="s">
        <v>6</v>
      </c>
    </row>
    <row r="20" spans="1:34" x14ac:dyDescent="0.35">
      <c r="A20" s="182" t="s">
        <v>180</v>
      </c>
      <c r="B20" s="22" t="s">
        <v>16</v>
      </c>
      <c r="C20" s="22" t="s">
        <v>16</v>
      </c>
      <c r="D20" s="22" t="s">
        <v>16</v>
      </c>
      <c r="E20" s="185" t="s">
        <v>10</v>
      </c>
      <c r="F20" s="185" t="s">
        <v>10</v>
      </c>
      <c r="G20" s="123" t="s">
        <v>4</v>
      </c>
      <c r="H20" s="123" t="s">
        <v>4</v>
      </c>
      <c r="I20" s="22" t="s">
        <v>16</v>
      </c>
      <c r="J20" s="22" t="s">
        <v>16</v>
      </c>
      <c r="K20" s="22" t="s">
        <v>16</v>
      </c>
      <c r="L20" s="185" t="s">
        <v>10</v>
      </c>
      <c r="M20" s="22" t="s">
        <v>16</v>
      </c>
      <c r="N20" s="123" t="s">
        <v>4</v>
      </c>
      <c r="O20" s="123" t="s">
        <v>4</v>
      </c>
      <c r="P20" s="22" t="s">
        <v>16</v>
      </c>
      <c r="Q20" s="22" t="s">
        <v>16</v>
      </c>
      <c r="R20" s="185" t="s">
        <v>10</v>
      </c>
      <c r="S20" s="185" t="s">
        <v>10</v>
      </c>
      <c r="T20" s="185" t="s">
        <v>10</v>
      </c>
      <c r="U20" s="123" t="s">
        <v>4</v>
      </c>
      <c r="V20" s="123" t="s">
        <v>4</v>
      </c>
      <c r="W20" s="22" t="s">
        <v>16</v>
      </c>
      <c r="X20" s="22" t="s">
        <v>16</v>
      </c>
      <c r="Y20" s="185" t="s">
        <v>10</v>
      </c>
      <c r="Z20" s="185" t="s">
        <v>10</v>
      </c>
      <c r="AA20" s="185" t="s">
        <v>10</v>
      </c>
      <c r="AB20" s="123" t="s">
        <v>4</v>
      </c>
      <c r="AC20" s="123" t="s">
        <v>4</v>
      </c>
      <c r="AD20" s="22" t="s">
        <v>16</v>
      </c>
      <c r="AE20" s="22" t="s">
        <v>16</v>
      </c>
      <c r="AF20" s="25" t="s">
        <v>6</v>
      </c>
      <c r="AG20" s="25" t="s">
        <v>6</v>
      </c>
      <c r="AH20" s="25" t="s">
        <v>6</v>
      </c>
    </row>
    <row r="22" spans="1:34" x14ac:dyDescent="0.35">
      <c r="A22" s="189" t="s">
        <v>156</v>
      </c>
      <c r="B22">
        <f>COUNTIF(B4:B20,"*MS")</f>
        <v>3</v>
      </c>
      <c r="C22">
        <f t="shared" ref="C22:AH22" si="1">COUNTIF(C4:C20,"*MS")</f>
        <v>3</v>
      </c>
      <c r="D22">
        <f t="shared" si="1"/>
        <v>3</v>
      </c>
      <c r="E22">
        <f t="shared" si="1"/>
        <v>4</v>
      </c>
      <c r="F22">
        <f t="shared" si="1"/>
        <v>4</v>
      </c>
      <c r="G22">
        <f t="shared" si="1"/>
        <v>2</v>
      </c>
      <c r="H22">
        <f t="shared" si="1"/>
        <v>2</v>
      </c>
      <c r="I22">
        <f t="shared" si="1"/>
        <v>3</v>
      </c>
      <c r="J22">
        <f t="shared" si="1"/>
        <v>4</v>
      </c>
      <c r="K22">
        <f t="shared" si="1"/>
        <v>3</v>
      </c>
      <c r="L22">
        <f t="shared" si="1"/>
        <v>4</v>
      </c>
      <c r="M22">
        <f t="shared" si="1"/>
        <v>3</v>
      </c>
      <c r="N22">
        <f t="shared" si="1"/>
        <v>2</v>
      </c>
      <c r="O22">
        <f t="shared" si="1"/>
        <v>2</v>
      </c>
      <c r="P22">
        <f t="shared" si="1"/>
        <v>3</v>
      </c>
      <c r="Q22">
        <f t="shared" si="1"/>
        <v>4</v>
      </c>
      <c r="R22">
        <f t="shared" si="1"/>
        <v>4</v>
      </c>
      <c r="S22">
        <f t="shared" si="1"/>
        <v>4</v>
      </c>
      <c r="T22">
        <f t="shared" si="1"/>
        <v>3</v>
      </c>
      <c r="U22">
        <f t="shared" si="1"/>
        <v>2</v>
      </c>
      <c r="V22">
        <f t="shared" si="1"/>
        <v>2</v>
      </c>
      <c r="W22">
        <f t="shared" si="1"/>
        <v>3</v>
      </c>
      <c r="X22">
        <f t="shared" si="1"/>
        <v>4</v>
      </c>
      <c r="Y22">
        <f t="shared" si="1"/>
        <v>3</v>
      </c>
      <c r="Z22">
        <f t="shared" si="1"/>
        <v>4</v>
      </c>
      <c r="AA22">
        <f t="shared" si="1"/>
        <v>3</v>
      </c>
      <c r="AB22">
        <f t="shared" si="1"/>
        <v>2</v>
      </c>
      <c r="AC22">
        <f t="shared" si="1"/>
        <v>2</v>
      </c>
      <c r="AD22">
        <f t="shared" si="1"/>
        <v>4</v>
      </c>
      <c r="AE22">
        <f t="shared" si="1"/>
        <v>4</v>
      </c>
      <c r="AF22">
        <f t="shared" si="1"/>
        <v>3</v>
      </c>
      <c r="AG22">
        <f t="shared" si="1"/>
        <v>4</v>
      </c>
      <c r="AH22">
        <f t="shared" si="1"/>
        <v>4</v>
      </c>
    </row>
    <row r="23" spans="1:34" x14ac:dyDescent="0.35">
      <c r="A23" s="189" t="s">
        <v>157</v>
      </c>
      <c r="B23">
        <f>COUNTIF(B4:B20,"*ASS1")</f>
        <v>3</v>
      </c>
      <c r="C23">
        <f t="shared" ref="C23:AH23" si="2">COUNTIF(C4:C20,"*ASS1")</f>
        <v>3</v>
      </c>
      <c r="D23">
        <f t="shared" si="2"/>
        <v>4</v>
      </c>
      <c r="E23">
        <f t="shared" si="2"/>
        <v>4</v>
      </c>
      <c r="F23">
        <f t="shared" si="2"/>
        <v>4</v>
      </c>
      <c r="G23">
        <f t="shared" si="2"/>
        <v>2</v>
      </c>
      <c r="H23">
        <f t="shared" si="2"/>
        <v>2</v>
      </c>
      <c r="I23">
        <f t="shared" si="2"/>
        <v>3</v>
      </c>
      <c r="J23">
        <f t="shared" si="2"/>
        <v>4</v>
      </c>
      <c r="K23">
        <f t="shared" si="2"/>
        <v>3</v>
      </c>
      <c r="L23">
        <f t="shared" si="2"/>
        <v>3</v>
      </c>
      <c r="M23">
        <f t="shared" si="2"/>
        <v>3</v>
      </c>
      <c r="N23">
        <f t="shared" si="2"/>
        <v>2</v>
      </c>
      <c r="O23">
        <f t="shared" si="2"/>
        <v>2</v>
      </c>
      <c r="P23">
        <f t="shared" si="2"/>
        <v>3</v>
      </c>
      <c r="Q23">
        <f t="shared" si="2"/>
        <v>4</v>
      </c>
      <c r="R23">
        <f t="shared" si="2"/>
        <v>4</v>
      </c>
      <c r="S23">
        <f t="shared" si="2"/>
        <v>4</v>
      </c>
      <c r="T23">
        <f t="shared" si="2"/>
        <v>4</v>
      </c>
      <c r="U23">
        <f t="shared" si="2"/>
        <v>2</v>
      </c>
      <c r="V23">
        <f t="shared" si="2"/>
        <v>2</v>
      </c>
      <c r="W23">
        <f t="shared" si="2"/>
        <v>3</v>
      </c>
      <c r="X23">
        <f t="shared" si="2"/>
        <v>4</v>
      </c>
      <c r="Y23">
        <f t="shared" si="2"/>
        <v>4</v>
      </c>
      <c r="Z23">
        <f t="shared" si="2"/>
        <v>4</v>
      </c>
      <c r="AA23">
        <f t="shared" si="2"/>
        <v>3</v>
      </c>
      <c r="AB23">
        <f t="shared" si="2"/>
        <v>2</v>
      </c>
      <c r="AC23">
        <f t="shared" si="2"/>
        <v>2</v>
      </c>
      <c r="AD23">
        <f t="shared" si="2"/>
        <v>4</v>
      </c>
      <c r="AE23">
        <f t="shared" si="2"/>
        <v>4</v>
      </c>
      <c r="AF23">
        <f t="shared" si="2"/>
        <v>3</v>
      </c>
      <c r="AG23">
        <f t="shared" si="2"/>
        <v>4</v>
      </c>
      <c r="AH23">
        <f t="shared" si="2"/>
        <v>3</v>
      </c>
    </row>
    <row r="24" spans="1:34" x14ac:dyDescent="0.35">
      <c r="A24" s="189" t="s">
        <v>158</v>
      </c>
      <c r="B24">
        <f>COUNTIF(B4:B20,"*NST7")</f>
        <v>3</v>
      </c>
      <c r="C24">
        <f t="shared" ref="C24:AH24" si="3">COUNTIF(C4:C20,"*NST7")</f>
        <v>2</v>
      </c>
      <c r="D24">
        <f t="shared" si="3"/>
        <v>4</v>
      </c>
      <c r="E24">
        <f t="shared" si="3"/>
        <v>4</v>
      </c>
      <c r="F24">
        <f t="shared" si="3"/>
        <v>4</v>
      </c>
      <c r="G24">
        <f t="shared" si="3"/>
        <v>3</v>
      </c>
      <c r="H24">
        <f t="shared" si="3"/>
        <v>2</v>
      </c>
      <c r="I24">
        <f t="shared" si="3"/>
        <v>3</v>
      </c>
      <c r="J24">
        <f t="shared" si="3"/>
        <v>4</v>
      </c>
      <c r="K24">
        <f t="shared" si="3"/>
        <v>4</v>
      </c>
      <c r="L24">
        <f t="shared" si="3"/>
        <v>4</v>
      </c>
      <c r="M24">
        <f t="shared" si="3"/>
        <v>3</v>
      </c>
      <c r="N24">
        <f t="shared" si="3"/>
        <v>3</v>
      </c>
      <c r="O24">
        <f t="shared" si="3"/>
        <v>2</v>
      </c>
      <c r="P24">
        <f t="shared" si="3"/>
        <v>3</v>
      </c>
      <c r="Q24">
        <f t="shared" si="3"/>
        <v>3</v>
      </c>
      <c r="R24">
        <f t="shared" si="3"/>
        <v>4</v>
      </c>
      <c r="S24">
        <f t="shared" si="3"/>
        <v>4</v>
      </c>
      <c r="T24">
        <f t="shared" si="3"/>
        <v>4</v>
      </c>
      <c r="U24">
        <f t="shared" si="3"/>
        <v>2</v>
      </c>
      <c r="V24">
        <f t="shared" si="3"/>
        <v>3</v>
      </c>
      <c r="W24">
        <f t="shared" si="3"/>
        <v>3</v>
      </c>
      <c r="X24">
        <f t="shared" si="3"/>
        <v>3</v>
      </c>
      <c r="Y24">
        <f t="shared" si="3"/>
        <v>4</v>
      </c>
      <c r="Z24">
        <f t="shared" si="3"/>
        <v>4</v>
      </c>
      <c r="AA24">
        <f t="shared" si="3"/>
        <v>4</v>
      </c>
      <c r="AB24">
        <f t="shared" si="3"/>
        <v>2</v>
      </c>
      <c r="AC24">
        <f t="shared" si="3"/>
        <v>3</v>
      </c>
      <c r="AD24">
        <f t="shared" si="3"/>
        <v>3</v>
      </c>
      <c r="AE24">
        <f t="shared" si="3"/>
        <v>2</v>
      </c>
      <c r="AF24">
        <f t="shared" si="3"/>
        <v>3</v>
      </c>
      <c r="AG24">
        <f t="shared" si="3"/>
        <v>4</v>
      </c>
      <c r="AH24">
        <f t="shared" si="3"/>
        <v>4</v>
      </c>
    </row>
    <row r="25" spans="1:34" x14ac:dyDescent="0.35">
      <c r="A25" s="189" t="s">
        <v>159</v>
      </c>
      <c r="B25">
        <f>COUNTIF(B4:B20,"*GS")</f>
        <v>2</v>
      </c>
      <c r="C25">
        <f t="shared" ref="C25:AH25" si="4">COUNTIF(C4:C20,"*GS")</f>
        <v>4</v>
      </c>
      <c r="D25">
        <f t="shared" si="4"/>
        <v>1</v>
      </c>
      <c r="E25">
        <f t="shared" si="4"/>
        <v>0</v>
      </c>
      <c r="F25">
        <f t="shared" si="4"/>
        <v>0</v>
      </c>
      <c r="G25">
        <f t="shared" si="4"/>
        <v>1</v>
      </c>
      <c r="H25">
        <f t="shared" si="4"/>
        <v>0</v>
      </c>
      <c r="I25">
        <f t="shared" si="4"/>
        <v>1</v>
      </c>
      <c r="J25">
        <f t="shared" si="4"/>
        <v>1</v>
      </c>
      <c r="K25">
        <f t="shared" si="4"/>
        <v>2</v>
      </c>
      <c r="L25">
        <f t="shared" si="4"/>
        <v>1</v>
      </c>
      <c r="M25">
        <f t="shared" si="4"/>
        <v>2</v>
      </c>
      <c r="N25">
        <f t="shared" si="4"/>
        <v>1</v>
      </c>
      <c r="O25">
        <f t="shared" si="4"/>
        <v>0</v>
      </c>
      <c r="P25">
        <f t="shared" si="4"/>
        <v>1</v>
      </c>
      <c r="Q25">
        <f t="shared" si="4"/>
        <v>1</v>
      </c>
      <c r="R25">
        <f t="shared" si="4"/>
        <v>0</v>
      </c>
      <c r="S25">
        <f t="shared" si="4"/>
        <v>0</v>
      </c>
      <c r="T25">
        <f t="shared" si="4"/>
        <v>0</v>
      </c>
      <c r="U25">
        <f t="shared" si="4"/>
        <v>1</v>
      </c>
      <c r="V25">
        <f t="shared" si="4"/>
        <v>0</v>
      </c>
      <c r="W25">
        <f t="shared" si="4"/>
        <v>1</v>
      </c>
      <c r="X25">
        <f t="shared" si="4"/>
        <v>1</v>
      </c>
      <c r="Y25">
        <f t="shared" si="4"/>
        <v>0</v>
      </c>
      <c r="Z25">
        <f t="shared" si="4"/>
        <v>0</v>
      </c>
      <c r="AA25">
        <f t="shared" si="4"/>
        <v>0</v>
      </c>
      <c r="AB25">
        <f t="shared" si="4"/>
        <v>1</v>
      </c>
      <c r="AC25">
        <f t="shared" si="4"/>
        <v>0</v>
      </c>
      <c r="AD25">
        <f t="shared" si="4"/>
        <v>1</v>
      </c>
      <c r="AE25">
        <f t="shared" si="4"/>
        <v>2</v>
      </c>
      <c r="AF25">
        <f t="shared" si="4"/>
        <v>1</v>
      </c>
      <c r="AG25">
        <f t="shared" si="4"/>
        <v>0</v>
      </c>
      <c r="AH25">
        <f t="shared" si="4"/>
        <v>0</v>
      </c>
    </row>
    <row r="26" spans="1:34" x14ac:dyDescent="0.35">
      <c r="A26" s="189" t="s">
        <v>160</v>
      </c>
      <c r="B26">
        <f>COUNTIF(B4:B20,"C")</f>
        <v>4</v>
      </c>
      <c r="C26">
        <f t="shared" ref="C26:AH26" si="5">COUNTIF(C4:C20,"C")</f>
        <v>2</v>
      </c>
      <c r="D26">
        <f t="shared" si="5"/>
        <v>1</v>
      </c>
      <c r="E26">
        <f>COUNTIF(E4:E20,"C")</f>
        <v>2</v>
      </c>
      <c r="F26">
        <f t="shared" si="5"/>
        <v>3</v>
      </c>
      <c r="G26">
        <f t="shared" ref="G26:H26" si="6">COUNTIF(G4:G20,"WO")</f>
        <v>7</v>
      </c>
      <c r="H26">
        <f t="shared" si="6"/>
        <v>9</v>
      </c>
      <c r="I26">
        <f t="shared" si="5"/>
        <v>4</v>
      </c>
      <c r="J26">
        <f t="shared" si="5"/>
        <v>1</v>
      </c>
      <c r="K26">
        <f t="shared" si="5"/>
        <v>1</v>
      </c>
      <c r="L26">
        <f t="shared" si="5"/>
        <v>1</v>
      </c>
      <c r="M26">
        <f t="shared" si="5"/>
        <v>1</v>
      </c>
      <c r="N26">
        <f t="shared" ref="N26:O26" si="7">COUNTIF(N4:N20,"WO")</f>
        <v>5</v>
      </c>
      <c r="O26">
        <f t="shared" si="7"/>
        <v>8</v>
      </c>
      <c r="P26">
        <f t="shared" si="5"/>
        <v>4</v>
      </c>
      <c r="Q26">
        <f t="shared" si="5"/>
        <v>3</v>
      </c>
      <c r="R26">
        <f t="shared" si="5"/>
        <v>3</v>
      </c>
      <c r="S26">
        <f t="shared" si="5"/>
        <v>1</v>
      </c>
      <c r="T26">
        <f t="shared" si="5"/>
        <v>2</v>
      </c>
      <c r="U26">
        <f>COUNTIF(U4:U20,"WO")</f>
        <v>6</v>
      </c>
      <c r="V26">
        <f t="shared" ref="V26" si="8">COUNTIF(V4:V20,"WO")</f>
        <v>6</v>
      </c>
      <c r="W26">
        <f t="shared" si="5"/>
        <v>3</v>
      </c>
      <c r="X26">
        <f t="shared" si="5"/>
        <v>1</v>
      </c>
      <c r="Y26">
        <f t="shared" si="5"/>
        <v>2</v>
      </c>
      <c r="Z26">
        <f t="shared" si="5"/>
        <v>2</v>
      </c>
      <c r="AA26">
        <f t="shared" si="5"/>
        <v>1</v>
      </c>
      <c r="AB26">
        <f t="shared" ref="AB26:AC26" si="9">COUNTIF(AB4:AB20,"WO")</f>
        <v>6</v>
      </c>
      <c r="AC26">
        <f t="shared" si="9"/>
        <v>7</v>
      </c>
      <c r="AD26">
        <f t="shared" si="5"/>
        <v>2</v>
      </c>
      <c r="AE26">
        <f t="shared" si="5"/>
        <v>2</v>
      </c>
      <c r="AF26">
        <f t="shared" si="5"/>
        <v>4</v>
      </c>
      <c r="AG26">
        <f t="shared" si="5"/>
        <v>2</v>
      </c>
      <c r="AH26">
        <f t="shared" si="5"/>
        <v>3</v>
      </c>
    </row>
    <row r="27" spans="1:34" x14ac:dyDescent="0.35">
      <c r="A27" s="189" t="s">
        <v>161</v>
      </c>
      <c r="B27">
        <f>COUNTIF(B4:B20,"PL")</f>
        <v>0</v>
      </c>
      <c r="C27">
        <f t="shared" ref="C27:AH27" si="10">COUNTIF(C4:C20,"PL")</f>
        <v>1</v>
      </c>
      <c r="D27">
        <f t="shared" si="10"/>
        <v>2</v>
      </c>
      <c r="E27">
        <f t="shared" si="10"/>
        <v>1</v>
      </c>
      <c r="F27">
        <f t="shared" si="10"/>
        <v>0</v>
      </c>
      <c r="G27">
        <f t="shared" si="10"/>
        <v>0</v>
      </c>
      <c r="H27">
        <f t="shared" si="10"/>
        <v>0</v>
      </c>
      <c r="I27">
        <f t="shared" si="10"/>
        <v>1</v>
      </c>
      <c r="J27">
        <f t="shared" si="10"/>
        <v>1</v>
      </c>
      <c r="K27">
        <f t="shared" si="10"/>
        <v>2</v>
      </c>
      <c r="L27">
        <f t="shared" si="10"/>
        <v>2</v>
      </c>
      <c r="M27">
        <f t="shared" si="10"/>
        <v>3</v>
      </c>
      <c r="N27">
        <f t="shared" si="10"/>
        <v>2</v>
      </c>
      <c r="O27">
        <f t="shared" si="10"/>
        <v>1</v>
      </c>
      <c r="P27">
        <f t="shared" si="10"/>
        <v>1</v>
      </c>
      <c r="Q27">
        <f t="shared" si="10"/>
        <v>0</v>
      </c>
      <c r="R27">
        <f t="shared" si="10"/>
        <v>0</v>
      </c>
      <c r="S27">
        <f t="shared" si="10"/>
        <v>2</v>
      </c>
      <c r="T27">
        <f t="shared" si="10"/>
        <v>2</v>
      </c>
      <c r="U27">
        <f t="shared" si="10"/>
        <v>2</v>
      </c>
      <c r="V27">
        <f t="shared" si="10"/>
        <v>2</v>
      </c>
      <c r="W27">
        <f t="shared" si="10"/>
        <v>2</v>
      </c>
      <c r="X27">
        <f t="shared" si="10"/>
        <v>2</v>
      </c>
      <c r="Y27">
        <f t="shared" si="10"/>
        <v>2</v>
      </c>
      <c r="Z27">
        <f t="shared" si="10"/>
        <v>1</v>
      </c>
      <c r="AA27">
        <f t="shared" si="10"/>
        <v>4</v>
      </c>
      <c r="AB27">
        <f t="shared" si="10"/>
        <v>2</v>
      </c>
      <c r="AC27">
        <f t="shared" si="10"/>
        <v>1</v>
      </c>
      <c r="AD27">
        <f t="shared" si="10"/>
        <v>1</v>
      </c>
      <c r="AE27">
        <f t="shared" si="10"/>
        <v>1</v>
      </c>
      <c r="AF27">
        <f t="shared" si="10"/>
        <v>1</v>
      </c>
      <c r="AG27">
        <f t="shared" si="10"/>
        <v>1</v>
      </c>
      <c r="AH27">
        <f t="shared" si="10"/>
        <v>1</v>
      </c>
    </row>
    <row r="28" spans="1:34" x14ac:dyDescent="0.35">
      <c r="A28" s="189" t="s">
        <v>33</v>
      </c>
      <c r="B28">
        <f>COUNTIF(B4:B20,"UPL")</f>
        <v>0</v>
      </c>
      <c r="C28">
        <f t="shared" ref="C28:AH28" si="11">COUNTIF(C4:C20,"UPL")</f>
        <v>0</v>
      </c>
      <c r="D28">
        <f t="shared" si="11"/>
        <v>0</v>
      </c>
      <c r="E28">
        <f t="shared" si="11"/>
        <v>0</v>
      </c>
      <c r="F28">
        <f t="shared" si="11"/>
        <v>0</v>
      </c>
      <c r="G28">
        <f t="shared" si="11"/>
        <v>0</v>
      </c>
      <c r="H28">
        <f t="shared" si="11"/>
        <v>0</v>
      </c>
      <c r="I28">
        <f t="shared" si="11"/>
        <v>0</v>
      </c>
      <c r="J28">
        <f t="shared" si="11"/>
        <v>0</v>
      </c>
      <c r="K28">
        <f t="shared" si="11"/>
        <v>0</v>
      </c>
      <c r="L28">
        <f t="shared" si="11"/>
        <v>0</v>
      </c>
      <c r="M28">
        <f t="shared" si="11"/>
        <v>0</v>
      </c>
      <c r="N28">
        <f t="shared" si="11"/>
        <v>0</v>
      </c>
      <c r="O28">
        <f t="shared" si="11"/>
        <v>0</v>
      </c>
      <c r="P28">
        <f t="shared" si="11"/>
        <v>0</v>
      </c>
      <c r="Q28">
        <f t="shared" si="11"/>
        <v>0</v>
      </c>
      <c r="R28">
        <f t="shared" si="11"/>
        <v>0</v>
      </c>
      <c r="S28">
        <f t="shared" si="11"/>
        <v>0</v>
      </c>
      <c r="T28">
        <f t="shared" si="11"/>
        <v>0</v>
      </c>
      <c r="U28">
        <f t="shared" si="11"/>
        <v>0</v>
      </c>
      <c r="V28">
        <f t="shared" si="11"/>
        <v>0</v>
      </c>
      <c r="W28">
        <f t="shared" si="11"/>
        <v>0</v>
      </c>
      <c r="X28">
        <f t="shared" si="11"/>
        <v>0</v>
      </c>
      <c r="Y28">
        <f t="shared" si="11"/>
        <v>0</v>
      </c>
      <c r="Z28">
        <f t="shared" si="11"/>
        <v>0</v>
      </c>
      <c r="AA28">
        <f t="shared" si="11"/>
        <v>0</v>
      </c>
      <c r="AB28">
        <f t="shared" si="11"/>
        <v>0</v>
      </c>
      <c r="AC28">
        <f t="shared" si="11"/>
        <v>0</v>
      </c>
      <c r="AD28">
        <f t="shared" si="11"/>
        <v>0</v>
      </c>
      <c r="AE28">
        <f t="shared" si="11"/>
        <v>0</v>
      </c>
      <c r="AF28">
        <f t="shared" si="11"/>
        <v>0</v>
      </c>
      <c r="AG28">
        <f t="shared" si="11"/>
        <v>0</v>
      </c>
      <c r="AH28">
        <f t="shared" si="11"/>
        <v>0</v>
      </c>
    </row>
    <row r="29" spans="1:34" x14ac:dyDescent="0.35">
      <c r="A29" s="189" t="s">
        <v>172</v>
      </c>
      <c r="B29">
        <f>COUNTIF(B4:B20,"H")</f>
        <v>0</v>
      </c>
      <c r="C29">
        <f t="shared" ref="C29:AH29" si="12">COUNTIF(C4:C20,"H")</f>
        <v>0</v>
      </c>
      <c r="D29">
        <f t="shared" si="12"/>
        <v>0</v>
      </c>
      <c r="E29">
        <f t="shared" si="12"/>
        <v>0</v>
      </c>
      <c r="F29">
        <f t="shared" si="12"/>
        <v>0</v>
      </c>
      <c r="G29">
        <f t="shared" si="12"/>
        <v>0</v>
      </c>
      <c r="H29">
        <f t="shared" si="12"/>
        <v>0</v>
      </c>
      <c r="I29">
        <f t="shared" si="12"/>
        <v>0</v>
      </c>
      <c r="J29">
        <f t="shared" si="12"/>
        <v>0</v>
      </c>
      <c r="K29">
        <f t="shared" si="12"/>
        <v>0</v>
      </c>
      <c r="L29">
        <f t="shared" si="12"/>
        <v>0</v>
      </c>
      <c r="M29">
        <f t="shared" si="12"/>
        <v>0</v>
      </c>
      <c r="N29">
        <f t="shared" si="12"/>
        <v>0</v>
      </c>
      <c r="O29">
        <f t="shared" si="12"/>
        <v>0</v>
      </c>
      <c r="P29">
        <f t="shared" si="12"/>
        <v>0</v>
      </c>
      <c r="Q29">
        <f t="shared" si="12"/>
        <v>0</v>
      </c>
      <c r="R29">
        <f t="shared" si="12"/>
        <v>0</v>
      </c>
      <c r="S29">
        <f t="shared" si="12"/>
        <v>0</v>
      </c>
      <c r="T29">
        <f t="shared" si="12"/>
        <v>0</v>
      </c>
      <c r="U29">
        <f t="shared" si="12"/>
        <v>0</v>
      </c>
      <c r="V29">
        <f t="shared" si="12"/>
        <v>0</v>
      </c>
      <c r="W29">
        <f t="shared" si="12"/>
        <v>0</v>
      </c>
      <c r="X29">
        <f t="shared" si="12"/>
        <v>0</v>
      </c>
      <c r="Y29">
        <f t="shared" si="12"/>
        <v>0</v>
      </c>
      <c r="Z29">
        <f t="shared" si="12"/>
        <v>0</v>
      </c>
      <c r="AA29">
        <f t="shared" si="12"/>
        <v>0</v>
      </c>
      <c r="AB29">
        <f t="shared" si="12"/>
        <v>0</v>
      </c>
      <c r="AC29">
        <f t="shared" si="12"/>
        <v>0</v>
      </c>
      <c r="AD29">
        <f t="shared" si="12"/>
        <v>0</v>
      </c>
      <c r="AE29">
        <f t="shared" si="12"/>
        <v>0</v>
      </c>
      <c r="AF29">
        <f t="shared" si="12"/>
        <v>0</v>
      </c>
      <c r="AG29">
        <f t="shared" si="12"/>
        <v>0</v>
      </c>
      <c r="AH29">
        <f t="shared" si="12"/>
        <v>0</v>
      </c>
    </row>
    <row r="30" spans="1:34" x14ac:dyDescent="0.35">
      <c r="A30" s="189" t="s">
        <v>162</v>
      </c>
      <c r="B30" s="138">
        <f>SUM(B22:B29)</f>
        <v>15</v>
      </c>
      <c r="C30" s="138">
        <f t="shared" ref="C30:AH30" si="13">SUM(C22:C29)</f>
        <v>15</v>
      </c>
      <c r="D30" s="138">
        <f t="shared" si="13"/>
        <v>15</v>
      </c>
      <c r="E30" s="138">
        <f t="shared" si="13"/>
        <v>15</v>
      </c>
      <c r="F30" s="138">
        <f t="shared" si="13"/>
        <v>15</v>
      </c>
      <c r="G30" s="138">
        <f t="shared" si="13"/>
        <v>15</v>
      </c>
      <c r="H30" s="138">
        <f t="shared" si="13"/>
        <v>15</v>
      </c>
      <c r="I30" s="138">
        <f t="shared" si="13"/>
        <v>15</v>
      </c>
      <c r="J30" s="138">
        <f t="shared" si="13"/>
        <v>15</v>
      </c>
      <c r="K30" s="138">
        <f t="shared" si="13"/>
        <v>15</v>
      </c>
      <c r="L30" s="138">
        <f t="shared" si="13"/>
        <v>15</v>
      </c>
      <c r="M30" s="138">
        <f t="shared" si="13"/>
        <v>15</v>
      </c>
      <c r="N30" s="138">
        <f t="shared" si="13"/>
        <v>15</v>
      </c>
      <c r="O30" s="138">
        <f t="shared" si="13"/>
        <v>15</v>
      </c>
      <c r="P30" s="138">
        <f t="shared" si="13"/>
        <v>15</v>
      </c>
      <c r="Q30" s="138">
        <f t="shared" si="13"/>
        <v>15</v>
      </c>
      <c r="R30" s="138">
        <f t="shared" si="13"/>
        <v>15</v>
      </c>
      <c r="S30" s="138">
        <f t="shared" si="13"/>
        <v>15</v>
      </c>
      <c r="T30" s="138">
        <f t="shared" si="13"/>
        <v>15</v>
      </c>
      <c r="U30" s="138">
        <f t="shared" si="13"/>
        <v>15</v>
      </c>
      <c r="V30" s="138">
        <f t="shared" si="13"/>
        <v>15</v>
      </c>
      <c r="W30" s="138">
        <f t="shared" si="13"/>
        <v>15</v>
      </c>
      <c r="X30" s="138">
        <f t="shared" si="13"/>
        <v>15</v>
      </c>
      <c r="Y30" s="138">
        <f t="shared" si="13"/>
        <v>15</v>
      </c>
      <c r="Z30" s="138">
        <f t="shared" si="13"/>
        <v>15</v>
      </c>
      <c r="AA30" s="138">
        <f t="shared" si="13"/>
        <v>15</v>
      </c>
      <c r="AB30" s="138">
        <f t="shared" si="13"/>
        <v>15</v>
      </c>
      <c r="AC30" s="138">
        <f t="shared" si="13"/>
        <v>15</v>
      </c>
      <c r="AD30" s="138">
        <f t="shared" si="13"/>
        <v>15</v>
      </c>
      <c r="AE30" s="138">
        <f t="shared" si="13"/>
        <v>15</v>
      </c>
      <c r="AF30" s="138">
        <f t="shared" si="13"/>
        <v>15</v>
      </c>
      <c r="AG30" s="138">
        <f t="shared" si="13"/>
        <v>15</v>
      </c>
      <c r="AH30" s="138">
        <f t="shared" si="13"/>
        <v>15</v>
      </c>
    </row>
  </sheetData>
  <conditionalFormatting sqref="B22:B25">
    <cfRule type="cellIs" dxfId="138" priority="2" operator="lessThan">
      <formula>3</formula>
    </cfRule>
  </conditionalFormatting>
  <conditionalFormatting sqref="C22:AH25">
    <cfRule type="cellIs" dxfId="137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C30"/>
  <sheetViews>
    <sheetView zoomScale="57" zoomScaleNormal="57" workbookViewId="0">
      <pane xSplit="1" topLeftCell="B1" activePane="topRight" state="frozen"/>
      <selection pane="topRight" activeCell="D9" sqref="D9"/>
    </sheetView>
  </sheetViews>
  <sheetFormatPr defaultRowHeight="14.5" x14ac:dyDescent="0.35"/>
  <cols>
    <col min="1" max="1" width="23.81640625" bestFit="1" customWidth="1"/>
    <col min="2" max="29" width="8.7265625" customWidth="1"/>
  </cols>
  <sheetData>
    <row r="1" spans="1:29" x14ac:dyDescent="0.35">
      <c r="A1" s="70"/>
      <c r="B1" s="2" t="str">
        <f t="shared" ref="B1" si="0">TEXT(B2,"ddd")</f>
        <v>Wed</v>
      </c>
      <c r="C1" s="2" t="str">
        <f t="shared" ref="C1:AC1" si="1">TEXT(C2,"ddd")</f>
        <v>Thu</v>
      </c>
      <c r="D1" s="2" t="str">
        <f t="shared" si="1"/>
        <v>Fri</v>
      </c>
      <c r="E1" s="2" t="str">
        <f t="shared" si="1"/>
        <v>Sat</v>
      </c>
      <c r="F1" s="2" t="str">
        <f t="shared" si="1"/>
        <v>Sun</v>
      </c>
      <c r="G1" s="2" t="str">
        <f t="shared" si="1"/>
        <v>Mon</v>
      </c>
      <c r="H1" s="2" t="str">
        <f t="shared" si="1"/>
        <v>Tue</v>
      </c>
      <c r="I1" s="2" t="str">
        <f t="shared" si="1"/>
        <v>Wed</v>
      </c>
      <c r="J1" s="2" t="str">
        <f t="shared" si="1"/>
        <v>Thu</v>
      </c>
      <c r="K1" s="2" t="str">
        <f t="shared" si="1"/>
        <v>Fri</v>
      </c>
      <c r="L1" s="2" t="str">
        <f t="shared" si="1"/>
        <v>Sat</v>
      </c>
      <c r="M1" s="2" t="str">
        <f t="shared" si="1"/>
        <v>Sun</v>
      </c>
      <c r="N1" s="2" t="str">
        <f t="shared" si="1"/>
        <v>Mon</v>
      </c>
      <c r="O1" s="2" t="str">
        <f t="shared" si="1"/>
        <v>Tue</v>
      </c>
      <c r="P1" s="2" t="str">
        <f t="shared" si="1"/>
        <v>Wed</v>
      </c>
      <c r="Q1" s="2" t="str">
        <f t="shared" si="1"/>
        <v>Thu</v>
      </c>
      <c r="R1" s="2" t="str">
        <f t="shared" si="1"/>
        <v>Fri</v>
      </c>
      <c r="S1" s="2" t="str">
        <f t="shared" si="1"/>
        <v>Sat</v>
      </c>
      <c r="T1" s="2" t="str">
        <f t="shared" si="1"/>
        <v>Sun</v>
      </c>
      <c r="U1" s="2" t="str">
        <f t="shared" si="1"/>
        <v>Mon</v>
      </c>
      <c r="V1" s="2" t="str">
        <f t="shared" si="1"/>
        <v>Tue</v>
      </c>
      <c r="W1" s="2" t="str">
        <f t="shared" si="1"/>
        <v>Wed</v>
      </c>
      <c r="X1" s="2" t="str">
        <f t="shared" si="1"/>
        <v>Thu</v>
      </c>
      <c r="Y1" s="2" t="str">
        <f t="shared" si="1"/>
        <v>Fri</v>
      </c>
      <c r="Z1" s="2" t="str">
        <f t="shared" si="1"/>
        <v>Sat</v>
      </c>
      <c r="AA1" s="2" t="str">
        <f t="shared" si="1"/>
        <v>Sun</v>
      </c>
      <c r="AB1" s="2" t="str">
        <f t="shared" si="1"/>
        <v>Mon</v>
      </c>
      <c r="AC1" s="2" t="str">
        <f t="shared" si="1"/>
        <v>Tue</v>
      </c>
    </row>
    <row r="2" spans="1:29" x14ac:dyDescent="0.35">
      <c r="A2" s="104" t="s">
        <v>0</v>
      </c>
      <c r="B2" s="31">
        <v>44958</v>
      </c>
      <c r="C2" s="31">
        <v>44959</v>
      </c>
      <c r="D2" s="31">
        <v>44960</v>
      </c>
      <c r="E2" s="31">
        <v>44961</v>
      </c>
      <c r="F2" s="31">
        <v>44962</v>
      </c>
      <c r="G2" s="31">
        <v>44963</v>
      </c>
      <c r="H2" s="31">
        <v>44964</v>
      </c>
      <c r="I2" s="31">
        <v>44965</v>
      </c>
      <c r="J2" s="31">
        <v>44966</v>
      </c>
      <c r="K2" s="31">
        <v>44967</v>
      </c>
      <c r="L2" s="31">
        <v>44968</v>
      </c>
      <c r="M2" s="31">
        <v>44969</v>
      </c>
      <c r="N2" s="31">
        <v>44970</v>
      </c>
      <c r="O2" s="31">
        <v>44971</v>
      </c>
      <c r="P2" s="31">
        <v>44972</v>
      </c>
      <c r="Q2" s="31">
        <v>44973</v>
      </c>
      <c r="R2" s="31">
        <v>44974</v>
      </c>
      <c r="S2" s="31">
        <v>44975</v>
      </c>
      <c r="T2" s="31">
        <v>44976</v>
      </c>
      <c r="U2" s="31">
        <v>44977</v>
      </c>
      <c r="V2" s="31">
        <v>44978</v>
      </c>
      <c r="W2" s="31">
        <v>44979</v>
      </c>
      <c r="X2" s="31">
        <v>44980</v>
      </c>
      <c r="Y2" s="31">
        <v>44981</v>
      </c>
      <c r="Z2" s="31">
        <v>44982</v>
      </c>
      <c r="AA2" s="31">
        <v>44983</v>
      </c>
      <c r="AB2" s="31">
        <v>44984</v>
      </c>
      <c r="AC2" s="31">
        <v>44985</v>
      </c>
    </row>
    <row r="3" spans="1:29" x14ac:dyDescent="0.35">
      <c r="A3" s="105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</row>
    <row r="4" spans="1:29" x14ac:dyDescent="0.35">
      <c r="A4" s="193" t="s">
        <v>9</v>
      </c>
      <c r="B4" s="25" t="s">
        <v>6</v>
      </c>
      <c r="C4" s="184" t="s">
        <v>2</v>
      </c>
      <c r="D4" s="25" t="s">
        <v>6</v>
      </c>
      <c r="E4" s="25" t="s">
        <v>3</v>
      </c>
      <c r="F4" s="123" t="s">
        <v>4</v>
      </c>
      <c r="G4" s="25" t="s">
        <v>6</v>
      </c>
      <c r="H4" s="184" t="s">
        <v>2</v>
      </c>
      <c r="I4" s="25" t="s">
        <v>6</v>
      </c>
      <c r="J4" s="25" t="s">
        <v>6</v>
      </c>
      <c r="K4" s="25" t="s">
        <v>6</v>
      </c>
      <c r="L4" s="25" t="s">
        <v>3</v>
      </c>
      <c r="M4" s="25" t="s">
        <v>3</v>
      </c>
      <c r="N4" s="25" t="s">
        <v>6</v>
      </c>
      <c r="O4" s="184" t="s">
        <v>2</v>
      </c>
      <c r="P4" s="184" t="s">
        <v>2</v>
      </c>
      <c r="Q4" s="25" t="s">
        <v>6</v>
      </c>
      <c r="R4" s="25" t="s">
        <v>6</v>
      </c>
      <c r="S4" s="25" t="s">
        <v>3</v>
      </c>
      <c r="T4" s="25" t="s">
        <v>3</v>
      </c>
      <c r="U4" s="25" t="s">
        <v>6</v>
      </c>
      <c r="V4" s="184" t="s">
        <v>2</v>
      </c>
      <c r="W4" s="25" t="s">
        <v>6</v>
      </c>
      <c r="X4" s="131" t="s">
        <v>5</v>
      </c>
      <c r="Y4" s="131" t="s">
        <v>5</v>
      </c>
      <c r="Z4" s="131" t="s">
        <v>4</v>
      </c>
      <c r="AA4" s="131" t="s">
        <v>4</v>
      </c>
      <c r="AB4" s="131" t="s">
        <v>5</v>
      </c>
      <c r="AC4" s="131" t="s">
        <v>5</v>
      </c>
    </row>
    <row r="5" spans="1:29" x14ac:dyDescent="0.35">
      <c r="A5" s="182" t="s">
        <v>21</v>
      </c>
      <c r="B5" s="25" t="s">
        <v>6</v>
      </c>
      <c r="C5" s="25" t="s">
        <v>6</v>
      </c>
      <c r="D5" s="184" t="s">
        <v>2</v>
      </c>
      <c r="E5" s="123" t="s">
        <v>4</v>
      </c>
      <c r="F5" s="25" t="s">
        <v>3</v>
      </c>
      <c r="G5" s="19" t="s">
        <v>41</v>
      </c>
      <c r="H5" s="25" t="s">
        <v>6</v>
      </c>
      <c r="I5" s="19" t="s">
        <v>41</v>
      </c>
      <c r="J5" s="25" t="s">
        <v>6</v>
      </c>
      <c r="K5" s="25" t="s">
        <v>6</v>
      </c>
      <c r="L5" s="123" t="s">
        <v>4</v>
      </c>
      <c r="M5" s="123" t="s">
        <v>4</v>
      </c>
      <c r="N5" s="131" t="s">
        <v>5</v>
      </c>
      <c r="O5" s="25" t="s">
        <v>6</v>
      </c>
      <c r="P5" s="19" t="s">
        <v>41</v>
      </c>
      <c r="Q5" s="25" t="s">
        <v>6</v>
      </c>
      <c r="R5" s="25" t="s">
        <v>6</v>
      </c>
      <c r="S5" s="25" t="s">
        <v>3</v>
      </c>
      <c r="T5" s="123" t="s">
        <v>4</v>
      </c>
      <c r="U5" s="25" t="s">
        <v>6</v>
      </c>
      <c r="V5" s="25" t="s">
        <v>6</v>
      </c>
      <c r="W5" s="184" t="s">
        <v>2</v>
      </c>
      <c r="X5" s="25" t="s">
        <v>6</v>
      </c>
      <c r="Y5" s="25" t="s">
        <v>6</v>
      </c>
      <c r="Z5" s="25" t="s">
        <v>3</v>
      </c>
      <c r="AA5" s="25" t="s">
        <v>3</v>
      </c>
      <c r="AB5" s="25" t="s">
        <v>6</v>
      </c>
      <c r="AC5" s="25" t="s">
        <v>6</v>
      </c>
    </row>
    <row r="6" spans="1:29" x14ac:dyDescent="0.35">
      <c r="A6" s="182" t="s">
        <v>75</v>
      </c>
      <c r="B6" s="25" t="s">
        <v>6</v>
      </c>
      <c r="C6" s="25" t="s">
        <v>6</v>
      </c>
      <c r="D6" s="25" t="s">
        <v>6</v>
      </c>
      <c r="E6" s="123" t="s">
        <v>4</v>
      </c>
      <c r="F6" s="25" t="s">
        <v>3</v>
      </c>
      <c r="G6" s="25" t="s">
        <v>6</v>
      </c>
      <c r="H6" s="25" t="s">
        <v>6</v>
      </c>
      <c r="I6" s="184" t="s">
        <v>2</v>
      </c>
      <c r="J6" s="25" t="s">
        <v>6</v>
      </c>
      <c r="K6" s="25" t="s">
        <v>6</v>
      </c>
      <c r="L6" s="22" t="s">
        <v>30</v>
      </c>
      <c r="M6" s="22" t="s">
        <v>30</v>
      </c>
      <c r="N6" s="25" t="s">
        <v>6</v>
      </c>
      <c r="O6" s="25" t="s">
        <v>6</v>
      </c>
      <c r="P6" s="25" t="s">
        <v>6</v>
      </c>
      <c r="Q6" s="131" t="s">
        <v>5</v>
      </c>
      <c r="R6" s="131" t="s">
        <v>5</v>
      </c>
      <c r="S6" s="123" t="s">
        <v>4</v>
      </c>
      <c r="T6" s="123" t="s">
        <v>4</v>
      </c>
      <c r="U6" s="131" t="s">
        <v>5</v>
      </c>
      <c r="V6" s="131" t="s">
        <v>5</v>
      </c>
      <c r="W6" s="131" t="s">
        <v>5</v>
      </c>
      <c r="X6" s="131" t="s">
        <v>5</v>
      </c>
      <c r="Y6" s="131" t="s">
        <v>5</v>
      </c>
      <c r="Z6" s="131" t="s">
        <v>4</v>
      </c>
      <c r="AA6" s="131" t="s">
        <v>4</v>
      </c>
      <c r="AB6" s="25" t="s">
        <v>6</v>
      </c>
      <c r="AC6" s="25" t="s">
        <v>6</v>
      </c>
    </row>
    <row r="7" spans="1:29" x14ac:dyDescent="0.35">
      <c r="A7" s="182" t="s">
        <v>77</v>
      </c>
      <c r="B7" s="184" t="s">
        <v>2</v>
      </c>
      <c r="C7" s="25" t="s">
        <v>6</v>
      </c>
      <c r="D7" s="25" t="s">
        <v>6</v>
      </c>
      <c r="E7" s="25" t="s">
        <v>3</v>
      </c>
      <c r="F7" s="123" t="s">
        <v>4</v>
      </c>
      <c r="G7" s="184" t="s">
        <v>2</v>
      </c>
      <c r="H7" s="25" t="s">
        <v>6</v>
      </c>
      <c r="I7" s="25" t="s">
        <v>6</v>
      </c>
      <c r="J7" s="25" t="s">
        <v>6</v>
      </c>
      <c r="K7" s="131" t="s">
        <v>5</v>
      </c>
      <c r="L7" s="123" t="s">
        <v>4</v>
      </c>
      <c r="M7" s="25" t="s">
        <v>3</v>
      </c>
      <c r="N7" s="25" t="s">
        <v>6</v>
      </c>
      <c r="O7" s="25" t="s">
        <v>6</v>
      </c>
      <c r="P7" s="25" t="s">
        <v>6</v>
      </c>
      <c r="Q7" s="25" t="s">
        <v>6</v>
      </c>
      <c r="R7" s="184" t="s">
        <v>2</v>
      </c>
      <c r="S7" s="123" t="s">
        <v>4</v>
      </c>
      <c r="T7" s="25" t="s">
        <v>3</v>
      </c>
      <c r="U7" s="25" t="s">
        <v>6</v>
      </c>
      <c r="V7" s="25" t="s">
        <v>6</v>
      </c>
      <c r="W7" s="25" t="s">
        <v>6</v>
      </c>
      <c r="X7" s="25" t="s">
        <v>6</v>
      </c>
      <c r="Y7" s="25" t="s">
        <v>6</v>
      </c>
      <c r="Z7" s="22" t="s">
        <v>30</v>
      </c>
      <c r="AA7" s="25" t="s">
        <v>3</v>
      </c>
      <c r="AB7" s="25" t="s">
        <v>6</v>
      </c>
      <c r="AC7" s="184" t="s">
        <v>2</v>
      </c>
    </row>
    <row r="8" spans="1:29" x14ac:dyDescent="0.35">
      <c r="A8" s="182" t="s">
        <v>76</v>
      </c>
      <c r="B8" s="131" t="s">
        <v>5</v>
      </c>
      <c r="C8" s="131" t="s">
        <v>5</v>
      </c>
      <c r="D8" s="25" t="s">
        <v>6</v>
      </c>
      <c r="E8" s="22" t="s">
        <v>30</v>
      </c>
      <c r="F8" s="123" t="s">
        <v>4</v>
      </c>
      <c r="G8" s="25" t="s">
        <v>6</v>
      </c>
      <c r="H8" s="25" t="s">
        <v>6</v>
      </c>
      <c r="I8" s="184" t="s">
        <v>2</v>
      </c>
      <c r="J8" s="25" t="s">
        <v>6</v>
      </c>
      <c r="K8" s="25" t="s">
        <v>6</v>
      </c>
      <c r="L8" s="25" t="s">
        <v>3</v>
      </c>
      <c r="M8" s="123" t="s">
        <v>4</v>
      </c>
      <c r="N8" s="184" t="s">
        <v>2</v>
      </c>
      <c r="O8" s="25" t="s">
        <v>6</v>
      </c>
      <c r="P8" s="25" t="s">
        <v>6</v>
      </c>
      <c r="Q8" s="25" t="s">
        <v>6</v>
      </c>
      <c r="R8" s="25" t="s">
        <v>6</v>
      </c>
      <c r="S8" s="22" t="s">
        <v>30</v>
      </c>
      <c r="T8" s="123" t="s">
        <v>4</v>
      </c>
      <c r="U8" s="184" t="s">
        <v>2</v>
      </c>
      <c r="V8" s="25" t="s">
        <v>6</v>
      </c>
      <c r="W8" s="25" t="s">
        <v>6</v>
      </c>
      <c r="X8" s="25" t="s">
        <v>6</v>
      </c>
      <c r="Y8" s="25" t="s">
        <v>6</v>
      </c>
      <c r="Z8" s="25" t="s">
        <v>3</v>
      </c>
      <c r="AA8" s="123" t="s">
        <v>4</v>
      </c>
      <c r="AB8" s="184" t="s">
        <v>2</v>
      </c>
      <c r="AC8" s="25" t="s">
        <v>6</v>
      </c>
    </row>
    <row r="9" spans="1:29" x14ac:dyDescent="0.35">
      <c r="A9" s="194"/>
    </row>
    <row r="10" spans="1:29" x14ac:dyDescent="0.35">
      <c r="A10" s="193" t="s">
        <v>12</v>
      </c>
      <c r="B10" s="184" t="s">
        <v>2</v>
      </c>
      <c r="C10" s="184" t="s">
        <v>2</v>
      </c>
      <c r="D10" s="19" t="s">
        <v>41</v>
      </c>
      <c r="E10" s="19" t="s">
        <v>42</v>
      </c>
      <c r="F10" s="123" t="s">
        <v>4</v>
      </c>
      <c r="G10" s="184" t="s">
        <v>2</v>
      </c>
      <c r="H10" s="19" t="s">
        <v>41</v>
      </c>
      <c r="I10" s="19" t="s">
        <v>41</v>
      </c>
      <c r="J10" s="19" t="s">
        <v>41</v>
      </c>
      <c r="K10" s="19" t="s">
        <v>41</v>
      </c>
      <c r="L10" s="19" t="s">
        <v>42</v>
      </c>
      <c r="M10" s="19" t="s">
        <v>42</v>
      </c>
      <c r="N10" s="131" t="s">
        <v>5</v>
      </c>
      <c r="O10" s="131" t="s">
        <v>5</v>
      </c>
      <c r="P10" s="131" t="s">
        <v>5</v>
      </c>
      <c r="Q10" s="131" t="s">
        <v>5</v>
      </c>
      <c r="R10" s="131" t="s">
        <v>5</v>
      </c>
      <c r="S10" s="19" t="s">
        <v>42</v>
      </c>
      <c r="T10" s="123" t="s">
        <v>4</v>
      </c>
      <c r="U10" s="19" t="s">
        <v>41</v>
      </c>
      <c r="V10" s="19" t="s">
        <v>41</v>
      </c>
      <c r="W10" s="184" t="s">
        <v>2</v>
      </c>
      <c r="X10" s="19" t="s">
        <v>41</v>
      </c>
      <c r="Y10" s="19" t="s">
        <v>41</v>
      </c>
      <c r="Z10" s="19" t="s">
        <v>42</v>
      </c>
      <c r="AA10" s="19" t="s">
        <v>42</v>
      </c>
      <c r="AB10" s="184" t="s">
        <v>2</v>
      </c>
      <c r="AC10" s="19" t="s">
        <v>41</v>
      </c>
    </row>
    <row r="11" spans="1:29" x14ac:dyDescent="0.35">
      <c r="A11" s="193" t="s">
        <v>15</v>
      </c>
      <c r="B11" s="19" t="s">
        <v>41</v>
      </c>
      <c r="C11" s="19" t="s">
        <v>41</v>
      </c>
      <c r="D11" s="19" t="s">
        <v>41</v>
      </c>
      <c r="E11" s="123" t="s">
        <v>4</v>
      </c>
      <c r="F11" s="19" t="s">
        <v>42</v>
      </c>
      <c r="G11" s="19" t="s">
        <v>41</v>
      </c>
      <c r="H11" s="19" t="s">
        <v>41</v>
      </c>
      <c r="I11" s="131" t="s">
        <v>5</v>
      </c>
      <c r="J11" s="131" t="s">
        <v>5</v>
      </c>
      <c r="K11" s="131" t="s">
        <v>5</v>
      </c>
      <c r="L11" s="123" t="s">
        <v>4</v>
      </c>
      <c r="M11" s="123" t="s">
        <v>4</v>
      </c>
      <c r="N11" s="19" t="s">
        <v>41</v>
      </c>
      <c r="O11" s="19" t="s">
        <v>41</v>
      </c>
      <c r="P11" s="25" t="s">
        <v>6</v>
      </c>
      <c r="Q11" s="19" t="s">
        <v>41</v>
      </c>
      <c r="R11" s="19" t="s">
        <v>41</v>
      </c>
      <c r="S11" s="123" t="s">
        <v>4</v>
      </c>
      <c r="T11" s="19" t="s">
        <v>42</v>
      </c>
      <c r="U11" s="19" t="s">
        <v>41</v>
      </c>
      <c r="V11" s="184" t="s">
        <v>2</v>
      </c>
      <c r="W11" s="19" t="s">
        <v>41</v>
      </c>
      <c r="X11" s="19" t="s">
        <v>41</v>
      </c>
      <c r="Y11" s="19" t="s">
        <v>41</v>
      </c>
      <c r="Z11" s="123" t="s">
        <v>4</v>
      </c>
      <c r="AA11" s="19" t="s">
        <v>42</v>
      </c>
      <c r="AB11" s="19" t="s">
        <v>41</v>
      </c>
      <c r="AC11" s="19" t="s">
        <v>41</v>
      </c>
    </row>
    <row r="12" spans="1:29" x14ac:dyDescent="0.35">
      <c r="A12" s="182" t="s">
        <v>22</v>
      </c>
      <c r="B12" s="131" t="s">
        <v>5</v>
      </c>
      <c r="C12" s="19" t="s">
        <v>41</v>
      </c>
      <c r="D12" s="19" t="s">
        <v>41</v>
      </c>
      <c r="E12" s="19" t="s">
        <v>42</v>
      </c>
      <c r="F12" s="123" t="s">
        <v>4</v>
      </c>
      <c r="G12" s="19" t="s">
        <v>41</v>
      </c>
      <c r="H12" s="184" t="s">
        <v>2</v>
      </c>
      <c r="I12" s="25" t="s">
        <v>6</v>
      </c>
      <c r="J12" s="19" t="s">
        <v>41</v>
      </c>
      <c r="K12" s="19" t="s">
        <v>41</v>
      </c>
      <c r="L12" s="19" t="s">
        <v>42</v>
      </c>
      <c r="M12" s="123" t="s">
        <v>4</v>
      </c>
      <c r="N12" s="19" t="s">
        <v>41</v>
      </c>
      <c r="O12" s="19" t="s">
        <v>41</v>
      </c>
      <c r="P12" s="19" t="s">
        <v>41</v>
      </c>
      <c r="Q12" s="184" t="s">
        <v>2</v>
      </c>
      <c r="R12" s="19" t="s">
        <v>41</v>
      </c>
      <c r="S12" s="19" t="s">
        <v>42</v>
      </c>
      <c r="T12" s="19" t="s">
        <v>42</v>
      </c>
      <c r="U12" s="184" t="s">
        <v>2</v>
      </c>
      <c r="V12" s="19" t="s">
        <v>41</v>
      </c>
      <c r="W12" s="19" t="s">
        <v>41</v>
      </c>
      <c r="X12" s="19" t="s">
        <v>41</v>
      </c>
      <c r="Y12" s="131" t="s">
        <v>5</v>
      </c>
      <c r="Z12" s="131" t="s">
        <v>4</v>
      </c>
      <c r="AA12" s="131" t="s">
        <v>4</v>
      </c>
      <c r="AB12" s="131" t="s">
        <v>5</v>
      </c>
      <c r="AC12" s="131" t="s">
        <v>5</v>
      </c>
    </row>
    <row r="13" spans="1:29" x14ac:dyDescent="0.35">
      <c r="A13" s="182" t="s">
        <v>181</v>
      </c>
      <c r="B13" s="19" t="s">
        <v>41</v>
      </c>
      <c r="C13" s="19" t="s">
        <v>41</v>
      </c>
      <c r="D13" s="19" t="s">
        <v>41</v>
      </c>
      <c r="E13" s="123" t="s">
        <v>4</v>
      </c>
      <c r="F13" s="123" t="s">
        <v>4</v>
      </c>
      <c r="G13" s="19" t="s">
        <v>41</v>
      </c>
      <c r="H13" s="19" t="s">
        <v>41</v>
      </c>
      <c r="I13" s="27" t="s">
        <v>34</v>
      </c>
      <c r="J13" s="19" t="s">
        <v>41</v>
      </c>
      <c r="K13" s="19" t="s">
        <v>41</v>
      </c>
      <c r="L13" s="123" t="s">
        <v>4</v>
      </c>
      <c r="M13" s="123" t="s">
        <v>4</v>
      </c>
      <c r="N13" s="19" t="s">
        <v>41</v>
      </c>
      <c r="O13" s="19" t="s">
        <v>41</v>
      </c>
      <c r="P13" s="19" t="s">
        <v>41</v>
      </c>
      <c r="Q13" s="19" t="s">
        <v>41</v>
      </c>
      <c r="R13" s="19" t="s">
        <v>41</v>
      </c>
      <c r="S13" s="123" t="s">
        <v>4</v>
      </c>
      <c r="T13" s="123" t="s">
        <v>4</v>
      </c>
      <c r="U13" s="19" t="s">
        <v>41</v>
      </c>
      <c r="V13" s="19" t="s">
        <v>41</v>
      </c>
      <c r="W13" s="19" t="s">
        <v>41</v>
      </c>
      <c r="X13" s="19" t="s">
        <v>41</v>
      </c>
      <c r="Y13" s="19" t="s">
        <v>41</v>
      </c>
      <c r="Z13" s="123" t="s">
        <v>4</v>
      </c>
      <c r="AA13" s="123" t="s">
        <v>4</v>
      </c>
      <c r="AB13" s="19" t="s">
        <v>41</v>
      </c>
      <c r="AC13" s="19" t="s">
        <v>41</v>
      </c>
    </row>
    <row r="14" spans="1:29" x14ac:dyDescent="0.35">
      <c r="A14" s="182" t="s">
        <v>155</v>
      </c>
      <c r="B14" s="19" t="s">
        <v>41</v>
      </c>
      <c r="C14" s="19" t="s">
        <v>41</v>
      </c>
      <c r="D14" s="184" t="s">
        <v>2</v>
      </c>
      <c r="E14" s="123" t="s">
        <v>4</v>
      </c>
      <c r="F14" s="19" t="s">
        <v>42</v>
      </c>
      <c r="G14" s="25" t="s">
        <v>6</v>
      </c>
      <c r="H14" s="19" t="s">
        <v>41</v>
      </c>
      <c r="I14" s="184" t="s">
        <v>2</v>
      </c>
      <c r="J14" s="19" t="s">
        <v>41</v>
      </c>
      <c r="K14" s="19" t="s">
        <v>41</v>
      </c>
      <c r="L14" s="123" t="s">
        <v>4</v>
      </c>
      <c r="M14" s="19" t="s">
        <v>42</v>
      </c>
      <c r="N14" s="19" t="s">
        <v>41</v>
      </c>
      <c r="O14" s="19" t="s">
        <v>41</v>
      </c>
      <c r="P14" s="184" t="s">
        <v>2</v>
      </c>
      <c r="Q14" s="19" t="s">
        <v>41</v>
      </c>
      <c r="R14" s="19" t="s">
        <v>41</v>
      </c>
      <c r="S14" s="123" t="s">
        <v>4</v>
      </c>
      <c r="T14" s="123" t="s">
        <v>4</v>
      </c>
      <c r="U14" s="19" t="s">
        <v>41</v>
      </c>
      <c r="V14" s="19" t="s">
        <v>41</v>
      </c>
      <c r="W14" s="131" t="s">
        <v>5</v>
      </c>
      <c r="X14" s="131" t="s">
        <v>5</v>
      </c>
      <c r="Y14" s="131" t="s">
        <v>5</v>
      </c>
      <c r="Z14" s="131" t="s">
        <v>4</v>
      </c>
      <c r="AA14" s="131" t="s">
        <v>4</v>
      </c>
      <c r="AB14" s="19" t="s">
        <v>41</v>
      </c>
      <c r="AC14" s="19" t="s">
        <v>41</v>
      </c>
    </row>
    <row r="15" spans="1:29" x14ac:dyDescent="0.35">
      <c r="A15" s="194"/>
      <c r="B15" s="70"/>
    </row>
    <row r="16" spans="1:29" x14ac:dyDescent="0.35">
      <c r="A16" s="193" t="s">
        <v>1</v>
      </c>
      <c r="B16" s="185" t="s">
        <v>10</v>
      </c>
      <c r="C16" s="184" t="s">
        <v>2</v>
      </c>
      <c r="D16" s="185" t="s">
        <v>10</v>
      </c>
      <c r="E16" s="185" t="s">
        <v>11</v>
      </c>
      <c r="F16" s="185" t="s">
        <v>11</v>
      </c>
      <c r="G16" s="185" t="s">
        <v>10</v>
      </c>
      <c r="H16" s="185" t="s">
        <v>10</v>
      </c>
      <c r="I16" s="185" t="s">
        <v>10</v>
      </c>
      <c r="J16" s="184" t="s">
        <v>2</v>
      </c>
      <c r="K16" s="185" t="s">
        <v>10</v>
      </c>
      <c r="L16" s="185" t="s">
        <v>11</v>
      </c>
      <c r="M16" s="185" t="s">
        <v>11</v>
      </c>
      <c r="N16" s="185" t="s">
        <v>10</v>
      </c>
      <c r="O16" s="185" t="s">
        <v>10</v>
      </c>
      <c r="P16" s="185" t="s">
        <v>10</v>
      </c>
      <c r="Q16" s="184" t="s">
        <v>2</v>
      </c>
      <c r="R16" s="185" t="s">
        <v>10</v>
      </c>
      <c r="S16" s="123" t="s">
        <v>4</v>
      </c>
      <c r="T16" s="123" t="s">
        <v>4</v>
      </c>
      <c r="U16" s="185" t="s">
        <v>10</v>
      </c>
      <c r="V16" s="185" t="s">
        <v>10</v>
      </c>
      <c r="W16" s="185" t="s">
        <v>10</v>
      </c>
      <c r="X16" s="185" t="s">
        <v>10</v>
      </c>
      <c r="Y16" s="185" t="s">
        <v>10</v>
      </c>
      <c r="Z16" s="185" t="s">
        <v>11</v>
      </c>
      <c r="AA16" s="123" t="s">
        <v>4</v>
      </c>
      <c r="AB16" s="185" t="s">
        <v>10</v>
      </c>
      <c r="AC16" s="185" t="s">
        <v>10</v>
      </c>
    </row>
    <row r="17" spans="1:29" x14ac:dyDescent="0.35">
      <c r="A17" s="193" t="s">
        <v>43</v>
      </c>
      <c r="B17" s="185" t="s">
        <v>10</v>
      </c>
      <c r="C17" s="185" t="s">
        <v>10</v>
      </c>
      <c r="D17" s="185" t="s">
        <v>10</v>
      </c>
      <c r="E17" s="185" t="s">
        <v>11</v>
      </c>
      <c r="F17" s="123" t="s">
        <v>4</v>
      </c>
      <c r="G17" s="184" t="s">
        <v>2</v>
      </c>
      <c r="H17" s="185" t="s">
        <v>10</v>
      </c>
      <c r="I17" s="185" t="s">
        <v>10</v>
      </c>
      <c r="J17" s="185" t="s">
        <v>10</v>
      </c>
      <c r="K17" s="185" t="s">
        <v>10</v>
      </c>
      <c r="L17" s="185" t="s">
        <v>11</v>
      </c>
      <c r="M17" s="123" t="s">
        <v>4</v>
      </c>
      <c r="N17" s="184" t="s">
        <v>2</v>
      </c>
      <c r="O17" s="185" t="s">
        <v>10</v>
      </c>
      <c r="P17" s="185" t="s">
        <v>10</v>
      </c>
      <c r="Q17" s="185" t="s">
        <v>10</v>
      </c>
      <c r="R17" s="185" t="s">
        <v>10</v>
      </c>
      <c r="S17" s="185" t="s">
        <v>11</v>
      </c>
      <c r="T17" s="185" t="s">
        <v>11</v>
      </c>
      <c r="U17" s="184" t="s">
        <v>2</v>
      </c>
      <c r="V17" s="184" t="s">
        <v>2</v>
      </c>
      <c r="W17" s="185" t="s">
        <v>10</v>
      </c>
      <c r="X17" s="185" t="s">
        <v>10</v>
      </c>
      <c r="Y17" s="185" t="s">
        <v>10</v>
      </c>
      <c r="Z17" s="123" t="s">
        <v>4</v>
      </c>
      <c r="AA17" s="185" t="s">
        <v>11</v>
      </c>
      <c r="AB17" s="184" t="s">
        <v>2</v>
      </c>
      <c r="AC17" s="184" t="s">
        <v>2</v>
      </c>
    </row>
    <row r="18" spans="1:29" x14ac:dyDescent="0.35">
      <c r="A18" s="182" t="s">
        <v>74</v>
      </c>
      <c r="B18" s="185" t="s">
        <v>10</v>
      </c>
      <c r="C18" s="185" t="s">
        <v>10</v>
      </c>
      <c r="D18" s="185" t="s">
        <v>10</v>
      </c>
      <c r="E18" s="185" t="s">
        <v>11</v>
      </c>
      <c r="F18" s="123" t="s">
        <v>4</v>
      </c>
      <c r="G18" s="185" t="s">
        <v>10</v>
      </c>
      <c r="H18" s="185" t="s">
        <v>10</v>
      </c>
      <c r="I18" s="184" t="s">
        <v>2</v>
      </c>
      <c r="J18" s="185" t="s">
        <v>10</v>
      </c>
      <c r="K18" s="185" t="s">
        <v>10</v>
      </c>
      <c r="L18" s="185" t="s">
        <v>11</v>
      </c>
      <c r="M18" s="123" t="s">
        <v>4</v>
      </c>
      <c r="N18" s="185" t="s">
        <v>10</v>
      </c>
      <c r="O18" s="185" t="s">
        <v>10</v>
      </c>
      <c r="P18" s="184" t="s">
        <v>2</v>
      </c>
      <c r="Q18" s="185" t="s">
        <v>10</v>
      </c>
      <c r="R18" s="185" t="s">
        <v>10</v>
      </c>
      <c r="S18" s="185" t="s">
        <v>11</v>
      </c>
      <c r="T18" s="123" t="s">
        <v>4</v>
      </c>
      <c r="U18" s="185" t="s">
        <v>10</v>
      </c>
      <c r="V18" s="185" t="s">
        <v>10</v>
      </c>
      <c r="W18" s="184" t="s">
        <v>2</v>
      </c>
      <c r="X18" s="184" t="s">
        <v>2</v>
      </c>
      <c r="Y18" s="185" t="s">
        <v>10</v>
      </c>
      <c r="Z18" s="185" t="s">
        <v>11</v>
      </c>
      <c r="AA18" s="123" t="s">
        <v>4</v>
      </c>
      <c r="AB18" s="185" t="s">
        <v>10</v>
      </c>
      <c r="AC18" s="185" t="s">
        <v>10</v>
      </c>
    </row>
    <row r="19" spans="1:29" x14ac:dyDescent="0.35">
      <c r="A19" s="182" t="s">
        <v>62</v>
      </c>
      <c r="B19" s="131" t="s">
        <v>5</v>
      </c>
      <c r="C19" s="185" t="s">
        <v>10</v>
      </c>
      <c r="D19" s="184" t="s">
        <v>2</v>
      </c>
      <c r="E19" s="123" t="s">
        <v>4</v>
      </c>
      <c r="F19" s="185" t="s">
        <v>11</v>
      </c>
      <c r="G19" s="185" t="s">
        <v>10</v>
      </c>
      <c r="H19" s="185" t="s">
        <v>10</v>
      </c>
      <c r="I19" s="184" t="s">
        <v>2</v>
      </c>
      <c r="J19" s="185" t="s">
        <v>10</v>
      </c>
      <c r="K19" s="184" t="s">
        <v>2</v>
      </c>
      <c r="L19" s="123" t="s">
        <v>4</v>
      </c>
      <c r="M19" s="185" t="s">
        <v>11</v>
      </c>
      <c r="N19" s="185" t="s">
        <v>10</v>
      </c>
      <c r="O19" s="184" t="s">
        <v>2</v>
      </c>
      <c r="P19" s="185" t="s">
        <v>10</v>
      </c>
      <c r="Q19" s="185" t="s">
        <v>10</v>
      </c>
      <c r="R19" s="184" t="s">
        <v>2</v>
      </c>
      <c r="S19" s="123" t="s">
        <v>4</v>
      </c>
      <c r="T19" s="185" t="s">
        <v>11</v>
      </c>
      <c r="U19" s="185" t="s">
        <v>10</v>
      </c>
      <c r="V19" s="185" t="s">
        <v>10</v>
      </c>
      <c r="W19" s="185" t="s">
        <v>10</v>
      </c>
      <c r="X19" s="184" t="s">
        <v>2</v>
      </c>
      <c r="Y19" s="131" t="s">
        <v>5</v>
      </c>
      <c r="Z19" s="19" t="s">
        <v>42</v>
      </c>
      <c r="AA19" s="185" t="s">
        <v>11</v>
      </c>
      <c r="AB19" s="185" t="s">
        <v>10</v>
      </c>
      <c r="AC19" s="184" t="s">
        <v>2</v>
      </c>
    </row>
    <row r="20" spans="1:29" x14ac:dyDescent="0.35">
      <c r="A20" s="182" t="s">
        <v>180</v>
      </c>
      <c r="B20" s="22" t="s">
        <v>16</v>
      </c>
      <c r="C20" s="185" t="s">
        <v>10</v>
      </c>
      <c r="D20" s="185" t="s">
        <v>10</v>
      </c>
      <c r="E20" s="123" t="s">
        <v>4</v>
      </c>
      <c r="F20" s="123" t="s">
        <v>4</v>
      </c>
      <c r="G20" s="22" t="s">
        <v>16</v>
      </c>
      <c r="H20" s="22" t="s">
        <v>16</v>
      </c>
      <c r="I20" s="185" t="s">
        <v>10</v>
      </c>
      <c r="J20" s="185" t="s">
        <v>10</v>
      </c>
      <c r="K20" s="185" t="s">
        <v>10</v>
      </c>
      <c r="L20" s="123" t="s">
        <v>4</v>
      </c>
      <c r="M20" s="123" t="s">
        <v>4</v>
      </c>
      <c r="N20" s="22" t="s">
        <v>16</v>
      </c>
      <c r="O20" s="22" t="s">
        <v>16</v>
      </c>
      <c r="P20" s="185" t="s">
        <v>10</v>
      </c>
      <c r="Q20" s="185" t="s">
        <v>10</v>
      </c>
      <c r="R20" s="185" t="s">
        <v>10</v>
      </c>
      <c r="S20" s="123" t="s">
        <v>4</v>
      </c>
      <c r="T20" s="123" t="s">
        <v>4</v>
      </c>
      <c r="U20" s="22" t="s">
        <v>16</v>
      </c>
      <c r="V20" s="22" t="s">
        <v>16</v>
      </c>
      <c r="W20" s="185" t="s">
        <v>10</v>
      </c>
      <c r="X20" s="185" t="s">
        <v>10</v>
      </c>
      <c r="Y20" s="185" t="s">
        <v>10</v>
      </c>
      <c r="Z20" s="123" t="s">
        <v>4</v>
      </c>
      <c r="AA20" s="123" t="s">
        <v>4</v>
      </c>
      <c r="AB20" s="22" t="s">
        <v>16</v>
      </c>
      <c r="AC20" s="22" t="s">
        <v>16</v>
      </c>
    </row>
    <row r="22" spans="1:29" x14ac:dyDescent="0.35">
      <c r="A22" s="189" t="s">
        <v>156</v>
      </c>
      <c r="B22">
        <f t="shared" ref="B22:AC22" si="2">COUNTIF(B4:B20,"*MS")</f>
        <v>3</v>
      </c>
      <c r="C22">
        <f t="shared" si="2"/>
        <v>3</v>
      </c>
      <c r="D22">
        <f t="shared" si="2"/>
        <v>4</v>
      </c>
      <c r="E22">
        <f t="shared" si="2"/>
        <v>2</v>
      </c>
      <c r="F22">
        <f t="shared" si="2"/>
        <v>2</v>
      </c>
      <c r="G22">
        <f t="shared" si="2"/>
        <v>4</v>
      </c>
      <c r="H22">
        <f t="shared" si="2"/>
        <v>4</v>
      </c>
      <c r="I22">
        <f t="shared" si="2"/>
        <v>3</v>
      </c>
      <c r="J22">
        <f t="shared" si="2"/>
        <v>5</v>
      </c>
      <c r="K22">
        <f t="shared" si="2"/>
        <v>4</v>
      </c>
      <c r="L22">
        <f t="shared" si="2"/>
        <v>2</v>
      </c>
      <c r="M22">
        <f t="shared" si="2"/>
        <v>2</v>
      </c>
      <c r="N22">
        <f t="shared" si="2"/>
        <v>3</v>
      </c>
      <c r="O22">
        <f t="shared" si="2"/>
        <v>4</v>
      </c>
      <c r="P22">
        <f t="shared" si="2"/>
        <v>4</v>
      </c>
      <c r="Q22">
        <f t="shared" si="2"/>
        <v>4</v>
      </c>
      <c r="R22">
        <f t="shared" si="2"/>
        <v>3</v>
      </c>
      <c r="S22">
        <f t="shared" si="2"/>
        <v>2</v>
      </c>
      <c r="T22">
        <f>COUNTIF(T4:T20,"*MS")</f>
        <v>2</v>
      </c>
      <c r="U22">
        <f t="shared" si="2"/>
        <v>3</v>
      </c>
      <c r="V22">
        <f t="shared" si="2"/>
        <v>3</v>
      </c>
      <c r="W22">
        <f t="shared" si="2"/>
        <v>3</v>
      </c>
      <c r="X22">
        <f t="shared" si="2"/>
        <v>3</v>
      </c>
      <c r="Y22">
        <f t="shared" si="2"/>
        <v>3</v>
      </c>
      <c r="Z22">
        <f t="shared" si="2"/>
        <v>2</v>
      </c>
      <c r="AA22">
        <f t="shared" si="2"/>
        <v>2</v>
      </c>
      <c r="AB22">
        <f t="shared" si="2"/>
        <v>3</v>
      </c>
      <c r="AC22">
        <f t="shared" si="2"/>
        <v>3</v>
      </c>
    </row>
    <row r="23" spans="1:29" x14ac:dyDescent="0.35">
      <c r="A23" s="189" t="s">
        <v>157</v>
      </c>
      <c r="B23">
        <f t="shared" ref="B23:AC23" si="3">COUNTIF(B4:B20,"*ASS1")</f>
        <v>3</v>
      </c>
      <c r="C23">
        <f t="shared" si="3"/>
        <v>4</v>
      </c>
      <c r="D23">
        <f t="shared" si="3"/>
        <v>4</v>
      </c>
      <c r="E23">
        <f t="shared" si="3"/>
        <v>2</v>
      </c>
      <c r="F23">
        <f t="shared" si="3"/>
        <v>2</v>
      </c>
      <c r="G23">
        <f t="shared" si="3"/>
        <v>4</v>
      </c>
      <c r="H23">
        <f t="shared" si="3"/>
        <v>4</v>
      </c>
      <c r="I23">
        <f t="shared" si="3"/>
        <v>2</v>
      </c>
      <c r="J23">
        <f t="shared" si="3"/>
        <v>4</v>
      </c>
      <c r="K23">
        <f t="shared" si="3"/>
        <v>4</v>
      </c>
      <c r="L23">
        <f t="shared" si="3"/>
        <v>2</v>
      </c>
      <c r="M23">
        <f t="shared" si="3"/>
        <v>2</v>
      </c>
      <c r="N23">
        <f t="shared" si="3"/>
        <v>4</v>
      </c>
      <c r="O23">
        <f t="shared" si="3"/>
        <v>4</v>
      </c>
      <c r="P23">
        <f t="shared" si="3"/>
        <v>3</v>
      </c>
      <c r="Q23">
        <f t="shared" si="3"/>
        <v>3</v>
      </c>
      <c r="R23">
        <f t="shared" si="3"/>
        <v>4</v>
      </c>
      <c r="S23">
        <f t="shared" si="3"/>
        <v>2</v>
      </c>
      <c r="T23">
        <f>COUNTIF(T4:T20,"*ASS1")</f>
        <v>2</v>
      </c>
      <c r="U23">
        <f t="shared" si="3"/>
        <v>4</v>
      </c>
      <c r="V23">
        <f t="shared" si="3"/>
        <v>4</v>
      </c>
      <c r="W23">
        <f t="shared" si="3"/>
        <v>3</v>
      </c>
      <c r="X23">
        <f t="shared" si="3"/>
        <v>4</v>
      </c>
      <c r="Y23">
        <f t="shared" si="3"/>
        <v>3</v>
      </c>
      <c r="Z23">
        <f t="shared" si="3"/>
        <v>2</v>
      </c>
      <c r="AA23">
        <f t="shared" si="3"/>
        <v>2</v>
      </c>
      <c r="AB23">
        <f t="shared" si="3"/>
        <v>3</v>
      </c>
      <c r="AC23">
        <f t="shared" si="3"/>
        <v>4</v>
      </c>
    </row>
    <row r="24" spans="1:29" x14ac:dyDescent="0.35">
      <c r="A24" s="189" t="s">
        <v>158</v>
      </c>
      <c r="B24">
        <f t="shared" ref="B24:AC24" si="4">COUNTIF(B4:B20,"*NST7")</f>
        <v>3</v>
      </c>
      <c r="C24">
        <f t="shared" si="4"/>
        <v>4</v>
      </c>
      <c r="D24">
        <f t="shared" si="4"/>
        <v>4</v>
      </c>
      <c r="E24">
        <f t="shared" si="4"/>
        <v>3</v>
      </c>
      <c r="F24">
        <f t="shared" si="4"/>
        <v>2</v>
      </c>
      <c r="G24">
        <f t="shared" si="4"/>
        <v>3</v>
      </c>
      <c r="H24">
        <f t="shared" si="4"/>
        <v>4</v>
      </c>
      <c r="I24">
        <f t="shared" si="4"/>
        <v>3</v>
      </c>
      <c r="J24">
        <f t="shared" si="4"/>
        <v>4</v>
      </c>
      <c r="K24">
        <f t="shared" si="4"/>
        <v>4</v>
      </c>
      <c r="L24">
        <f t="shared" si="4"/>
        <v>3</v>
      </c>
      <c r="M24">
        <f t="shared" si="4"/>
        <v>2</v>
      </c>
      <c r="N24">
        <f t="shared" si="4"/>
        <v>3</v>
      </c>
      <c r="O24">
        <f t="shared" si="4"/>
        <v>3</v>
      </c>
      <c r="P24">
        <f t="shared" si="4"/>
        <v>4</v>
      </c>
      <c r="Q24">
        <f t="shared" si="4"/>
        <v>4</v>
      </c>
      <c r="R24">
        <f t="shared" si="4"/>
        <v>4</v>
      </c>
      <c r="S24">
        <f t="shared" si="4"/>
        <v>2</v>
      </c>
      <c r="T24">
        <f>COUNTIF(T4:T20,"*NST7")</f>
        <v>2</v>
      </c>
      <c r="U24">
        <f t="shared" si="4"/>
        <v>3</v>
      </c>
      <c r="V24">
        <f t="shared" si="4"/>
        <v>3</v>
      </c>
      <c r="W24">
        <f t="shared" si="4"/>
        <v>4</v>
      </c>
      <c r="X24">
        <f t="shared" si="4"/>
        <v>3</v>
      </c>
      <c r="Y24">
        <f t="shared" si="4"/>
        <v>4</v>
      </c>
      <c r="Z24">
        <f t="shared" si="4"/>
        <v>2</v>
      </c>
      <c r="AA24">
        <f t="shared" si="4"/>
        <v>2</v>
      </c>
      <c r="AB24">
        <f t="shared" si="4"/>
        <v>3</v>
      </c>
      <c r="AC24">
        <f t="shared" si="4"/>
        <v>2</v>
      </c>
    </row>
    <row r="25" spans="1:29" x14ac:dyDescent="0.35">
      <c r="A25" s="189" t="s">
        <v>159</v>
      </c>
      <c r="B25">
        <f t="shared" ref="B25:AC25" si="5">COUNTIF(B4:B20,"*GS")</f>
        <v>1</v>
      </c>
      <c r="C25">
        <f t="shared" si="5"/>
        <v>0</v>
      </c>
      <c r="D25">
        <f t="shared" si="5"/>
        <v>0</v>
      </c>
      <c r="E25">
        <f t="shared" si="5"/>
        <v>1</v>
      </c>
      <c r="F25">
        <f t="shared" si="5"/>
        <v>0</v>
      </c>
      <c r="G25">
        <f t="shared" si="5"/>
        <v>1</v>
      </c>
      <c r="H25">
        <f t="shared" si="5"/>
        <v>1</v>
      </c>
      <c r="I25">
        <f t="shared" si="5"/>
        <v>0</v>
      </c>
      <c r="J25">
        <f t="shared" si="5"/>
        <v>0</v>
      </c>
      <c r="K25">
        <f t="shared" si="5"/>
        <v>0</v>
      </c>
      <c r="L25">
        <f t="shared" si="5"/>
        <v>1</v>
      </c>
      <c r="M25">
        <f t="shared" si="5"/>
        <v>1</v>
      </c>
      <c r="N25">
        <f t="shared" si="5"/>
        <v>1</v>
      </c>
      <c r="O25">
        <f t="shared" si="5"/>
        <v>1</v>
      </c>
      <c r="P25">
        <f t="shared" si="5"/>
        <v>0</v>
      </c>
      <c r="Q25">
        <f t="shared" si="5"/>
        <v>0</v>
      </c>
      <c r="R25">
        <f t="shared" si="5"/>
        <v>0</v>
      </c>
      <c r="S25">
        <f t="shared" si="5"/>
        <v>1</v>
      </c>
      <c r="T25">
        <f>COUNTIF(T4:T20,"*GS")</f>
        <v>0</v>
      </c>
      <c r="U25">
        <f t="shared" si="5"/>
        <v>1</v>
      </c>
      <c r="V25">
        <f t="shared" si="5"/>
        <v>1</v>
      </c>
      <c r="W25">
        <f t="shared" si="5"/>
        <v>0</v>
      </c>
      <c r="X25">
        <f t="shared" si="5"/>
        <v>0</v>
      </c>
      <c r="Y25">
        <f t="shared" si="5"/>
        <v>0</v>
      </c>
      <c r="Z25">
        <f t="shared" si="5"/>
        <v>1</v>
      </c>
      <c r="AA25">
        <f t="shared" si="5"/>
        <v>0</v>
      </c>
      <c r="AB25">
        <f t="shared" si="5"/>
        <v>1</v>
      </c>
      <c r="AC25">
        <f t="shared" si="5"/>
        <v>1</v>
      </c>
    </row>
    <row r="26" spans="1:29" x14ac:dyDescent="0.35">
      <c r="A26" s="189" t="s">
        <v>160</v>
      </c>
      <c r="B26">
        <f>COUNTIF(B4:B20,"C")</f>
        <v>2</v>
      </c>
      <c r="C26">
        <f>COUNTIF(C4:C20,"C")</f>
        <v>3</v>
      </c>
      <c r="D26">
        <f>COUNTIF(D4:D20,"C")</f>
        <v>3</v>
      </c>
      <c r="E26">
        <f>COUNTIF(E4:E20,"WO")</f>
        <v>7</v>
      </c>
      <c r="F26">
        <f>COUNTIF(F4:F20,"WO")</f>
        <v>9</v>
      </c>
      <c r="G26">
        <f>COUNTIF(G4:G20,"C")</f>
        <v>3</v>
      </c>
      <c r="H26">
        <f>COUNTIF(H4:H20,"C")</f>
        <v>2</v>
      </c>
      <c r="I26">
        <f>COUNTIF(I4:I20,"C")</f>
        <v>5</v>
      </c>
      <c r="J26">
        <f>COUNTIF(J4:J20,"C")</f>
        <v>1</v>
      </c>
      <c r="K26">
        <f>COUNTIF(K4:K20,"C")</f>
        <v>1</v>
      </c>
      <c r="L26">
        <f>COUNTIF(L4:L20,"WO")</f>
        <v>7</v>
      </c>
      <c r="M26">
        <f>COUNTIF(M4:M20,"WO")</f>
        <v>8</v>
      </c>
      <c r="N26">
        <f>COUNTIF(N4:N20,"C")</f>
        <v>2</v>
      </c>
      <c r="O26">
        <f>COUNTIF(O4:O20,"C")</f>
        <v>2</v>
      </c>
      <c r="P26">
        <f>COUNTIF(P4:P20,"C")</f>
        <v>3</v>
      </c>
      <c r="Q26">
        <f>COUNTIF(Q4:Q20,"C")</f>
        <v>2</v>
      </c>
      <c r="R26">
        <f>COUNTIF(R4:R20,"C")</f>
        <v>2</v>
      </c>
      <c r="S26">
        <f>COUNTIF(S4:S20,"WO")</f>
        <v>8</v>
      </c>
      <c r="T26">
        <f>COUNTIF(T4:T20,"WO")</f>
        <v>9</v>
      </c>
      <c r="U26">
        <f>COUNTIF(U4:U20,"C")</f>
        <v>3</v>
      </c>
      <c r="V26">
        <f>COUNTIF(V4:V20,"C")</f>
        <v>3</v>
      </c>
      <c r="W26">
        <f>COUNTIF(W4:W20,"C")</f>
        <v>3</v>
      </c>
      <c r="X26">
        <f>COUNTIF(X4:X20,"C")</f>
        <v>2</v>
      </c>
      <c r="Y26">
        <f>COUNTIF(Y4:Y20,"C")</f>
        <v>0</v>
      </c>
      <c r="Z26">
        <f>COUNTIF(Z4:Z20,"WO")</f>
        <v>8</v>
      </c>
      <c r="AA26">
        <f>COUNTIF(AA4:AA20,"WO")</f>
        <v>9</v>
      </c>
      <c r="AB26">
        <f>COUNTIF(AB4:AB20,"C")</f>
        <v>3</v>
      </c>
      <c r="AC26">
        <f>COUNTIF(AC4:AC20,"C")</f>
        <v>3</v>
      </c>
    </row>
    <row r="27" spans="1:29" x14ac:dyDescent="0.35">
      <c r="A27" s="189" t="s">
        <v>161</v>
      </c>
      <c r="B27">
        <f t="shared" ref="B27:AC27" si="6">COUNTIF(B4:B20,"PL")</f>
        <v>3</v>
      </c>
      <c r="C27">
        <f t="shared" si="6"/>
        <v>1</v>
      </c>
      <c r="D27">
        <f t="shared" si="6"/>
        <v>0</v>
      </c>
      <c r="E27">
        <f t="shared" si="6"/>
        <v>0</v>
      </c>
      <c r="F27">
        <f t="shared" si="6"/>
        <v>0</v>
      </c>
      <c r="G27">
        <f t="shared" si="6"/>
        <v>0</v>
      </c>
      <c r="H27">
        <f t="shared" si="6"/>
        <v>0</v>
      </c>
      <c r="I27">
        <f t="shared" si="6"/>
        <v>1</v>
      </c>
      <c r="J27">
        <f t="shared" si="6"/>
        <v>1</v>
      </c>
      <c r="K27">
        <f t="shared" si="6"/>
        <v>2</v>
      </c>
      <c r="L27">
        <f t="shared" si="6"/>
        <v>0</v>
      </c>
      <c r="M27">
        <f t="shared" si="6"/>
        <v>0</v>
      </c>
      <c r="N27">
        <f t="shared" si="6"/>
        <v>2</v>
      </c>
      <c r="O27">
        <f t="shared" si="6"/>
        <v>1</v>
      </c>
      <c r="P27">
        <f t="shared" si="6"/>
        <v>1</v>
      </c>
      <c r="Q27">
        <f t="shared" si="6"/>
        <v>2</v>
      </c>
      <c r="R27">
        <f t="shared" si="6"/>
        <v>2</v>
      </c>
      <c r="S27">
        <f t="shared" si="6"/>
        <v>0</v>
      </c>
      <c r="T27">
        <f>COUNTIF(T4:T20,"PL")</f>
        <v>0</v>
      </c>
      <c r="U27">
        <f t="shared" si="6"/>
        <v>1</v>
      </c>
      <c r="V27">
        <f t="shared" si="6"/>
        <v>1</v>
      </c>
      <c r="W27">
        <f t="shared" si="6"/>
        <v>2</v>
      </c>
      <c r="X27">
        <f t="shared" si="6"/>
        <v>3</v>
      </c>
      <c r="Y27">
        <f t="shared" si="6"/>
        <v>5</v>
      </c>
      <c r="Z27">
        <f t="shared" si="6"/>
        <v>0</v>
      </c>
      <c r="AA27">
        <f t="shared" si="6"/>
        <v>0</v>
      </c>
      <c r="AB27">
        <f t="shared" si="6"/>
        <v>2</v>
      </c>
      <c r="AC27">
        <f t="shared" si="6"/>
        <v>2</v>
      </c>
    </row>
    <row r="28" spans="1:29" x14ac:dyDescent="0.35">
      <c r="A28" s="189" t="s">
        <v>33</v>
      </c>
      <c r="B28">
        <f t="shared" ref="B28:AC28" si="7">COUNTIF(B4:B20,"UPL")</f>
        <v>0</v>
      </c>
      <c r="C28">
        <f t="shared" si="7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7"/>
        <v>0</v>
      </c>
      <c r="I28">
        <f t="shared" si="7"/>
        <v>1</v>
      </c>
      <c r="J28">
        <f t="shared" si="7"/>
        <v>0</v>
      </c>
      <c r="K28">
        <f t="shared" si="7"/>
        <v>0</v>
      </c>
      <c r="L28">
        <f t="shared" si="7"/>
        <v>0</v>
      </c>
      <c r="M28">
        <f t="shared" si="7"/>
        <v>0</v>
      </c>
      <c r="N28">
        <f t="shared" si="7"/>
        <v>0</v>
      </c>
      <c r="O28">
        <f t="shared" si="7"/>
        <v>0</v>
      </c>
      <c r="P28">
        <f t="shared" si="7"/>
        <v>0</v>
      </c>
      <c r="Q28">
        <f t="shared" si="7"/>
        <v>0</v>
      </c>
      <c r="R28">
        <f t="shared" si="7"/>
        <v>0</v>
      </c>
      <c r="S28">
        <f t="shared" si="7"/>
        <v>0</v>
      </c>
      <c r="T28">
        <f>COUNTIF(T4:T20,"UPL")</f>
        <v>0</v>
      </c>
      <c r="U28">
        <f t="shared" si="7"/>
        <v>0</v>
      </c>
      <c r="V28">
        <f t="shared" si="7"/>
        <v>0</v>
      </c>
      <c r="W28">
        <f t="shared" si="7"/>
        <v>0</v>
      </c>
      <c r="X28">
        <f t="shared" si="7"/>
        <v>0</v>
      </c>
      <c r="Y28">
        <f t="shared" si="7"/>
        <v>0</v>
      </c>
      <c r="Z28">
        <f t="shared" si="7"/>
        <v>0</v>
      </c>
      <c r="AA28">
        <f t="shared" si="7"/>
        <v>0</v>
      </c>
      <c r="AB28">
        <f t="shared" si="7"/>
        <v>0</v>
      </c>
      <c r="AC28">
        <f t="shared" si="7"/>
        <v>0</v>
      </c>
    </row>
    <row r="29" spans="1:29" x14ac:dyDescent="0.35">
      <c r="A29" s="189" t="s">
        <v>172</v>
      </c>
      <c r="B29">
        <f t="shared" ref="B29:AC29" si="8">COUNTIF(B4:B20,"H")</f>
        <v>0</v>
      </c>
      <c r="C29">
        <f t="shared" si="8"/>
        <v>0</v>
      </c>
      <c r="D29">
        <f t="shared" si="8"/>
        <v>0</v>
      </c>
      <c r="E29">
        <f t="shared" si="8"/>
        <v>0</v>
      </c>
      <c r="F29">
        <f t="shared" si="8"/>
        <v>0</v>
      </c>
      <c r="G29">
        <f t="shared" si="8"/>
        <v>0</v>
      </c>
      <c r="H29">
        <f t="shared" si="8"/>
        <v>0</v>
      </c>
      <c r="I29">
        <f t="shared" si="8"/>
        <v>0</v>
      </c>
      <c r="J29">
        <f t="shared" si="8"/>
        <v>0</v>
      </c>
      <c r="K29">
        <f t="shared" si="8"/>
        <v>0</v>
      </c>
      <c r="L29">
        <f t="shared" si="8"/>
        <v>0</v>
      </c>
      <c r="M29">
        <f t="shared" si="8"/>
        <v>0</v>
      </c>
      <c r="N29">
        <f t="shared" si="8"/>
        <v>0</v>
      </c>
      <c r="O29">
        <f t="shared" si="8"/>
        <v>0</v>
      </c>
      <c r="P29">
        <f t="shared" si="8"/>
        <v>0</v>
      </c>
      <c r="Q29">
        <f t="shared" si="8"/>
        <v>0</v>
      </c>
      <c r="R29">
        <f t="shared" si="8"/>
        <v>0</v>
      </c>
      <c r="S29">
        <f t="shared" si="8"/>
        <v>0</v>
      </c>
      <c r="T29">
        <f>COUNTIF(T4:T20,"H")</f>
        <v>0</v>
      </c>
      <c r="U29">
        <f t="shared" si="8"/>
        <v>0</v>
      </c>
      <c r="V29">
        <f t="shared" si="8"/>
        <v>0</v>
      </c>
      <c r="W29">
        <f t="shared" si="8"/>
        <v>0</v>
      </c>
      <c r="X29">
        <f t="shared" si="8"/>
        <v>0</v>
      </c>
      <c r="Y29">
        <f t="shared" si="8"/>
        <v>0</v>
      </c>
      <c r="Z29">
        <f t="shared" si="8"/>
        <v>0</v>
      </c>
      <c r="AA29">
        <f t="shared" si="8"/>
        <v>0</v>
      </c>
      <c r="AB29">
        <f t="shared" si="8"/>
        <v>0</v>
      </c>
      <c r="AC29">
        <f t="shared" si="8"/>
        <v>0</v>
      </c>
    </row>
    <row r="30" spans="1:29" x14ac:dyDescent="0.35">
      <c r="A30" s="189" t="s">
        <v>162</v>
      </c>
      <c r="B30" s="138">
        <f t="shared" ref="B30:AC30" si="9">SUM(B22:B29)</f>
        <v>15</v>
      </c>
      <c r="C30" s="138">
        <f t="shared" si="9"/>
        <v>15</v>
      </c>
      <c r="D30" s="138">
        <f t="shared" si="9"/>
        <v>15</v>
      </c>
      <c r="E30" s="138">
        <f t="shared" si="9"/>
        <v>15</v>
      </c>
      <c r="F30" s="138">
        <f t="shared" si="9"/>
        <v>15</v>
      </c>
      <c r="G30" s="138">
        <f t="shared" si="9"/>
        <v>15</v>
      </c>
      <c r="H30" s="138">
        <f t="shared" si="9"/>
        <v>15</v>
      </c>
      <c r="I30" s="138">
        <f t="shared" si="9"/>
        <v>15</v>
      </c>
      <c r="J30" s="138">
        <f t="shared" si="9"/>
        <v>15</v>
      </c>
      <c r="K30" s="138">
        <f t="shared" si="9"/>
        <v>15</v>
      </c>
      <c r="L30" s="138">
        <f t="shared" si="9"/>
        <v>15</v>
      </c>
      <c r="M30" s="138">
        <f t="shared" si="9"/>
        <v>15</v>
      </c>
      <c r="N30" s="138">
        <f t="shared" si="9"/>
        <v>15</v>
      </c>
      <c r="O30" s="138">
        <f t="shared" si="9"/>
        <v>15</v>
      </c>
      <c r="P30" s="138">
        <f t="shared" si="9"/>
        <v>15</v>
      </c>
      <c r="Q30" s="138">
        <f t="shared" si="9"/>
        <v>15</v>
      </c>
      <c r="R30" s="138">
        <f t="shared" si="9"/>
        <v>15</v>
      </c>
      <c r="S30" s="138">
        <f t="shared" si="9"/>
        <v>15</v>
      </c>
      <c r="T30" s="138">
        <f t="shared" si="9"/>
        <v>15</v>
      </c>
      <c r="U30" s="138">
        <f t="shared" si="9"/>
        <v>15</v>
      </c>
      <c r="V30" s="138">
        <f t="shared" si="9"/>
        <v>15</v>
      </c>
      <c r="W30" s="138">
        <f t="shared" si="9"/>
        <v>15</v>
      </c>
      <c r="X30" s="138">
        <f t="shared" si="9"/>
        <v>15</v>
      </c>
      <c r="Y30" s="138">
        <f t="shared" si="9"/>
        <v>15</v>
      </c>
      <c r="Z30" s="138">
        <f t="shared" si="9"/>
        <v>15</v>
      </c>
      <c r="AA30" s="138">
        <f t="shared" si="9"/>
        <v>15</v>
      </c>
      <c r="AB30" s="138">
        <f t="shared" si="9"/>
        <v>15</v>
      </c>
      <c r="AC30" s="138">
        <f t="shared" si="9"/>
        <v>15</v>
      </c>
    </row>
  </sheetData>
  <conditionalFormatting sqref="B22:AC25">
    <cfRule type="cellIs" dxfId="136" priority="9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H30"/>
  <sheetViews>
    <sheetView zoomScale="60" zoomScaleNormal="60" workbookViewId="0">
      <pane xSplit="1" topLeftCell="D1" activePane="topRight" state="frozen"/>
      <selection pane="topRight" activeCell="J14" sqref="J14"/>
    </sheetView>
  </sheetViews>
  <sheetFormatPr defaultRowHeight="14.5" x14ac:dyDescent="0.35"/>
  <cols>
    <col min="1" max="1" width="19.81640625" customWidth="1"/>
    <col min="2" max="32" width="8.7265625" customWidth="1"/>
    <col min="33" max="34" width="8.7265625" hidden="1" customWidth="1"/>
    <col min="35" max="35" width="8.7265625" customWidth="1"/>
  </cols>
  <sheetData>
    <row r="1" spans="1:34" x14ac:dyDescent="0.35">
      <c r="A1" s="70"/>
      <c r="B1" s="2" t="str">
        <f t="shared" ref="B1:AH1" si="0">TEXT(B2,"ddd")</f>
        <v>Wed</v>
      </c>
      <c r="C1" s="2" t="str">
        <f t="shared" si="0"/>
        <v>Thu</v>
      </c>
      <c r="D1" s="2" t="str">
        <f t="shared" si="0"/>
        <v>Fri</v>
      </c>
      <c r="E1" s="2" t="str">
        <f t="shared" si="0"/>
        <v>Sat</v>
      </c>
      <c r="F1" s="2" t="str">
        <f t="shared" si="0"/>
        <v>Sun</v>
      </c>
      <c r="G1" s="2" t="str">
        <f t="shared" si="0"/>
        <v>Mon</v>
      </c>
      <c r="H1" s="2" t="str">
        <f t="shared" si="0"/>
        <v>Tue</v>
      </c>
      <c r="I1" s="2" t="str">
        <f t="shared" si="0"/>
        <v>Wed</v>
      </c>
      <c r="J1" s="2" t="str">
        <f t="shared" si="0"/>
        <v>Thu</v>
      </c>
      <c r="K1" s="2" t="str">
        <f t="shared" si="0"/>
        <v>Fri</v>
      </c>
      <c r="L1" s="2" t="str">
        <f t="shared" si="0"/>
        <v>Sat</v>
      </c>
      <c r="M1" s="2" t="str">
        <f t="shared" si="0"/>
        <v>Sun</v>
      </c>
      <c r="N1" s="2" t="str">
        <f t="shared" si="0"/>
        <v>Mon</v>
      </c>
      <c r="O1" s="2" t="str">
        <f t="shared" si="0"/>
        <v>Tue</v>
      </c>
      <c r="P1" s="2" t="str">
        <f t="shared" si="0"/>
        <v>Wed</v>
      </c>
      <c r="Q1" s="2" t="str">
        <f t="shared" si="0"/>
        <v>Thu</v>
      </c>
      <c r="R1" s="2" t="str">
        <f t="shared" si="0"/>
        <v>Fri</v>
      </c>
      <c r="S1" s="2" t="str">
        <f t="shared" si="0"/>
        <v>Sat</v>
      </c>
      <c r="T1" s="2" t="str">
        <f t="shared" si="0"/>
        <v>Sun</v>
      </c>
      <c r="U1" s="2" t="str">
        <f t="shared" si="0"/>
        <v>Mon</v>
      </c>
      <c r="V1" s="2" t="str">
        <f t="shared" si="0"/>
        <v>Tue</v>
      </c>
      <c r="W1" s="2" t="str">
        <f t="shared" si="0"/>
        <v>Wed</v>
      </c>
      <c r="X1" s="2" t="str">
        <f t="shared" si="0"/>
        <v>Thu</v>
      </c>
      <c r="Y1" s="2" t="str">
        <f t="shared" si="0"/>
        <v>Fri</v>
      </c>
      <c r="Z1" s="2" t="str">
        <f t="shared" si="0"/>
        <v>Sat</v>
      </c>
      <c r="AA1" s="2" t="str">
        <f t="shared" si="0"/>
        <v>Sun</v>
      </c>
      <c r="AB1" s="2" t="str">
        <f t="shared" si="0"/>
        <v>Mon</v>
      </c>
      <c r="AC1" s="2" t="str">
        <f t="shared" si="0"/>
        <v>Tue</v>
      </c>
      <c r="AD1" s="2" t="str">
        <f t="shared" si="0"/>
        <v>Wed</v>
      </c>
      <c r="AE1" s="2" t="str">
        <f t="shared" si="0"/>
        <v>Thu</v>
      </c>
      <c r="AF1" s="2" t="str">
        <f t="shared" si="0"/>
        <v>Fri</v>
      </c>
      <c r="AG1" s="2" t="str">
        <f t="shared" si="0"/>
        <v>Sat</v>
      </c>
      <c r="AH1" s="2" t="str">
        <f t="shared" si="0"/>
        <v>Sun</v>
      </c>
    </row>
    <row r="2" spans="1:34" x14ac:dyDescent="0.35">
      <c r="A2" s="104" t="s">
        <v>0</v>
      </c>
      <c r="B2" s="31">
        <v>44986</v>
      </c>
      <c r="C2" s="31">
        <v>44987</v>
      </c>
      <c r="D2" s="31">
        <v>44988</v>
      </c>
      <c r="E2" s="31">
        <v>44989</v>
      </c>
      <c r="F2" s="31">
        <v>44990</v>
      </c>
      <c r="G2" s="31">
        <v>44991</v>
      </c>
      <c r="H2" s="31">
        <v>44992</v>
      </c>
      <c r="I2" s="31">
        <v>44993</v>
      </c>
      <c r="J2" s="31">
        <v>44994</v>
      </c>
      <c r="K2" s="31">
        <v>44995</v>
      </c>
      <c r="L2" s="31">
        <v>44996</v>
      </c>
      <c r="M2" s="31">
        <v>44997</v>
      </c>
      <c r="N2" s="31">
        <v>44998</v>
      </c>
      <c r="O2" s="31">
        <v>44999</v>
      </c>
      <c r="P2" s="31">
        <v>45000</v>
      </c>
      <c r="Q2" s="31">
        <v>45001</v>
      </c>
      <c r="R2" s="31">
        <v>45002</v>
      </c>
      <c r="S2" s="31">
        <v>45003</v>
      </c>
      <c r="T2" s="31">
        <v>45004</v>
      </c>
      <c r="U2" s="31">
        <v>45005</v>
      </c>
      <c r="V2" s="31">
        <v>45006</v>
      </c>
      <c r="W2" s="31">
        <v>45007</v>
      </c>
      <c r="X2" s="31">
        <v>45008</v>
      </c>
      <c r="Y2" s="31">
        <v>45009</v>
      </c>
      <c r="Z2" s="31">
        <v>45010</v>
      </c>
      <c r="AA2" s="31">
        <v>45011</v>
      </c>
      <c r="AB2" s="31">
        <v>45012</v>
      </c>
      <c r="AC2" s="31">
        <v>45013</v>
      </c>
      <c r="AD2" s="31">
        <v>45014</v>
      </c>
      <c r="AE2" s="31">
        <v>45015</v>
      </c>
      <c r="AF2" s="31">
        <v>45016</v>
      </c>
      <c r="AG2" s="31">
        <v>45017</v>
      </c>
      <c r="AH2" s="31">
        <v>45018</v>
      </c>
    </row>
    <row r="3" spans="1:34" x14ac:dyDescent="0.35">
      <c r="A3" s="105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</row>
    <row r="4" spans="1:34" x14ac:dyDescent="0.35">
      <c r="A4" s="193" t="s">
        <v>1</v>
      </c>
      <c r="B4" s="184" t="s">
        <v>2</v>
      </c>
      <c r="C4" s="184" t="s">
        <v>2</v>
      </c>
      <c r="D4" s="19" t="s">
        <v>41</v>
      </c>
      <c r="E4" s="22" t="s">
        <v>30</v>
      </c>
      <c r="F4" s="19" t="s">
        <v>42</v>
      </c>
      <c r="G4" s="131" t="s">
        <v>5</v>
      </c>
      <c r="H4" s="183" t="s">
        <v>37</v>
      </c>
      <c r="I4" s="131" t="s">
        <v>5</v>
      </c>
      <c r="J4" s="131" t="s">
        <v>5</v>
      </c>
      <c r="K4" s="19" t="s">
        <v>41</v>
      </c>
      <c r="L4" s="123" t="s">
        <v>4</v>
      </c>
      <c r="M4" s="123" t="s">
        <v>4</v>
      </c>
      <c r="N4" s="19" t="s">
        <v>41</v>
      </c>
      <c r="O4" s="19" t="s">
        <v>41</v>
      </c>
      <c r="P4" s="19" t="s">
        <v>41</v>
      </c>
      <c r="Q4" s="19" t="s">
        <v>41</v>
      </c>
      <c r="R4" s="19" t="s">
        <v>41</v>
      </c>
      <c r="S4" s="123" t="s">
        <v>4</v>
      </c>
      <c r="T4" s="19" t="s">
        <v>42</v>
      </c>
      <c r="U4" s="184" t="s">
        <v>2</v>
      </c>
      <c r="V4" s="19" t="s">
        <v>41</v>
      </c>
      <c r="W4" s="19" t="s">
        <v>42</v>
      </c>
      <c r="X4" s="25" t="s">
        <v>6</v>
      </c>
      <c r="Y4" s="25" t="s">
        <v>6</v>
      </c>
      <c r="Z4" s="22" t="s">
        <v>30</v>
      </c>
      <c r="AA4" s="123" t="s">
        <v>4</v>
      </c>
      <c r="AB4" s="184" t="s">
        <v>2</v>
      </c>
      <c r="AC4" s="25" t="s">
        <v>6</v>
      </c>
      <c r="AD4" s="25" t="s">
        <v>6</v>
      </c>
      <c r="AE4" s="25" t="s">
        <v>6</v>
      </c>
      <c r="AF4" s="22" t="s">
        <v>16</v>
      </c>
      <c r="AG4" s="25" t="s">
        <v>3</v>
      </c>
      <c r="AH4" s="22" t="s">
        <v>30</v>
      </c>
    </row>
    <row r="5" spans="1:34" x14ac:dyDescent="0.35">
      <c r="A5" s="182" t="s">
        <v>21</v>
      </c>
      <c r="B5" s="184" t="s">
        <v>2</v>
      </c>
      <c r="C5" s="19" t="s">
        <v>41</v>
      </c>
      <c r="D5" s="19" t="s">
        <v>41</v>
      </c>
      <c r="E5" s="19" t="s">
        <v>42</v>
      </c>
      <c r="F5" s="123" t="s">
        <v>4</v>
      </c>
      <c r="G5" s="184" t="s">
        <v>2</v>
      </c>
      <c r="H5" s="19" t="s">
        <v>42</v>
      </c>
      <c r="I5" s="19" t="s">
        <v>41</v>
      </c>
      <c r="J5" s="19" t="s">
        <v>41</v>
      </c>
      <c r="K5" s="19" t="s">
        <v>41</v>
      </c>
      <c r="L5" s="19" t="s">
        <v>42</v>
      </c>
      <c r="M5" s="19" t="s">
        <v>42</v>
      </c>
      <c r="N5" s="184" t="s">
        <v>2</v>
      </c>
      <c r="O5" s="184" t="s">
        <v>2</v>
      </c>
      <c r="P5" s="19" t="s">
        <v>41</v>
      </c>
      <c r="Q5" s="19" t="s">
        <v>41</v>
      </c>
      <c r="R5" s="19" t="s">
        <v>41</v>
      </c>
      <c r="S5" s="19" t="s">
        <v>42</v>
      </c>
      <c r="T5" s="123" t="s">
        <v>4</v>
      </c>
      <c r="U5" s="185" t="s">
        <v>10</v>
      </c>
      <c r="V5" s="19" t="s">
        <v>41</v>
      </c>
      <c r="W5" s="183" t="s">
        <v>37</v>
      </c>
      <c r="X5" s="131" t="s">
        <v>5</v>
      </c>
      <c r="Y5" s="131" t="s">
        <v>5</v>
      </c>
      <c r="Z5" s="131" t="s">
        <v>4</v>
      </c>
      <c r="AA5" s="19" t="s">
        <v>42</v>
      </c>
      <c r="AB5" s="19" t="s">
        <v>41</v>
      </c>
      <c r="AC5" s="19" t="s">
        <v>41</v>
      </c>
      <c r="AD5" s="19" t="s">
        <v>41</v>
      </c>
      <c r="AE5" s="184" t="s">
        <v>2</v>
      </c>
      <c r="AF5" s="19" t="s">
        <v>41</v>
      </c>
      <c r="AG5" s="19" t="s">
        <v>42</v>
      </c>
      <c r="AH5" s="123" t="s">
        <v>4</v>
      </c>
    </row>
    <row r="6" spans="1:34" x14ac:dyDescent="0.35">
      <c r="A6" s="182" t="s">
        <v>75</v>
      </c>
      <c r="B6" s="19" t="s">
        <v>41</v>
      </c>
      <c r="C6" s="19" t="s">
        <v>41</v>
      </c>
      <c r="D6" s="19" t="s">
        <v>41</v>
      </c>
      <c r="E6" s="123" t="s">
        <v>4</v>
      </c>
      <c r="F6" s="19" t="s">
        <v>42</v>
      </c>
      <c r="G6" s="19" t="s">
        <v>41</v>
      </c>
      <c r="H6" s="19" t="s">
        <v>42</v>
      </c>
      <c r="I6" s="19" t="s">
        <v>41</v>
      </c>
      <c r="J6" s="19" t="s">
        <v>41</v>
      </c>
      <c r="K6" s="184" t="s">
        <v>2</v>
      </c>
      <c r="L6" s="123" t="s">
        <v>4</v>
      </c>
      <c r="M6" s="19" t="s">
        <v>42</v>
      </c>
      <c r="N6" s="19" t="s">
        <v>41</v>
      </c>
      <c r="O6" s="19" t="s">
        <v>41</v>
      </c>
      <c r="P6" s="19" t="s">
        <v>41</v>
      </c>
      <c r="Q6" s="19" t="s">
        <v>41</v>
      </c>
      <c r="R6" s="184" t="s">
        <v>2</v>
      </c>
      <c r="S6" s="123" t="s">
        <v>4</v>
      </c>
      <c r="T6" s="19" t="s">
        <v>42</v>
      </c>
      <c r="U6" s="19" t="s">
        <v>41</v>
      </c>
      <c r="V6" s="184" t="s">
        <v>2</v>
      </c>
      <c r="W6" s="19" t="s">
        <v>42</v>
      </c>
      <c r="X6" s="19" t="s">
        <v>41</v>
      </c>
      <c r="Y6" s="19" t="s">
        <v>41</v>
      </c>
      <c r="Z6" s="25" t="s">
        <v>3</v>
      </c>
      <c r="AA6" s="123" t="s">
        <v>4</v>
      </c>
      <c r="AB6" s="184" t="s">
        <v>2</v>
      </c>
      <c r="AC6" s="19" t="s">
        <v>41</v>
      </c>
      <c r="AD6" s="19" t="s">
        <v>41</v>
      </c>
      <c r="AE6" s="19" t="s">
        <v>41</v>
      </c>
      <c r="AF6" s="184" t="s">
        <v>2</v>
      </c>
      <c r="AG6" s="123" t="s">
        <v>4</v>
      </c>
      <c r="AH6" s="185" t="s">
        <v>11</v>
      </c>
    </row>
    <row r="7" spans="1:34" x14ac:dyDescent="0.35">
      <c r="A7" s="182" t="s">
        <v>77</v>
      </c>
      <c r="B7" s="19" t="s">
        <v>41</v>
      </c>
      <c r="C7" s="19" t="s">
        <v>41</v>
      </c>
      <c r="D7" s="22" t="s">
        <v>16</v>
      </c>
      <c r="E7" s="19" t="s">
        <v>42</v>
      </c>
      <c r="F7" s="123" t="s">
        <v>4</v>
      </c>
      <c r="G7" s="19" t="s">
        <v>41</v>
      </c>
      <c r="H7" s="19" t="s">
        <v>42</v>
      </c>
      <c r="I7" s="184" t="s">
        <v>2</v>
      </c>
      <c r="J7" s="19" t="s">
        <v>41</v>
      </c>
      <c r="K7" s="19" t="s">
        <v>41</v>
      </c>
      <c r="L7" s="19" t="s">
        <v>42</v>
      </c>
      <c r="M7" s="123" t="s">
        <v>4</v>
      </c>
      <c r="N7" s="19" t="s">
        <v>41</v>
      </c>
      <c r="O7" s="19" t="s">
        <v>41</v>
      </c>
      <c r="P7" s="184" t="s">
        <v>2</v>
      </c>
      <c r="Q7" s="184" t="s">
        <v>2</v>
      </c>
      <c r="R7" s="19" t="s">
        <v>41</v>
      </c>
      <c r="S7" s="19" t="s">
        <v>42</v>
      </c>
      <c r="T7" s="123" t="s">
        <v>4</v>
      </c>
      <c r="U7" s="19" t="s">
        <v>41</v>
      </c>
      <c r="V7" s="19" t="s">
        <v>41</v>
      </c>
      <c r="W7" s="19" t="s">
        <v>42</v>
      </c>
      <c r="X7" s="19" t="s">
        <v>41</v>
      </c>
      <c r="Y7" s="19" t="s">
        <v>41</v>
      </c>
      <c r="Z7" s="19" t="s">
        <v>42</v>
      </c>
      <c r="AA7" s="123" t="s">
        <v>4</v>
      </c>
      <c r="AB7" s="19" t="s">
        <v>41</v>
      </c>
      <c r="AC7" s="19" t="s">
        <v>41</v>
      </c>
      <c r="AD7" s="184" t="s">
        <v>2</v>
      </c>
      <c r="AE7" s="19" t="s">
        <v>41</v>
      </c>
      <c r="AF7" s="19" t="s">
        <v>41</v>
      </c>
      <c r="AG7" s="19" t="s">
        <v>42</v>
      </c>
      <c r="AH7" s="123" t="s">
        <v>4</v>
      </c>
    </row>
    <row r="8" spans="1:34" x14ac:dyDescent="0.35">
      <c r="A8" s="182" t="s">
        <v>76</v>
      </c>
      <c r="B8" s="19" t="s">
        <v>41</v>
      </c>
      <c r="C8" s="19" t="s">
        <v>41</v>
      </c>
      <c r="D8" s="184" t="s">
        <v>2</v>
      </c>
      <c r="E8" s="123" t="s">
        <v>4</v>
      </c>
      <c r="F8" s="123" t="s">
        <v>4</v>
      </c>
      <c r="G8" s="19" t="s">
        <v>41</v>
      </c>
      <c r="H8" s="183" t="s">
        <v>37</v>
      </c>
      <c r="I8" s="19" t="s">
        <v>41</v>
      </c>
      <c r="J8" s="19" t="s">
        <v>41</v>
      </c>
      <c r="K8" s="19" t="s">
        <v>41</v>
      </c>
      <c r="L8" s="22" t="s">
        <v>30</v>
      </c>
      <c r="M8" s="131" t="s">
        <v>4</v>
      </c>
      <c r="N8" s="131" t="s">
        <v>5</v>
      </c>
      <c r="O8" s="131" t="s">
        <v>5</v>
      </c>
      <c r="P8" s="19" t="s">
        <v>41</v>
      </c>
      <c r="Q8" s="19" t="s">
        <v>41</v>
      </c>
      <c r="R8" s="19" t="s">
        <v>41</v>
      </c>
      <c r="S8" s="123" t="s">
        <v>4</v>
      </c>
      <c r="T8" s="123" t="s">
        <v>4</v>
      </c>
      <c r="U8" s="19" t="s">
        <v>41</v>
      </c>
      <c r="V8" s="19" t="s">
        <v>41</v>
      </c>
      <c r="W8" s="183" t="s">
        <v>37</v>
      </c>
      <c r="X8" s="19" t="s">
        <v>41</v>
      </c>
      <c r="Y8" s="19" t="s">
        <v>41</v>
      </c>
      <c r="Z8" s="123" t="s">
        <v>4</v>
      </c>
      <c r="AA8" s="19" t="s">
        <v>42</v>
      </c>
      <c r="AB8" s="19" t="s">
        <v>41</v>
      </c>
      <c r="AC8" s="184" t="s">
        <v>2</v>
      </c>
      <c r="AD8" s="19" t="s">
        <v>41</v>
      </c>
      <c r="AE8" s="19" t="s">
        <v>41</v>
      </c>
      <c r="AF8" s="19" t="s">
        <v>41</v>
      </c>
      <c r="AG8" s="22" t="s">
        <v>30</v>
      </c>
      <c r="AH8" s="185" t="s">
        <v>11</v>
      </c>
    </row>
    <row r="9" spans="1:34" x14ac:dyDescent="0.35">
      <c r="A9" s="194"/>
    </row>
    <row r="10" spans="1:34" x14ac:dyDescent="0.35">
      <c r="A10" s="193" t="s">
        <v>9</v>
      </c>
      <c r="B10" s="185" t="s">
        <v>10</v>
      </c>
      <c r="C10" s="185" t="s">
        <v>10</v>
      </c>
      <c r="D10" s="185" t="s">
        <v>10</v>
      </c>
      <c r="E10" s="185" t="s">
        <v>11</v>
      </c>
      <c r="F10" s="185" t="s">
        <v>11</v>
      </c>
      <c r="G10" s="185" t="s">
        <v>10</v>
      </c>
      <c r="H10" s="185" t="s">
        <v>11</v>
      </c>
      <c r="I10" s="184" t="s">
        <v>2</v>
      </c>
      <c r="J10" s="184" t="s">
        <v>2</v>
      </c>
      <c r="K10" s="185" t="s">
        <v>10</v>
      </c>
      <c r="L10" s="123" t="s">
        <v>4</v>
      </c>
      <c r="M10" s="185" t="s">
        <v>11</v>
      </c>
      <c r="N10" s="185" t="s">
        <v>10</v>
      </c>
      <c r="O10" s="185" t="s">
        <v>10</v>
      </c>
      <c r="P10" s="185" t="s">
        <v>10</v>
      </c>
      <c r="Q10" s="185" t="s">
        <v>10</v>
      </c>
      <c r="R10" s="184" t="s">
        <v>2</v>
      </c>
      <c r="S10" s="185" t="s">
        <v>11</v>
      </c>
      <c r="T10" s="185" t="s">
        <v>11</v>
      </c>
      <c r="U10" s="185" t="s">
        <v>10</v>
      </c>
      <c r="V10" s="185" t="s">
        <v>10</v>
      </c>
      <c r="W10" s="185" t="s">
        <v>11</v>
      </c>
      <c r="X10" s="185" t="s">
        <v>10</v>
      </c>
      <c r="Y10" s="184" t="s">
        <v>2</v>
      </c>
      <c r="Z10" s="185" t="s">
        <v>11</v>
      </c>
      <c r="AA10" s="185" t="s">
        <v>11</v>
      </c>
      <c r="AB10" s="185" t="s">
        <v>10</v>
      </c>
      <c r="AC10" s="185" t="s">
        <v>10</v>
      </c>
      <c r="AD10" s="185" t="s">
        <v>10</v>
      </c>
      <c r="AE10" s="185" t="s">
        <v>10</v>
      </c>
      <c r="AF10" s="185" t="s">
        <v>10</v>
      </c>
      <c r="AG10" s="131" t="s">
        <v>4</v>
      </c>
      <c r="AH10" s="131" t="s">
        <v>4</v>
      </c>
    </row>
    <row r="11" spans="1:34" x14ac:dyDescent="0.35">
      <c r="A11" s="193" t="s">
        <v>15</v>
      </c>
      <c r="B11" s="185" t="s">
        <v>10</v>
      </c>
      <c r="C11" s="185" t="s">
        <v>10</v>
      </c>
      <c r="D11" s="185" t="s">
        <v>10</v>
      </c>
      <c r="E11" s="123" t="s">
        <v>4</v>
      </c>
      <c r="F11" s="123" t="s">
        <v>4</v>
      </c>
      <c r="G11" s="185" t="s">
        <v>10</v>
      </c>
      <c r="H11" s="185" t="s">
        <v>11</v>
      </c>
      <c r="I11" s="185" t="s">
        <v>10</v>
      </c>
      <c r="J11" s="185" t="s">
        <v>10</v>
      </c>
      <c r="K11" s="185" t="s">
        <v>10</v>
      </c>
      <c r="L11" s="185" t="s">
        <v>11</v>
      </c>
      <c r="M11" s="123" t="s">
        <v>4</v>
      </c>
      <c r="N11" s="184" t="s">
        <v>2</v>
      </c>
      <c r="O11" s="185" t="s">
        <v>10</v>
      </c>
      <c r="P11" s="185" t="s">
        <v>10</v>
      </c>
      <c r="Q11" s="185" t="s">
        <v>10</v>
      </c>
      <c r="R11" s="185" t="s">
        <v>10</v>
      </c>
      <c r="S11" s="185" t="s">
        <v>11</v>
      </c>
      <c r="T11" s="123" t="s">
        <v>4</v>
      </c>
      <c r="U11" s="184" t="s">
        <v>2</v>
      </c>
      <c r="V11" s="185" t="s">
        <v>10</v>
      </c>
      <c r="W11" s="185" t="s">
        <v>11</v>
      </c>
      <c r="X11" s="185" t="s">
        <v>10</v>
      </c>
      <c r="Y11" s="185" t="s">
        <v>10</v>
      </c>
      <c r="Z11" s="131" t="s">
        <v>4</v>
      </c>
      <c r="AA11" s="131" t="s">
        <v>4</v>
      </c>
      <c r="AB11" s="185" t="s">
        <v>10</v>
      </c>
      <c r="AC11" s="185" t="s">
        <v>10</v>
      </c>
      <c r="AD11" s="131" t="s">
        <v>5</v>
      </c>
      <c r="AE11" s="185" t="s">
        <v>10</v>
      </c>
      <c r="AF11" s="185" t="s">
        <v>10</v>
      </c>
      <c r="AG11" s="185" t="s">
        <v>11</v>
      </c>
      <c r="AH11" s="123" t="s">
        <v>4</v>
      </c>
    </row>
    <row r="12" spans="1:34" x14ac:dyDescent="0.35">
      <c r="A12" s="182" t="s">
        <v>22</v>
      </c>
      <c r="B12" s="131" t="s">
        <v>5</v>
      </c>
      <c r="C12" s="131" t="s">
        <v>5</v>
      </c>
      <c r="D12" s="131" t="s">
        <v>5</v>
      </c>
      <c r="E12" s="185" t="s">
        <v>11</v>
      </c>
      <c r="F12" s="185" t="s">
        <v>11</v>
      </c>
      <c r="G12" s="185" t="s">
        <v>10</v>
      </c>
      <c r="H12" s="185" t="s">
        <v>10</v>
      </c>
      <c r="I12" s="185" t="s">
        <v>10</v>
      </c>
      <c r="J12" s="185" t="s">
        <v>10</v>
      </c>
      <c r="K12" s="184" t="s">
        <v>2</v>
      </c>
      <c r="L12" s="185" t="s">
        <v>11</v>
      </c>
      <c r="M12" s="185" t="s">
        <v>11</v>
      </c>
      <c r="N12" s="185" t="s">
        <v>10</v>
      </c>
      <c r="O12" s="184" t="s">
        <v>2</v>
      </c>
      <c r="P12" s="184" t="s">
        <v>2</v>
      </c>
      <c r="Q12" s="185" t="s">
        <v>10</v>
      </c>
      <c r="R12" s="185" t="s">
        <v>10</v>
      </c>
      <c r="S12" s="123" t="s">
        <v>4</v>
      </c>
      <c r="T12" s="185" t="s">
        <v>11</v>
      </c>
      <c r="U12" s="185" t="s">
        <v>10</v>
      </c>
      <c r="V12" s="184" t="s">
        <v>2</v>
      </c>
      <c r="W12" s="185" t="s">
        <v>11</v>
      </c>
      <c r="X12" s="185" t="s">
        <v>10</v>
      </c>
      <c r="Y12" s="185" t="s">
        <v>10</v>
      </c>
      <c r="Z12" s="185" t="s">
        <v>11</v>
      </c>
      <c r="AA12" s="185" t="s">
        <v>11</v>
      </c>
      <c r="AB12" s="184" t="s">
        <v>2</v>
      </c>
      <c r="AC12" s="184" t="s">
        <v>2</v>
      </c>
      <c r="AD12" s="185" t="s">
        <v>10</v>
      </c>
      <c r="AE12" s="185" t="s">
        <v>10</v>
      </c>
      <c r="AF12" s="185" t="s">
        <v>10</v>
      </c>
      <c r="AG12" s="123" t="s">
        <v>4</v>
      </c>
      <c r="AH12" s="25" t="s">
        <v>3</v>
      </c>
    </row>
    <row r="13" spans="1:34" x14ac:dyDescent="0.35">
      <c r="A13" s="182" t="s">
        <v>181</v>
      </c>
      <c r="B13" s="185" t="s">
        <v>10</v>
      </c>
      <c r="C13" s="185" t="s">
        <v>10</v>
      </c>
      <c r="D13" s="185" t="s">
        <v>10</v>
      </c>
      <c r="E13" s="123" t="s">
        <v>4</v>
      </c>
      <c r="F13" s="123" t="s">
        <v>4</v>
      </c>
      <c r="G13" s="185" t="s">
        <v>10</v>
      </c>
      <c r="H13" s="183" t="s">
        <v>37</v>
      </c>
      <c r="I13" s="185" t="s">
        <v>10</v>
      </c>
      <c r="J13" s="185" t="s">
        <v>10</v>
      </c>
      <c r="K13" s="185" t="s">
        <v>10</v>
      </c>
      <c r="L13" s="123" t="s">
        <v>4</v>
      </c>
      <c r="M13" s="123" t="s">
        <v>4</v>
      </c>
      <c r="N13" s="185" t="s">
        <v>10</v>
      </c>
      <c r="O13" s="185" t="s">
        <v>10</v>
      </c>
      <c r="P13" s="185" t="s">
        <v>10</v>
      </c>
      <c r="Q13" s="185" t="s">
        <v>10</v>
      </c>
      <c r="R13" s="185" t="s">
        <v>10</v>
      </c>
      <c r="S13" s="123" t="s">
        <v>4</v>
      </c>
      <c r="T13" s="123" t="s">
        <v>4</v>
      </c>
      <c r="U13" s="185" t="s">
        <v>10</v>
      </c>
      <c r="V13" s="185" t="s">
        <v>10</v>
      </c>
      <c r="W13" s="183" t="s">
        <v>37</v>
      </c>
      <c r="X13" s="185" t="s">
        <v>10</v>
      </c>
      <c r="Y13" s="185" t="s">
        <v>10</v>
      </c>
      <c r="Z13" s="123" t="s">
        <v>4</v>
      </c>
      <c r="AA13" s="185" t="s">
        <v>11</v>
      </c>
      <c r="AB13" s="185" t="s">
        <v>10</v>
      </c>
      <c r="AC13" s="185" t="s">
        <v>10</v>
      </c>
      <c r="AD13" s="185" t="s">
        <v>10</v>
      </c>
      <c r="AE13" s="185" t="s">
        <v>10</v>
      </c>
      <c r="AF13" s="184" t="s">
        <v>2</v>
      </c>
      <c r="AG13" s="123" t="s">
        <v>4</v>
      </c>
      <c r="AH13" s="25" t="s">
        <v>3</v>
      </c>
    </row>
    <row r="14" spans="1:34" x14ac:dyDescent="0.35">
      <c r="A14" s="182" t="s">
        <v>155</v>
      </c>
      <c r="B14" s="184" t="s">
        <v>2</v>
      </c>
      <c r="C14" s="185" t="s">
        <v>10</v>
      </c>
      <c r="D14" s="185" t="s">
        <v>10</v>
      </c>
      <c r="E14" s="185" t="s">
        <v>11</v>
      </c>
      <c r="F14" s="123" t="s">
        <v>4</v>
      </c>
      <c r="G14" s="184" t="s">
        <v>2</v>
      </c>
      <c r="H14" s="185" t="s">
        <v>11</v>
      </c>
      <c r="I14" s="185" t="s">
        <v>10</v>
      </c>
      <c r="J14" s="27" t="s">
        <v>34</v>
      </c>
      <c r="K14" s="185" t="s">
        <v>10</v>
      </c>
      <c r="L14" s="185" t="s">
        <v>11</v>
      </c>
      <c r="M14" s="123" t="s">
        <v>4</v>
      </c>
      <c r="N14" s="185" t="s">
        <v>10</v>
      </c>
      <c r="O14" s="185" t="s">
        <v>10</v>
      </c>
      <c r="P14" s="185" t="s">
        <v>10</v>
      </c>
      <c r="Q14" s="184" t="s">
        <v>2</v>
      </c>
      <c r="R14" s="185" t="s">
        <v>10</v>
      </c>
      <c r="S14" s="185" t="s">
        <v>11</v>
      </c>
      <c r="T14" s="123" t="s">
        <v>4</v>
      </c>
      <c r="U14" s="184" t="s">
        <v>2</v>
      </c>
      <c r="V14" s="185" t="s">
        <v>10</v>
      </c>
      <c r="W14" s="185" t="s">
        <v>11</v>
      </c>
      <c r="X14" s="184" t="s">
        <v>2</v>
      </c>
      <c r="Y14" s="184" t="s">
        <v>2</v>
      </c>
      <c r="Z14" s="185" t="s">
        <v>11</v>
      </c>
      <c r="AA14" s="123" t="s">
        <v>4</v>
      </c>
      <c r="AB14" s="185" t="s">
        <v>10</v>
      </c>
      <c r="AC14" s="185" t="s">
        <v>10</v>
      </c>
      <c r="AD14" s="185" t="s">
        <v>10</v>
      </c>
      <c r="AE14" s="184" t="s">
        <v>2</v>
      </c>
      <c r="AF14" s="185" t="s">
        <v>10</v>
      </c>
      <c r="AG14" s="185" t="s">
        <v>11</v>
      </c>
      <c r="AH14" s="123" t="s">
        <v>4</v>
      </c>
    </row>
    <row r="15" spans="1:34" x14ac:dyDescent="0.35">
      <c r="A15" s="194"/>
    </row>
    <row r="16" spans="1:34" x14ac:dyDescent="0.35">
      <c r="A16" s="193" t="s">
        <v>57</v>
      </c>
      <c r="B16" s="22" t="s">
        <v>16</v>
      </c>
      <c r="C16" s="25" t="s">
        <v>6</v>
      </c>
      <c r="D16" s="25" t="s">
        <v>6</v>
      </c>
      <c r="E16" s="25" t="s">
        <v>3</v>
      </c>
      <c r="F16" s="123" t="s">
        <v>4</v>
      </c>
      <c r="G16" s="25" t="s">
        <v>6</v>
      </c>
      <c r="H16" s="25" t="s">
        <v>3</v>
      </c>
      <c r="I16" s="131" t="s">
        <v>5</v>
      </c>
      <c r="J16" s="131" t="s">
        <v>5</v>
      </c>
      <c r="K16" s="131" t="s">
        <v>5</v>
      </c>
      <c r="L16" s="123" t="s">
        <v>4</v>
      </c>
      <c r="M16" s="123" t="s">
        <v>4</v>
      </c>
      <c r="N16" s="131" t="s">
        <v>5</v>
      </c>
      <c r="O16" s="25" t="s">
        <v>6</v>
      </c>
      <c r="P16" s="25" t="s">
        <v>6</v>
      </c>
      <c r="Q16" s="25" t="s">
        <v>6</v>
      </c>
      <c r="R16" s="184" t="s">
        <v>2</v>
      </c>
      <c r="S16" s="25" t="s">
        <v>3</v>
      </c>
      <c r="T16" s="123" t="s">
        <v>4</v>
      </c>
      <c r="U16" s="25" t="s">
        <v>6</v>
      </c>
      <c r="V16" s="25" t="s">
        <v>6</v>
      </c>
      <c r="W16" s="25" t="s">
        <v>3</v>
      </c>
      <c r="X16" s="19" t="s">
        <v>41</v>
      </c>
      <c r="Y16" s="19" t="s">
        <v>41</v>
      </c>
      <c r="Z16" s="19" t="s">
        <v>42</v>
      </c>
      <c r="AA16" s="123" t="s">
        <v>4</v>
      </c>
      <c r="AB16" s="184" t="s">
        <v>2</v>
      </c>
      <c r="AC16" s="19" t="s">
        <v>41</v>
      </c>
      <c r="AD16" s="19" t="s">
        <v>41</v>
      </c>
      <c r="AE16" s="19" t="s">
        <v>41</v>
      </c>
      <c r="AF16" s="19" t="s">
        <v>41</v>
      </c>
      <c r="AG16" s="123" t="s">
        <v>4</v>
      </c>
      <c r="AH16" s="123" t="s">
        <v>4</v>
      </c>
    </row>
    <row r="17" spans="1:34" x14ac:dyDescent="0.35">
      <c r="A17" s="193" t="s">
        <v>43</v>
      </c>
      <c r="B17" s="25" t="s">
        <v>6</v>
      </c>
      <c r="C17" s="25" t="s">
        <v>6</v>
      </c>
      <c r="D17" s="184" t="s">
        <v>2</v>
      </c>
      <c r="E17" s="123" t="s">
        <v>4</v>
      </c>
      <c r="F17" s="25" t="s">
        <v>3</v>
      </c>
      <c r="G17" s="25" t="s">
        <v>6</v>
      </c>
      <c r="H17" s="183" t="s">
        <v>37</v>
      </c>
      <c r="I17" s="25" t="s">
        <v>6</v>
      </c>
      <c r="J17" s="25" t="s">
        <v>6</v>
      </c>
      <c r="K17" s="25" t="s">
        <v>6</v>
      </c>
      <c r="L17" s="25" t="s">
        <v>3</v>
      </c>
      <c r="M17" s="25" t="s">
        <v>3</v>
      </c>
      <c r="N17" s="25" t="s">
        <v>6</v>
      </c>
      <c r="O17" s="184" t="s">
        <v>2</v>
      </c>
      <c r="P17" s="184" t="s">
        <v>2</v>
      </c>
      <c r="Q17" s="25" t="s">
        <v>6</v>
      </c>
      <c r="R17" s="25" t="s">
        <v>6</v>
      </c>
      <c r="S17" s="25" t="s">
        <v>3</v>
      </c>
      <c r="T17" s="25" t="s">
        <v>3</v>
      </c>
      <c r="U17" s="131" t="s">
        <v>5</v>
      </c>
      <c r="V17" s="131" t="s">
        <v>5</v>
      </c>
      <c r="W17" s="183" t="s">
        <v>37</v>
      </c>
      <c r="X17" s="25" t="s">
        <v>6</v>
      </c>
      <c r="Y17" s="131" t="s">
        <v>5</v>
      </c>
      <c r="Z17" s="123" t="s">
        <v>4</v>
      </c>
      <c r="AA17" s="25" t="s">
        <v>3</v>
      </c>
      <c r="AB17" s="25" t="s">
        <v>6</v>
      </c>
      <c r="AC17" s="25" t="s">
        <v>6</v>
      </c>
      <c r="AD17" s="25" t="s">
        <v>6</v>
      </c>
      <c r="AE17" s="184" t="s">
        <v>2</v>
      </c>
      <c r="AF17" s="25" t="s">
        <v>6</v>
      </c>
      <c r="AG17" s="123" t="s">
        <v>4</v>
      </c>
      <c r="AH17" s="19" t="s">
        <v>42</v>
      </c>
    </row>
    <row r="18" spans="1:34" x14ac:dyDescent="0.35">
      <c r="A18" s="182" t="s">
        <v>74</v>
      </c>
      <c r="B18" s="131" t="s">
        <v>5</v>
      </c>
      <c r="C18" s="131" t="s">
        <v>5</v>
      </c>
      <c r="D18" s="131" t="s">
        <v>5</v>
      </c>
      <c r="E18" s="123" t="s">
        <v>4</v>
      </c>
      <c r="F18" s="25" t="s">
        <v>3</v>
      </c>
      <c r="G18" s="131" t="s">
        <v>5</v>
      </c>
      <c r="H18" s="25" t="s">
        <v>3</v>
      </c>
      <c r="I18" s="25" t="s">
        <v>6</v>
      </c>
      <c r="J18" s="25" t="s">
        <v>6</v>
      </c>
      <c r="K18" s="184" t="s">
        <v>2</v>
      </c>
      <c r="L18" s="123" t="s">
        <v>4</v>
      </c>
      <c r="M18" s="25" t="s">
        <v>3</v>
      </c>
      <c r="N18" s="25" t="s">
        <v>6</v>
      </c>
      <c r="O18" s="25" t="s">
        <v>6</v>
      </c>
      <c r="P18" s="25" t="s">
        <v>6</v>
      </c>
      <c r="Q18" s="184" t="s">
        <v>2</v>
      </c>
      <c r="R18" s="25" t="s">
        <v>6</v>
      </c>
      <c r="S18" s="123" t="s">
        <v>4</v>
      </c>
      <c r="T18" s="25" t="s">
        <v>3</v>
      </c>
      <c r="U18" s="25" t="s">
        <v>6</v>
      </c>
      <c r="V18" s="25" t="s">
        <v>6</v>
      </c>
      <c r="W18" s="25" t="s">
        <v>3</v>
      </c>
      <c r="X18" s="131" t="s">
        <v>5</v>
      </c>
      <c r="Y18" s="131" t="s">
        <v>5</v>
      </c>
      <c r="Z18" s="123" t="s">
        <v>4</v>
      </c>
      <c r="AA18" s="25" t="s">
        <v>3</v>
      </c>
      <c r="AB18" s="25" t="s">
        <v>6</v>
      </c>
      <c r="AC18" s="25" t="s">
        <v>6</v>
      </c>
      <c r="AD18" s="25" t="s">
        <v>6</v>
      </c>
      <c r="AE18" s="25" t="s">
        <v>6</v>
      </c>
      <c r="AF18" s="25" t="s">
        <v>6</v>
      </c>
      <c r="AG18" s="123" t="s">
        <v>4</v>
      </c>
      <c r="AH18" s="123" t="s">
        <v>4</v>
      </c>
    </row>
    <row r="19" spans="1:34" x14ac:dyDescent="0.35">
      <c r="A19" s="182" t="s">
        <v>62</v>
      </c>
      <c r="B19" s="25" t="s">
        <v>6</v>
      </c>
      <c r="C19" s="25" t="s">
        <v>6</v>
      </c>
      <c r="D19" s="25" t="s">
        <v>6</v>
      </c>
      <c r="E19" s="25" t="s">
        <v>3</v>
      </c>
      <c r="F19" s="123" t="s">
        <v>4</v>
      </c>
      <c r="G19" s="184" t="s">
        <v>2</v>
      </c>
      <c r="H19" s="25" t="s">
        <v>3</v>
      </c>
      <c r="I19" s="25" t="s">
        <v>6</v>
      </c>
      <c r="J19" s="25" t="s">
        <v>6</v>
      </c>
      <c r="K19" s="25" t="s">
        <v>6</v>
      </c>
      <c r="L19" s="25" t="s">
        <v>3</v>
      </c>
      <c r="M19" s="123" t="s">
        <v>4</v>
      </c>
      <c r="N19" s="184" t="s">
        <v>2</v>
      </c>
      <c r="O19" s="25" t="s">
        <v>6</v>
      </c>
      <c r="P19" s="25" t="s">
        <v>6</v>
      </c>
      <c r="Q19" s="25" t="s">
        <v>6</v>
      </c>
      <c r="R19" s="25" t="s">
        <v>6</v>
      </c>
      <c r="S19" s="22" t="s">
        <v>30</v>
      </c>
      <c r="T19" s="123" t="s">
        <v>4</v>
      </c>
      <c r="U19" s="25" t="s">
        <v>6</v>
      </c>
      <c r="V19" s="25" t="s">
        <v>6</v>
      </c>
      <c r="W19" s="25" t="s">
        <v>3</v>
      </c>
      <c r="X19" s="25" t="s">
        <v>6</v>
      </c>
      <c r="Y19" s="25" t="s">
        <v>6</v>
      </c>
      <c r="Z19" s="25" t="s">
        <v>3</v>
      </c>
      <c r="AA19" s="123" t="s">
        <v>4</v>
      </c>
      <c r="AB19" s="184" t="s">
        <v>2</v>
      </c>
      <c r="AC19" s="25" t="s">
        <v>6</v>
      </c>
      <c r="AD19" s="25" t="s">
        <v>6</v>
      </c>
      <c r="AE19" s="25" t="s">
        <v>6</v>
      </c>
      <c r="AF19" s="25" t="s">
        <v>6</v>
      </c>
      <c r="AG19" s="25" t="s">
        <v>3</v>
      </c>
      <c r="AH19" s="123" t="s">
        <v>4</v>
      </c>
    </row>
    <row r="20" spans="1:34" x14ac:dyDescent="0.35">
      <c r="A20" s="182" t="s">
        <v>180</v>
      </c>
      <c r="B20" s="25" t="s">
        <v>6</v>
      </c>
      <c r="C20" s="25" t="s">
        <v>6</v>
      </c>
      <c r="D20" s="25" t="s">
        <v>6</v>
      </c>
      <c r="E20" s="123" t="s">
        <v>4</v>
      </c>
      <c r="F20" s="123" t="s">
        <v>4</v>
      </c>
      <c r="G20" s="25" t="s">
        <v>6</v>
      </c>
      <c r="H20" s="22" t="s">
        <v>30</v>
      </c>
      <c r="I20" s="22" t="s">
        <v>16</v>
      </c>
      <c r="J20" s="25" t="s">
        <v>6</v>
      </c>
      <c r="K20" s="25" t="s">
        <v>6</v>
      </c>
      <c r="L20" s="123" t="s">
        <v>4</v>
      </c>
      <c r="M20" s="123" t="s">
        <v>4</v>
      </c>
      <c r="N20" s="25" t="s">
        <v>6</v>
      </c>
      <c r="O20" s="25" t="s">
        <v>6</v>
      </c>
      <c r="P20" s="25" t="s">
        <v>6</v>
      </c>
      <c r="Q20" s="25" t="s">
        <v>6</v>
      </c>
      <c r="R20" s="25" t="s">
        <v>6</v>
      </c>
      <c r="S20" s="123" t="s">
        <v>4</v>
      </c>
      <c r="T20" s="123" t="s">
        <v>4</v>
      </c>
      <c r="U20" s="25" t="s">
        <v>6</v>
      </c>
      <c r="V20" s="25" t="s">
        <v>6</v>
      </c>
      <c r="W20" s="183" t="s">
        <v>37</v>
      </c>
      <c r="X20" s="25" t="s">
        <v>6</v>
      </c>
      <c r="Y20" s="25" t="s">
        <v>6</v>
      </c>
      <c r="Z20" s="123" t="s">
        <v>4</v>
      </c>
      <c r="AA20" s="123" t="s">
        <v>4</v>
      </c>
      <c r="AB20" s="25" t="s">
        <v>6</v>
      </c>
      <c r="AC20" s="22" t="s">
        <v>16</v>
      </c>
      <c r="AD20" s="22" t="s">
        <v>16</v>
      </c>
      <c r="AE20" s="25" t="s">
        <v>6</v>
      </c>
      <c r="AF20" s="25" t="s">
        <v>6</v>
      </c>
      <c r="AG20" s="123" t="s">
        <v>4</v>
      </c>
      <c r="AH20" s="19" t="s">
        <v>42</v>
      </c>
    </row>
    <row r="22" spans="1:34" x14ac:dyDescent="0.35">
      <c r="A22" s="189" t="s">
        <v>156</v>
      </c>
      <c r="B22">
        <f t="shared" ref="B22:D22" si="1">COUNTIF(B4:B20,"*MS")</f>
        <v>3</v>
      </c>
      <c r="C22">
        <f t="shared" si="1"/>
        <v>4</v>
      </c>
      <c r="D22">
        <f t="shared" si="1"/>
        <v>3</v>
      </c>
      <c r="E22">
        <f>COUNTIF(E4:E20,"*MS")</f>
        <v>2</v>
      </c>
      <c r="F22">
        <f>COUNTIF(F4:F20,"*MS")</f>
        <v>2</v>
      </c>
      <c r="G22">
        <f t="shared" ref="G22:AH22" si="2">COUNTIF(G4:G20,"*MS")</f>
        <v>3</v>
      </c>
      <c r="H22">
        <f t="shared" si="2"/>
        <v>3</v>
      </c>
      <c r="I22">
        <f t="shared" si="2"/>
        <v>3</v>
      </c>
      <c r="J22">
        <f t="shared" si="2"/>
        <v>4</v>
      </c>
      <c r="K22">
        <f t="shared" si="2"/>
        <v>3</v>
      </c>
      <c r="L22">
        <f>COUNTIF(L4:L20,"*MS")</f>
        <v>2</v>
      </c>
      <c r="M22">
        <f>COUNTIF(M4:M20,"*MS")</f>
        <v>2</v>
      </c>
      <c r="N22">
        <f>COUNTIF(N4:N20,"*MS")</f>
        <v>3</v>
      </c>
      <c r="O22">
        <f t="shared" si="2"/>
        <v>4</v>
      </c>
      <c r="P22">
        <f t="shared" si="2"/>
        <v>4</v>
      </c>
      <c r="Q22">
        <f t="shared" si="2"/>
        <v>4</v>
      </c>
      <c r="R22">
        <f t="shared" si="2"/>
        <v>4</v>
      </c>
      <c r="S22">
        <f t="shared" si="2"/>
        <v>2</v>
      </c>
      <c r="T22">
        <f t="shared" si="2"/>
        <v>2</v>
      </c>
      <c r="U22">
        <f t="shared" si="2"/>
        <v>4</v>
      </c>
      <c r="V22">
        <f t="shared" si="2"/>
        <v>4</v>
      </c>
      <c r="W22">
        <f t="shared" si="2"/>
        <v>3</v>
      </c>
      <c r="X22">
        <f t="shared" si="2"/>
        <v>4</v>
      </c>
      <c r="Y22">
        <f t="shared" si="2"/>
        <v>3</v>
      </c>
      <c r="Z22">
        <f t="shared" si="2"/>
        <v>2</v>
      </c>
      <c r="AA22">
        <f t="shared" si="2"/>
        <v>2</v>
      </c>
      <c r="AB22">
        <f t="shared" si="2"/>
        <v>3</v>
      </c>
      <c r="AC22">
        <f t="shared" si="2"/>
        <v>4</v>
      </c>
      <c r="AD22">
        <f t="shared" si="2"/>
        <v>4</v>
      </c>
      <c r="AE22">
        <f t="shared" si="2"/>
        <v>4</v>
      </c>
      <c r="AF22">
        <f t="shared" si="2"/>
        <v>4</v>
      </c>
      <c r="AG22">
        <f t="shared" si="2"/>
        <v>2</v>
      </c>
      <c r="AH22">
        <f t="shared" si="2"/>
        <v>2</v>
      </c>
    </row>
    <row r="23" spans="1:34" x14ac:dyDescent="0.35">
      <c r="A23" s="189" t="s">
        <v>157</v>
      </c>
      <c r="B23">
        <f t="shared" ref="B23:D23" si="3">COUNTIF(B4:B20,"*ASS1")</f>
        <v>3</v>
      </c>
      <c r="C23">
        <f t="shared" si="3"/>
        <v>4</v>
      </c>
      <c r="D23">
        <f t="shared" si="3"/>
        <v>3</v>
      </c>
      <c r="E23">
        <f>COUNTIF(E4:E20,"*ASS1")</f>
        <v>2</v>
      </c>
      <c r="F23">
        <f>COUNTIF(F4:F20,"*ASS1")</f>
        <v>2</v>
      </c>
      <c r="G23">
        <f t="shared" ref="G23:AH23" si="4">COUNTIF(G4:G20,"*ASS1")</f>
        <v>3</v>
      </c>
      <c r="H23">
        <f t="shared" si="4"/>
        <v>3</v>
      </c>
      <c r="I23">
        <f t="shared" si="4"/>
        <v>3</v>
      </c>
      <c r="J23">
        <f t="shared" si="4"/>
        <v>4</v>
      </c>
      <c r="K23">
        <f t="shared" si="4"/>
        <v>4</v>
      </c>
      <c r="L23">
        <f>COUNTIF(L4:L20,"*ASS1")</f>
        <v>2</v>
      </c>
      <c r="M23">
        <f>COUNTIF(M4:M20,"*ASS1")</f>
        <v>2</v>
      </c>
      <c r="N23">
        <f>COUNTIF(N4:N20,"*ASS1")</f>
        <v>3</v>
      </c>
      <c r="O23">
        <f t="shared" si="4"/>
        <v>3</v>
      </c>
      <c r="P23">
        <f t="shared" si="4"/>
        <v>4</v>
      </c>
      <c r="Q23">
        <f t="shared" si="4"/>
        <v>4</v>
      </c>
      <c r="R23">
        <f t="shared" si="4"/>
        <v>4</v>
      </c>
      <c r="S23">
        <f t="shared" si="4"/>
        <v>2</v>
      </c>
      <c r="T23">
        <f t="shared" si="4"/>
        <v>2</v>
      </c>
      <c r="U23">
        <f t="shared" si="4"/>
        <v>3</v>
      </c>
      <c r="V23">
        <f t="shared" si="4"/>
        <v>4</v>
      </c>
      <c r="W23">
        <f t="shared" si="4"/>
        <v>3</v>
      </c>
      <c r="X23">
        <f t="shared" si="4"/>
        <v>4</v>
      </c>
      <c r="Y23">
        <f t="shared" si="4"/>
        <v>4</v>
      </c>
      <c r="Z23">
        <f t="shared" si="4"/>
        <v>2</v>
      </c>
      <c r="AA23">
        <f t="shared" si="4"/>
        <v>2</v>
      </c>
      <c r="AB23">
        <f t="shared" si="4"/>
        <v>3</v>
      </c>
      <c r="AC23">
        <f t="shared" si="4"/>
        <v>4</v>
      </c>
      <c r="AD23">
        <f t="shared" si="4"/>
        <v>4</v>
      </c>
      <c r="AE23">
        <f t="shared" si="4"/>
        <v>4</v>
      </c>
      <c r="AF23">
        <f t="shared" si="4"/>
        <v>4</v>
      </c>
      <c r="AG23">
        <f t="shared" si="4"/>
        <v>2</v>
      </c>
      <c r="AH23">
        <f t="shared" si="4"/>
        <v>2</v>
      </c>
    </row>
    <row r="24" spans="1:34" x14ac:dyDescent="0.35">
      <c r="A24" s="189" t="s">
        <v>158</v>
      </c>
      <c r="B24">
        <f t="shared" ref="B24:D24" si="5">COUNTIF(B4:B20,"*NST7")</f>
        <v>3</v>
      </c>
      <c r="C24">
        <f t="shared" si="5"/>
        <v>4</v>
      </c>
      <c r="D24">
        <f t="shared" si="5"/>
        <v>4</v>
      </c>
      <c r="E24">
        <f>COUNTIF(E4:E20,"*NST7")</f>
        <v>3</v>
      </c>
      <c r="F24">
        <f>COUNTIF(F4:F20,"*NST7")</f>
        <v>2</v>
      </c>
      <c r="G24">
        <f t="shared" ref="G24:AH24" si="6">COUNTIF(G4:G20,"*NST7")</f>
        <v>4</v>
      </c>
      <c r="H24">
        <f t="shared" si="6"/>
        <v>4</v>
      </c>
      <c r="I24">
        <f t="shared" si="6"/>
        <v>4</v>
      </c>
      <c r="J24">
        <f t="shared" si="6"/>
        <v>3</v>
      </c>
      <c r="K24">
        <f t="shared" si="6"/>
        <v>4</v>
      </c>
      <c r="L24">
        <f>COUNTIF(L4:L20,"*NST7")</f>
        <v>3</v>
      </c>
      <c r="M24">
        <f>COUNTIF(M4:M20,"*NST7")</f>
        <v>2</v>
      </c>
      <c r="N24">
        <f>COUNTIF(N4:N20,"*NST7")</f>
        <v>4</v>
      </c>
      <c r="O24">
        <f t="shared" si="6"/>
        <v>4</v>
      </c>
      <c r="P24">
        <f t="shared" si="6"/>
        <v>4</v>
      </c>
      <c r="Q24">
        <f t="shared" si="6"/>
        <v>4</v>
      </c>
      <c r="R24">
        <f t="shared" si="6"/>
        <v>4</v>
      </c>
      <c r="S24">
        <f t="shared" si="6"/>
        <v>3</v>
      </c>
      <c r="T24">
        <f t="shared" si="6"/>
        <v>2</v>
      </c>
      <c r="U24">
        <f t="shared" si="6"/>
        <v>4</v>
      </c>
      <c r="V24">
        <f t="shared" si="6"/>
        <v>4</v>
      </c>
      <c r="W24">
        <f t="shared" si="6"/>
        <v>4</v>
      </c>
      <c r="X24">
        <f t="shared" si="6"/>
        <v>4</v>
      </c>
      <c r="Y24">
        <f t="shared" si="6"/>
        <v>3</v>
      </c>
      <c r="Z24">
        <f t="shared" si="6"/>
        <v>3</v>
      </c>
      <c r="AA24">
        <f t="shared" si="6"/>
        <v>3</v>
      </c>
      <c r="AB24">
        <f t="shared" si="6"/>
        <v>4</v>
      </c>
      <c r="AC24">
        <f t="shared" si="6"/>
        <v>4</v>
      </c>
      <c r="AD24">
        <f t="shared" si="6"/>
        <v>4</v>
      </c>
      <c r="AE24">
        <f t="shared" si="6"/>
        <v>4</v>
      </c>
      <c r="AF24">
        <f t="shared" si="6"/>
        <v>4</v>
      </c>
      <c r="AG24">
        <f t="shared" si="6"/>
        <v>2</v>
      </c>
      <c r="AH24">
        <f t="shared" si="6"/>
        <v>2</v>
      </c>
    </row>
    <row r="25" spans="1:34" x14ac:dyDescent="0.35">
      <c r="A25" s="189" t="s">
        <v>159</v>
      </c>
      <c r="B25">
        <f t="shared" ref="B25:D25" si="7">COUNTIF(B4:B20,"*GS")</f>
        <v>1</v>
      </c>
      <c r="C25">
        <f t="shared" si="7"/>
        <v>0</v>
      </c>
      <c r="D25">
        <f t="shared" si="7"/>
        <v>1</v>
      </c>
      <c r="E25">
        <f>COUNTIF(E4:E20,"*GS")</f>
        <v>1</v>
      </c>
      <c r="F25">
        <f>COUNTIF(F4:F20,"*GS")</f>
        <v>0</v>
      </c>
      <c r="G25">
        <f t="shared" ref="G25:AH25" si="8">COUNTIF(G4:G20,"*GS")</f>
        <v>0</v>
      </c>
      <c r="H25">
        <f t="shared" si="8"/>
        <v>1</v>
      </c>
      <c r="I25">
        <f t="shared" si="8"/>
        <v>1</v>
      </c>
      <c r="J25">
        <f t="shared" si="8"/>
        <v>0</v>
      </c>
      <c r="K25">
        <f t="shared" si="8"/>
        <v>0</v>
      </c>
      <c r="L25">
        <f>COUNTIF(L4:L20,"*GS")</f>
        <v>1</v>
      </c>
      <c r="M25">
        <f>COUNTIF(M4:M20,"*GS")</f>
        <v>0</v>
      </c>
      <c r="N25">
        <f>COUNTIF(N4:N20,"*GS")</f>
        <v>0</v>
      </c>
      <c r="O25">
        <f t="shared" si="8"/>
        <v>0</v>
      </c>
      <c r="P25">
        <f t="shared" si="8"/>
        <v>0</v>
      </c>
      <c r="Q25">
        <f t="shared" si="8"/>
        <v>0</v>
      </c>
      <c r="R25">
        <f t="shared" si="8"/>
        <v>0</v>
      </c>
      <c r="S25">
        <f t="shared" si="8"/>
        <v>1</v>
      </c>
      <c r="T25">
        <f t="shared" si="8"/>
        <v>0</v>
      </c>
      <c r="U25">
        <f t="shared" si="8"/>
        <v>0</v>
      </c>
      <c r="V25">
        <f t="shared" si="8"/>
        <v>0</v>
      </c>
      <c r="W25">
        <f t="shared" si="8"/>
        <v>0</v>
      </c>
      <c r="X25">
        <f t="shared" si="8"/>
        <v>0</v>
      </c>
      <c r="Y25">
        <f t="shared" si="8"/>
        <v>0</v>
      </c>
      <c r="Z25">
        <f t="shared" si="8"/>
        <v>1</v>
      </c>
      <c r="AA25">
        <f t="shared" si="8"/>
        <v>0</v>
      </c>
      <c r="AB25">
        <f t="shared" si="8"/>
        <v>0</v>
      </c>
      <c r="AC25">
        <f t="shared" si="8"/>
        <v>1</v>
      </c>
      <c r="AD25">
        <f t="shared" si="8"/>
        <v>1</v>
      </c>
      <c r="AE25">
        <f t="shared" si="8"/>
        <v>0</v>
      </c>
      <c r="AF25">
        <f t="shared" si="8"/>
        <v>1</v>
      </c>
      <c r="AG25">
        <f t="shared" si="8"/>
        <v>1</v>
      </c>
      <c r="AH25">
        <f t="shared" si="8"/>
        <v>1</v>
      </c>
    </row>
    <row r="26" spans="1:34" x14ac:dyDescent="0.35">
      <c r="A26" s="189" t="s">
        <v>160</v>
      </c>
      <c r="B26">
        <f>COUNTIF(B4:B20,"C")</f>
        <v>3</v>
      </c>
      <c r="C26">
        <f>COUNTIF(C4:C20,"C")</f>
        <v>1</v>
      </c>
      <c r="D26">
        <f>COUNTIF(D4:D20,"C")</f>
        <v>2</v>
      </c>
      <c r="E26">
        <f>COUNTIF(E4:E20,"WO")</f>
        <v>7</v>
      </c>
      <c r="F26">
        <f>COUNTIF(F4:F20,"WO")</f>
        <v>9</v>
      </c>
      <c r="G26">
        <f t="shared" ref="G26:AF26" si="9">COUNTIF(G4:G20,"C")</f>
        <v>3</v>
      </c>
      <c r="H26">
        <f t="shared" si="9"/>
        <v>0</v>
      </c>
      <c r="I26">
        <f t="shared" si="9"/>
        <v>2</v>
      </c>
      <c r="J26">
        <f t="shared" si="9"/>
        <v>1</v>
      </c>
      <c r="K26">
        <f t="shared" si="9"/>
        <v>3</v>
      </c>
      <c r="L26">
        <f>COUNTIF(L4:L20,"WO")</f>
        <v>7</v>
      </c>
      <c r="M26">
        <f>COUNTIF(M4:M20,"WO")</f>
        <v>9</v>
      </c>
      <c r="N26">
        <f>COUNTIF(N4:N20,"C")</f>
        <v>3</v>
      </c>
      <c r="O26">
        <f t="shared" si="9"/>
        <v>3</v>
      </c>
      <c r="P26">
        <f t="shared" si="9"/>
        <v>3</v>
      </c>
      <c r="Q26">
        <f t="shared" si="9"/>
        <v>3</v>
      </c>
      <c r="R26">
        <f t="shared" si="9"/>
        <v>3</v>
      </c>
      <c r="S26">
        <f t="shared" ref="S26:T26" si="10">COUNTIF(S4:S20,"WO")</f>
        <v>7</v>
      </c>
      <c r="T26">
        <f t="shared" si="10"/>
        <v>9</v>
      </c>
      <c r="U26">
        <f t="shared" si="9"/>
        <v>3</v>
      </c>
      <c r="V26">
        <f t="shared" si="9"/>
        <v>2</v>
      </c>
      <c r="W26">
        <f t="shared" si="9"/>
        <v>0</v>
      </c>
      <c r="X26">
        <f t="shared" si="9"/>
        <v>1</v>
      </c>
      <c r="Y26">
        <f t="shared" si="9"/>
        <v>2</v>
      </c>
      <c r="Z26">
        <f t="shared" ref="Z26:AA26" si="11">COUNTIF(Z4:Z20,"WO")</f>
        <v>7</v>
      </c>
      <c r="AA26">
        <f t="shared" si="11"/>
        <v>8</v>
      </c>
      <c r="AB26">
        <f t="shared" si="9"/>
        <v>5</v>
      </c>
      <c r="AC26">
        <f t="shared" si="9"/>
        <v>2</v>
      </c>
      <c r="AD26">
        <f t="shared" si="9"/>
        <v>1</v>
      </c>
      <c r="AE26">
        <f t="shared" si="9"/>
        <v>3</v>
      </c>
      <c r="AF26">
        <f t="shared" si="9"/>
        <v>2</v>
      </c>
      <c r="AG26">
        <f t="shared" ref="AG26:AH26" si="12">COUNTIF(AG4:AG20,"WO")</f>
        <v>8</v>
      </c>
      <c r="AH26">
        <f t="shared" si="12"/>
        <v>8</v>
      </c>
    </row>
    <row r="27" spans="1:34" x14ac:dyDescent="0.35">
      <c r="A27" s="189" t="s">
        <v>161</v>
      </c>
      <c r="B27">
        <f t="shared" ref="B27:D27" si="13">COUNTIF(B4:B20,"PL")</f>
        <v>2</v>
      </c>
      <c r="C27">
        <f t="shared" si="13"/>
        <v>2</v>
      </c>
      <c r="D27">
        <f t="shared" si="13"/>
        <v>2</v>
      </c>
      <c r="E27">
        <f>COUNTIF(E4:E20,"PL")</f>
        <v>0</v>
      </c>
      <c r="F27">
        <f>COUNTIF(F4:F20,"PL")</f>
        <v>0</v>
      </c>
      <c r="G27">
        <f t="shared" ref="G27:AH27" si="14">COUNTIF(G4:G20,"PL")</f>
        <v>2</v>
      </c>
      <c r="H27">
        <f t="shared" si="14"/>
        <v>0</v>
      </c>
      <c r="I27">
        <f t="shared" si="14"/>
        <v>2</v>
      </c>
      <c r="J27">
        <f t="shared" si="14"/>
        <v>2</v>
      </c>
      <c r="K27">
        <f t="shared" si="14"/>
        <v>1</v>
      </c>
      <c r="L27">
        <f>COUNTIF(L4:L20,"PL")</f>
        <v>0</v>
      </c>
      <c r="M27">
        <f>COUNTIF(M4:M20,"PL")</f>
        <v>0</v>
      </c>
      <c r="N27">
        <f>COUNTIF(N4:N20,"PL")</f>
        <v>2</v>
      </c>
      <c r="O27">
        <f t="shared" si="14"/>
        <v>1</v>
      </c>
      <c r="P27">
        <f t="shared" si="14"/>
        <v>0</v>
      </c>
      <c r="Q27">
        <f t="shared" si="14"/>
        <v>0</v>
      </c>
      <c r="R27">
        <f t="shared" si="14"/>
        <v>0</v>
      </c>
      <c r="S27">
        <f t="shared" si="14"/>
        <v>0</v>
      </c>
      <c r="T27">
        <f t="shared" si="14"/>
        <v>0</v>
      </c>
      <c r="U27">
        <f t="shared" si="14"/>
        <v>1</v>
      </c>
      <c r="V27">
        <f t="shared" si="14"/>
        <v>1</v>
      </c>
      <c r="W27">
        <f t="shared" si="14"/>
        <v>0</v>
      </c>
      <c r="X27">
        <f t="shared" si="14"/>
        <v>2</v>
      </c>
      <c r="Y27">
        <f t="shared" si="14"/>
        <v>3</v>
      </c>
      <c r="Z27">
        <f t="shared" si="14"/>
        <v>0</v>
      </c>
      <c r="AA27">
        <f t="shared" si="14"/>
        <v>0</v>
      </c>
      <c r="AB27">
        <f t="shared" si="14"/>
        <v>0</v>
      </c>
      <c r="AC27">
        <f t="shared" si="14"/>
        <v>0</v>
      </c>
      <c r="AD27">
        <f t="shared" si="14"/>
        <v>1</v>
      </c>
      <c r="AE27">
        <f t="shared" si="14"/>
        <v>0</v>
      </c>
      <c r="AF27">
        <f t="shared" si="14"/>
        <v>0</v>
      </c>
      <c r="AG27">
        <f t="shared" si="14"/>
        <v>0</v>
      </c>
      <c r="AH27">
        <f t="shared" si="14"/>
        <v>0</v>
      </c>
    </row>
    <row r="28" spans="1:34" x14ac:dyDescent="0.35">
      <c r="A28" s="189" t="s">
        <v>33</v>
      </c>
      <c r="B28">
        <f t="shared" ref="B28:D28" si="15">COUNTIF(B4:B20,"UPL")</f>
        <v>0</v>
      </c>
      <c r="C28">
        <f t="shared" si="15"/>
        <v>0</v>
      </c>
      <c r="D28">
        <f t="shared" si="15"/>
        <v>0</v>
      </c>
      <c r="E28">
        <f>COUNTIF(E4:E20,"UPL")</f>
        <v>0</v>
      </c>
      <c r="F28">
        <f>COUNTIF(F4:F20,"UPL")</f>
        <v>0</v>
      </c>
      <c r="G28">
        <f t="shared" ref="G28:AH28" si="16">COUNTIF(G4:G20,"UPL")</f>
        <v>0</v>
      </c>
      <c r="H28">
        <f t="shared" si="16"/>
        <v>0</v>
      </c>
      <c r="I28">
        <f t="shared" si="16"/>
        <v>0</v>
      </c>
      <c r="J28">
        <f t="shared" si="16"/>
        <v>1</v>
      </c>
      <c r="K28">
        <f t="shared" si="16"/>
        <v>0</v>
      </c>
      <c r="L28">
        <f>COUNTIF(L4:L20,"UPL")</f>
        <v>0</v>
      </c>
      <c r="M28">
        <f>COUNTIF(M4:M20,"UPL")</f>
        <v>0</v>
      </c>
      <c r="N28">
        <f>COUNTIF(N4:N20,"UPL")</f>
        <v>0</v>
      </c>
      <c r="O28">
        <f t="shared" si="16"/>
        <v>0</v>
      </c>
      <c r="P28">
        <f t="shared" si="16"/>
        <v>0</v>
      </c>
      <c r="Q28">
        <f t="shared" si="16"/>
        <v>0</v>
      </c>
      <c r="R28">
        <f t="shared" si="16"/>
        <v>0</v>
      </c>
      <c r="S28">
        <f t="shared" si="16"/>
        <v>0</v>
      </c>
      <c r="T28">
        <f t="shared" si="16"/>
        <v>0</v>
      </c>
      <c r="U28">
        <f t="shared" si="16"/>
        <v>0</v>
      </c>
      <c r="V28">
        <f t="shared" si="16"/>
        <v>0</v>
      </c>
      <c r="W28">
        <f t="shared" si="16"/>
        <v>0</v>
      </c>
      <c r="X28">
        <f t="shared" si="16"/>
        <v>0</v>
      </c>
      <c r="Y28">
        <f t="shared" si="16"/>
        <v>0</v>
      </c>
      <c r="Z28">
        <f t="shared" si="16"/>
        <v>0</v>
      </c>
      <c r="AA28">
        <f t="shared" si="16"/>
        <v>0</v>
      </c>
      <c r="AB28">
        <f t="shared" si="16"/>
        <v>0</v>
      </c>
      <c r="AC28">
        <f t="shared" si="16"/>
        <v>0</v>
      </c>
      <c r="AD28">
        <f t="shared" si="16"/>
        <v>0</v>
      </c>
      <c r="AE28">
        <f t="shared" si="16"/>
        <v>0</v>
      </c>
      <c r="AF28">
        <f t="shared" si="16"/>
        <v>0</v>
      </c>
      <c r="AG28">
        <f t="shared" si="16"/>
        <v>0</v>
      </c>
      <c r="AH28">
        <f t="shared" si="16"/>
        <v>0</v>
      </c>
    </row>
    <row r="29" spans="1:34" x14ac:dyDescent="0.35">
      <c r="A29" s="189" t="s">
        <v>172</v>
      </c>
      <c r="B29">
        <f t="shared" ref="B29:D29" si="17">COUNTIF(B4:B20,"H")</f>
        <v>0</v>
      </c>
      <c r="C29">
        <f t="shared" si="17"/>
        <v>0</v>
      </c>
      <c r="D29">
        <f t="shared" si="17"/>
        <v>0</v>
      </c>
      <c r="E29">
        <f>COUNTIF(E4:E20,"H")</f>
        <v>0</v>
      </c>
      <c r="F29">
        <f>COUNTIF(F4:F20,"H")</f>
        <v>0</v>
      </c>
      <c r="G29">
        <f t="shared" ref="G29:AH29" si="18">COUNTIF(G4:G20,"H")</f>
        <v>0</v>
      </c>
      <c r="H29">
        <f t="shared" si="18"/>
        <v>4</v>
      </c>
      <c r="I29">
        <f t="shared" si="18"/>
        <v>0</v>
      </c>
      <c r="J29">
        <f t="shared" si="18"/>
        <v>0</v>
      </c>
      <c r="K29">
        <f t="shared" si="18"/>
        <v>0</v>
      </c>
      <c r="L29">
        <f>COUNTIF(L4:L20,"H")</f>
        <v>0</v>
      </c>
      <c r="M29">
        <f>COUNTIF(M4:M20,"H")</f>
        <v>0</v>
      </c>
      <c r="N29">
        <f>COUNTIF(N4:N20,"H")</f>
        <v>0</v>
      </c>
      <c r="O29">
        <f t="shared" si="18"/>
        <v>0</v>
      </c>
      <c r="P29">
        <f t="shared" si="18"/>
        <v>0</v>
      </c>
      <c r="Q29">
        <f t="shared" si="18"/>
        <v>0</v>
      </c>
      <c r="R29">
        <f t="shared" si="18"/>
        <v>0</v>
      </c>
      <c r="S29">
        <f t="shared" si="18"/>
        <v>0</v>
      </c>
      <c r="T29">
        <f t="shared" si="18"/>
        <v>0</v>
      </c>
      <c r="U29">
        <f t="shared" si="18"/>
        <v>0</v>
      </c>
      <c r="V29">
        <f t="shared" si="18"/>
        <v>0</v>
      </c>
      <c r="W29">
        <f t="shared" si="18"/>
        <v>5</v>
      </c>
      <c r="X29">
        <f t="shared" si="18"/>
        <v>0</v>
      </c>
      <c r="Y29">
        <f t="shared" si="18"/>
        <v>0</v>
      </c>
      <c r="Z29">
        <f t="shared" si="18"/>
        <v>0</v>
      </c>
      <c r="AA29">
        <f t="shared" si="18"/>
        <v>0</v>
      </c>
      <c r="AB29">
        <f t="shared" si="18"/>
        <v>0</v>
      </c>
      <c r="AC29">
        <f t="shared" si="18"/>
        <v>0</v>
      </c>
      <c r="AD29">
        <f t="shared" si="18"/>
        <v>0</v>
      </c>
      <c r="AE29">
        <f t="shared" si="18"/>
        <v>0</v>
      </c>
      <c r="AF29">
        <f t="shared" si="18"/>
        <v>0</v>
      </c>
      <c r="AG29">
        <f t="shared" si="18"/>
        <v>0</v>
      </c>
      <c r="AH29">
        <f t="shared" si="18"/>
        <v>0</v>
      </c>
    </row>
    <row r="30" spans="1:34" x14ac:dyDescent="0.35">
      <c r="A30" s="189" t="s">
        <v>162</v>
      </c>
      <c r="B30" s="138">
        <f t="shared" ref="B30:F30" si="19">SUM(B22:B29)</f>
        <v>15</v>
      </c>
      <c r="C30" s="138">
        <f t="shared" si="19"/>
        <v>15</v>
      </c>
      <c r="D30" s="138">
        <f t="shared" si="19"/>
        <v>15</v>
      </c>
      <c r="E30" s="138">
        <f t="shared" si="19"/>
        <v>15</v>
      </c>
      <c r="F30" s="138">
        <f t="shared" si="19"/>
        <v>15</v>
      </c>
      <c r="G30" s="138">
        <f t="shared" ref="G30:AF30" si="20">SUM(G22:G29)</f>
        <v>15</v>
      </c>
      <c r="H30" s="138">
        <f t="shared" si="20"/>
        <v>15</v>
      </c>
      <c r="I30" s="138">
        <f t="shared" si="20"/>
        <v>15</v>
      </c>
      <c r="J30" s="138">
        <f t="shared" si="20"/>
        <v>15</v>
      </c>
      <c r="K30" s="138">
        <f t="shared" si="20"/>
        <v>15</v>
      </c>
      <c r="L30" s="138">
        <f t="shared" si="20"/>
        <v>15</v>
      </c>
      <c r="M30" s="138">
        <f t="shared" si="20"/>
        <v>15</v>
      </c>
      <c r="N30" s="138">
        <f t="shared" si="20"/>
        <v>15</v>
      </c>
      <c r="O30" s="138">
        <f t="shared" si="20"/>
        <v>15</v>
      </c>
      <c r="P30" s="138">
        <f t="shared" si="20"/>
        <v>15</v>
      </c>
      <c r="Q30" s="138">
        <f t="shared" si="20"/>
        <v>15</v>
      </c>
      <c r="R30" s="138">
        <f t="shared" si="20"/>
        <v>15</v>
      </c>
      <c r="S30" s="138">
        <f t="shared" ref="S30:T30" si="21">SUM(S22:S29)</f>
        <v>15</v>
      </c>
      <c r="T30" s="138">
        <f t="shared" si="21"/>
        <v>15</v>
      </c>
      <c r="U30" s="138">
        <f t="shared" si="20"/>
        <v>15</v>
      </c>
      <c r="V30" s="138">
        <f t="shared" si="20"/>
        <v>15</v>
      </c>
      <c r="W30" s="138">
        <f t="shared" si="20"/>
        <v>15</v>
      </c>
      <c r="X30" s="138">
        <f t="shared" si="20"/>
        <v>15</v>
      </c>
      <c r="Y30" s="138">
        <f t="shared" si="20"/>
        <v>15</v>
      </c>
      <c r="Z30" s="138">
        <f t="shared" ref="Z30:AA30" si="22">SUM(Z22:Z29)</f>
        <v>15</v>
      </c>
      <c r="AA30" s="138">
        <f t="shared" si="22"/>
        <v>15</v>
      </c>
      <c r="AB30" s="138">
        <f t="shared" si="20"/>
        <v>15</v>
      </c>
      <c r="AC30" s="138">
        <f t="shared" si="20"/>
        <v>15</v>
      </c>
      <c r="AD30" s="138">
        <f t="shared" si="20"/>
        <v>15</v>
      </c>
      <c r="AE30" s="138">
        <f t="shared" si="20"/>
        <v>15</v>
      </c>
      <c r="AF30" s="138">
        <f t="shared" si="20"/>
        <v>15</v>
      </c>
      <c r="AG30" s="138">
        <f t="shared" ref="AG30:AH30" si="23">SUM(AG22:AG29)</f>
        <v>15</v>
      </c>
      <c r="AH30" s="138">
        <f t="shared" si="23"/>
        <v>15</v>
      </c>
    </row>
  </sheetData>
  <conditionalFormatting sqref="B22:D25">
    <cfRule type="cellIs" dxfId="135" priority="10" operator="lessThan">
      <formula>3</formula>
    </cfRule>
  </conditionalFormatting>
  <conditionalFormatting sqref="G22:K25 N22:R25 U22:Y25 AB22:AF25">
    <cfRule type="cellIs" dxfId="134" priority="8" operator="lessThan">
      <formula>3</formula>
    </cfRule>
  </conditionalFormatting>
  <conditionalFormatting sqref="E22:F25">
    <cfRule type="cellIs" dxfId="133" priority="7" operator="lessThan">
      <formula>3</formula>
    </cfRule>
  </conditionalFormatting>
  <conditionalFormatting sqref="L22:L25">
    <cfRule type="cellIs" dxfId="132" priority="6" operator="lessThan">
      <formula>3</formula>
    </cfRule>
  </conditionalFormatting>
  <conditionalFormatting sqref="M22:M25">
    <cfRule type="cellIs" dxfId="131" priority="5" operator="lessThan">
      <formula>3</formula>
    </cfRule>
  </conditionalFormatting>
  <conditionalFormatting sqref="S22:T25">
    <cfRule type="cellIs" dxfId="130" priority="4" operator="lessThan">
      <formula>3</formula>
    </cfRule>
  </conditionalFormatting>
  <conditionalFormatting sqref="Z22:AA25">
    <cfRule type="cellIs" dxfId="129" priority="3" operator="lessThan">
      <formula>3</formula>
    </cfRule>
  </conditionalFormatting>
  <conditionalFormatting sqref="AG22:AH25">
    <cfRule type="cellIs" dxfId="128" priority="2" operator="lessThan">
      <formula>3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L30"/>
  <sheetViews>
    <sheetView zoomScale="59" zoomScaleNormal="59" workbookViewId="0">
      <pane xSplit="1" topLeftCell="B1" activePane="topRight" state="frozen"/>
      <selection pane="topRight" activeCell="E36" sqref="E36"/>
    </sheetView>
  </sheetViews>
  <sheetFormatPr defaultRowHeight="14.5" x14ac:dyDescent="0.35"/>
  <cols>
    <col min="1" max="1" width="19.81640625" customWidth="1"/>
    <col min="2" max="31" width="8.7265625" customWidth="1"/>
    <col min="32" max="38" width="8.7265625" hidden="1" customWidth="1"/>
  </cols>
  <sheetData>
    <row r="1" spans="1:38" x14ac:dyDescent="0.35">
      <c r="A1" s="70" t="s">
        <v>0</v>
      </c>
      <c r="B1" s="2" t="str">
        <f t="shared" ref="B1:AG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si="0"/>
        <v>Tue</v>
      </c>
      <c r="F1" s="2" t="str">
        <f t="shared" si="0"/>
        <v>Wed</v>
      </c>
      <c r="G1" s="2" t="str">
        <f t="shared" si="0"/>
        <v>Thu</v>
      </c>
      <c r="H1" s="2" t="str">
        <f t="shared" si="0"/>
        <v>Fri</v>
      </c>
      <c r="I1" s="2" t="str">
        <f t="shared" si="0"/>
        <v>Sat</v>
      </c>
      <c r="J1" s="2" t="str">
        <f t="shared" si="0"/>
        <v>Sun</v>
      </c>
      <c r="K1" s="2" t="str">
        <f t="shared" si="0"/>
        <v>Mon</v>
      </c>
      <c r="L1" s="2" t="str">
        <f t="shared" si="0"/>
        <v>Tue</v>
      </c>
      <c r="M1" s="2" t="str">
        <f t="shared" si="0"/>
        <v>Wed</v>
      </c>
      <c r="N1" s="2" t="str">
        <f t="shared" si="0"/>
        <v>Thu</v>
      </c>
      <c r="O1" s="2" t="str">
        <f t="shared" si="0"/>
        <v>Fri</v>
      </c>
      <c r="P1" s="2" t="str">
        <f t="shared" si="0"/>
        <v>Sat</v>
      </c>
      <c r="Q1" s="2" t="str">
        <f t="shared" si="0"/>
        <v>Sun</v>
      </c>
      <c r="R1" s="2" t="str">
        <f t="shared" si="0"/>
        <v>Mon</v>
      </c>
      <c r="S1" s="2" t="str">
        <f t="shared" si="0"/>
        <v>Tue</v>
      </c>
      <c r="T1" s="2" t="str">
        <f t="shared" si="0"/>
        <v>Wed</v>
      </c>
      <c r="U1" s="2" t="str">
        <f t="shared" si="0"/>
        <v>Thu</v>
      </c>
      <c r="V1" s="2" t="str">
        <f t="shared" si="0"/>
        <v>Fri</v>
      </c>
      <c r="W1" s="2" t="str">
        <f t="shared" si="0"/>
        <v>Sat</v>
      </c>
      <c r="X1" s="2" t="str">
        <f t="shared" si="0"/>
        <v>Sun</v>
      </c>
      <c r="Y1" s="2" t="str">
        <f t="shared" si="0"/>
        <v>Mon</v>
      </c>
      <c r="Z1" s="2" t="str">
        <f t="shared" si="0"/>
        <v>Tue</v>
      </c>
      <c r="AA1" s="2" t="str">
        <f t="shared" si="0"/>
        <v>Wed</v>
      </c>
      <c r="AB1" s="2" t="str">
        <f t="shared" si="0"/>
        <v>Thu</v>
      </c>
      <c r="AC1" s="2" t="str">
        <f t="shared" si="0"/>
        <v>Fri</v>
      </c>
      <c r="AD1" s="2" t="str">
        <f t="shared" si="0"/>
        <v>Sat</v>
      </c>
      <c r="AE1" s="2" t="str">
        <f t="shared" si="0"/>
        <v>Sun</v>
      </c>
      <c r="AF1" s="2" t="str">
        <f t="shared" si="0"/>
        <v>Mon</v>
      </c>
      <c r="AG1" s="2" t="str">
        <f t="shared" si="0"/>
        <v>Tue</v>
      </c>
    </row>
    <row r="2" spans="1:38" x14ac:dyDescent="0.35">
      <c r="A2" s="104" t="s">
        <v>0</v>
      </c>
      <c r="B2" s="31">
        <v>45017</v>
      </c>
      <c r="C2" s="31">
        <v>45018</v>
      </c>
      <c r="D2" s="31">
        <v>45019</v>
      </c>
      <c r="E2" s="31">
        <v>45020</v>
      </c>
      <c r="F2" s="31">
        <v>45021</v>
      </c>
      <c r="G2" s="31">
        <v>45022</v>
      </c>
      <c r="H2" s="31">
        <v>45023</v>
      </c>
      <c r="I2" s="31">
        <v>45024</v>
      </c>
      <c r="J2" s="31">
        <v>45025</v>
      </c>
      <c r="K2" s="31">
        <v>45026</v>
      </c>
      <c r="L2" s="31">
        <v>45027</v>
      </c>
      <c r="M2" s="31">
        <v>45028</v>
      </c>
      <c r="N2" s="31">
        <v>45029</v>
      </c>
      <c r="O2" s="31">
        <v>45030</v>
      </c>
      <c r="P2" s="31">
        <v>45031</v>
      </c>
      <c r="Q2" s="31">
        <v>45032</v>
      </c>
      <c r="R2" s="31">
        <v>45033</v>
      </c>
      <c r="S2" s="31">
        <v>45034</v>
      </c>
      <c r="T2" s="31">
        <v>45035</v>
      </c>
      <c r="U2" s="31">
        <v>45036</v>
      </c>
      <c r="V2" s="31">
        <v>45037</v>
      </c>
      <c r="W2" s="31">
        <v>45038</v>
      </c>
      <c r="X2" s="31">
        <v>45039</v>
      </c>
      <c r="Y2" s="31">
        <v>45040</v>
      </c>
      <c r="Z2" s="31">
        <v>45041</v>
      </c>
      <c r="AA2" s="31">
        <v>45042</v>
      </c>
      <c r="AB2" s="31">
        <v>45043</v>
      </c>
      <c r="AC2" s="31">
        <v>45044</v>
      </c>
      <c r="AD2" s="31">
        <v>45045</v>
      </c>
      <c r="AE2" s="31">
        <v>45046</v>
      </c>
      <c r="AF2" s="31">
        <v>45047</v>
      </c>
      <c r="AG2" s="31">
        <v>45048</v>
      </c>
      <c r="AH2" s="31">
        <v>45049</v>
      </c>
      <c r="AI2" s="31">
        <v>45050</v>
      </c>
      <c r="AJ2" s="31">
        <v>45051</v>
      </c>
      <c r="AK2" s="31">
        <v>45052</v>
      </c>
      <c r="AL2" s="31">
        <v>45053</v>
      </c>
    </row>
    <row r="3" spans="1:38" x14ac:dyDescent="0.35">
      <c r="A3" s="105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</row>
    <row r="4" spans="1:38" x14ac:dyDescent="0.35">
      <c r="A4" s="193" t="s">
        <v>57</v>
      </c>
      <c r="B4" s="123" t="s">
        <v>4</v>
      </c>
      <c r="C4" s="123" t="s">
        <v>4</v>
      </c>
      <c r="D4" s="184" t="s">
        <v>2</v>
      </c>
      <c r="E4" s="185" t="s">
        <v>10</v>
      </c>
      <c r="F4" s="185" t="s">
        <v>10</v>
      </c>
      <c r="G4" s="185" t="s">
        <v>10</v>
      </c>
      <c r="H4" s="185" t="s">
        <v>10</v>
      </c>
      <c r="I4" s="185" t="s">
        <v>11</v>
      </c>
      <c r="J4" s="123" t="s">
        <v>4</v>
      </c>
      <c r="K4" s="184" t="s">
        <v>2</v>
      </c>
      <c r="L4" s="185" t="s">
        <v>10</v>
      </c>
      <c r="M4" s="185" t="s">
        <v>10</v>
      </c>
      <c r="N4" s="185" t="s">
        <v>10</v>
      </c>
      <c r="O4" s="185" t="s">
        <v>10</v>
      </c>
      <c r="P4" s="185" t="s">
        <v>11</v>
      </c>
      <c r="Q4" s="123" t="s">
        <v>4</v>
      </c>
      <c r="R4" s="131" t="s">
        <v>5</v>
      </c>
      <c r="S4" s="131" t="s">
        <v>5</v>
      </c>
      <c r="T4" s="185" t="s">
        <v>10</v>
      </c>
      <c r="U4" s="185" t="s">
        <v>10</v>
      </c>
      <c r="V4" s="185" t="s">
        <v>11</v>
      </c>
      <c r="W4" s="185" t="s">
        <v>11</v>
      </c>
      <c r="X4" s="123" t="s">
        <v>4</v>
      </c>
      <c r="Y4" s="184" t="s">
        <v>2</v>
      </c>
      <c r="Z4" s="185" t="s">
        <v>10</v>
      </c>
      <c r="AA4" s="185" t="s">
        <v>10</v>
      </c>
      <c r="AB4" s="185" t="s">
        <v>10</v>
      </c>
      <c r="AC4" s="185" t="s">
        <v>10</v>
      </c>
      <c r="AD4" s="185" t="s">
        <v>11</v>
      </c>
      <c r="AE4" s="123" t="s">
        <v>4</v>
      </c>
      <c r="AF4" s="19" t="s">
        <v>42</v>
      </c>
      <c r="AG4" s="19" t="s">
        <v>41</v>
      </c>
    </row>
    <row r="5" spans="1:38" x14ac:dyDescent="0.35">
      <c r="A5" s="182" t="s">
        <v>21</v>
      </c>
      <c r="B5" s="19" t="s">
        <v>42</v>
      </c>
      <c r="C5" s="123" t="s">
        <v>4</v>
      </c>
      <c r="D5" s="185" t="s">
        <v>10</v>
      </c>
      <c r="E5" s="185" t="s">
        <v>10</v>
      </c>
      <c r="F5" s="185" t="s">
        <v>10</v>
      </c>
      <c r="G5" s="185" t="s">
        <v>10</v>
      </c>
      <c r="H5" s="185" t="s">
        <v>10</v>
      </c>
      <c r="I5" s="123" t="s">
        <v>4</v>
      </c>
      <c r="J5" s="185" t="s">
        <v>11</v>
      </c>
      <c r="K5" s="185" t="s">
        <v>10</v>
      </c>
      <c r="L5" s="185" t="s">
        <v>10</v>
      </c>
      <c r="M5" s="184" t="s">
        <v>2</v>
      </c>
      <c r="N5" s="185" t="s">
        <v>10</v>
      </c>
      <c r="O5" s="185" t="s">
        <v>10</v>
      </c>
      <c r="P5" s="123" t="s">
        <v>4</v>
      </c>
      <c r="Q5" s="185" t="s">
        <v>11</v>
      </c>
      <c r="R5" s="185" t="s">
        <v>10</v>
      </c>
      <c r="S5" s="185" t="s">
        <v>10</v>
      </c>
      <c r="T5" s="185" t="s">
        <v>10</v>
      </c>
      <c r="U5" s="185" t="s">
        <v>10</v>
      </c>
      <c r="V5" s="185" t="s">
        <v>11</v>
      </c>
      <c r="W5" s="123" t="s">
        <v>4</v>
      </c>
      <c r="X5" s="185" t="s">
        <v>11</v>
      </c>
      <c r="Y5" s="185" t="s">
        <v>10</v>
      </c>
      <c r="Z5" s="185" t="s">
        <v>10</v>
      </c>
      <c r="AA5" s="184" t="s">
        <v>2</v>
      </c>
      <c r="AB5" s="185" t="s">
        <v>10</v>
      </c>
      <c r="AC5" s="185" t="s">
        <v>10</v>
      </c>
      <c r="AD5" s="185" t="s">
        <v>11</v>
      </c>
      <c r="AE5" s="123" t="s">
        <v>4</v>
      </c>
      <c r="AF5" s="25" t="s">
        <v>3</v>
      </c>
      <c r="AG5" s="131" t="s">
        <v>5</v>
      </c>
      <c r="AH5" s="131" t="s">
        <v>5</v>
      </c>
      <c r="AI5" s="131" t="s">
        <v>5</v>
      </c>
      <c r="AJ5" s="131" t="s">
        <v>5</v>
      </c>
      <c r="AK5" s="131" t="s">
        <v>5</v>
      </c>
      <c r="AL5" s="131" t="s">
        <v>5</v>
      </c>
    </row>
    <row r="6" spans="1:38" x14ac:dyDescent="0.35">
      <c r="A6" s="182" t="s">
        <v>75</v>
      </c>
      <c r="B6" s="22" t="s">
        <v>30</v>
      </c>
      <c r="C6" s="185" t="s">
        <v>11</v>
      </c>
      <c r="D6" s="185" t="s">
        <v>10</v>
      </c>
      <c r="E6" s="185" t="s">
        <v>10</v>
      </c>
      <c r="F6" s="185" t="s">
        <v>10</v>
      </c>
      <c r="G6" s="185" t="s">
        <v>10</v>
      </c>
      <c r="H6" s="184" t="s">
        <v>2</v>
      </c>
      <c r="I6" s="123" t="s">
        <v>4</v>
      </c>
      <c r="J6" s="185" t="s">
        <v>11</v>
      </c>
      <c r="K6" s="185" t="s">
        <v>10</v>
      </c>
      <c r="L6" s="185" t="s">
        <v>10</v>
      </c>
      <c r="M6" s="185" t="s">
        <v>10</v>
      </c>
      <c r="N6" s="185" t="s">
        <v>10</v>
      </c>
      <c r="O6" s="184" t="s">
        <v>2</v>
      </c>
      <c r="P6" s="123" t="s">
        <v>4</v>
      </c>
      <c r="Q6" s="185" t="s">
        <v>11</v>
      </c>
      <c r="R6" s="185" t="s">
        <v>10</v>
      </c>
      <c r="S6" s="185" t="s">
        <v>10</v>
      </c>
      <c r="T6" s="185" t="s">
        <v>10</v>
      </c>
      <c r="U6" s="185" t="s">
        <v>10</v>
      </c>
      <c r="V6" s="184" t="s">
        <v>2</v>
      </c>
      <c r="W6" s="123" t="s">
        <v>4</v>
      </c>
      <c r="X6" s="185" t="s">
        <v>11</v>
      </c>
      <c r="Y6" s="185" t="s">
        <v>10</v>
      </c>
      <c r="Z6" s="185" t="s">
        <v>10</v>
      </c>
      <c r="AA6" s="185" t="s">
        <v>10</v>
      </c>
      <c r="AB6" s="185" t="s">
        <v>10</v>
      </c>
      <c r="AC6" s="185" t="s">
        <v>10</v>
      </c>
      <c r="AD6" s="123" t="s">
        <v>4</v>
      </c>
      <c r="AE6" s="25" t="s">
        <v>3</v>
      </c>
      <c r="AF6" s="25" t="s">
        <v>3</v>
      </c>
      <c r="AG6" s="25" t="s">
        <v>6</v>
      </c>
    </row>
    <row r="7" spans="1:38" x14ac:dyDescent="0.35">
      <c r="A7" s="182" t="s">
        <v>77</v>
      </c>
      <c r="B7" s="19" t="s">
        <v>42</v>
      </c>
      <c r="C7" s="123" t="s">
        <v>4</v>
      </c>
      <c r="D7" s="185" t="s">
        <v>10</v>
      </c>
      <c r="E7" s="185" t="s">
        <v>10</v>
      </c>
      <c r="F7" s="184" t="s">
        <v>2</v>
      </c>
      <c r="G7" s="185" t="s">
        <v>10</v>
      </c>
      <c r="H7" s="185" t="s">
        <v>10</v>
      </c>
      <c r="I7" s="185" t="s">
        <v>11</v>
      </c>
      <c r="J7" s="123" t="s">
        <v>4</v>
      </c>
      <c r="K7" s="185" t="s">
        <v>10</v>
      </c>
      <c r="L7" s="185" t="s">
        <v>10</v>
      </c>
      <c r="M7" s="185" t="s">
        <v>10</v>
      </c>
      <c r="N7" s="184" t="s">
        <v>2</v>
      </c>
      <c r="O7" s="185" t="s">
        <v>10</v>
      </c>
      <c r="P7" s="185" t="s">
        <v>11</v>
      </c>
      <c r="Q7" s="123" t="s">
        <v>4</v>
      </c>
      <c r="R7" s="185" t="s">
        <v>10</v>
      </c>
      <c r="S7" s="185" t="s">
        <v>10</v>
      </c>
      <c r="T7" s="185" t="s">
        <v>10</v>
      </c>
      <c r="U7" s="184" t="s">
        <v>2</v>
      </c>
      <c r="V7" s="185" t="s">
        <v>10</v>
      </c>
      <c r="W7" s="185" t="s">
        <v>11</v>
      </c>
      <c r="X7" s="123" t="s">
        <v>4</v>
      </c>
      <c r="Y7" s="185" t="s">
        <v>10</v>
      </c>
      <c r="Z7" s="185" t="s">
        <v>10</v>
      </c>
      <c r="AA7" s="185" t="s">
        <v>10</v>
      </c>
      <c r="AB7" s="184" t="s">
        <v>2</v>
      </c>
      <c r="AC7" s="184" t="s">
        <v>2</v>
      </c>
      <c r="AD7" s="185" t="s">
        <v>11</v>
      </c>
      <c r="AE7" s="123" t="s">
        <v>4</v>
      </c>
      <c r="AF7" s="183" t="s">
        <v>37</v>
      </c>
      <c r="AG7" s="25" t="s">
        <v>6</v>
      </c>
    </row>
    <row r="8" spans="1:38" x14ac:dyDescent="0.35">
      <c r="A8" s="182" t="s">
        <v>76</v>
      </c>
      <c r="B8" s="123" t="s">
        <v>4</v>
      </c>
      <c r="C8" s="185" t="s">
        <v>11</v>
      </c>
      <c r="D8" s="185" t="s">
        <v>10</v>
      </c>
      <c r="E8" s="131" t="s">
        <v>5</v>
      </c>
      <c r="F8" s="131" t="s">
        <v>5</v>
      </c>
      <c r="G8" s="131" t="s">
        <v>5</v>
      </c>
      <c r="H8" s="131" t="s">
        <v>5</v>
      </c>
      <c r="I8" s="123" t="s">
        <v>4</v>
      </c>
      <c r="J8" s="185" t="s">
        <v>11</v>
      </c>
      <c r="K8" s="185" t="s">
        <v>10</v>
      </c>
      <c r="L8" s="184" t="s">
        <v>2</v>
      </c>
      <c r="M8" s="184" t="s">
        <v>2</v>
      </c>
      <c r="N8" s="185" t="s">
        <v>10</v>
      </c>
      <c r="O8" s="185" t="s">
        <v>10</v>
      </c>
      <c r="P8" s="185" t="s">
        <v>11</v>
      </c>
      <c r="Q8" s="185" t="s">
        <v>11</v>
      </c>
      <c r="R8" s="185" t="s">
        <v>10</v>
      </c>
      <c r="S8" s="184" t="s">
        <v>2</v>
      </c>
      <c r="T8" s="184" t="s">
        <v>2</v>
      </c>
      <c r="U8" s="185" t="s">
        <v>10</v>
      </c>
      <c r="V8" s="185" t="s">
        <v>10</v>
      </c>
      <c r="W8" s="185" t="s">
        <v>11</v>
      </c>
      <c r="X8" s="185" t="s">
        <v>11</v>
      </c>
      <c r="Y8" s="185" t="s">
        <v>10</v>
      </c>
      <c r="Z8" s="184" t="s">
        <v>2</v>
      </c>
      <c r="AA8" s="185" t="s">
        <v>10</v>
      </c>
      <c r="AB8" s="185" t="s">
        <v>10</v>
      </c>
      <c r="AC8" s="184" t="s">
        <v>2</v>
      </c>
      <c r="AD8" s="123" t="s">
        <v>4</v>
      </c>
      <c r="AE8" s="123" t="s">
        <v>4</v>
      </c>
      <c r="AF8" s="183" t="s">
        <v>37</v>
      </c>
      <c r="AG8" s="25" t="s">
        <v>6</v>
      </c>
    </row>
    <row r="9" spans="1:38" x14ac:dyDescent="0.35">
      <c r="A9" s="194"/>
    </row>
    <row r="10" spans="1:38" x14ac:dyDescent="0.35">
      <c r="A10" s="193" t="s">
        <v>1</v>
      </c>
      <c r="B10" s="25" t="s">
        <v>3</v>
      </c>
      <c r="C10" s="22" t="s">
        <v>30</v>
      </c>
      <c r="D10" s="25" t="s">
        <v>6</v>
      </c>
      <c r="E10" s="25" t="s">
        <v>6</v>
      </c>
      <c r="F10" s="184" t="s">
        <v>2</v>
      </c>
      <c r="G10" s="25" t="s">
        <v>6</v>
      </c>
      <c r="H10" s="184" t="s">
        <v>2</v>
      </c>
      <c r="I10" s="25" t="s">
        <v>3</v>
      </c>
      <c r="J10" s="19" t="s">
        <v>42</v>
      </c>
      <c r="K10" s="19" t="s">
        <v>41</v>
      </c>
      <c r="L10" s="184" t="s">
        <v>2</v>
      </c>
      <c r="M10" s="25" t="s">
        <v>6</v>
      </c>
      <c r="N10" s="25" t="s">
        <v>6</v>
      </c>
      <c r="O10" s="184" t="s">
        <v>2</v>
      </c>
      <c r="P10" s="22" t="s">
        <v>30</v>
      </c>
      <c r="Q10" s="19" t="s">
        <v>42</v>
      </c>
      <c r="R10" s="19" t="s">
        <v>41</v>
      </c>
      <c r="S10" s="19" t="s">
        <v>41</v>
      </c>
      <c r="T10" s="19" t="s">
        <v>42</v>
      </c>
      <c r="U10" s="184" t="s">
        <v>2</v>
      </c>
      <c r="V10" s="184" t="s">
        <v>2</v>
      </c>
      <c r="W10" s="123" t="s">
        <v>4</v>
      </c>
      <c r="X10" s="123" t="s">
        <v>4</v>
      </c>
      <c r="Y10" s="131" t="s">
        <v>5</v>
      </c>
      <c r="Z10" s="19" t="s">
        <v>41</v>
      </c>
      <c r="AA10" s="19" t="s">
        <v>41</v>
      </c>
      <c r="AB10" s="184" t="s">
        <v>2</v>
      </c>
      <c r="AC10" s="184" t="s">
        <v>2</v>
      </c>
      <c r="AD10" s="131" t="s">
        <v>4</v>
      </c>
      <c r="AE10" s="131" t="s">
        <v>4</v>
      </c>
      <c r="AF10" s="25" t="s">
        <v>3</v>
      </c>
      <c r="AG10" s="185" t="s">
        <v>10</v>
      </c>
    </row>
    <row r="11" spans="1:38" x14ac:dyDescent="0.35">
      <c r="A11" s="193" t="s">
        <v>15</v>
      </c>
      <c r="B11" s="185" t="s">
        <v>11</v>
      </c>
      <c r="C11" s="123" t="s">
        <v>4</v>
      </c>
      <c r="D11" s="184" t="s">
        <v>2</v>
      </c>
      <c r="E11" s="25" t="s">
        <v>6</v>
      </c>
      <c r="F11" s="25" t="s">
        <v>6</v>
      </c>
      <c r="G11" s="25" t="s">
        <v>6</v>
      </c>
      <c r="H11" s="25" t="s">
        <v>6</v>
      </c>
      <c r="I11" s="25" t="s">
        <v>3</v>
      </c>
      <c r="J11" s="123" t="s">
        <v>4</v>
      </c>
      <c r="K11" s="184" t="s">
        <v>2</v>
      </c>
      <c r="L11" s="25" t="s">
        <v>6</v>
      </c>
      <c r="M11" s="25" t="s">
        <v>6</v>
      </c>
      <c r="N11" s="25" t="s">
        <v>6</v>
      </c>
      <c r="O11" s="25" t="s">
        <v>6</v>
      </c>
      <c r="P11" s="25" t="s">
        <v>3</v>
      </c>
      <c r="Q11" s="123" t="s">
        <v>4</v>
      </c>
      <c r="R11" s="184" t="s">
        <v>2</v>
      </c>
      <c r="S11" s="25" t="s">
        <v>6</v>
      </c>
      <c r="T11" s="25" t="s">
        <v>6</v>
      </c>
      <c r="U11" s="22" t="s">
        <v>16</v>
      </c>
      <c r="V11" s="25" t="s">
        <v>3</v>
      </c>
      <c r="W11" s="25" t="s">
        <v>3</v>
      </c>
      <c r="X11" s="123" t="s">
        <v>4</v>
      </c>
      <c r="Y11" s="25" t="s">
        <v>6</v>
      </c>
      <c r="Z11" s="25" t="s">
        <v>6</v>
      </c>
      <c r="AA11" s="25" t="s">
        <v>6</v>
      </c>
      <c r="AB11" s="25" t="s">
        <v>6</v>
      </c>
      <c r="AC11" s="25" t="s">
        <v>6</v>
      </c>
      <c r="AD11" s="123" t="s">
        <v>4</v>
      </c>
      <c r="AE11" s="19" t="s">
        <v>42</v>
      </c>
      <c r="AF11" s="19" t="s">
        <v>42</v>
      </c>
      <c r="AG11" s="19" t="s">
        <v>41</v>
      </c>
    </row>
    <row r="12" spans="1:38" x14ac:dyDescent="0.35">
      <c r="A12" s="182" t="s">
        <v>22</v>
      </c>
      <c r="B12" s="123" t="s">
        <v>4</v>
      </c>
      <c r="C12" s="25" t="s">
        <v>3</v>
      </c>
      <c r="D12" s="25" t="s">
        <v>6</v>
      </c>
      <c r="E12" s="184" t="s">
        <v>2</v>
      </c>
      <c r="F12" s="25" t="s">
        <v>6</v>
      </c>
      <c r="G12" s="25" t="s">
        <v>6</v>
      </c>
      <c r="H12" s="25" t="s">
        <v>6</v>
      </c>
      <c r="I12" s="123" t="s">
        <v>4</v>
      </c>
      <c r="J12" s="123" t="s">
        <v>4</v>
      </c>
      <c r="K12" s="25" t="s">
        <v>6</v>
      </c>
      <c r="L12" s="25" t="s">
        <v>6</v>
      </c>
      <c r="M12" s="25" t="s">
        <v>6</v>
      </c>
      <c r="N12" s="25" t="s">
        <v>6</v>
      </c>
      <c r="O12" s="131" t="s">
        <v>5</v>
      </c>
      <c r="P12" s="123" t="s">
        <v>4</v>
      </c>
      <c r="Q12" s="123" t="s">
        <v>4</v>
      </c>
      <c r="R12" s="25" t="s">
        <v>6</v>
      </c>
      <c r="S12" s="25" t="s">
        <v>6</v>
      </c>
      <c r="T12" s="184" t="s">
        <v>2</v>
      </c>
      <c r="U12" s="25" t="s">
        <v>6</v>
      </c>
      <c r="V12" s="25" t="s">
        <v>3</v>
      </c>
      <c r="W12" s="25" t="s">
        <v>3</v>
      </c>
      <c r="X12" s="19" t="s">
        <v>42</v>
      </c>
      <c r="Y12" s="25" t="s">
        <v>6</v>
      </c>
      <c r="Z12" s="184" t="s">
        <v>2</v>
      </c>
      <c r="AA12" s="25" t="s">
        <v>6</v>
      </c>
      <c r="AB12" s="25" t="s">
        <v>6</v>
      </c>
      <c r="AC12" s="25" t="s">
        <v>6</v>
      </c>
      <c r="AD12" s="25" t="s">
        <v>3</v>
      </c>
      <c r="AE12" s="131" t="s">
        <v>5</v>
      </c>
      <c r="AF12" s="131" t="s">
        <v>5</v>
      </c>
      <c r="AG12" s="131" t="s">
        <v>5</v>
      </c>
    </row>
    <row r="13" spans="1:38" x14ac:dyDescent="0.35">
      <c r="A13" s="182" t="s">
        <v>181</v>
      </c>
      <c r="B13" s="123" t="s">
        <v>4</v>
      </c>
      <c r="C13" s="25" t="s">
        <v>3</v>
      </c>
      <c r="D13" s="25" t="s">
        <v>6</v>
      </c>
      <c r="E13" s="25" t="s">
        <v>6</v>
      </c>
      <c r="F13" s="184" t="s">
        <v>2</v>
      </c>
      <c r="G13" s="25" t="s">
        <v>6</v>
      </c>
      <c r="H13" s="183" t="s">
        <v>37</v>
      </c>
      <c r="I13" s="22" t="s">
        <v>30</v>
      </c>
      <c r="J13" s="123" t="s">
        <v>4</v>
      </c>
      <c r="K13" s="22" t="s">
        <v>16</v>
      </c>
      <c r="L13" s="25" t="s">
        <v>6</v>
      </c>
      <c r="M13" s="184" t="s">
        <v>2</v>
      </c>
      <c r="N13" s="25" t="s">
        <v>6</v>
      </c>
      <c r="O13" s="25" t="s">
        <v>6</v>
      </c>
      <c r="P13" s="25" t="s">
        <v>3</v>
      </c>
      <c r="Q13" s="123" t="s">
        <v>4</v>
      </c>
      <c r="R13" s="184" t="s">
        <v>2</v>
      </c>
      <c r="S13" s="25" t="s">
        <v>6</v>
      </c>
      <c r="T13" s="22" t="s">
        <v>16</v>
      </c>
      <c r="U13" s="25" t="s">
        <v>6</v>
      </c>
      <c r="V13" s="25" t="s">
        <v>6</v>
      </c>
      <c r="W13" s="123" t="s">
        <v>4</v>
      </c>
      <c r="X13" s="123" t="s">
        <v>4</v>
      </c>
      <c r="Y13" s="25" t="s">
        <v>6</v>
      </c>
      <c r="Z13" s="25" t="s">
        <v>6</v>
      </c>
      <c r="AA13" s="184" t="s">
        <v>2</v>
      </c>
      <c r="AB13" s="25" t="s">
        <v>6</v>
      </c>
      <c r="AC13" s="22" t="s">
        <v>16</v>
      </c>
      <c r="AD13" s="22" t="s">
        <v>30</v>
      </c>
      <c r="AE13" s="123" t="s">
        <v>4</v>
      </c>
      <c r="AF13" s="183" t="s">
        <v>37</v>
      </c>
      <c r="AG13" s="19" t="s">
        <v>41</v>
      </c>
    </row>
    <row r="14" spans="1:38" x14ac:dyDescent="0.35">
      <c r="A14" s="182" t="s">
        <v>155</v>
      </c>
      <c r="B14" s="185" t="s">
        <v>11</v>
      </c>
      <c r="C14" s="123" t="s">
        <v>4</v>
      </c>
      <c r="D14" s="22" t="s">
        <v>16</v>
      </c>
      <c r="E14" s="22" t="s">
        <v>16</v>
      </c>
      <c r="F14" s="25" t="s">
        <v>6</v>
      </c>
      <c r="G14" s="25" t="s">
        <v>6</v>
      </c>
      <c r="H14" s="25" t="s">
        <v>6</v>
      </c>
      <c r="I14" s="123" t="s">
        <v>4</v>
      </c>
      <c r="J14" s="25" t="s">
        <v>3</v>
      </c>
      <c r="K14" s="25" t="s">
        <v>6</v>
      </c>
      <c r="L14" s="25" t="s">
        <v>6</v>
      </c>
      <c r="M14" s="22" t="s">
        <v>16</v>
      </c>
      <c r="N14" s="184" t="s">
        <v>2</v>
      </c>
      <c r="O14" s="25" t="s">
        <v>6</v>
      </c>
      <c r="P14" s="123" t="s">
        <v>4</v>
      </c>
      <c r="Q14" s="25" t="s">
        <v>3</v>
      </c>
      <c r="R14" s="25" t="s">
        <v>6</v>
      </c>
      <c r="S14" s="184" t="s">
        <v>2</v>
      </c>
      <c r="T14" s="25" t="s">
        <v>6</v>
      </c>
      <c r="U14" s="25" t="s">
        <v>6</v>
      </c>
      <c r="V14" s="183" t="s">
        <v>37</v>
      </c>
      <c r="W14" s="22" t="s">
        <v>30</v>
      </c>
      <c r="X14" s="25" t="s">
        <v>3</v>
      </c>
      <c r="Y14" s="184" t="s">
        <v>2</v>
      </c>
      <c r="Z14" s="25" t="s">
        <v>6</v>
      </c>
      <c r="AA14" s="25" t="s">
        <v>6</v>
      </c>
      <c r="AB14" s="184" t="s">
        <v>2</v>
      </c>
      <c r="AC14" s="25" t="s">
        <v>6</v>
      </c>
      <c r="AD14" s="123" t="s">
        <v>4</v>
      </c>
      <c r="AE14" s="19" t="s">
        <v>42</v>
      </c>
      <c r="AF14" s="19" t="s">
        <v>42</v>
      </c>
      <c r="AG14" s="19" t="s">
        <v>41</v>
      </c>
    </row>
    <row r="15" spans="1:38" x14ac:dyDescent="0.35">
      <c r="A15" s="194"/>
    </row>
    <row r="16" spans="1:38" x14ac:dyDescent="0.35">
      <c r="A16" s="193" t="s">
        <v>9</v>
      </c>
      <c r="B16" s="131" t="s">
        <v>4</v>
      </c>
      <c r="C16" s="131" t="s">
        <v>4</v>
      </c>
      <c r="D16" s="131" t="s">
        <v>5</v>
      </c>
      <c r="E16" s="19" t="s">
        <v>41</v>
      </c>
      <c r="F16" s="217" t="s">
        <v>41</v>
      </c>
      <c r="G16" s="217" t="s">
        <v>41</v>
      </c>
      <c r="H16" s="131" t="s">
        <v>5</v>
      </c>
      <c r="I16" s="131" t="s">
        <v>4</v>
      </c>
      <c r="J16" s="25" t="s">
        <v>3</v>
      </c>
      <c r="K16" s="216" t="s">
        <v>6</v>
      </c>
      <c r="L16" s="131" t="s">
        <v>5</v>
      </c>
      <c r="M16" s="131" t="s">
        <v>5</v>
      </c>
      <c r="N16" s="131" t="s">
        <v>5</v>
      </c>
      <c r="O16" s="131" t="s">
        <v>5</v>
      </c>
      <c r="P16" s="123" t="s">
        <v>4</v>
      </c>
      <c r="Q16" s="25" t="s">
        <v>3</v>
      </c>
      <c r="R16" s="216" t="s">
        <v>6</v>
      </c>
      <c r="S16" s="216" t="s">
        <v>6</v>
      </c>
      <c r="T16" s="25" t="s">
        <v>6</v>
      </c>
      <c r="U16" s="131" t="s">
        <v>5</v>
      </c>
      <c r="V16" s="131" t="s">
        <v>5</v>
      </c>
      <c r="W16" s="19" t="s">
        <v>42</v>
      </c>
      <c r="X16" s="25" t="s">
        <v>3</v>
      </c>
      <c r="Y16" s="131" t="s">
        <v>5</v>
      </c>
      <c r="Z16" s="131" t="s">
        <v>5</v>
      </c>
      <c r="AA16" s="131" t="s">
        <v>5</v>
      </c>
      <c r="AB16" s="131" t="s">
        <v>5</v>
      </c>
      <c r="AC16" s="19" t="s">
        <v>41</v>
      </c>
      <c r="AD16" s="25" t="s">
        <v>3</v>
      </c>
      <c r="AE16" s="25" t="s">
        <v>3</v>
      </c>
      <c r="AF16" s="183" t="s">
        <v>37</v>
      </c>
      <c r="AG16" s="25" t="s">
        <v>6</v>
      </c>
    </row>
    <row r="17" spans="1:33" x14ac:dyDescent="0.35">
      <c r="A17" s="193" t="s">
        <v>43</v>
      </c>
      <c r="B17" s="25" t="s">
        <v>3</v>
      </c>
      <c r="C17" s="19" t="s">
        <v>42</v>
      </c>
      <c r="D17" s="19" t="s">
        <v>41</v>
      </c>
      <c r="E17" s="131" t="s">
        <v>5</v>
      </c>
      <c r="F17" s="131" t="s">
        <v>5</v>
      </c>
      <c r="G17" s="131" t="s">
        <v>5</v>
      </c>
      <c r="H17" s="19" t="s">
        <v>41</v>
      </c>
      <c r="I17" s="19" t="s">
        <v>42</v>
      </c>
      <c r="J17" s="123" t="s">
        <v>4</v>
      </c>
      <c r="K17" s="184" t="s">
        <v>2</v>
      </c>
      <c r="L17" s="19" t="s">
        <v>41</v>
      </c>
      <c r="M17" s="19" t="s">
        <v>41</v>
      </c>
      <c r="N17" s="19" t="s">
        <v>41</v>
      </c>
      <c r="O17" s="19" t="s">
        <v>42</v>
      </c>
      <c r="P17" s="19" t="s">
        <v>42</v>
      </c>
      <c r="Q17" s="123" t="s">
        <v>4</v>
      </c>
      <c r="R17" s="131" t="s">
        <v>5</v>
      </c>
      <c r="S17" s="131" t="s">
        <v>5</v>
      </c>
      <c r="T17" s="131" t="s">
        <v>5</v>
      </c>
      <c r="U17" s="19" t="s">
        <v>41</v>
      </c>
      <c r="V17" s="19" t="s">
        <v>41</v>
      </c>
      <c r="W17" s="123" t="s">
        <v>4</v>
      </c>
      <c r="X17" s="123" t="s">
        <v>4</v>
      </c>
      <c r="Y17" s="19" t="s">
        <v>41</v>
      </c>
      <c r="Z17" s="19" t="s">
        <v>41</v>
      </c>
      <c r="AA17" s="19" t="s">
        <v>41</v>
      </c>
      <c r="AB17" s="19" t="s">
        <v>41</v>
      </c>
      <c r="AC17" s="184" t="s">
        <v>2</v>
      </c>
      <c r="AD17" s="19" t="s">
        <v>42</v>
      </c>
      <c r="AE17" s="185" t="s">
        <v>11</v>
      </c>
      <c r="AF17" s="185" t="s">
        <v>11</v>
      </c>
      <c r="AG17" s="184" t="s">
        <v>2</v>
      </c>
    </row>
    <row r="18" spans="1:33" x14ac:dyDescent="0.35">
      <c r="A18" s="182" t="s">
        <v>74</v>
      </c>
      <c r="B18" s="123" t="s">
        <v>4</v>
      </c>
      <c r="C18" s="123" t="s">
        <v>4</v>
      </c>
      <c r="D18" s="19" t="s">
        <v>41</v>
      </c>
      <c r="E18" s="19" t="s">
        <v>42</v>
      </c>
      <c r="F18" s="19" t="s">
        <v>41</v>
      </c>
      <c r="G18" s="19" t="s">
        <v>41</v>
      </c>
      <c r="H18" s="19" t="s">
        <v>42</v>
      </c>
      <c r="I18" s="19" t="s">
        <v>42</v>
      </c>
      <c r="J18" s="123" t="s">
        <v>4</v>
      </c>
      <c r="K18" s="184" t="s">
        <v>2</v>
      </c>
      <c r="L18" s="19" t="s">
        <v>41</v>
      </c>
      <c r="M18" s="19" t="s">
        <v>41</v>
      </c>
      <c r="N18" s="19" t="s">
        <v>41</v>
      </c>
      <c r="O18" s="19" t="s">
        <v>41</v>
      </c>
      <c r="P18" s="19" t="s">
        <v>42</v>
      </c>
      <c r="Q18" s="123" t="s">
        <v>4</v>
      </c>
      <c r="R18" s="19" t="s">
        <v>41</v>
      </c>
      <c r="S18" s="19" t="s">
        <v>41</v>
      </c>
      <c r="T18" s="19" t="s">
        <v>41</v>
      </c>
      <c r="U18" s="19" t="s">
        <v>41</v>
      </c>
      <c r="V18" s="19" t="s">
        <v>41</v>
      </c>
      <c r="W18" s="123" t="s">
        <v>4</v>
      </c>
      <c r="X18" s="19" t="s">
        <v>42</v>
      </c>
      <c r="Y18" s="19" t="s">
        <v>41</v>
      </c>
      <c r="Z18" s="22" t="s">
        <v>16</v>
      </c>
      <c r="AA18" s="19" t="s">
        <v>41</v>
      </c>
      <c r="AB18" s="19" t="s">
        <v>41</v>
      </c>
      <c r="AC18" s="131" t="s">
        <v>5</v>
      </c>
      <c r="AD18" s="19" t="s">
        <v>42</v>
      </c>
      <c r="AE18" s="185" t="s">
        <v>11</v>
      </c>
      <c r="AF18" s="185" t="s">
        <v>11</v>
      </c>
      <c r="AG18" s="185" t="s">
        <v>10</v>
      </c>
    </row>
    <row r="19" spans="1:33" x14ac:dyDescent="0.35">
      <c r="A19" s="182" t="s">
        <v>62</v>
      </c>
      <c r="B19" s="123" t="s">
        <v>4</v>
      </c>
      <c r="C19" s="123" t="s">
        <v>4</v>
      </c>
      <c r="D19" s="184" t="s">
        <v>2</v>
      </c>
      <c r="E19" s="19" t="s">
        <v>41</v>
      </c>
      <c r="F19" s="19" t="s">
        <v>41</v>
      </c>
      <c r="G19" s="19" t="s">
        <v>41</v>
      </c>
      <c r="H19" s="19" t="s">
        <v>42</v>
      </c>
      <c r="I19" s="123" t="s">
        <v>4</v>
      </c>
      <c r="J19" s="19" t="s">
        <v>42</v>
      </c>
      <c r="K19" s="19" t="s">
        <v>41</v>
      </c>
      <c r="L19" s="19" t="s">
        <v>41</v>
      </c>
      <c r="M19" s="184" t="s">
        <v>2</v>
      </c>
      <c r="N19" s="19" t="s">
        <v>41</v>
      </c>
      <c r="O19" s="22" t="s">
        <v>16</v>
      </c>
      <c r="P19" s="123" t="s">
        <v>4</v>
      </c>
      <c r="Q19" s="19" t="s">
        <v>42</v>
      </c>
      <c r="R19" s="19" t="s">
        <v>41</v>
      </c>
      <c r="S19" s="19" t="s">
        <v>41</v>
      </c>
      <c r="T19" s="184" t="s">
        <v>2</v>
      </c>
      <c r="U19" s="19" t="s">
        <v>41</v>
      </c>
      <c r="V19" s="19" t="s">
        <v>41</v>
      </c>
      <c r="W19" s="19" t="s">
        <v>42</v>
      </c>
      <c r="X19" s="123" t="s">
        <v>4</v>
      </c>
      <c r="Y19" s="183" t="s">
        <v>37</v>
      </c>
      <c r="Z19" s="19" t="s">
        <v>41</v>
      </c>
      <c r="AA19" s="22" t="s">
        <v>16</v>
      </c>
      <c r="AB19" s="19" t="s">
        <v>41</v>
      </c>
      <c r="AC19" s="19" t="s">
        <v>41</v>
      </c>
      <c r="AD19" s="123" t="s">
        <v>4</v>
      </c>
      <c r="AE19" s="185" t="s">
        <v>11</v>
      </c>
      <c r="AF19" s="185" t="s">
        <v>11</v>
      </c>
      <c r="AG19" s="131" t="s">
        <v>5</v>
      </c>
    </row>
    <row r="20" spans="1:33" x14ac:dyDescent="0.35">
      <c r="A20" s="182" t="s">
        <v>180</v>
      </c>
      <c r="B20" s="123" t="s">
        <v>4</v>
      </c>
      <c r="C20" s="19" t="s">
        <v>42</v>
      </c>
      <c r="D20" s="19" t="s">
        <v>41</v>
      </c>
      <c r="E20" s="19" t="s">
        <v>41</v>
      </c>
      <c r="F20" s="19" t="s">
        <v>41</v>
      </c>
      <c r="G20" s="19" t="s">
        <v>41</v>
      </c>
      <c r="H20" s="183" t="s">
        <v>37</v>
      </c>
      <c r="I20" s="123" t="s">
        <v>4</v>
      </c>
      <c r="J20" s="123" t="s">
        <v>4</v>
      </c>
      <c r="K20" s="19" t="s">
        <v>41</v>
      </c>
      <c r="L20" s="19" t="s">
        <v>41</v>
      </c>
      <c r="M20" s="19" t="s">
        <v>41</v>
      </c>
      <c r="N20" s="19" t="s">
        <v>41</v>
      </c>
      <c r="O20" s="19" t="s">
        <v>41</v>
      </c>
      <c r="P20" s="123" t="s">
        <v>4</v>
      </c>
      <c r="Q20" s="123" t="s">
        <v>4</v>
      </c>
      <c r="R20" s="19" t="s">
        <v>41</v>
      </c>
      <c r="S20" s="19" t="s">
        <v>41</v>
      </c>
      <c r="T20" s="19" t="s">
        <v>41</v>
      </c>
      <c r="U20" s="19" t="s">
        <v>41</v>
      </c>
      <c r="V20" s="19" t="s">
        <v>41</v>
      </c>
      <c r="W20" s="123" t="s">
        <v>4</v>
      </c>
      <c r="X20" s="123" t="s">
        <v>4</v>
      </c>
      <c r="Y20" s="19" t="s">
        <v>41</v>
      </c>
      <c r="Z20" s="19" t="s">
        <v>41</v>
      </c>
      <c r="AA20" s="19" t="s">
        <v>41</v>
      </c>
      <c r="AB20" s="22" t="s">
        <v>16</v>
      </c>
      <c r="AC20" s="19" t="s">
        <v>41</v>
      </c>
      <c r="AD20" s="123" t="s">
        <v>4</v>
      </c>
      <c r="AE20" s="123" t="s">
        <v>4</v>
      </c>
      <c r="AF20" s="183" t="s">
        <v>37</v>
      </c>
      <c r="AG20" s="185" t="s">
        <v>10</v>
      </c>
    </row>
    <row r="22" spans="1:33" x14ac:dyDescent="0.35">
      <c r="A22" s="189" t="s">
        <v>156</v>
      </c>
      <c r="B22">
        <f t="shared" ref="B22:C22" si="1">COUNTIF(B4:B20,"*MS")</f>
        <v>2</v>
      </c>
      <c r="C22">
        <f t="shared" si="1"/>
        <v>2</v>
      </c>
      <c r="D22">
        <f t="shared" ref="D22:F22" si="2">COUNTIF(D4:D20,"*MS")</f>
        <v>3</v>
      </c>
      <c r="E22">
        <f t="shared" si="2"/>
        <v>3</v>
      </c>
      <c r="F22">
        <f t="shared" si="2"/>
        <v>3</v>
      </c>
      <c r="G22">
        <f t="shared" ref="G22:AF22" si="3">COUNTIF(G4:G20,"*MS")</f>
        <v>5</v>
      </c>
      <c r="H22">
        <f t="shared" si="3"/>
        <v>3</v>
      </c>
      <c r="I22">
        <f t="shared" si="3"/>
        <v>2</v>
      </c>
      <c r="J22">
        <f t="shared" si="3"/>
        <v>2</v>
      </c>
      <c r="K22">
        <f t="shared" si="3"/>
        <v>3</v>
      </c>
      <c r="L22">
        <f t="shared" si="3"/>
        <v>4</v>
      </c>
      <c r="M22">
        <f t="shared" si="3"/>
        <v>3</v>
      </c>
      <c r="N22">
        <f t="shared" si="3"/>
        <v>4</v>
      </c>
      <c r="O22">
        <f t="shared" si="3"/>
        <v>3</v>
      </c>
      <c r="P22">
        <f t="shared" si="3"/>
        <v>2</v>
      </c>
      <c r="Q22">
        <f t="shared" si="3"/>
        <v>2</v>
      </c>
      <c r="R22">
        <f t="shared" si="3"/>
        <v>3</v>
      </c>
      <c r="S22">
        <f t="shared" si="3"/>
        <v>4</v>
      </c>
      <c r="T22">
        <f t="shared" si="3"/>
        <v>3</v>
      </c>
      <c r="U22">
        <f t="shared" si="3"/>
        <v>3</v>
      </c>
      <c r="V22">
        <f t="shared" si="3"/>
        <v>3</v>
      </c>
      <c r="W22">
        <f t="shared" si="3"/>
        <v>2</v>
      </c>
      <c r="X22">
        <f t="shared" si="3"/>
        <v>2</v>
      </c>
      <c r="Y22">
        <f t="shared" si="3"/>
        <v>3</v>
      </c>
      <c r="Z22">
        <f t="shared" si="3"/>
        <v>3</v>
      </c>
      <c r="AA22">
        <f t="shared" si="3"/>
        <v>3</v>
      </c>
      <c r="AB22">
        <f t="shared" si="3"/>
        <v>3</v>
      </c>
      <c r="AC22">
        <f t="shared" si="3"/>
        <v>3</v>
      </c>
      <c r="AD22">
        <f t="shared" si="3"/>
        <v>2</v>
      </c>
      <c r="AE22">
        <f t="shared" si="3"/>
        <v>2</v>
      </c>
      <c r="AF22">
        <f t="shared" si="3"/>
        <v>3</v>
      </c>
      <c r="AG22">
        <f t="shared" ref="AG22" si="4">COUNTIF(AG4:AG20,"*MS")</f>
        <v>4</v>
      </c>
    </row>
    <row r="23" spans="1:33" x14ac:dyDescent="0.35">
      <c r="A23" s="189" t="s">
        <v>157</v>
      </c>
      <c r="B23">
        <f t="shared" ref="B23:C23" si="5">COUNTIF(B4:B20,"*ASS1")</f>
        <v>2</v>
      </c>
      <c r="C23">
        <f t="shared" si="5"/>
        <v>2</v>
      </c>
      <c r="D23">
        <f t="shared" ref="D23:F23" si="6">COUNTIF(D4:D20,"*ASS1")</f>
        <v>3</v>
      </c>
      <c r="E23">
        <f t="shared" si="6"/>
        <v>4</v>
      </c>
      <c r="F23">
        <f t="shared" si="6"/>
        <v>4</v>
      </c>
      <c r="G23">
        <f t="shared" ref="G23:AG23" si="7">COUNTIF(G4:G20,"*ASS1")</f>
        <v>4</v>
      </c>
      <c r="H23">
        <f t="shared" si="7"/>
        <v>3</v>
      </c>
      <c r="I23">
        <f t="shared" si="7"/>
        <v>2</v>
      </c>
      <c r="J23">
        <f t="shared" si="7"/>
        <v>2</v>
      </c>
      <c r="K23">
        <f t="shared" si="7"/>
        <v>3</v>
      </c>
      <c r="L23">
        <f t="shared" si="7"/>
        <v>4</v>
      </c>
      <c r="M23">
        <f t="shared" si="7"/>
        <v>3</v>
      </c>
      <c r="N23">
        <f t="shared" si="7"/>
        <v>4</v>
      </c>
      <c r="O23">
        <f t="shared" si="7"/>
        <v>3</v>
      </c>
      <c r="P23">
        <f t="shared" si="7"/>
        <v>2</v>
      </c>
      <c r="Q23">
        <f t="shared" si="7"/>
        <v>2</v>
      </c>
      <c r="R23">
        <f t="shared" si="7"/>
        <v>4</v>
      </c>
      <c r="S23">
        <f t="shared" si="7"/>
        <v>4</v>
      </c>
      <c r="T23">
        <f t="shared" si="7"/>
        <v>3</v>
      </c>
      <c r="U23">
        <f t="shared" si="7"/>
        <v>4</v>
      </c>
      <c r="V23">
        <f t="shared" si="7"/>
        <v>4</v>
      </c>
      <c r="W23">
        <f t="shared" si="7"/>
        <v>2</v>
      </c>
      <c r="X23">
        <f t="shared" si="7"/>
        <v>2</v>
      </c>
      <c r="Y23">
        <f t="shared" si="7"/>
        <v>3</v>
      </c>
      <c r="Z23">
        <f t="shared" si="7"/>
        <v>4</v>
      </c>
      <c r="AA23">
        <f t="shared" si="7"/>
        <v>4</v>
      </c>
      <c r="AB23">
        <f t="shared" si="7"/>
        <v>3</v>
      </c>
      <c r="AC23">
        <f t="shared" si="7"/>
        <v>3</v>
      </c>
      <c r="AD23">
        <f t="shared" si="7"/>
        <v>2</v>
      </c>
      <c r="AE23">
        <f t="shared" si="7"/>
        <v>2</v>
      </c>
      <c r="AF23">
        <f t="shared" si="7"/>
        <v>3</v>
      </c>
      <c r="AG23">
        <f t="shared" si="7"/>
        <v>4</v>
      </c>
    </row>
    <row r="24" spans="1:33" x14ac:dyDescent="0.35">
      <c r="A24" s="189" t="s">
        <v>158</v>
      </c>
      <c r="B24">
        <f t="shared" ref="B24:C24" si="8">COUNTIF(B4:B20,"*NST7")</f>
        <v>2</v>
      </c>
      <c r="C24">
        <f t="shared" si="8"/>
        <v>2</v>
      </c>
      <c r="D24">
        <f t="shared" ref="D24:F24" si="9">COUNTIF(D4:D20,"*NST7")</f>
        <v>4</v>
      </c>
      <c r="E24">
        <f t="shared" si="9"/>
        <v>4</v>
      </c>
      <c r="F24">
        <f t="shared" si="9"/>
        <v>3</v>
      </c>
      <c r="G24">
        <f t="shared" ref="G24:AG24" si="10">COUNTIF(G4:G20,"*NST7")</f>
        <v>4</v>
      </c>
      <c r="H24">
        <f t="shared" si="10"/>
        <v>3</v>
      </c>
      <c r="I24">
        <f t="shared" si="10"/>
        <v>2</v>
      </c>
      <c r="J24">
        <f t="shared" si="10"/>
        <v>3</v>
      </c>
      <c r="K24">
        <f t="shared" si="10"/>
        <v>4</v>
      </c>
      <c r="L24">
        <f t="shared" si="10"/>
        <v>4</v>
      </c>
      <c r="M24">
        <f t="shared" si="10"/>
        <v>3</v>
      </c>
      <c r="N24">
        <f t="shared" si="10"/>
        <v>4</v>
      </c>
      <c r="O24">
        <f t="shared" si="10"/>
        <v>4</v>
      </c>
      <c r="P24">
        <f t="shared" si="10"/>
        <v>3</v>
      </c>
      <c r="Q24">
        <f t="shared" si="10"/>
        <v>3</v>
      </c>
      <c r="R24">
        <f t="shared" si="10"/>
        <v>4</v>
      </c>
      <c r="S24">
        <f t="shared" si="10"/>
        <v>3</v>
      </c>
      <c r="T24">
        <f t="shared" si="10"/>
        <v>4</v>
      </c>
      <c r="U24">
        <f t="shared" si="10"/>
        <v>4</v>
      </c>
      <c r="V24">
        <f t="shared" si="10"/>
        <v>4</v>
      </c>
      <c r="W24">
        <f t="shared" si="10"/>
        <v>3</v>
      </c>
      <c r="X24">
        <f t="shared" si="10"/>
        <v>3</v>
      </c>
      <c r="Y24">
        <f t="shared" si="10"/>
        <v>4</v>
      </c>
      <c r="Z24">
        <f t="shared" si="10"/>
        <v>4</v>
      </c>
      <c r="AA24">
        <f t="shared" si="10"/>
        <v>4</v>
      </c>
      <c r="AB24">
        <f t="shared" si="10"/>
        <v>4</v>
      </c>
      <c r="AC24">
        <f t="shared" si="10"/>
        <v>3</v>
      </c>
      <c r="AD24">
        <f t="shared" si="10"/>
        <v>3</v>
      </c>
      <c r="AE24">
        <f t="shared" si="10"/>
        <v>3</v>
      </c>
      <c r="AF24">
        <f t="shared" si="10"/>
        <v>3</v>
      </c>
      <c r="AG24">
        <f t="shared" si="10"/>
        <v>3</v>
      </c>
    </row>
    <row r="25" spans="1:33" x14ac:dyDescent="0.35">
      <c r="A25" s="189" t="s">
        <v>159</v>
      </c>
      <c r="B25">
        <f t="shared" ref="B25:C25" si="11">COUNTIF(B4:B20,"*GS")</f>
        <v>1</v>
      </c>
      <c r="C25">
        <f t="shared" si="11"/>
        <v>1</v>
      </c>
      <c r="D25">
        <f t="shared" ref="D25:F25" si="12">COUNTIF(D4:D20,"*GS")</f>
        <v>1</v>
      </c>
      <c r="E25">
        <f t="shared" si="12"/>
        <v>1</v>
      </c>
      <c r="F25">
        <f t="shared" si="12"/>
        <v>0</v>
      </c>
      <c r="G25">
        <f t="shared" ref="G25:AG25" si="13">COUNTIF(G4:G20,"*GS")</f>
        <v>0</v>
      </c>
      <c r="H25">
        <f t="shared" si="13"/>
        <v>0</v>
      </c>
      <c r="I25">
        <f t="shared" si="13"/>
        <v>1</v>
      </c>
      <c r="J25">
        <f t="shared" si="13"/>
        <v>0</v>
      </c>
      <c r="K25">
        <f t="shared" si="13"/>
        <v>1</v>
      </c>
      <c r="L25">
        <f t="shared" si="13"/>
        <v>0</v>
      </c>
      <c r="M25">
        <f t="shared" si="13"/>
        <v>1</v>
      </c>
      <c r="N25">
        <f t="shared" si="13"/>
        <v>0</v>
      </c>
      <c r="O25">
        <f t="shared" si="13"/>
        <v>1</v>
      </c>
      <c r="P25">
        <f t="shared" si="13"/>
        <v>1</v>
      </c>
      <c r="Q25">
        <f t="shared" si="13"/>
        <v>0</v>
      </c>
      <c r="R25">
        <f t="shared" si="13"/>
        <v>0</v>
      </c>
      <c r="S25">
        <f t="shared" si="13"/>
        <v>0</v>
      </c>
      <c r="T25">
        <f t="shared" si="13"/>
        <v>1</v>
      </c>
      <c r="U25">
        <f t="shared" si="13"/>
        <v>1</v>
      </c>
      <c r="V25">
        <f t="shared" si="13"/>
        <v>0</v>
      </c>
      <c r="W25">
        <f t="shared" si="13"/>
        <v>1</v>
      </c>
      <c r="X25">
        <f t="shared" si="13"/>
        <v>0</v>
      </c>
      <c r="Y25">
        <f t="shared" si="13"/>
        <v>0</v>
      </c>
      <c r="Z25">
        <f t="shared" si="13"/>
        <v>1</v>
      </c>
      <c r="AA25">
        <f t="shared" si="13"/>
        <v>1</v>
      </c>
      <c r="AB25">
        <f t="shared" si="13"/>
        <v>1</v>
      </c>
      <c r="AC25">
        <f t="shared" si="13"/>
        <v>1</v>
      </c>
      <c r="AD25">
        <f t="shared" si="13"/>
        <v>1</v>
      </c>
      <c r="AE25">
        <f t="shared" si="13"/>
        <v>0</v>
      </c>
      <c r="AF25">
        <f t="shared" si="13"/>
        <v>0</v>
      </c>
      <c r="AG25">
        <f t="shared" si="13"/>
        <v>0</v>
      </c>
    </row>
    <row r="26" spans="1:33" x14ac:dyDescent="0.35">
      <c r="A26" s="189" t="s">
        <v>160</v>
      </c>
      <c r="B26">
        <f t="shared" ref="B26:C26" si="14">COUNTIF(B4:B20,"WO")</f>
        <v>8</v>
      </c>
      <c r="C26">
        <f t="shared" si="14"/>
        <v>8</v>
      </c>
      <c r="D26">
        <f t="shared" ref="D26:F26" si="15">COUNTIF(D4:D20,"C")</f>
        <v>3</v>
      </c>
      <c r="E26">
        <f t="shared" si="15"/>
        <v>1</v>
      </c>
      <c r="F26">
        <f t="shared" si="15"/>
        <v>3</v>
      </c>
      <c r="G26">
        <f t="shared" ref="G26:H26" si="16">COUNTIF(G4:G20,"C")</f>
        <v>0</v>
      </c>
      <c r="H26">
        <f t="shared" si="16"/>
        <v>2</v>
      </c>
      <c r="I26">
        <f t="shared" ref="I26:J26" si="17">COUNTIF(I4:I20,"WO")</f>
        <v>8</v>
      </c>
      <c r="J26">
        <f t="shared" si="17"/>
        <v>8</v>
      </c>
      <c r="K26">
        <f t="shared" ref="K26:O26" si="18">COUNTIF(K4:K20,"C")</f>
        <v>4</v>
      </c>
      <c r="L26">
        <f t="shared" si="18"/>
        <v>2</v>
      </c>
      <c r="M26">
        <f t="shared" si="18"/>
        <v>4</v>
      </c>
      <c r="N26">
        <f t="shared" si="18"/>
        <v>2</v>
      </c>
      <c r="O26">
        <f t="shared" si="18"/>
        <v>2</v>
      </c>
      <c r="P26">
        <f t="shared" ref="P26:Q26" si="19">COUNTIF(P4:P20,"WO")</f>
        <v>7</v>
      </c>
      <c r="Q26">
        <f t="shared" si="19"/>
        <v>8</v>
      </c>
      <c r="R26">
        <f t="shared" ref="R26:V26" si="20">COUNTIF(R4:R20,"C")</f>
        <v>2</v>
      </c>
      <c r="S26">
        <f t="shared" si="20"/>
        <v>2</v>
      </c>
      <c r="T26">
        <f t="shared" si="20"/>
        <v>3</v>
      </c>
      <c r="U26">
        <f t="shared" si="20"/>
        <v>2</v>
      </c>
      <c r="V26">
        <f t="shared" si="20"/>
        <v>2</v>
      </c>
      <c r="W26">
        <f t="shared" ref="W26:X26" si="21">COUNTIF(W4:W20,"WO")</f>
        <v>7</v>
      </c>
      <c r="X26">
        <f t="shared" si="21"/>
        <v>8</v>
      </c>
      <c r="Y26">
        <f t="shared" ref="Y26:AC26" si="22">COUNTIF(Y4:Y20,"C")</f>
        <v>2</v>
      </c>
      <c r="Z26">
        <f t="shared" si="22"/>
        <v>2</v>
      </c>
      <c r="AA26">
        <f t="shared" si="22"/>
        <v>2</v>
      </c>
      <c r="AB26">
        <f t="shared" si="22"/>
        <v>3</v>
      </c>
      <c r="AC26">
        <f t="shared" si="22"/>
        <v>4</v>
      </c>
      <c r="AD26">
        <f t="shared" ref="AD26:AE26" si="23">COUNTIF(AD4:AD20,"WO")</f>
        <v>7</v>
      </c>
      <c r="AE26">
        <f t="shared" si="23"/>
        <v>7</v>
      </c>
      <c r="AF26">
        <f t="shared" ref="AF26:AG26" si="24">COUNTIF(AF4:AF20,"C")</f>
        <v>0</v>
      </c>
      <c r="AG26">
        <f t="shared" si="24"/>
        <v>1</v>
      </c>
    </row>
    <row r="27" spans="1:33" x14ac:dyDescent="0.35">
      <c r="A27" s="189" t="s">
        <v>161</v>
      </c>
      <c r="B27">
        <f t="shared" ref="B27:C27" si="25">COUNTIF(B4:B20,"PL")</f>
        <v>0</v>
      </c>
      <c r="C27">
        <f t="shared" si="25"/>
        <v>0</v>
      </c>
      <c r="D27">
        <f t="shared" ref="D27:F27" si="26">COUNTIF(D4:D20,"PL")</f>
        <v>1</v>
      </c>
      <c r="E27">
        <f t="shared" si="26"/>
        <v>2</v>
      </c>
      <c r="F27">
        <f t="shared" si="26"/>
        <v>2</v>
      </c>
      <c r="G27">
        <f t="shared" ref="G27:AG27" si="27">COUNTIF(G4:G20,"PL")</f>
        <v>2</v>
      </c>
      <c r="H27">
        <f t="shared" si="27"/>
        <v>2</v>
      </c>
      <c r="I27">
        <f t="shared" si="27"/>
        <v>0</v>
      </c>
      <c r="J27">
        <f t="shared" si="27"/>
        <v>0</v>
      </c>
      <c r="K27">
        <f t="shared" si="27"/>
        <v>0</v>
      </c>
      <c r="L27">
        <f t="shared" si="27"/>
        <v>1</v>
      </c>
      <c r="M27">
        <f t="shared" si="27"/>
        <v>1</v>
      </c>
      <c r="N27">
        <f t="shared" si="27"/>
        <v>1</v>
      </c>
      <c r="O27">
        <f t="shared" si="27"/>
        <v>2</v>
      </c>
      <c r="P27">
        <f t="shared" si="27"/>
        <v>0</v>
      </c>
      <c r="Q27">
        <f t="shared" si="27"/>
        <v>0</v>
      </c>
      <c r="R27">
        <f t="shared" si="27"/>
        <v>2</v>
      </c>
      <c r="S27">
        <f t="shared" si="27"/>
        <v>2</v>
      </c>
      <c r="T27">
        <f t="shared" si="27"/>
        <v>1</v>
      </c>
      <c r="U27">
        <f t="shared" si="27"/>
        <v>1</v>
      </c>
      <c r="V27">
        <f t="shared" si="27"/>
        <v>1</v>
      </c>
      <c r="W27">
        <f t="shared" si="27"/>
        <v>0</v>
      </c>
      <c r="X27">
        <f t="shared" si="27"/>
        <v>0</v>
      </c>
      <c r="Y27">
        <f t="shared" si="27"/>
        <v>2</v>
      </c>
      <c r="Z27">
        <f t="shared" si="27"/>
        <v>1</v>
      </c>
      <c r="AA27">
        <f t="shared" si="27"/>
        <v>1</v>
      </c>
      <c r="AB27">
        <f t="shared" si="27"/>
        <v>1</v>
      </c>
      <c r="AC27">
        <f t="shared" si="27"/>
        <v>1</v>
      </c>
      <c r="AD27">
        <f t="shared" si="27"/>
        <v>0</v>
      </c>
      <c r="AE27">
        <f t="shared" si="27"/>
        <v>1</v>
      </c>
      <c r="AF27">
        <f t="shared" si="27"/>
        <v>1</v>
      </c>
      <c r="AG27">
        <f t="shared" si="27"/>
        <v>3</v>
      </c>
    </row>
    <row r="28" spans="1:33" x14ac:dyDescent="0.35">
      <c r="A28" s="189" t="s">
        <v>33</v>
      </c>
      <c r="B28">
        <f t="shared" ref="B28:C28" si="28">COUNTIF(B4:B20,"UPL")</f>
        <v>0</v>
      </c>
      <c r="C28">
        <f t="shared" si="28"/>
        <v>0</v>
      </c>
      <c r="D28">
        <f t="shared" ref="D28:F28" si="29">COUNTIF(D4:D20,"UPL")</f>
        <v>0</v>
      </c>
      <c r="E28">
        <f t="shared" si="29"/>
        <v>0</v>
      </c>
      <c r="F28">
        <f t="shared" si="29"/>
        <v>0</v>
      </c>
      <c r="G28">
        <f t="shared" ref="G28:AG28" si="30">COUNTIF(G4:G20,"UPL")</f>
        <v>0</v>
      </c>
      <c r="H28">
        <f t="shared" si="30"/>
        <v>0</v>
      </c>
      <c r="I28">
        <f t="shared" si="30"/>
        <v>0</v>
      </c>
      <c r="J28">
        <f t="shared" si="30"/>
        <v>0</v>
      </c>
      <c r="K28">
        <f t="shared" si="30"/>
        <v>0</v>
      </c>
      <c r="L28">
        <f t="shared" si="30"/>
        <v>0</v>
      </c>
      <c r="M28">
        <f t="shared" si="30"/>
        <v>0</v>
      </c>
      <c r="N28">
        <f t="shared" si="30"/>
        <v>0</v>
      </c>
      <c r="O28">
        <f t="shared" si="30"/>
        <v>0</v>
      </c>
      <c r="P28">
        <f t="shared" si="30"/>
        <v>0</v>
      </c>
      <c r="Q28">
        <f t="shared" si="30"/>
        <v>0</v>
      </c>
      <c r="R28">
        <f t="shared" si="30"/>
        <v>0</v>
      </c>
      <c r="S28">
        <f t="shared" si="30"/>
        <v>0</v>
      </c>
      <c r="T28">
        <f t="shared" si="30"/>
        <v>0</v>
      </c>
      <c r="U28">
        <f t="shared" si="30"/>
        <v>0</v>
      </c>
      <c r="V28">
        <f t="shared" si="30"/>
        <v>0</v>
      </c>
      <c r="W28">
        <f t="shared" si="30"/>
        <v>0</v>
      </c>
      <c r="X28">
        <f t="shared" si="30"/>
        <v>0</v>
      </c>
      <c r="Y28">
        <f t="shared" si="30"/>
        <v>0</v>
      </c>
      <c r="Z28">
        <f t="shared" si="30"/>
        <v>0</v>
      </c>
      <c r="AA28">
        <f t="shared" si="30"/>
        <v>0</v>
      </c>
      <c r="AB28">
        <f t="shared" si="30"/>
        <v>0</v>
      </c>
      <c r="AC28">
        <f t="shared" si="30"/>
        <v>0</v>
      </c>
      <c r="AD28">
        <f t="shared" si="30"/>
        <v>0</v>
      </c>
      <c r="AE28">
        <f t="shared" si="30"/>
        <v>0</v>
      </c>
      <c r="AF28">
        <f t="shared" si="30"/>
        <v>0</v>
      </c>
      <c r="AG28">
        <f t="shared" si="30"/>
        <v>0</v>
      </c>
    </row>
    <row r="29" spans="1:33" x14ac:dyDescent="0.35">
      <c r="A29" s="189" t="s">
        <v>172</v>
      </c>
      <c r="B29">
        <f t="shared" ref="B29:C29" si="31">COUNTIF(B4:B20,"H")</f>
        <v>0</v>
      </c>
      <c r="C29">
        <f t="shared" si="31"/>
        <v>0</v>
      </c>
      <c r="D29">
        <f t="shared" ref="D29:F29" si="32">COUNTIF(D4:D20,"H")</f>
        <v>0</v>
      </c>
      <c r="E29">
        <f t="shared" si="32"/>
        <v>0</v>
      </c>
      <c r="F29">
        <f t="shared" si="32"/>
        <v>0</v>
      </c>
      <c r="G29">
        <f t="shared" ref="G29:AG29" si="33">COUNTIF(G4:G20,"H")</f>
        <v>0</v>
      </c>
      <c r="H29">
        <f t="shared" si="33"/>
        <v>2</v>
      </c>
      <c r="I29">
        <f t="shared" si="33"/>
        <v>0</v>
      </c>
      <c r="J29">
        <f t="shared" si="33"/>
        <v>0</v>
      </c>
      <c r="K29">
        <f t="shared" si="33"/>
        <v>0</v>
      </c>
      <c r="L29">
        <f t="shared" si="33"/>
        <v>0</v>
      </c>
      <c r="M29">
        <f t="shared" si="33"/>
        <v>0</v>
      </c>
      <c r="N29">
        <f t="shared" si="33"/>
        <v>0</v>
      </c>
      <c r="O29">
        <f t="shared" si="33"/>
        <v>0</v>
      </c>
      <c r="P29">
        <f t="shared" si="33"/>
        <v>0</v>
      </c>
      <c r="Q29">
        <f t="shared" si="33"/>
        <v>0</v>
      </c>
      <c r="R29">
        <f t="shared" si="33"/>
        <v>0</v>
      </c>
      <c r="S29">
        <f t="shared" si="33"/>
        <v>0</v>
      </c>
      <c r="T29">
        <f t="shared" si="33"/>
        <v>0</v>
      </c>
      <c r="U29">
        <f t="shared" si="33"/>
        <v>0</v>
      </c>
      <c r="V29">
        <f t="shared" si="33"/>
        <v>1</v>
      </c>
      <c r="W29">
        <f t="shared" si="33"/>
        <v>0</v>
      </c>
      <c r="X29">
        <f t="shared" si="33"/>
        <v>0</v>
      </c>
      <c r="Y29">
        <f t="shared" si="33"/>
        <v>1</v>
      </c>
      <c r="Z29">
        <f t="shared" si="33"/>
        <v>0</v>
      </c>
      <c r="AA29">
        <f t="shared" si="33"/>
        <v>0</v>
      </c>
      <c r="AB29">
        <f t="shared" si="33"/>
        <v>0</v>
      </c>
      <c r="AC29">
        <f t="shared" si="33"/>
        <v>0</v>
      </c>
      <c r="AD29">
        <f t="shared" si="33"/>
        <v>0</v>
      </c>
      <c r="AE29">
        <f t="shared" si="33"/>
        <v>0</v>
      </c>
      <c r="AF29">
        <f t="shared" si="33"/>
        <v>5</v>
      </c>
      <c r="AG29">
        <f t="shared" si="33"/>
        <v>0</v>
      </c>
    </row>
    <row r="30" spans="1:33" x14ac:dyDescent="0.35">
      <c r="A30" s="189" t="s">
        <v>162</v>
      </c>
      <c r="B30" s="138">
        <f t="shared" ref="B30:AE30" si="34">SUM(B22:B29)</f>
        <v>15</v>
      </c>
      <c r="C30" s="138">
        <f t="shared" si="34"/>
        <v>15</v>
      </c>
      <c r="D30" s="138">
        <f t="shared" ref="D30:F30" si="35">SUM(D22:D29)</f>
        <v>15</v>
      </c>
      <c r="E30" s="138">
        <f t="shared" si="35"/>
        <v>15</v>
      </c>
      <c r="F30" s="138">
        <f t="shared" si="35"/>
        <v>15</v>
      </c>
      <c r="G30" s="138">
        <f t="shared" si="34"/>
        <v>15</v>
      </c>
      <c r="H30" s="138">
        <f t="shared" si="34"/>
        <v>15</v>
      </c>
      <c r="I30" s="138">
        <f t="shared" si="34"/>
        <v>15</v>
      </c>
      <c r="J30" s="138">
        <f t="shared" si="34"/>
        <v>15</v>
      </c>
      <c r="K30" s="138">
        <f t="shared" ref="K30:O30" si="36">SUM(K22:K29)</f>
        <v>15</v>
      </c>
      <c r="L30" s="138">
        <f t="shared" si="36"/>
        <v>15</v>
      </c>
      <c r="M30" s="138">
        <f t="shared" si="36"/>
        <v>15</v>
      </c>
      <c r="N30" s="138">
        <f t="shared" si="36"/>
        <v>15</v>
      </c>
      <c r="O30" s="138">
        <f t="shared" si="36"/>
        <v>15</v>
      </c>
      <c r="P30" s="138">
        <f t="shared" si="34"/>
        <v>15</v>
      </c>
      <c r="Q30" s="138">
        <f t="shared" si="34"/>
        <v>15</v>
      </c>
      <c r="R30" s="138">
        <f t="shared" ref="R30:V30" si="37">SUM(R22:R29)</f>
        <v>15</v>
      </c>
      <c r="S30" s="138">
        <f t="shared" si="37"/>
        <v>15</v>
      </c>
      <c r="T30" s="138">
        <f t="shared" si="37"/>
        <v>15</v>
      </c>
      <c r="U30" s="138">
        <f t="shared" si="37"/>
        <v>15</v>
      </c>
      <c r="V30" s="138">
        <f t="shared" si="37"/>
        <v>15</v>
      </c>
      <c r="W30" s="138">
        <f t="shared" si="34"/>
        <v>15</v>
      </c>
      <c r="X30" s="138">
        <f t="shared" si="34"/>
        <v>15</v>
      </c>
      <c r="Y30" s="138">
        <f t="shared" ref="Y30:AC30" si="38">SUM(Y22:Y29)</f>
        <v>15</v>
      </c>
      <c r="Z30" s="138">
        <f t="shared" si="38"/>
        <v>15</v>
      </c>
      <c r="AA30" s="138">
        <f t="shared" si="38"/>
        <v>15</v>
      </c>
      <c r="AB30" s="138">
        <f t="shared" si="38"/>
        <v>15</v>
      </c>
      <c r="AC30" s="138">
        <f t="shared" si="38"/>
        <v>15</v>
      </c>
      <c r="AD30" s="138">
        <f t="shared" si="34"/>
        <v>15</v>
      </c>
      <c r="AE30" s="138">
        <f t="shared" si="34"/>
        <v>15</v>
      </c>
      <c r="AF30" s="138">
        <f t="shared" ref="AF30:AG30" si="39">SUM(AF22:AF29)</f>
        <v>15</v>
      </c>
      <c r="AG30" s="138">
        <f t="shared" si="39"/>
        <v>15</v>
      </c>
    </row>
  </sheetData>
  <conditionalFormatting sqref="G22:H25">
    <cfRule type="cellIs" dxfId="127" priority="18" operator="lessThan">
      <formula>3</formula>
    </cfRule>
  </conditionalFormatting>
  <conditionalFormatting sqref="B22:C25">
    <cfRule type="cellIs" dxfId="126" priority="10" operator="lessThan">
      <formula>3</formula>
    </cfRule>
  </conditionalFormatting>
  <conditionalFormatting sqref="I22:J25">
    <cfRule type="cellIs" dxfId="125" priority="9" operator="lessThan">
      <formula>3</formula>
    </cfRule>
  </conditionalFormatting>
  <conditionalFormatting sqref="P22:Q25">
    <cfRule type="cellIs" dxfId="124" priority="8" operator="lessThan">
      <formula>3</formula>
    </cfRule>
  </conditionalFormatting>
  <conditionalFormatting sqref="W22:X25">
    <cfRule type="cellIs" dxfId="123" priority="7" operator="lessThan">
      <formula>3</formula>
    </cfRule>
  </conditionalFormatting>
  <conditionalFormatting sqref="AD22:AE25">
    <cfRule type="cellIs" dxfId="122" priority="6" operator="lessThan">
      <formula>3</formula>
    </cfRule>
  </conditionalFormatting>
  <conditionalFormatting sqref="D22:F25">
    <cfRule type="cellIs" dxfId="121" priority="5" operator="lessThan">
      <formula>3</formula>
    </cfRule>
  </conditionalFormatting>
  <conditionalFormatting sqref="K22:O25">
    <cfRule type="cellIs" dxfId="120" priority="4" operator="lessThan">
      <formula>3</formula>
    </cfRule>
  </conditionalFormatting>
  <conditionalFormatting sqref="R22:V25">
    <cfRule type="cellIs" dxfId="119" priority="3" operator="lessThan">
      <formula>3</formula>
    </cfRule>
  </conditionalFormatting>
  <conditionalFormatting sqref="Y22:AC25">
    <cfRule type="cellIs" dxfId="118" priority="2" operator="lessThan">
      <formula>3</formula>
    </cfRule>
  </conditionalFormatting>
  <conditionalFormatting sqref="AF22:AG25">
    <cfRule type="cellIs" dxfId="117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M30"/>
  <sheetViews>
    <sheetView zoomScale="56" zoomScaleNormal="56" zoomScaleSheetLayoutView="62" workbookViewId="0">
      <pane xSplit="1" topLeftCell="B1" activePane="topRight" state="frozen"/>
      <selection pane="topRight" activeCell="E7" sqref="E7"/>
    </sheetView>
  </sheetViews>
  <sheetFormatPr defaultRowHeight="14.5" x14ac:dyDescent="0.35"/>
  <cols>
    <col min="1" max="1" width="21.7265625" bestFit="1" customWidth="1"/>
    <col min="2" max="2" width="8.453125" customWidth="1"/>
    <col min="3" max="3" width="8.7265625" customWidth="1"/>
    <col min="4" max="4" width="8.36328125" customWidth="1"/>
    <col min="5" max="39" width="8.7265625" customWidth="1"/>
  </cols>
  <sheetData>
    <row r="1" spans="1:39" x14ac:dyDescent="0.35">
      <c r="A1" s="70"/>
      <c r="B1" s="2" t="str">
        <f t="shared" ref="B1:D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ref="E1:AM1" si="1">TEXT(E2,"ddd")</f>
        <v>Mon</v>
      </c>
      <c r="F1" s="2" t="str">
        <f t="shared" si="1"/>
        <v>Tue</v>
      </c>
      <c r="G1" s="2" t="str">
        <f t="shared" si="1"/>
        <v>Wed</v>
      </c>
      <c r="H1" s="2" t="str">
        <f t="shared" si="1"/>
        <v>Thu</v>
      </c>
      <c r="I1" s="2" t="str">
        <f t="shared" si="1"/>
        <v>Fri</v>
      </c>
      <c r="J1" s="2" t="str">
        <f t="shared" si="1"/>
        <v>Sat</v>
      </c>
      <c r="K1" s="2" t="str">
        <f t="shared" si="1"/>
        <v>Sun</v>
      </c>
      <c r="L1" s="2" t="str">
        <f t="shared" si="1"/>
        <v>Mon</v>
      </c>
      <c r="M1" s="2" t="str">
        <f t="shared" si="1"/>
        <v>Tue</v>
      </c>
      <c r="N1" s="2" t="str">
        <f t="shared" si="1"/>
        <v>Wed</v>
      </c>
      <c r="O1" s="2" t="str">
        <f t="shared" si="1"/>
        <v>Thu</v>
      </c>
      <c r="P1" s="2" t="str">
        <f t="shared" si="1"/>
        <v>Fri</v>
      </c>
      <c r="Q1" s="2" t="str">
        <f t="shared" si="1"/>
        <v>Sat</v>
      </c>
      <c r="R1" s="2" t="str">
        <f t="shared" si="1"/>
        <v>Sun</v>
      </c>
      <c r="S1" s="2" t="str">
        <f t="shared" si="1"/>
        <v>Mon</v>
      </c>
      <c r="T1" s="2" t="str">
        <f t="shared" si="1"/>
        <v>Tue</v>
      </c>
      <c r="U1" s="2" t="str">
        <f t="shared" si="1"/>
        <v>Wed</v>
      </c>
      <c r="V1" s="2" t="str">
        <f t="shared" si="1"/>
        <v>Thu</v>
      </c>
      <c r="W1" s="2" t="str">
        <f t="shared" si="1"/>
        <v>Fri</v>
      </c>
      <c r="X1" s="2" t="str">
        <f t="shared" si="1"/>
        <v>Sat</v>
      </c>
      <c r="Y1" s="2" t="str">
        <f t="shared" si="1"/>
        <v>Sun</v>
      </c>
      <c r="Z1" s="2" t="str">
        <f t="shared" si="1"/>
        <v>Mon</v>
      </c>
      <c r="AA1" s="2" t="str">
        <f t="shared" si="1"/>
        <v>Tue</v>
      </c>
      <c r="AB1" s="2" t="str">
        <f t="shared" si="1"/>
        <v>Wed</v>
      </c>
      <c r="AC1" s="2" t="str">
        <f t="shared" si="1"/>
        <v>Thu</v>
      </c>
      <c r="AD1" s="2" t="str">
        <f t="shared" si="1"/>
        <v>Fri</v>
      </c>
      <c r="AE1" s="2" t="str">
        <f t="shared" si="1"/>
        <v>Sat</v>
      </c>
      <c r="AF1" s="2" t="str">
        <f t="shared" si="1"/>
        <v>Sun</v>
      </c>
      <c r="AG1" s="2" t="str">
        <f t="shared" si="1"/>
        <v>Mon</v>
      </c>
      <c r="AH1" s="2" t="str">
        <f t="shared" si="1"/>
        <v>Tue</v>
      </c>
      <c r="AI1" s="2" t="str">
        <f t="shared" si="1"/>
        <v>Wed</v>
      </c>
      <c r="AJ1" s="2" t="str">
        <f t="shared" si="1"/>
        <v>Thu</v>
      </c>
      <c r="AK1" s="2" t="str">
        <f t="shared" si="1"/>
        <v>Fri</v>
      </c>
      <c r="AL1" s="2" t="str">
        <f t="shared" si="1"/>
        <v>Sat</v>
      </c>
      <c r="AM1" s="2" t="str">
        <f t="shared" si="1"/>
        <v>Sun</v>
      </c>
    </row>
    <row r="2" spans="1:39" x14ac:dyDescent="0.35">
      <c r="A2" s="104" t="s">
        <v>0</v>
      </c>
      <c r="B2" s="31">
        <v>45044</v>
      </c>
      <c r="C2" s="31">
        <v>45045</v>
      </c>
      <c r="D2" s="31">
        <v>45046</v>
      </c>
      <c r="E2" s="31">
        <v>45047</v>
      </c>
      <c r="F2" s="31">
        <v>45048</v>
      </c>
      <c r="G2" s="31">
        <v>45049</v>
      </c>
      <c r="H2" s="31">
        <v>45050</v>
      </c>
      <c r="I2" s="31">
        <v>45051</v>
      </c>
      <c r="J2" s="31">
        <v>45052</v>
      </c>
      <c r="K2" s="31">
        <v>45053</v>
      </c>
      <c r="L2" s="31">
        <v>45054</v>
      </c>
      <c r="M2" s="31">
        <v>45055</v>
      </c>
      <c r="N2" s="31">
        <v>45056</v>
      </c>
      <c r="O2" s="31">
        <v>45057</v>
      </c>
      <c r="P2" s="31">
        <v>45058</v>
      </c>
      <c r="Q2" s="31">
        <v>45059</v>
      </c>
      <c r="R2" s="31">
        <v>45060</v>
      </c>
      <c r="S2" s="31">
        <v>45061</v>
      </c>
      <c r="T2" s="31">
        <v>45062</v>
      </c>
      <c r="U2" s="31">
        <v>45063</v>
      </c>
      <c r="V2" s="31">
        <v>45064</v>
      </c>
      <c r="W2" s="31">
        <v>45065</v>
      </c>
      <c r="X2" s="31">
        <v>45066</v>
      </c>
      <c r="Y2" s="31">
        <v>45067</v>
      </c>
      <c r="Z2" s="31">
        <v>45068</v>
      </c>
      <c r="AA2" s="31">
        <v>45069</v>
      </c>
      <c r="AB2" s="31">
        <v>45070</v>
      </c>
      <c r="AC2" s="31">
        <v>45071</v>
      </c>
      <c r="AD2" s="31">
        <v>45072</v>
      </c>
      <c r="AE2" s="31">
        <v>45073</v>
      </c>
      <c r="AF2" s="31">
        <v>45074</v>
      </c>
      <c r="AG2" s="31">
        <v>45075</v>
      </c>
      <c r="AH2" s="31">
        <v>45076</v>
      </c>
      <c r="AI2" s="31">
        <v>45077</v>
      </c>
      <c r="AJ2" s="31">
        <v>45078</v>
      </c>
      <c r="AK2" s="31">
        <v>45079</v>
      </c>
      <c r="AL2" s="31">
        <v>45080</v>
      </c>
      <c r="AM2" s="31">
        <v>45081</v>
      </c>
    </row>
    <row r="3" spans="1:39" x14ac:dyDescent="0.35">
      <c r="A3" s="105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</row>
    <row r="4" spans="1:39" x14ac:dyDescent="0.35">
      <c r="A4" s="193" t="s">
        <v>9</v>
      </c>
      <c r="B4" s="19" t="s">
        <v>41</v>
      </c>
      <c r="C4" s="25" t="s">
        <v>3</v>
      </c>
      <c r="D4" s="25" t="s">
        <v>3</v>
      </c>
      <c r="E4" s="19" t="s">
        <v>42</v>
      </c>
      <c r="F4" s="25" t="s">
        <v>6</v>
      </c>
      <c r="G4" s="25" t="s">
        <v>6</v>
      </c>
      <c r="H4" s="25" t="s">
        <v>6</v>
      </c>
      <c r="I4" s="25" t="s">
        <v>6</v>
      </c>
      <c r="J4" s="25" t="s">
        <v>3</v>
      </c>
      <c r="K4" s="131" t="s">
        <v>4</v>
      </c>
      <c r="L4" s="25" t="s">
        <v>6</v>
      </c>
      <c r="M4" s="25" t="s">
        <v>6</v>
      </c>
      <c r="N4" s="25" t="s">
        <v>6</v>
      </c>
      <c r="O4" s="25" t="s">
        <v>6</v>
      </c>
      <c r="P4" s="25" t="s">
        <v>6</v>
      </c>
      <c r="Q4" s="131" t="s">
        <v>4</v>
      </c>
      <c r="R4" s="131" t="s">
        <v>4</v>
      </c>
      <c r="S4" s="25" t="s">
        <v>6</v>
      </c>
      <c r="T4" s="25" t="s">
        <v>6</v>
      </c>
      <c r="U4" s="184" t="s">
        <v>2</v>
      </c>
      <c r="V4" s="184" t="s">
        <v>2</v>
      </c>
      <c r="W4" s="25" t="s">
        <v>6</v>
      </c>
      <c r="X4" s="25" t="s">
        <v>3</v>
      </c>
      <c r="Y4" s="131" t="s">
        <v>4</v>
      </c>
      <c r="Z4" s="25" t="s">
        <v>6</v>
      </c>
      <c r="AA4" s="25" t="s">
        <v>6</v>
      </c>
      <c r="AB4" s="25" t="s">
        <v>6</v>
      </c>
      <c r="AC4" s="184" t="s">
        <v>2</v>
      </c>
      <c r="AD4" s="25" t="s">
        <v>6</v>
      </c>
      <c r="AE4" s="123" t="s">
        <v>4</v>
      </c>
      <c r="AF4" s="25" t="s">
        <v>3</v>
      </c>
      <c r="AG4" s="25" t="s">
        <v>6</v>
      </c>
      <c r="AH4" s="25" t="s">
        <v>6</v>
      </c>
      <c r="AI4" s="184" t="s">
        <v>2</v>
      </c>
      <c r="AJ4" s="185" t="s">
        <v>10</v>
      </c>
      <c r="AK4" s="185" t="s">
        <v>10</v>
      </c>
      <c r="AL4" s="185" t="s">
        <v>11</v>
      </c>
      <c r="AM4" s="185" t="s">
        <v>11</v>
      </c>
    </row>
    <row r="5" spans="1:39" x14ac:dyDescent="0.35">
      <c r="A5" s="182" t="s">
        <v>21</v>
      </c>
      <c r="B5" s="185" t="s">
        <v>10</v>
      </c>
      <c r="C5" s="185" t="s">
        <v>11</v>
      </c>
      <c r="D5" s="123" t="s">
        <v>4</v>
      </c>
      <c r="E5" s="183" t="s">
        <v>37</v>
      </c>
      <c r="F5" s="131" t="s">
        <v>5</v>
      </c>
      <c r="G5" s="131" t="s">
        <v>5</v>
      </c>
      <c r="H5" s="131" t="s">
        <v>5</v>
      </c>
      <c r="I5" s="131" t="s">
        <v>5</v>
      </c>
      <c r="J5" s="131" t="s">
        <v>4</v>
      </c>
      <c r="K5" s="131" t="s">
        <v>4</v>
      </c>
      <c r="L5" s="131" t="s">
        <v>5</v>
      </c>
      <c r="M5" s="131" t="s">
        <v>5</v>
      </c>
      <c r="N5" s="25" t="s">
        <v>6</v>
      </c>
      <c r="O5" s="25" t="s">
        <v>6</v>
      </c>
      <c r="P5" s="25" t="s">
        <v>6</v>
      </c>
      <c r="Q5" s="25" t="s">
        <v>3</v>
      </c>
      <c r="R5" s="123" t="s">
        <v>4</v>
      </c>
      <c r="S5" s="184" t="s">
        <v>2</v>
      </c>
      <c r="T5" s="25" t="s">
        <v>6</v>
      </c>
      <c r="U5" s="25" t="s">
        <v>6</v>
      </c>
      <c r="V5" s="25" t="s">
        <v>6</v>
      </c>
      <c r="W5" s="25" t="s">
        <v>6</v>
      </c>
      <c r="X5" s="123" t="s">
        <v>4</v>
      </c>
      <c r="Y5" s="25" t="s">
        <v>3</v>
      </c>
      <c r="Z5" s="25" t="s">
        <v>6</v>
      </c>
      <c r="AA5" s="184" t="s">
        <v>2</v>
      </c>
      <c r="AB5" s="25" t="s">
        <v>6</v>
      </c>
      <c r="AC5" s="25" t="s">
        <v>6</v>
      </c>
      <c r="AD5" s="218" t="s">
        <v>34</v>
      </c>
      <c r="AE5" s="25" t="s">
        <v>3</v>
      </c>
      <c r="AF5" s="123" t="s">
        <v>4</v>
      </c>
      <c r="AG5" s="25" t="s">
        <v>6</v>
      </c>
      <c r="AH5" s="25" t="s">
        <v>6</v>
      </c>
      <c r="AI5" s="25" t="s">
        <v>6</v>
      </c>
      <c r="AJ5" s="184" t="s">
        <v>2</v>
      </c>
      <c r="AK5" s="19" t="s">
        <v>41</v>
      </c>
      <c r="AL5" s="123" t="s">
        <v>4</v>
      </c>
      <c r="AM5" s="19" t="s">
        <v>42</v>
      </c>
    </row>
    <row r="6" spans="1:39" x14ac:dyDescent="0.35">
      <c r="A6" s="182" t="s">
        <v>75</v>
      </c>
      <c r="B6" s="184" t="s">
        <v>2</v>
      </c>
      <c r="C6" s="123" t="s">
        <v>4</v>
      </c>
      <c r="D6" s="25" t="s">
        <v>3</v>
      </c>
      <c r="E6" s="25" t="s">
        <v>3</v>
      </c>
      <c r="F6" s="25" t="s">
        <v>6</v>
      </c>
      <c r="G6" s="25" t="s">
        <v>6</v>
      </c>
      <c r="H6" s="25" t="s">
        <v>6</v>
      </c>
      <c r="I6" s="25" t="s">
        <v>6</v>
      </c>
      <c r="J6" s="123" t="s">
        <v>4</v>
      </c>
      <c r="K6" s="25" t="s">
        <v>3</v>
      </c>
      <c r="L6" s="25" t="s">
        <v>6</v>
      </c>
      <c r="M6" s="25" t="s">
        <v>6</v>
      </c>
      <c r="N6" s="25" t="s">
        <v>6</v>
      </c>
      <c r="O6" s="184" t="s">
        <v>2</v>
      </c>
      <c r="P6" s="184" t="s">
        <v>2</v>
      </c>
      <c r="Q6" s="123" t="s">
        <v>4</v>
      </c>
      <c r="R6" s="25" t="s">
        <v>3</v>
      </c>
      <c r="S6" s="25" t="s">
        <v>6</v>
      </c>
      <c r="T6" s="25" t="s">
        <v>6</v>
      </c>
      <c r="U6" s="25" t="s">
        <v>6</v>
      </c>
      <c r="V6" s="25" t="s">
        <v>6</v>
      </c>
      <c r="W6" s="184" t="s">
        <v>2</v>
      </c>
      <c r="X6" s="123" t="s">
        <v>4</v>
      </c>
      <c r="Y6" s="25" t="s">
        <v>3</v>
      </c>
      <c r="Z6" s="25" t="s">
        <v>6</v>
      </c>
      <c r="AA6" s="25" t="s">
        <v>6</v>
      </c>
      <c r="AB6" s="25" t="s">
        <v>6</v>
      </c>
      <c r="AC6" s="25" t="s">
        <v>6</v>
      </c>
      <c r="AD6" s="25" t="s">
        <v>6</v>
      </c>
      <c r="AE6" s="123" t="s">
        <v>4</v>
      </c>
      <c r="AF6" s="123" t="s">
        <v>4</v>
      </c>
      <c r="AG6" s="25" t="s">
        <v>6</v>
      </c>
      <c r="AH6" s="25" t="s">
        <v>6</v>
      </c>
      <c r="AI6" s="25" t="s">
        <v>6</v>
      </c>
      <c r="AJ6" s="19" t="s">
        <v>41</v>
      </c>
      <c r="AK6" s="184" t="s">
        <v>2</v>
      </c>
      <c r="AL6" s="123" t="s">
        <v>4</v>
      </c>
      <c r="AM6" s="123" t="s">
        <v>4</v>
      </c>
    </row>
    <row r="7" spans="1:39" x14ac:dyDescent="0.35">
      <c r="A7" s="182" t="s">
        <v>77</v>
      </c>
      <c r="B7" s="185" t="s">
        <v>10</v>
      </c>
      <c r="C7" s="185" t="s">
        <v>11</v>
      </c>
      <c r="D7" s="123" t="s">
        <v>4</v>
      </c>
      <c r="E7" s="183" t="s">
        <v>37</v>
      </c>
      <c r="F7" s="131" t="s">
        <v>5</v>
      </c>
      <c r="G7" s="25" t="s">
        <v>6</v>
      </c>
      <c r="H7" s="131" t="s">
        <v>5</v>
      </c>
      <c r="I7" s="25" t="s">
        <v>6</v>
      </c>
      <c r="J7" s="25" t="s">
        <v>3</v>
      </c>
      <c r="K7" s="123" t="s">
        <v>4</v>
      </c>
      <c r="L7" s="184" t="s">
        <v>2</v>
      </c>
      <c r="M7" s="25" t="s">
        <v>6</v>
      </c>
      <c r="N7" s="25" t="s">
        <v>6</v>
      </c>
      <c r="O7" s="25" t="s">
        <v>6</v>
      </c>
      <c r="P7" s="25" t="s">
        <v>6</v>
      </c>
      <c r="Q7" s="25" t="s">
        <v>3</v>
      </c>
      <c r="R7" s="19" t="s">
        <v>42</v>
      </c>
      <c r="S7" s="184" t="s">
        <v>2</v>
      </c>
      <c r="T7" s="25" t="s">
        <v>6</v>
      </c>
      <c r="U7" s="25" t="s">
        <v>6</v>
      </c>
      <c r="V7" s="25" t="s">
        <v>6</v>
      </c>
      <c r="W7" s="25" t="s">
        <v>6</v>
      </c>
      <c r="X7" s="25" t="s">
        <v>3</v>
      </c>
      <c r="Y7" s="123" t="s">
        <v>4</v>
      </c>
      <c r="Z7" s="184" t="s">
        <v>2</v>
      </c>
      <c r="AA7" s="25" t="s">
        <v>6</v>
      </c>
      <c r="AB7" s="25" t="s">
        <v>6</v>
      </c>
      <c r="AC7" s="25" t="s">
        <v>6</v>
      </c>
      <c r="AD7" s="25" t="s">
        <v>6</v>
      </c>
      <c r="AE7" s="25" t="s">
        <v>3</v>
      </c>
      <c r="AF7" s="123" t="s">
        <v>4</v>
      </c>
      <c r="AG7" s="184" t="s">
        <v>2</v>
      </c>
      <c r="AH7" s="25" t="s">
        <v>6</v>
      </c>
      <c r="AI7" s="25" t="s">
        <v>6</v>
      </c>
      <c r="AJ7" s="19" t="s">
        <v>41</v>
      </c>
      <c r="AK7" s="19" t="s">
        <v>41</v>
      </c>
      <c r="AL7" s="19" t="s">
        <v>42</v>
      </c>
      <c r="AM7" s="123" t="s">
        <v>4</v>
      </c>
    </row>
    <row r="8" spans="1:39" x14ac:dyDescent="0.35">
      <c r="A8" s="182" t="s">
        <v>76</v>
      </c>
      <c r="B8" s="185" t="s">
        <v>10</v>
      </c>
      <c r="C8" s="123" t="s">
        <v>4</v>
      </c>
      <c r="D8" s="123" t="s">
        <v>4</v>
      </c>
      <c r="E8" s="25" t="s">
        <v>3</v>
      </c>
      <c r="F8" s="25" t="s">
        <v>6</v>
      </c>
      <c r="G8" s="25" t="s">
        <v>6</v>
      </c>
      <c r="H8" s="25" t="s">
        <v>6</v>
      </c>
      <c r="I8" s="25" t="s">
        <v>6</v>
      </c>
      <c r="J8" s="123" t="s">
        <v>4</v>
      </c>
      <c r="K8" s="25" t="s">
        <v>3</v>
      </c>
      <c r="L8" s="25" t="s">
        <v>6</v>
      </c>
      <c r="M8" s="25" t="s">
        <v>6</v>
      </c>
      <c r="N8" s="184" t="s">
        <v>2</v>
      </c>
      <c r="O8" s="25" t="s">
        <v>6</v>
      </c>
      <c r="P8" s="25" t="s">
        <v>6</v>
      </c>
      <c r="Q8" s="123" t="s">
        <v>4</v>
      </c>
      <c r="R8" s="25" t="s">
        <v>3</v>
      </c>
      <c r="S8" s="25" t="s">
        <v>6</v>
      </c>
      <c r="T8" s="184" t="s">
        <v>2</v>
      </c>
      <c r="U8" s="25" t="s">
        <v>6</v>
      </c>
      <c r="V8" s="25" t="s">
        <v>6</v>
      </c>
      <c r="W8" s="25" t="s">
        <v>6</v>
      </c>
      <c r="X8" s="22" t="s">
        <v>30</v>
      </c>
      <c r="Y8" s="123" t="s">
        <v>4</v>
      </c>
      <c r="Z8" s="25" t="s">
        <v>6</v>
      </c>
      <c r="AA8" s="25" t="s">
        <v>6</v>
      </c>
      <c r="AB8" s="184" t="s">
        <v>2</v>
      </c>
      <c r="AC8" s="25" t="s">
        <v>6</v>
      </c>
      <c r="AD8" s="25" t="s">
        <v>6</v>
      </c>
      <c r="AE8" s="22" t="s">
        <v>30</v>
      </c>
      <c r="AF8" s="123" t="s">
        <v>4</v>
      </c>
      <c r="AG8" s="25" t="s">
        <v>6</v>
      </c>
      <c r="AH8" s="184" t="s">
        <v>2</v>
      </c>
      <c r="AI8" s="25" t="s">
        <v>6</v>
      </c>
      <c r="AJ8" s="19" t="s">
        <v>41</v>
      </c>
      <c r="AK8" s="19" t="s">
        <v>41</v>
      </c>
      <c r="AL8" s="22" t="s">
        <v>30</v>
      </c>
      <c r="AM8" s="123" t="s">
        <v>4</v>
      </c>
    </row>
    <row r="9" spans="1:39" x14ac:dyDescent="0.35">
      <c r="A9" s="194"/>
    </row>
    <row r="10" spans="1:39" x14ac:dyDescent="0.35">
      <c r="A10" s="193" t="s">
        <v>57</v>
      </c>
      <c r="B10" s="185" t="s">
        <v>10</v>
      </c>
      <c r="C10" s="185" t="s">
        <v>11</v>
      </c>
      <c r="D10" s="123" t="s">
        <v>4</v>
      </c>
      <c r="E10" s="183" t="s">
        <v>37</v>
      </c>
      <c r="F10" s="19" t="s">
        <v>41</v>
      </c>
      <c r="G10" s="19" t="s">
        <v>41</v>
      </c>
      <c r="H10" s="19" t="s">
        <v>41</v>
      </c>
      <c r="I10" s="19" t="s">
        <v>41</v>
      </c>
      <c r="J10" s="19" t="s">
        <v>42</v>
      </c>
      <c r="K10" s="123" t="s">
        <v>4</v>
      </c>
      <c r="L10" s="184" t="s">
        <v>2</v>
      </c>
      <c r="M10" s="19" t="s">
        <v>41</v>
      </c>
      <c r="N10" s="19" t="s">
        <v>41</v>
      </c>
      <c r="O10" s="19" t="s">
        <v>41</v>
      </c>
      <c r="P10" s="19" t="s">
        <v>41</v>
      </c>
      <c r="Q10" s="19" t="s">
        <v>42</v>
      </c>
      <c r="R10" s="19" t="s">
        <v>42</v>
      </c>
      <c r="S10" s="131" t="s">
        <v>5</v>
      </c>
      <c r="T10" s="131" t="s">
        <v>5</v>
      </c>
      <c r="U10" s="131" t="s">
        <v>5</v>
      </c>
      <c r="V10" s="131" t="s">
        <v>5</v>
      </c>
      <c r="W10" s="131" t="s">
        <v>5</v>
      </c>
      <c r="X10" s="131" t="s">
        <v>4</v>
      </c>
      <c r="Y10" s="19" t="s">
        <v>42</v>
      </c>
      <c r="Z10" s="19" t="s">
        <v>41</v>
      </c>
      <c r="AA10" s="19" t="s">
        <v>41</v>
      </c>
      <c r="AB10" s="19" t="s">
        <v>41</v>
      </c>
      <c r="AC10" s="19" t="s">
        <v>41</v>
      </c>
      <c r="AD10" s="19" t="s">
        <v>41</v>
      </c>
      <c r="AE10" s="19" t="s">
        <v>42</v>
      </c>
      <c r="AF10" s="123" t="s">
        <v>4</v>
      </c>
      <c r="AG10" s="184" t="s">
        <v>2</v>
      </c>
      <c r="AH10" s="19" t="s">
        <v>41</v>
      </c>
      <c r="AI10" s="19" t="s">
        <v>41</v>
      </c>
      <c r="AJ10" s="19" t="s">
        <v>41</v>
      </c>
      <c r="AK10" s="19" t="s">
        <v>41</v>
      </c>
      <c r="AL10" s="123" t="s">
        <v>4</v>
      </c>
      <c r="AM10" s="25" t="s">
        <v>3</v>
      </c>
    </row>
    <row r="11" spans="1:39" x14ac:dyDescent="0.35">
      <c r="A11" s="193" t="s">
        <v>15</v>
      </c>
      <c r="B11" s="25" t="s">
        <v>6</v>
      </c>
      <c r="C11" s="123" t="s">
        <v>4</v>
      </c>
      <c r="D11" s="19" t="s">
        <v>42</v>
      </c>
      <c r="E11" s="19" t="s">
        <v>42</v>
      </c>
      <c r="F11" s="19" t="s">
        <v>41</v>
      </c>
      <c r="G11" s="19" t="s">
        <v>41</v>
      </c>
      <c r="H11" s="19" t="s">
        <v>41</v>
      </c>
      <c r="I11" s="184" t="s">
        <v>2</v>
      </c>
      <c r="J11" s="123" t="s">
        <v>4</v>
      </c>
      <c r="K11" s="19" t="s">
        <v>42</v>
      </c>
      <c r="L11" s="19" t="s">
        <v>41</v>
      </c>
      <c r="M11" s="184" t="s">
        <v>2</v>
      </c>
      <c r="N11" s="19" t="s">
        <v>41</v>
      </c>
      <c r="O11" s="19" t="s">
        <v>41</v>
      </c>
      <c r="P11" s="184" t="s">
        <v>2</v>
      </c>
      <c r="Q11" s="123" t="s">
        <v>4</v>
      </c>
      <c r="R11" s="123" t="s">
        <v>4</v>
      </c>
      <c r="S11" s="19" t="s">
        <v>41</v>
      </c>
      <c r="T11" s="19" t="s">
        <v>41</v>
      </c>
      <c r="U11" s="19" t="s">
        <v>41</v>
      </c>
      <c r="V11" s="19" t="s">
        <v>41</v>
      </c>
      <c r="W11" s="19" t="s">
        <v>41</v>
      </c>
      <c r="X11" s="19" t="s">
        <v>42</v>
      </c>
      <c r="Y11" s="123" t="s">
        <v>4</v>
      </c>
      <c r="Z11" s="19" t="s">
        <v>41</v>
      </c>
      <c r="AA11" s="19" t="s">
        <v>41</v>
      </c>
      <c r="AB11" s="19" t="s">
        <v>41</v>
      </c>
      <c r="AC11" s="19" t="s">
        <v>41</v>
      </c>
      <c r="AD11" s="184" t="s">
        <v>2</v>
      </c>
      <c r="AE11" s="123" t="s">
        <v>4</v>
      </c>
      <c r="AF11" s="19" t="s">
        <v>42</v>
      </c>
      <c r="AG11" s="19" t="s">
        <v>41</v>
      </c>
      <c r="AH11" s="184" t="s">
        <v>2</v>
      </c>
      <c r="AI11" s="19" t="s">
        <v>41</v>
      </c>
      <c r="AJ11" s="185" t="s">
        <v>10</v>
      </c>
      <c r="AK11" s="184" t="s">
        <v>2</v>
      </c>
      <c r="AL11" s="123" t="s">
        <v>4</v>
      </c>
      <c r="AM11" s="185" t="s">
        <v>11</v>
      </c>
    </row>
    <row r="12" spans="1:39" x14ac:dyDescent="0.35">
      <c r="A12" s="182" t="s">
        <v>22</v>
      </c>
      <c r="B12" s="25" t="s">
        <v>6</v>
      </c>
      <c r="C12" s="25" t="s">
        <v>3</v>
      </c>
      <c r="D12" s="131" t="s">
        <v>4</v>
      </c>
      <c r="E12" s="183" t="s">
        <v>37</v>
      </c>
      <c r="F12" s="131" t="s">
        <v>5</v>
      </c>
      <c r="G12" s="131" t="s">
        <v>5</v>
      </c>
      <c r="H12" s="19" t="s">
        <v>41</v>
      </c>
      <c r="I12" s="19" t="s">
        <v>41</v>
      </c>
      <c r="J12" s="19" t="s">
        <v>42</v>
      </c>
      <c r="K12" s="123" t="s">
        <v>4</v>
      </c>
      <c r="L12" s="19" t="s">
        <v>41</v>
      </c>
      <c r="M12" s="19" t="s">
        <v>41</v>
      </c>
      <c r="N12" s="19" t="s">
        <v>41</v>
      </c>
      <c r="O12" s="184" t="s">
        <v>2</v>
      </c>
      <c r="P12" s="19" t="s">
        <v>41</v>
      </c>
      <c r="Q12" s="19" t="s">
        <v>42</v>
      </c>
      <c r="R12" s="123" t="s">
        <v>4</v>
      </c>
      <c r="S12" s="19" t="s">
        <v>41</v>
      </c>
      <c r="T12" s="19" t="s">
        <v>41</v>
      </c>
      <c r="U12" s="19" t="s">
        <v>41</v>
      </c>
      <c r="V12" s="19" t="s">
        <v>41</v>
      </c>
      <c r="W12" s="19" t="s">
        <v>41</v>
      </c>
      <c r="X12" s="131" t="s">
        <v>4</v>
      </c>
      <c r="Y12" s="131" t="s">
        <v>4</v>
      </c>
      <c r="Z12" s="131" t="s">
        <v>5</v>
      </c>
      <c r="AA12" s="19" t="s">
        <v>41</v>
      </c>
      <c r="AB12" s="19" t="s">
        <v>41</v>
      </c>
      <c r="AC12" s="19" t="s">
        <v>41</v>
      </c>
      <c r="AD12" s="19" t="s">
        <v>41</v>
      </c>
      <c r="AE12" s="19" t="s">
        <v>42</v>
      </c>
      <c r="AF12" s="25" t="s">
        <v>3</v>
      </c>
      <c r="AG12" s="19" t="s">
        <v>41</v>
      </c>
      <c r="AH12" s="19" t="s">
        <v>41</v>
      </c>
      <c r="AI12" s="19" t="s">
        <v>41</v>
      </c>
      <c r="AJ12" s="184" t="s">
        <v>2</v>
      </c>
      <c r="AK12" s="185" t="s">
        <v>10</v>
      </c>
      <c r="AL12" s="185" t="s">
        <v>11</v>
      </c>
      <c r="AM12" s="185" t="s">
        <v>11</v>
      </c>
    </row>
    <row r="13" spans="1:39" x14ac:dyDescent="0.35">
      <c r="A13" s="182" t="s">
        <v>181</v>
      </c>
      <c r="B13" s="22" t="s">
        <v>16</v>
      </c>
      <c r="C13" s="22" t="s">
        <v>30</v>
      </c>
      <c r="D13" s="123" t="s">
        <v>4</v>
      </c>
      <c r="E13" s="19" t="s">
        <v>42</v>
      </c>
      <c r="F13" s="19" t="s">
        <v>41</v>
      </c>
      <c r="G13" s="19" t="s">
        <v>41</v>
      </c>
      <c r="H13" s="184" t="s">
        <v>2</v>
      </c>
      <c r="I13" s="19" t="s">
        <v>41</v>
      </c>
      <c r="J13" s="22" t="s">
        <v>30</v>
      </c>
      <c r="K13" s="123" t="s">
        <v>4</v>
      </c>
      <c r="L13" s="184" t="s">
        <v>2</v>
      </c>
      <c r="M13" s="19" t="s">
        <v>41</v>
      </c>
      <c r="N13" s="19" t="s">
        <v>41</v>
      </c>
      <c r="O13" s="19" t="s">
        <v>41</v>
      </c>
      <c r="P13" s="19" t="s">
        <v>41</v>
      </c>
      <c r="Q13" s="22" t="s">
        <v>30</v>
      </c>
      <c r="R13" s="123" t="s">
        <v>4</v>
      </c>
      <c r="S13" s="19" t="s">
        <v>41</v>
      </c>
      <c r="T13" s="19" t="s">
        <v>41</v>
      </c>
      <c r="U13" s="184" t="s">
        <v>2</v>
      </c>
      <c r="V13" s="19" t="s">
        <v>41</v>
      </c>
      <c r="W13" s="184" t="s">
        <v>2</v>
      </c>
      <c r="X13" s="19" t="s">
        <v>42</v>
      </c>
      <c r="Y13" s="19" t="s">
        <v>42</v>
      </c>
      <c r="Z13" s="19" t="s">
        <v>41</v>
      </c>
      <c r="AA13" s="131" t="s">
        <v>5</v>
      </c>
      <c r="AB13" s="184" t="s">
        <v>2</v>
      </c>
      <c r="AC13" s="19" t="s">
        <v>41</v>
      </c>
      <c r="AD13" s="19" t="s">
        <v>41</v>
      </c>
      <c r="AE13" s="123" t="s">
        <v>4</v>
      </c>
      <c r="AF13" s="19" t="s">
        <v>42</v>
      </c>
      <c r="AG13" s="19" t="s">
        <v>41</v>
      </c>
      <c r="AH13" s="184" t="s">
        <v>2</v>
      </c>
      <c r="AI13" s="184" t="s">
        <v>2</v>
      </c>
      <c r="AJ13" s="185" t="s">
        <v>10</v>
      </c>
      <c r="AK13" s="185" t="s">
        <v>10</v>
      </c>
      <c r="AL13" s="123" t="s">
        <v>4</v>
      </c>
      <c r="AM13" s="123" t="s">
        <v>4</v>
      </c>
    </row>
    <row r="14" spans="1:39" x14ac:dyDescent="0.35">
      <c r="A14" s="182" t="s">
        <v>155</v>
      </c>
      <c r="B14" s="25" t="s">
        <v>6</v>
      </c>
      <c r="C14" s="123" t="s">
        <v>4</v>
      </c>
      <c r="D14" s="19" t="s">
        <v>42</v>
      </c>
      <c r="E14" s="183" t="s">
        <v>37</v>
      </c>
      <c r="F14" s="19" t="s">
        <v>41</v>
      </c>
      <c r="G14" s="19" t="s">
        <v>41</v>
      </c>
      <c r="H14" s="19" t="s">
        <v>41</v>
      </c>
      <c r="I14" s="19" t="s">
        <v>41</v>
      </c>
      <c r="J14" s="123" t="s">
        <v>4</v>
      </c>
      <c r="K14" s="19" t="s">
        <v>42</v>
      </c>
      <c r="L14" s="19" t="s">
        <v>41</v>
      </c>
      <c r="M14" s="19" t="s">
        <v>41</v>
      </c>
      <c r="N14" s="184" t="s">
        <v>2</v>
      </c>
      <c r="O14" s="19" t="s">
        <v>41</v>
      </c>
      <c r="P14" s="19" t="s">
        <v>41</v>
      </c>
      <c r="Q14" s="123" t="s">
        <v>4</v>
      </c>
      <c r="R14" s="123" t="s">
        <v>4</v>
      </c>
      <c r="S14" s="131" t="s">
        <v>34</v>
      </c>
      <c r="T14" s="19" t="s">
        <v>41</v>
      </c>
      <c r="U14" s="19" t="s">
        <v>41</v>
      </c>
      <c r="V14" s="19" t="s">
        <v>41</v>
      </c>
      <c r="W14" s="19" t="s">
        <v>41</v>
      </c>
      <c r="X14" s="131" t="s">
        <v>4</v>
      </c>
      <c r="Y14" s="131" t="s">
        <v>4</v>
      </c>
      <c r="Z14" s="131" t="s">
        <v>5</v>
      </c>
      <c r="AA14" s="131" t="s">
        <v>5</v>
      </c>
      <c r="AB14" s="131" t="s">
        <v>5</v>
      </c>
      <c r="AC14" s="131" t="s">
        <v>5</v>
      </c>
      <c r="AD14" s="131" t="s">
        <v>5</v>
      </c>
      <c r="AE14" s="131" t="s">
        <v>4</v>
      </c>
      <c r="AF14" s="131" t="s">
        <v>4</v>
      </c>
      <c r="AG14" s="19" t="s">
        <v>41</v>
      </c>
      <c r="AH14" s="19" t="s">
        <v>41</v>
      </c>
      <c r="AI14" s="19" t="s">
        <v>41</v>
      </c>
      <c r="AJ14" s="185" t="s">
        <v>10</v>
      </c>
      <c r="AK14" s="185" t="s">
        <v>10</v>
      </c>
      <c r="AL14" s="185" t="s">
        <v>11</v>
      </c>
      <c r="AM14" s="123" t="s">
        <v>4</v>
      </c>
    </row>
    <row r="16" spans="1:39" x14ac:dyDescent="0.35">
      <c r="A16" s="193" t="s">
        <v>1</v>
      </c>
      <c r="B16" s="131" t="s">
        <v>5</v>
      </c>
      <c r="C16" s="131" t="s">
        <v>4</v>
      </c>
      <c r="D16" s="131" t="s">
        <v>4</v>
      </c>
      <c r="E16" s="25" t="s">
        <v>3</v>
      </c>
      <c r="F16" s="185" t="s">
        <v>10</v>
      </c>
      <c r="G16" s="185" t="s">
        <v>10</v>
      </c>
      <c r="H16" s="184" t="s">
        <v>2</v>
      </c>
      <c r="I16" s="185" t="s">
        <v>10</v>
      </c>
      <c r="J16" s="123" t="s">
        <v>4</v>
      </c>
      <c r="K16" s="185" t="s">
        <v>11</v>
      </c>
      <c r="L16" s="185" t="s">
        <v>10</v>
      </c>
      <c r="M16" s="185" t="s">
        <v>10</v>
      </c>
      <c r="N16" s="185" t="s">
        <v>10</v>
      </c>
      <c r="O16" s="184" t="s">
        <v>2</v>
      </c>
      <c r="P16" s="185" t="s">
        <v>10</v>
      </c>
      <c r="Q16" s="123" t="s">
        <v>4</v>
      </c>
      <c r="R16" s="185" t="s">
        <v>11</v>
      </c>
      <c r="S16" s="185" t="s">
        <v>10</v>
      </c>
      <c r="T16" s="185" t="s">
        <v>10</v>
      </c>
      <c r="U16" s="185" t="s">
        <v>10</v>
      </c>
      <c r="V16" s="184" t="s">
        <v>2</v>
      </c>
      <c r="W16" s="185" t="s">
        <v>10</v>
      </c>
      <c r="X16" s="123" t="s">
        <v>4</v>
      </c>
      <c r="Y16" s="185" t="s">
        <v>11</v>
      </c>
      <c r="Z16" s="185" t="s">
        <v>10</v>
      </c>
      <c r="AA16" s="185" t="s">
        <v>10</v>
      </c>
      <c r="AB16" s="185" t="s">
        <v>10</v>
      </c>
      <c r="AC16" s="185" t="s">
        <v>10</v>
      </c>
      <c r="AD16" s="185" t="s">
        <v>10</v>
      </c>
      <c r="AE16" s="123" t="s">
        <v>4</v>
      </c>
      <c r="AF16" s="185" t="s">
        <v>11</v>
      </c>
      <c r="AG16" s="185" t="s">
        <v>10</v>
      </c>
      <c r="AH16" s="185" t="s">
        <v>10</v>
      </c>
      <c r="AI16" s="185" t="s">
        <v>10</v>
      </c>
      <c r="AJ16" s="184" t="s">
        <v>2</v>
      </c>
      <c r="AK16" s="184" t="s">
        <v>2</v>
      </c>
      <c r="AL16" s="19" t="s">
        <v>42</v>
      </c>
      <c r="AM16" s="19" t="s">
        <v>42</v>
      </c>
    </row>
    <row r="17" spans="1:39" x14ac:dyDescent="0.35">
      <c r="A17" s="193" t="s">
        <v>43</v>
      </c>
      <c r="B17" s="184" t="s">
        <v>2</v>
      </c>
      <c r="C17" s="19" t="s">
        <v>42</v>
      </c>
      <c r="D17" s="185" t="s">
        <v>11</v>
      </c>
      <c r="E17" s="185" t="s">
        <v>11</v>
      </c>
      <c r="F17" s="185" t="s">
        <v>10</v>
      </c>
      <c r="G17" s="184" t="s">
        <v>2</v>
      </c>
      <c r="H17" s="185" t="s">
        <v>10</v>
      </c>
      <c r="I17" s="185" t="s">
        <v>10</v>
      </c>
      <c r="J17" s="185" t="s">
        <v>11</v>
      </c>
      <c r="K17" s="123" t="s">
        <v>4</v>
      </c>
      <c r="L17" s="185" t="s">
        <v>10</v>
      </c>
      <c r="M17" s="185" t="s">
        <v>10</v>
      </c>
      <c r="N17" s="184" t="s">
        <v>2</v>
      </c>
      <c r="O17" s="185" t="s">
        <v>10</v>
      </c>
      <c r="P17" s="185" t="s">
        <v>10</v>
      </c>
      <c r="Q17" s="185" t="s">
        <v>11</v>
      </c>
      <c r="R17" s="123" t="s">
        <v>4</v>
      </c>
      <c r="S17" s="184" t="s">
        <v>2</v>
      </c>
      <c r="T17" s="185" t="s">
        <v>10</v>
      </c>
      <c r="U17" s="185" t="s">
        <v>10</v>
      </c>
      <c r="V17" s="185" t="s">
        <v>10</v>
      </c>
      <c r="W17" s="185" t="s">
        <v>10</v>
      </c>
      <c r="X17" s="185" t="s">
        <v>11</v>
      </c>
      <c r="Y17" s="123" t="s">
        <v>4</v>
      </c>
      <c r="Z17" s="184" t="s">
        <v>2</v>
      </c>
      <c r="AA17" s="131" t="s">
        <v>5</v>
      </c>
      <c r="AB17" s="131" t="s">
        <v>5</v>
      </c>
      <c r="AC17" s="131" t="s">
        <v>5</v>
      </c>
      <c r="AD17" s="185" t="s">
        <v>10</v>
      </c>
      <c r="AE17" s="185" t="s">
        <v>11</v>
      </c>
      <c r="AF17" s="123" t="s">
        <v>4</v>
      </c>
      <c r="AG17" s="185" t="s">
        <v>10</v>
      </c>
      <c r="AH17" s="185" t="s">
        <v>10</v>
      </c>
      <c r="AI17" s="184" t="s">
        <v>2</v>
      </c>
      <c r="AJ17" s="25" t="s">
        <v>6</v>
      </c>
      <c r="AK17" s="25" t="s">
        <v>6</v>
      </c>
      <c r="AL17" s="25" t="s">
        <v>3</v>
      </c>
      <c r="AM17" s="123" t="s">
        <v>4</v>
      </c>
    </row>
    <row r="18" spans="1:39" x14ac:dyDescent="0.35">
      <c r="A18" s="182" t="s">
        <v>74</v>
      </c>
      <c r="B18" s="131" t="s">
        <v>5</v>
      </c>
      <c r="C18" s="19" t="s">
        <v>42</v>
      </c>
      <c r="D18" s="185" t="s">
        <v>11</v>
      </c>
      <c r="E18" s="185" t="s">
        <v>11</v>
      </c>
      <c r="F18" s="185" t="s">
        <v>10</v>
      </c>
      <c r="G18" s="185" t="s">
        <v>10</v>
      </c>
      <c r="H18" s="185" t="s">
        <v>10</v>
      </c>
      <c r="I18" s="185" t="s">
        <v>10</v>
      </c>
      <c r="J18" s="185" t="s">
        <v>11</v>
      </c>
      <c r="K18" s="123" t="s">
        <v>4</v>
      </c>
      <c r="L18" s="184" t="s">
        <v>2</v>
      </c>
      <c r="M18" s="185" t="s">
        <v>10</v>
      </c>
      <c r="N18" s="185" t="s">
        <v>10</v>
      </c>
      <c r="O18" s="185" t="s">
        <v>10</v>
      </c>
      <c r="P18" s="185" t="s">
        <v>10</v>
      </c>
      <c r="Q18" s="185" t="s">
        <v>11</v>
      </c>
      <c r="R18" s="123" t="s">
        <v>4</v>
      </c>
      <c r="S18" s="184" t="s">
        <v>2</v>
      </c>
      <c r="T18" s="185" t="s">
        <v>10</v>
      </c>
      <c r="U18" s="185" t="s">
        <v>10</v>
      </c>
      <c r="V18" s="185" t="s">
        <v>10</v>
      </c>
      <c r="W18" s="185" t="s">
        <v>10</v>
      </c>
      <c r="X18" s="185" t="s">
        <v>11</v>
      </c>
      <c r="Y18" s="123" t="s">
        <v>4</v>
      </c>
      <c r="Z18" s="184" t="s">
        <v>2</v>
      </c>
      <c r="AA18" s="185" t="s">
        <v>10</v>
      </c>
      <c r="AB18" s="185" t="s">
        <v>10</v>
      </c>
      <c r="AC18" s="185" t="s">
        <v>10</v>
      </c>
      <c r="AD18" s="185" t="s">
        <v>10</v>
      </c>
      <c r="AE18" s="185" t="s">
        <v>11</v>
      </c>
      <c r="AF18" s="123" t="s">
        <v>4</v>
      </c>
      <c r="AG18" s="185" t="s">
        <v>10</v>
      </c>
      <c r="AH18" s="184" t="s">
        <v>2</v>
      </c>
      <c r="AI18" s="22" t="s">
        <v>16</v>
      </c>
      <c r="AJ18" s="25" t="s">
        <v>6</v>
      </c>
      <c r="AK18" s="25" t="s">
        <v>6</v>
      </c>
      <c r="AL18" s="123" t="s">
        <v>4</v>
      </c>
      <c r="AM18" s="25" t="s">
        <v>3</v>
      </c>
    </row>
    <row r="19" spans="1:39" x14ac:dyDescent="0.35">
      <c r="A19" s="182" t="s">
        <v>62</v>
      </c>
      <c r="B19" s="19" t="s">
        <v>41</v>
      </c>
      <c r="C19" s="123" t="s">
        <v>4</v>
      </c>
      <c r="D19" s="185" t="s">
        <v>11</v>
      </c>
      <c r="E19" s="185" t="s">
        <v>11</v>
      </c>
      <c r="F19" s="131" t="s">
        <v>5</v>
      </c>
      <c r="G19" s="27" t="s">
        <v>34</v>
      </c>
      <c r="H19" s="185" t="s">
        <v>10</v>
      </c>
      <c r="I19" s="184" t="s">
        <v>2</v>
      </c>
      <c r="J19" s="123" t="s">
        <v>4</v>
      </c>
      <c r="K19" s="185" t="s">
        <v>11</v>
      </c>
      <c r="L19" s="185" t="s">
        <v>10</v>
      </c>
      <c r="M19" s="185" t="s">
        <v>10</v>
      </c>
      <c r="N19" s="185" t="s">
        <v>10</v>
      </c>
      <c r="O19" s="185" t="s">
        <v>10</v>
      </c>
      <c r="P19" s="184" t="s">
        <v>2</v>
      </c>
      <c r="Q19" s="123" t="s">
        <v>4</v>
      </c>
      <c r="R19" s="185" t="s">
        <v>11</v>
      </c>
      <c r="S19" s="185" t="s">
        <v>10</v>
      </c>
      <c r="T19" s="185" t="s">
        <v>10</v>
      </c>
      <c r="U19" s="185" t="s">
        <v>10</v>
      </c>
      <c r="V19" s="185" t="s">
        <v>10</v>
      </c>
      <c r="W19" s="184" t="s">
        <v>2</v>
      </c>
      <c r="X19" s="123" t="s">
        <v>4</v>
      </c>
      <c r="Y19" s="185" t="s">
        <v>11</v>
      </c>
      <c r="Z19" s="185" t="s">
        <v>10</v>
      </c>
      <c r="AA19" s="185" t="s">
        <v>10</v>
      </c>
      <c r="AB19" s="185" t="s">
        <v>10</v>
      </c>
      <c r="AC19" s="185" t="s">
        <v>10</v>
      </c>
      <c r="AD19" s="184" t="s">
        <v>2</v>
      </c>
      <c r="AE19" s="123" t="s">
        <v>4</v>
      </c>
      <c r="AF19" s="185" t="s">
        <v>11</v>
      </c>
      <c r="AG19" s="185" t="s">
        <v>10</v>
      </c>
      <c r="AH19" s="185" t="s">
        <v>10</v>
      </c>
      <c r="AI19" s="185" t="s">
        <v>10</v>
      </c>
      <c r="AJ19" s="184" t="s">
        <v>2</v>
      </c>
      <c r="AK19" s="25" t="s">
        <v>6</v>
      </c>
      <c r="AL19" s="25" t="s">
        <v>3</v>
      </c>
      <c r="AM19" s="123" t="s">
        <v>4</v>
      </c>
    </row>
    <row r="20" spans="1:39" x14ac:dyDescent="0.35">
      <c r="A20" s="182" t="s">
        <v>180</v>
      </c>
      <c r="B20" s="19" t="s">
        <v>41</v>
      </c>
      <c r="C20" s="123" t="s">
        <v>4</v>
      </c>
      <c r="D20" s="123" t="s">
        <v>4</v>
      </c>
      <c r="E20" s="183" t="s">
        <v>37</v>
      </c>
      <c r="F20" s="185" t="s">
        <v>10</v>
      </c>
      <c r="G20" s="185" t="s">
        <v>10</v>
      </c>
      <c r="H20" s="185" t="s">
        <v>10</v>
      </c>
      <c r="I20" s="185" t="s">
        <v>10</v>
      </c>
      <c r="J20" s="185" t="s">
        <v>11</v>
      </c>
      <c r="K20" s="123" t="s">
        <v>4</v>
      </c>
      <c r="L20" s="185" t="s">
        <v>10</v>
      </c>
      <c r="M20" s="184" t="s">
        <v>2</v>
      </c>
      <c r="N20" s="185" t="s">
        <v>10</v>
      </c>
      <c r="O20" s="185" t="s">
        <v>10</v>
      </c>
      <c r="P20" s="185" t="s">
        <v>10</v>
      </c>
      <c r="Q20" s="185" t="s">
        <v>11</v>
      </c>
      <c r="R20" s="185" t="s">
        <v>11</v>
      </c>
      <c r="S20" s="185" t="s">
        <v>10</v>
      </c>
      <c r="T20" s="184" t="s">
        <v>2</v>
      </c>
      <c r="U20" s="184" t="s">
        <v>2</v>
      </c>
      <c r="V20" s="185" t="s">
        <v>10</v>
      </c>
      <c r="W20" s="185" t="s">
        <v>10</v>
      </c>
      <c r="X20" s="185" t="s">
        <v>11</v>
      </c>
      <c r="Y20" s="123" t="s">
        <v>4</v>
      </c>
      <c r="Z20" s="185" t="s">
        <v>10</v>
      </c>
      <c r="AA20" s="185" t="s">
        <v>10</v>
      </c>
      <c r="AB20" s="184" t="s">
        <v>2</v>
      </c>
      <c r="AC20" s="185" t="s">
        <v>10</v>
      </c>
      <c r="AD20" s="185" t="s">
        <v>10</v>
      </c>
      <c r="AE20" s="185" t="s">
        <v>11</v>
      </c>
      <c r="AF20" s="185" t="s">
        <v>11</v>
      </c>
      <c r="AG20" s="184" t="s">
        <v>2</v>
      </c>
      <c r="AH20" s="184" t="s">
        <v>2</v>
      </c>
      <c r="AI20" s="25" t="s">
        <v>6</v>
      </c>
      <c r="AJ20" s="25" t="s">
        <v>6</v>
      </c>
      <c r="AK20" s="25" t="s">
        <v>6</v>
      </c>
      <c r="AL20" s="123" t="s">
        <v>4</v>
      </c>
      <c r="AM20" s="123" t="s">
        <v>4</v>
      </c>
    </row>
    <row r="22" spans="1:39" x14ac:dyDescent="0.35">
      <c r="A22" s="189" t="s">
        <v>156</v>
      </c>
      <c r="B22" s="189"/>
      <c r="C22" s="189"/>
      <c r="D22" s="189"/>
      <c r="E22">
        <f t="shared" ref="E22:AI22" si="2">COUNTIF(E4:E20,"*MS")</f>
        <v>3</v>
      </c>
      <c r="F22">
        <f t="shared" si="2"/>
        <v>3</v>
      </c>
      <c r="G22">
        <f t="shared" si="2"/>
        <v>4</v>
      </c>
      <c r="H22">
        <f t="shared" si="2"/>
        <v>3</v>
      </c>
      <c r="I22">
        <f t="shared" si="2"/>
        <v>4</v>
      </c>
      <c r="J22">
        <f>COUNTIF(J4:J20,"*MS")</f>
        <v>2</v>
      </c>
      <c r="K22">
        <f t="shared" si="2"/>
        <v>2</v>
      </c>
      <c r="L22">
        <f t="shared" si="2"/>
        <v>3</v>
      </c>
      <c r="M22">
        <f t="shared" si="2"/>
        <v>4</v>
      </c>
      <c r="N22">
        <f t="shared" si="2"/>
        <v>4</v>
      </c>
      <c r="O22">
        <f t="shared" si="2"/>
        <v>4</v>
      </c>
      <c r="P22">
        <f t="shared" si="2"/>
        <v>4</v>
      </c>
      <c r="Q22">
        <f t="shared" si="2"/>
        <v>2</v>
      </c>
      <c r="R22">
        <f t="shared" si="2"/>
        <v>2</v>
      </c>
      <c r="S22">
        <f t="shared" si="2"/>
        <v>3</v>
      </c>
      <c r="T22">
        <f t="shared" si="2"/>
        <v>4</v>
      </c>
      <c r="U22">
        <f t="shared" si="2"/>
        <v>4</v>
      </c>
      <c r="V22">
        <f t="shared" si="2"/>
        <v>4</v>
      </c>
      <c r="W22">
        <f t="shared" si="2"/>
        <v>4</v>
      </c>
      <c r="X22">
        <f t="shared" si="2"/>
        <v>2</v>
      </c>
      <c r="Y22">
        <f t="shared" si="2"/>
        <v>2</v>
      </c>
      <c r="Z22">
        <f t="shared" si="2"/>
        <v>4</v>
      </c>
      <c r="AA22">
        <f t="shared" si="2"/>
        <v>4</v>
      </c>
      <c r="AB22">
        <f t="shared" si="2"/>
        <v>4</v>
      </c>
      <c r="AC22">
        <f t="shared" si="2"/>
        <v>4</v>
      </c>
      <c r="AD22">
        <f t="shared" si="2"/>
        <v>4</v>
      </c>
      <c r="AE22">
        <f>COUNTIF(AE5:AE20,"*MS")</f>
        <v>2</v>
      </c>
      <c r="AF22">
        <f>COUNTIF(AF4:AF20,"*MS")</f>
        <v>2</v>
      </c>
      <c r="AG22">
        <f t="shared" si="2"/>
        <v>4</v>
      </c>
      <c r="AH22">
        <f t="shared" si="2"/>
        <v>4</v>
      </c>
      <c r="AI22">
        <f t="shared" si="2"/>
        <v>5</v>
      </c>
      <c r="AJ22">
        <f t="shared" ref="AJ22:AM22" si="3">COUNTIF(AJ4:AJ20,"*MS")</f>
        <v>3</v>
      </c>
      <c r="AK22">
        <f t="shared" si="3"/>
        <v>4</v>
      </c>
      <c r="AL22">
        <f t="shared" si="3"/>
        <v>2</v>
      </c>
      <c r="AM22">
        <f t="shared" si="3"/>
        <v>2</v>
      </c>
    </row>
    <row r="23" spans="1:39" x14ac:dyDescent="0.35">
      <c r="A23" s="189" t="s">
        <v>157</v>
      </c>
      <c r="B23" s="189"/>
      <c r="C23" s="189"/>
      <c r="D23" s="189"/>
      <c r="E23">
        <f t="shared" ref="E23:AI23" si="4">COUNTIF(E4:E20,"*ASS1")</f>
        <v>3</v>
      </c>
      <c r="F23">
        <f t="shared" si="4"/>
        <v>4</v>
      </c>
      <c r="G23">
        <f t="shared" si="4"/>
        <v>4</v>
      </c>
      <c r="H23">
        <f t="shared" si="4"/>
        <v>4</v>
      </c>
      <c r="I23">
        <f t="shared" si="4"/>
        <v>4</v>
      </c>
      <c r="J23">
        <f>COUNTIF(J4:J20,"*ASS1")</f>
        <v>2</v>
      </c>
      <c r="K23">
        <f t="shared" si="4"/>
        <v>2</v>
      </c>
      <c r="L23">
        <f t="shared" si="4"/>
        <v>3</v>
      </c>
      <c r="M23">
        <f t="shared" si="4"/>
        <v>4</v>
      </c>
      <c r="N23">
        <f t="shared" si="4"/>
        <v>4</v>
      </c>
      <c r="O23">
        <f t="shared" si="4"/>
        <v>4</v>
      </c>
      <c r="P23">
        <f t="shared" si="4"/>
        <v>4</v>
      </c>
      <c r="Q23">
        <f t="shared" si="4"/>
        <v>2</v>
      </c>
      <c r="R23">
        <f t="shared" si="4"/>
        <v>2</v>
      </c>
      <c r="S23">
        <f t="shared" si="4"/>
        <v>3</v>
      </c>
      <c r="T23">
        <f t="shared" si="4"/>
        <v>4</v>
      </c>
      <c r="U23">
        <f t="shared" si="4"/>
        <v>3</v>
      </c>
      <c r="V23">
        <f t="shared" si="4"/>
        <v>4</v>
      </c>
      <c r="W23">
        <f t="shared" si="4"/>
        <v>3</v>
      </c>
      <c r="X23">
        <f t="shared" si="4"/>
        <v>2</v>
      </c>
      <c r="Y23">
        <f t="shared" si="4"/>
        <v>2</v>
      </c>
      <c r="Z23">
        <f t="shared" si="4"/>
        <v>3</v>
      </c>
      <c r="AA23">
        <f t="shared" si="4"/>
        <v>3</v>
      </c>
      <c r="AB23">
        <f t="shared" si="4"/>
        <v>3</v>
      </c>
      <c r="AC23">
        <f t="shared" si="4"/>
        <v>4</v>
      </c>
      <c r="AD23">
        <f t="shared" si="4"/>
        <v>3</v>
      </c>
      <c r="AE23">
        <f>COUNTIF(AE5:AE20,"*ASS1")</f>
        <v>2</v>
      </c>
      <c r="AF23">
        <f>COUNTIF(AF4:AF20,"*ASS1")</f>
        <v>2</v>
      </c>
      <c r="AG23">
        <f t="shared" si="4"/>
        <v>4</v>
      </c>
      <c r="AH23">
        <f t="shared" si="4"/>
        <v>3</v>
      </c>
      <c r="AI23">
        <f t="shared" si="4"/>
        <v>4</v>
      </c>
      <c r="AJ23">
        <f t="shared" ref="AJ23:AM23" si="5">COUNTIF(AJ4:AJ20,"*ASS1")</f>
        <v>4</v>
      </c>
      <c r="AK23">
        <f t="shared" si="5"/>
        <v>4</v>
      </c>
      <c r="AL23">
        <f t="shared" si="5"/>
        <v>2</v>
      </c>
      <c r="AM23">
        <f t="shared" si="5"/>
        <v>2</v>
      </c>
    </row>
    <row r="24" spans="1:39" x14ac:dyDescent="0.35">
      <c r="A24" s="189" t="s">
        <v>158</v>
      </c>
      <c r="B24" s="189"/>
      <c r="C24" s="189"/>
      <c r="D24" s="189"/>
      <c r="E24">
        <f t="shared" ref="E24:AI24" si="6">COUNTIF(E4:E20,"*NST7")</f>
        <v>3</v>
      </c>
      <c r="F24">
        <f t="shared" si="6"/>
        <v>4</v>
      </c>
      <c r="G24">
        <f t="shared" si="6"/>
        <v>3</v>
      </c>
      <c r="H24">
        <f t="shared" si="6"/>
        <v>4</v>
      </c>
      <c r="I24">
        <f t="shared" si="6"/>
        <v>4</v>
      </c>
      <c r="J24">
        <f>COUNTIF(J4:J20,"*NST7")</f>
        <v>3</v>
      </c>
      <c r="K24">
        <f t="shared" si="6"/>
        <v>2</v>
      </c>
      <c r="L24">
        <f t="shared" si="6"/>
        <v>4</v>
      </c>
      <c r="M24">
        <f t="shared" si="6"/>
        <v>4</v>
      </c>
      <c r="N24">
        <f t="shared" si="6"/>
        <v>4</v>
      </c>
      <c r="O24">
        <f t="shared" si="6"/>
        <v>4</v>
      </c>
      <c r="P24">
        <f t="shared" si="6"/>
        <v>4</v>
      </c>
      <c r="Q24">
        <f t="shared" si="6"/>
        <v>3</v>
      </c>
      <c r="R24">
        <f t="shared" si="6"/>
        <v>3</v>
      </c>
      <c r="S24">
        <f t="shared" si="6"/>
        <v>3</v>
      </c>
      <c r="T24">
        <f t="shared" si="6"/>
        <v>4</v>
      </c>
      <c r="U24">
        <f t="shared" si="6"/>
        <v>4</v>
      </c>
      <c r="V24">
        <f t="shared" si="6"/>
        <v>4</v>
      </c>
      <c r="W24">
        <f t="shared" si="6"/>
        <v>4</v>
      </c>
      <c r="X24">
        <f t="shared" si="6"/>
        <v>3</v>
      </c>
      <c r="Y24">
        <f t="shared" si="6"/>
        <v>2</v>
      </c>
      <c r="Z24">
        <f t="shared" si="6"/>
        <v>3</v>
      </c>
      <c r="AA24">
        <f t="shared" si="6"/>
        <v>4</v>
      </c>
      <c r="AB24">
        <f t="shared" si="6"/>
        <v>3</v>
      </c>
      <c r="AC24">
        <f t="shared" si="6"/>
        <v>4</v>
      </c>
      <c r="AD24">
        <f t="shared" si="6"/>
        <v>4</v>
      </c>
      <c r="AE24">
        <f>COUNTIF(AE5:AE20,"*NST7")</f>
        <v>3</v>
      </c>
      <c r="AF24">
        <f>COUNTIF(AF4:AF20,"*NST7")</f>
        <v>3</v>
      </c>
      <c r="AG24">
        <f t="shared" si="6"/>
        <v>4</v>
      </c>
      <c r="AH24">
        <f t="shared" si="6"/>
        <v>3</v>
      </c>
      <c r="AI24">
        <f t="shared" si="6"/>
        <v>2</v>
      </c>
      <c r="AJ24">
        <f t="shared" ref="AJ24:AM24" si="7">COUNTIF(AJ4:AJ20,"*NST7")</f>
        <v>4</v>
      </c>
      <c r="AK24">
        <f t="shared" si="7"/>
        <v>4</v>
      </c>
      <c r="AL24">
        <f t="shared" si="7"/>
        <v>3</v>
      </c>
      <c r="AM24">
        <f t="shared" si="7"/>
        <v>3</v>
      </c>
    </row>
    <row r="25" spans="1:39" x14ac:dyDescent="0.35">
      <c r="A25" s="189" t="s">
        <v>159</v>
      </c>
      <c r="B25" s="189"/>
      <c r="C25" s="189"/>
      <c r="D25" s="189"/>
      <c r="E25">
        <f t="shared" ref="E25:AI25" si="8">COUNTIF(E4:E20,"*GS")</f>
        <v>0</v>
      </c>
      <c r="F25">
        <f t="shared" si="8"/>
        <v>0</v>
      </c>
      <c r="G25">
        <f t="shared" si="8"/>
        <v>0</v>
      </c>
      <c r="H25">
        <f t="shared" si="8"/>
        <v>0</v>
      </c>
      <c r="I25">
        <f t="shared" si="8"/>
        <v>0</v>
      </c>
      <c r="J25">
        <f>COUNTIF(J4:J20,"*GS")</f>
        <v>1</v>
      </c>
      <c r="K25">
        <f t="shared" si="8"/>
        <v>0</v>
      </c>
      <c r="L25">
        <f t="shared" si="8"/>
        <v>0</v>
      </c>
      <c r="M25">
        <f t="shared" si="8"/>
        <v>0</v>
      </c>
      <c r="N25">
        <f t="shared" si="8"/>
        <v>0</v>
      </c>
      <c r="O25">
        <f t="shared" si="8"/>
        <v>0</v>
      </c>
      <c r="P25">
        <f t="shared" si="8"/>
        <v>0</v>
      </c>
      <c r="Q25">
        <f t="shared" si="8"/>
        <v>1</v>
      </c>
      <c r="R25">
        <f t="shared" si="8"/>
        <v>0</v>
      </c>
      <c r="S25">
        <f t="shared" si="8"/>
        <v>0</v>
      </c>
      <c r="T25">
        <f t="shared" si="8"/>
        <v>0</v>
      </c>
      <c r="U25">
        <f t="shared" si="8"/>
        <v>0</v>
      </c>
      <c r="V25">
        <f t="shared" si="8"/>
        <v>0</v>
      </c>
      <c r="W25">
        <f t="shared" si="8"/>
        <v>0</v>
      </c>
      <c r="X25">
        <f t="shared" si="8"/>
        <v>1</v>
      </c>
      <c r="Y25">
        <f t="shared" si="8"/>
        <v>0</v>
      </c>
      <c r="Z25">
        <f t="shared" si="8"/>
        <v>0</v>
      </c>
      <c r="AA25">
        <f t="shared" si="8"/>
        <v>0</v>
      </c>
      <c r="AB25">
        <f t="shared" si="8"/>
        <v>0</v>
      </c>
      <c r="AC25">
        <f t="shared" si="8"/>
        <v>0</v>
      </c>
      <c r="AD25">
        <f t="shared" si="8"/>
        <v>0</v>
      </c>
      <c r="AE25">
        <f>COUNTIF(AE5:AE20,"*GS")</f>
        <v>1</v>
      </c>
      <c r="AF25">
        <f>COUNTIF(AF4:AF20,"*GS")</f>
        <v>0</v>
      </c>
      <c r="AG25">
        <f t="shared" si="8"/>
        <v>0</v>
      </c>
      <c r="AH25">
        <f t="shared" si="8"/>
        <v>0</v>
      </c>
      <c r="AI25">
        <f t="shared" si="8"/>
        <v>1</v>
      </c>
      <c r="AJ25">
        <f t="shared" ref="AJ25:AM25" si="9">COUNTIF(AJ4:AJ20,"*GS")</f>
        <v>0</v>
      </c>
      <c r="AK25">
        <f t="shared" si="9"/>
        <v>0</v>
      </c>
      <c r="AL25">
        <f t="shared" si="9"/>
        <v>1</v>
      </c>
      <c r="AM25">
        <f t="shared" si="9"/>
        <v>0</v>
      </c>
    </row>
    <row r="26" spans="1:39" x14ac:dyDescent="0.35">
      <c r="A26" s="189" t="s">
        <v>160</v>
      </c>
      <c r="B26" s="189"/>
      <c r="C26" s="189"/>
      <c r="D26" s="189"/>
      <c r="E26">
        <f t="shared" ref="E26:I26" si="10">COUNTIF(E4:E20,"C")</f>
        <v>0</v>
      </c>
      <c r="F26">
        <f t="shared" si="10"/>
        <v>0</v>
      </c>
      <c r="G26">
        <f t="shared" si="10"/>
        <v>1</v>
      </c>
      <c r="H26">
        <f t="shared" si="10"/>
        <v>2</v>
      </c>
      <c r="I26">
        <f t="shared" si="10"/>
        <v>2</v>
      </c>
      <c r="J26">
        <f>COUNTIF(J4:J20,"WO")</f>
        <v>7</v>
      </c>
      <c r="K26">
        <f t="shared" ref="K26" si="11">COUNTIF(K4:K20,"WO")</f>
        <v>9</v>
      </c>
      <c r="L26">
        <f t="shared" ref="L26:P26" si="12">COUNTIF(L4:L20,"C")</f>
        <v>4</v>
      </c>
      <c r="M26">
        <f t="shared" si="12"/>
        <v>2</v>
      </c>
      <c r="N26">
        <f t="shared" si="12"/>
        <v>3</v>
      </c>
      <c r="O26">
        <f t="shared" si="12"/>
        <v>3</v>
      </c>
      <c r="P26">
        <f t="shared" si="12"/>
        <v>3</v>
      </c>
      <c r="Q26">
        <f t="shared" ref="Q26:R26" si="13">COUNTIF(Q4:Q20,"WO")</f>
        <v>7</v>
      </c>
      <c r="R26">
        <f t="shared" si="13"/>
        <v>8</v>
      </c>
      <c r="S26">
        <f t="shared" ref="S26:W26" si="14">COUNTIF(S4:S20,"C")</f>
        <v>4</v>
      </c>
      <c r="T26">
        <f t="shared" si="14"/>
        <v>2</v>
      </c>
      <c r="U26">
        <f t="shared" si="14"/>
        <v>3</v>
      </c>
      <c r="V26">
        <f t="shared" si="14"/>
        <v>2</v>
      </c>
      <c r="W26">
        <f t="shared" si="14"/>
        <v>3</v>
      </c>
      <c r="X26">
        <f t="shared" ref="X26:Y26" si="15">COUNTIF(X4:X20,"WO")</f>
        <v>7</v>
      </c>
      <c r="Y26">
        <f t="shared" si="15"/>
        <v>9</v>
      </c>
      <c r="Z26">
        <f t="shared" ref="Z26:AD26" si="16">COUNTIF(Z4:Z20,"C")</f>
        <v>3</v>
      </c>
      <c r="AA26">
        <f t="shared" si="16"/>
        <v>1</v>
      </c>
      <c r="AB26">
        <f t="shared" si="16"/>
        <v>3</v>
      </c>
      <c r="AC26">
        <f t="shared" si="16"/>
        <v>1</v>
      </c>
      <c r="AD26">
        <f t="shared" si="16"/>
        <v>2</v>
      </c>
      <c r="AE26">
        <f>COUNTIF(AE5:AE20,"WO")</f>
        <v>6</v>
      </c>
      <c r="AF26">
        <f>COUNTIF(AF4:AF20,"WO")</f>
        <v>8</v>
      </c>
      <c r="AG26">
        <f t="shared" ref="AG26:AK26" si="17">COUNTIF(AG4:AG20,"C")</f>
        <v>3</v>
      </c>
      <c r="AH26">
        <f t="shared" si="17"/>
        <v>5</v>
      </c>
      <c r="AI26">
        <f t="shared" si="17"/>
        <v>3</v>
      </c>
      <c r="AJ26">
        <f t="shared" si="17"/>
        <v>4</v>
      </c>
      <c r="AK26">
        <f t="shared" si="17"/>
        <v>3</v>
      </c>
      <c r="AL26">
        <f t="shared" ref="AL26:AM26" si="18">COUNTIF(AL4:AL20,"WO")</f>
        <v>7</v>
      </c>
      <c r="AM26">
        <f t="shared" si="18"/>
        <v>8</v>
      </c>
    </row>
    <row r="27" spans="1:39" x14ac:dyDescent="0.35">
      <c r="A27" s="189" t="s">
        <v>161</v>
      </c>
      <c r="B27" s="189"/>
      <c r="C27" s="189"/>
      <c r="D27" s="189"/>
      <c r="E27">
        <f t="shared" ref="E27:AI27" si="19">COUNTIF(E4:E20,"PL")</f>
        <v>0</v>
      </c>
      <c r="F27">
        <f t="shared" si="19"/>
        <v>4</v>
      </c>
      <c r="G27">
        <f t="shared" si="19"/>
        <v>2</v>
      </c>
      <c r="H27">
        <f t="shared" si="19"/>
        <v>2</v>
      </c>
      <c r="I27">
        <f t="shared" si="19"/>
        <v>1</v>
      </c>
      <c r="J27">
        <f>COUNTIF(J4:J20,"PL")</f>
        <v>0</v>
      </c>
      <c r="K27">
        <f t="shared" si="19"/>
        <v>0</v>
      </c>
      <c r="L27">
        <f t="shared" si="19"/>
        <v>1</v>
      </c>
      <c r="M27">
        <f t="shared" si="19"/>
        <v>1</v>
      </c>
      <c r="N27">
        <f t="shared" si="19"/>
        <v>0</v>
      </c>
      <c r="O27">
        <f t="shared" si="19"/>
        <v>0</v>
      </c>
      <c r="P27">
        <f t="shared" si="19"/>
        <v>0</v>
      </c>
      <c r="Q27">
        <f t="shared" si="19"/>
        <v>0</v>
      </c>
      <c r="R27">
        <f t="shared" si="19"/>
        <v>0</v>
      </c>
      <c r="S27">
        <f t="shared" si="19"/>
        <v>1</v>
      </c>
      <c r="T27">
        <f t="shared" si="19"/>
        <v>1</v>
      </c>
      <c r="U27">
        <f t="shared" si="19"/>
        <v>1</v>
      </c>
      <c r="V27">
        <f t="shared" si="19"/>
        <v>1</v>
      </c>
      <c r="W27">
        <f t="shared" si="19"/>
        <v>1</v>
      </c>
      <c r="X27">
        <f t="shared" si="19"/>
        <v>0</v>
      </c>
      <c r="Y27">
        <f t="shared" si="19"/>
        <v>0</v>
      </c>
      <c r="Z27">
        <f t="shared" si="19"/>
        <v>2</v>
      </c>
      <c r="AA27">
        <f t="shared" si="19"/>
        <v>3</v>
      </c>
      <c r="AB27">
        <f t="shared" si="19"/>
        <v>2</v>
      </c>
      <c r="AC27">
        <f t="shared" si="19"/>
        <v>2</v>
      </c>
      <c r="AD27">
        <f t="shared" si="19"/>
        <v>1</v>
      </c>
      <c r="AE27">
        <f>COUNTIF(AE5:AE20,"PL")</f>
        <v>0</v>
      </c>
      <c r="AF27">
        <f>COUNTIF(AF4:AF20,"PL")</f>
        <v>0</v>
      </c>
      <c r="AG27">
        <f t="shared" si="19"/>
        <v>0</v>
      </c>
      <c r="AH27">
        <f t="shared" si="19"/>
        <v>0</v>
      </c>
      <c r="AI27">
        <f t="shared" si="19"/>
        <v>0</v>
      </c>
      <c r="AJ27">
        <f t="shared" ref="AJ27:AM27" si="20">COUNTIF(AJ4:AJ20,"PL")</f>
        <v>0</v>
      </c>
      <c r="AK27">
        <f t="shared" si="20"/>
        <v>0</v>
      </c>
      <c r="AL27">
        <f t="shared" si="20"/>
        <v>0</v>
      </c>
      <c r="AM27">
        <f t="shared" si="20"/>
        <v>0</v>
      </c>
    </row>
    <row r="28" spans="1:39" x14ac:dyDescent="0.35">
      <c r="A28" s="189" t="s">
        <v>33</v>
      </c>
      <c r="B28" s="189"/>
      <c r="C28" s="189"/>
      <c r="D28" s="189"/>
      <c r="E28">
        <f t="shared" ref="E28:AI28" si="21">COUNTIF(E4:E20,"UPL")</f>
        <v>0</v>
      </c>
      <c r="F28">
        <f t="shared" si="21"/>
        <v>0</v>
      </c>
      <c r="G28">
        <f t="shared" si="21"/>
        <v>1</v>
      </c>
      <c r="H28">
        <f t="shared" si="21"/>
        <v>0</v>
      </c>
      <c r="I28">
        <f t="shared" si="21"/>
        <v>0</v>
      </c>
      <c r="J28">
        <f>COUNTIF(J4:J20,"UPL")</f>
        <v>0</v>
      </c>
      <c r="K28">
        <f t="shared" si="21"/>
        <v>0</v>
      </c>
      <c r="L28">
        <f t="shared" si="21"/>
        <v>0</v>
      </c>
      <c r="M28">
        <f t="shared" si="21"/>
        <v>0</v>
      </c>
      <c r="N28">
        <f t="shared" si="21"/>
        <v>0</v>
      </c>
      <c r="O28">
        <f t="shared" si="21"/>
        <v>0</v>
      </c>
      <c r="P28">
        <f t="shared" si="21"/>
        <v>0</v>
      </c>
      <c r="Q28">
        <f t="shared" si="21"/>
        <v>0</v>
      </c>
      <c r="R28">
        <f t="shared" si="21"/>
        <v>0</v>
      </c>
      <c r="S28">
        <f t="shared" si="21"/>
        <v>1</v>
      </c>
      <c r="T28">
        <f t="shared" si="21"/>
        <v>0</v>
      </c>
      <c r="U28">
        <f t="shared" si="21"/>
        <v>0</v>
      </c>
      <c r="V28">
        <f t="shared" si="21"/>
        <v>0</v>
      </c>
      <c r="W28">
        <f t="shared" si="21"/>
        <v>0</v>
      </c>
      <c r="X28">
        <f t="shared" si="21"/>
        <v>0</v>
      </c>
      <c r="Y28">
        <f t="shared" si="21"/>
        <v>0</v>
      </c>
      <c r="Z28">
        <f t="shared" si="21"/>
        <v>0</v>
      </c>
      <c r="AA28">
        <f t="shared" si="21"/>
        <v>0</v>
      </c>
      <c r="AB28">
        <f t="shared" si="21"/>
        <v>0</v>
      </c>
      <c r="AC28">
        <f t="shared" si="21"/>
        <v>0</v>
      </c>
      <c r="AD28">
        <f t="shared" si="21"/>
        <v>1</v>
      </c>
      <c r="AE28">
        <f>COUNTIF(AE5:AE20,"UPL")</f>
        <v>0</v>
      </c>
      <c r="AF28">
        <f>COUNTIF(AF4:AF20,"UPL")</f>
        <v>0</v>
      </c>
      <c r="AG28">
        <f t="shared" si="21"/>
        <v>0</v>
      </c>
      <c r="AH28">
        <f t="shared" si="21"/>
        <v>0</v>
      </c>
      <c r="AI28">
        <f t="shared" si="21"/>
        <v>0</v>
      </c>
      <c r="AJ28">
        <f t="shared" ref="AJ28:AM28" si="22">COUNTIF(AJ4:AJ20,"UPL")</f>
        <v>0</v>
      </c>
      <c r="AK28">
        <f t="shared" si="22"/>
        <v>0</v>
      </c>
      <c r="AL28">
        <f t="shared" si="22"/>
        <v>0</v>
      </c>
      <c r="AM28">
        <f t="shared" si="22"/>
        <v>0</v>
      </c>
    </row>
    <row r="29" spans="1:39" x14ac:dyDescent="0.35">
      <c r="A29" s="189" t="s">
        <v>172</v>
      </c>
      <c r="B29" s="189"/>
      <c r="C29" s="189"/>
      <c r="D29" s="189"/>
      <c r="E29">
        <f t="shared" ref="E29:AI29" si="23">COUNTIF(E4:E20,"H")</f>
        <v>6</v>
      </c>
      <c r="F29">
        <f t="shared" si="23"/>
        <v>0</v>
      </c>
      <c r="G29">
        <f t="shared" si="23"/>
        <v>0</v>
      </c>
      <c r="H29">
        <f t="shared" si="23"/>
        <v>0</v>
      </c>
      <c r="I29">
        <f t="shared" si="23"/>
        <v>0</v>
      </c>
      <c r="J29">
        <f>COUNTIF(J4:J20,"H")</f>
        <v>0</v>
      </c>
      <c r="K29">
        <f t="shared" si="23"/>
        <v>0</v>
      </c>
      <c r="L29">
        <f t="shared" si="23"/>
        <v>0</v>
      </c>
      <c r="M29">
        <f t="shared" si="23"/>
        <v>0</v>
      </c>
      <c r="N29">
        <f t="shared" si="23"/>
        <v>0</v>
      </c>
      <c r="O29">
        <f t="shared" si="23"/>
        <v>0</v>
      </c>
      <c r="P29">
        <f t="shared" si="23"/>
        <v>0</v>
      </c>
      <c r="Q29">
        <f t="shared" si="23"/>
        <v>0</v>
      </c>
      <c r="R29">
        <f t="shared" si="23"/>
        <v>0</v>
      </c>
      <c r="S29">
        <f t="shared" si="23"/>
        <v>0</v>
      </c>
      <c r="T29">
        <f t="shared" si="23"/>
        <v>0</v>
      </c>
      <c r="U29">
        <f t="shared" si="23"/>
        <v>0</v>
      </c>
      <c r="V29">
        <f t="shared" si="23"/>
        <v>0</v>
      </c>
      <c r="W29">
        <f t="shared" si="23"/>
        <v>0</v>
      </c>
      <c r="X29">
        <f t="shared" si="23"/>
        <v>0</v>
      </c>
      <c r="Y29">
        <f t="shared" si="23"/>
        <v>0</v>
      </c>
      <c r="Z29">
        <f t="shared" si="23"/>
        <v>0</v>
      </c>
      <c r="AA29">
        <f t="shared" si="23"/>
        <v>0</v>
      </c>
      <c r="AB29">
        <f t="shared" si="23"/>
        <v>0</v>
      </c>
      <c r="AC29">
        <f t="shared" si="23"/>
        <v>0</v>
      </c>
      <c r="AD29">
        <f t="shared" si="23"/>
        <v>0</v>
      </c>
      <c r="AE29">
        <f>COUNTIF(AE5:AE20,"H")</f>
        <v>0</v>
      </c>
      <c r="AF29">
        <f>COUNTIF(AF4:AF20,"H")</f>
        <v>0</v>
      </c>
      <c r="AG29">
        <f t="shared" si="23"/>
        <v>0</v>
      </c>
      <c r="AH29">
        <f t="shared" si="23"/>
        <v>0</v>
      </c>
      <c r="AI29">
        <f t="shared" si="23"/>
        <v>0</v>
      </c>
      <c r="AJ29">
        <f t="shared" ref="AJ29:AM29" si="24">COUNTIF(AJ4:AJ20,"H")</f>
        <v>0</v>
      </c>
      <c r="AK29">
        <f t="shared" si="24"/>
        <v>0</v>
      </c>
      <c r="AL29">
        <f t="shared" si="24"/>
        <v>0</v>
      </c>
      <c r="AM29">
        <f t="shared" si="24"/>
        <v>0</v>
      </c>
    </row>
    <row r="30" spans="1:39" x14ac:dyDescent="0.35">
      <c r="A30" s="189" t="s">
        <v>162</v>
      </c>
      <c r="B30" s="189"/>
      <c r="C30" s="189"/>
      <c r="D30" s="189"/>
      <c r="E30" s="138">
        <f t="shared" ref="E30:I30" si="25">SUM(E22:E29)</f>
        <v>15</v>
      </c>
      <c r="F30" s="138">
        <f t="shared" si="25"/>
        <v>15</v>
      </c>
      <c r="G30" s="138">
        <f t="shared" si="25"/>
        <v>15</v>
      </c>
      <c r="H30" s="138">
        <f t="shared" si="25"/>
        <v>15</v>
      </c>
      <c r="I30" s="138">
        <f t="shared" si="25"/>
        <v>15</v>
      </c>
      <c r="J30" s="138">
        <f t="shared" ref="J30:K30" si="26">SUM(J22:J29)</f>
        <v>15</v>
      </c>
      <c r="K30" s="138">
        <f t="shared" si="26"/>
        <v>15</v>
      </c>
      <c r="L30" s="138">
        <f t="shared" ref="L30:P30" si="27">SUM(L22:L29)</f>
        <v>15</v>
      </c>
      <c r="M30" s="138">
        <f t="shared" si="27"/>
        <v>15</v>
      </c>
      <c r="N30" s="138">
        <f t="shared" si="27"/>
        <v>15</v>
      </c>
      <c r="O30" s="138">
        <f t="shared" si="27"/>
        <v>15</v>
      </c>
      <c r="P30" s="138">
        <f t="shared" si="27"/>
        <v>15</v>
      </c>
      <c r="Q30" s="138">
        <f t="shared" ref="Q30:R30" si="28">SUM(Q22:Q29)</f>
        <v>15</v>
      </c>
      <c r="R30" s="138">
        <f t="shared" si="28"/>
        <v>15</v>
      </c>
      <c r="S30" s="138">
        <f t="shared" ref="S30:W30" si="29">SUM(S22:S29)</f>
        <v>15</v>
      </c>
      <c r="T30" s="138">
        <f t="shared" si="29"/>
        <v>15</v>
      </c>
      <c r="U30" s="138">
        <f t="shared" si="29"/>
        <v>15</v>
      </c>
      <c r="V30" s="138">
        <f t="shared" si="29"/>
        <v>15</v>
      </c>
      <c r="W30" s="138">
        <f t="shared" si="29"/>
        <v>15</v>
      </c>
      <c r="X30" s="138">
        <f t="shared" ref="X30:Y30" si="30">SUM(X22:X29)</f>
        <v>15</v>
      </c>
      <c r="Y30" s="138">
        <f t="shared" si="30"/>
        <v>15</v>
      </c>
      <c r="Z30" s="138">
        <f t="shared" ref="Z30:AD30" si="31">SUM(Z22:Z29)</f>
        <v>15</v>
      </c>
      <c r="AA30" s="138">
        <f t="shared" si="31"/>
        <v>15</v>
      </c>
      <c r="AB30" s="138">
        <f t="shared" si="31"/>
        <v>15</v>
      </c>
      <c r="AC30" s="138">
        <f t="shared" si="31"/>
        <v>15</v>
      </c>
      <c r="AD30" s="138">
        <f t="shared" si="31"/>
        <v>15</v>
      </c>
      <c r="AE30" s="138">
        <f t="shared" ref="AE30:AF30" si="32">SUM(AE22:AE29)</f>
        <v>14</v>
      </c>
      <c r="AF30" s="138">
        <f t="shared" si="32"/>
        <v>15</v>
      </c>
      <c r="AG30" s="138">
        <f t="shared" ref="AG30:AM30" si="33">SUM(AG22:AG29)</f>
        <v>15</v>
      </c>
      <c r="AH30" s="138">
        <f t="shared" si="33"/>
        <v>15</v>
      </c>
      <c r="AI30" s="138">
        <f t="shared" si="33"/>
        <v>15</v>
      </c>
      <c r="AJ30" s="138">
        <f t="shared" si="33"/>
        <v>15</v>
      </c>
      <c r="AK30" s="138">
        <f t="shared" si="33"/>
        <v>15</v>
      </c>
      <c r="AL30" s="138">
        <f t="shared" si="33"/>
        <v>15</v>
      </c>
      <c r="AM30" s="138">
        <f t="shared" si="33"/>
        <v>15</v>
      </c>
    </row>
  </sheetData>
  <conditionalFormatting sqref="J22:K25">
    <cfRule type="cellIs" dxfId="116" priority="13" operator="lessThan">
      <formula>3</formula>
    </cfRule>
  </conditionalFormatting>
  <conditionalFormatting sqref="E22:I25">
    <cfRule type="cellIs" dxfId="115" priority="12" operator="lessThan">
      <formula>3</formula>
    </cfRule>
  </conditionalFormatting>
  <conditionalFormatting sqref="Q22:R25">
    <cfRule type="cellIs" dxfId="114" priority="11" operator="lessThan">
      <formula>3</formula>
    </cfRule>
  </conditionalFormatting>
  <conditionalFormatting sqref="L22:P25">
    <cfRule type="cellIs" dxfId="113" priority="10" operator="lessThan">
      <formula>3</formula>
    </cfRule>
  </conditionalFormatting>
  <conditionalFormatting sqref="X22:Y25">
    <cfRule type="cellIs" dxfId="112" priority="9" operator="lessThan">
      <formula>3</formula>
    </cfRule>
  </conditionalFormatting>
  <conditionalFormatting sqref="S22:W25">
    <cfRule type="cellIs" dxfId="111" priority="8" operator="lessThan">
      <formula>3</formula>
    </cfRule>
  </conditionalFormatting>
  <conditionalFormatting sqref="AE22:AF25">
    <cfRule type="cellIs" dxfId="110" priority="7" operator="lessThan">
      <formula>3</formula>
    </cfRule>
  </conditionalFormatting>
  <conditionalFormatting sqref="Z22:AD25">
    <cfRule type="cellIs" dxfId="109" priority="6" operator="lessThan">
      <formula>3</formula>
    </cfRule>
  </conditionalFormatting>
  <conditionalFormatting sqref="AG22:AI25">
    <cfRule type="cellIs" dxfId="108" priority="4" operator="lessThan">
      <formula>3</formula>
    </cfRule>
  </conditionalFormatting>
  <conditionalFormatting sqref="AL22:AM25">
    <cfRule type="cellIs" dxfId="107" priority="3" operator="lessThan">
      <formula>3</formula>
    </cfRule>
  </conditionalFormatting>
  <conditionalFormatting sqref="AJ22:AK25">
    <cfRule type="cellIs" dxfId="106" priority="2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L30"/>
  <sheetViews>
    <sheetView zoomScale="56" zoomScaleNormal="56" workbookViewId="0">
      <pane xSplit="1" topLeftCell="E1" activePane="topRight" state="frozen"/>
      <selection pane="topRight" activeCell="Q14" sqref="Q14"/>
    </sheetView>
  </sheetViews>
  <sheetFormatPr defaultRowHeight="14.5" x14ac:dyDescent="0.35"/>
  <cols>
    <col min="1" max="1" width="21.7265625" bestFit="1" customWidth="1"/>
    <col min="2" max="4" width="8.7265625" hidden="1" customWidth="1"/>
    <col min="5" max="33" width="8.7265625" customWidth="1"/>
    <col min="34" max="34" width="6.90625" customWidth="1"/>
    <col min="35" max="36" width="7.08984375" hidden="1" customWidth="1"/>
    <col min="37" max="37" width="8.7265625" customWidth="1"/>
  </cols>
  <sheetData>
    <row r="1" spans="1:38" x14ac:dyDescent="0.35">
      <c r="A1" s="70"/>
      <c r="B1" s="2" t="str">
        <f t="shared" ref="B1:D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ref="E1:AL1" si="1">TEXT(E2,"ddd")</f>
        <v>Thu</v>
      </c>
      <c r="F1" s="2" t="str">
        <f t="shared" si="1"/>
        <v>Fri</v>
      </c>
      <c r="G1" s="2" t="str">
        <f t="shared" si="1"/>
        <v>Sat</v>
      </c>
      <c r="H1" s="2" t="str">
        <f t="shared" si="1"/>
        <v>Sun</v>
      </c>
      <c r="I1" s="2" t="str">
        <f t="shared" si="1"/>
        <v>Mon</v>
      </c>
      <c r="J1" s="2" t="str">
        <f t="shared" si="1"/>
        <v>Tue</v>
      </c>
      <c r="K1" s="2" t="str">
        <f t="shared" si="1"/>
        <v>Wed</v>
      </c>
      <c r="L1" s="2" t="str">
        <f t="shared" si="1"/>
        <v>Thu</v>
      </c>
      <c r="M1" s="2" t="str">
        <f t="shared" si="1"/>
        <v>Fri</v>
      </c>
      <c r="N1" s="2" t="str">
        <f t="shared" si="1"/>
        <v>Sat</v>
      </c>
      <c r="O1" s="2" t="str">
        <f t="shared" si="1"/>
        <v>Sun</v>
      </c>
      <c r="P1" s="2" t="str">
        <f t="shared" si="1"/>
        <v>Mon</v>
      </c>
      <c r="Q1" s="2" t="str">
        <f t="shared" si="1"/>
        <v>Tue</v>
      </c>
      <c r="R1" s="2" t="str">
        <f t="shared" si="1"/>
        <v>Wed</v>
      </c>
      <c r="S1" s="2" t="str">
        <f t="shared" si="1"/>
        <v>Thu</v>
      </c>
      <c r="T1" s="2" t="str">
        <f t="shared" si="1"/>
        <v>Fri</v>
      </c>
      <c r="U1" s="2" t="str">
        <f t="shared" si="1"/>
        <v>Sat</v>
      </c>
      <c r="V1" s="2" t="str">
        <f t="shared" si="1"/>
        <v>Sun</v>
      </c>
      <c r="W1" s="2" t="str">
        <f t="shared" si="1"/>
        <v>Mon</v>
      </c>
      <c r="X1" s="2" t="str">
        <f t="shared" si="1"/>
        <v>Tue</v>
      </c>
      <c r="Y1" s="2" t="str">
        <f t="shared" si="1"/>
        <v>Wed</v>
      </c>
      <c r="Z1" s="2" t="str">
        <f t="shared" si="1"/>
        <v>Thu</v>
      </c>
      <c r="AA1" s="2" t="str">
        <f t="shared" si="1"/>
        <v>Fri</v>
      </c>
      <c r="AB1" s="2" t="str">
        <f t="shared" si="1"/>
        <v>Sat</v>
      </c>
      <c r="AC1" s="2" t="str">
        <f t="shared" si="1"/>
        <v>Sun</v>
      </c>
      <c r="AD1" s="2" t="str">
        <f t="shared" si="1"/>
        <v>Mon</v>
      </c>
      <c r="AE1" s="2" t="str">
        <f t="shared" si="1"/>
        <v>Tue</v>
      </c>
      <c r="AF1" s="2" t="str">
        <f t="shared" si="1"/>
        <v>Wed</v>
      </c>
      <c r="AG1" s="2" t="str">
        <f t="shared" si="1"/>
        <v>Thu</v>
      </c>
      <c r="AH1" s="2" t="str">
        <f t="shared" si="1"/>
        <v>Fri</v>
      </c>
      <c r="AI1" s="2" t="str">
        <f t="shared" si="1"/>
        <v>Sat</v>
      </c>
      <c r="AJ1" s="2" t="str">
        <f t="shared" si="1"/>
        <v>Sun</v>
      </c>
      <c r="AK1" s="2" t="str">
        <f t="shared" si="1"/>
        <v>Sat</v>
      </c>
      <c r="AL1" s="2" t="str">
        <f t="shared" si="1"/>
        <v>Sun</v>
      </c>
    </row>
    <row r="2" spans="1:38" x14ac:dyDescent="0.35">
      <c r="A2" s="104" t="s">
        <v>0</v>
      </c>
      <c r="B2" s="31">
        <v>45075</v>
      </c>
      <c r="C2" s="31">
        <v>45076</v>
      </c>
      <c r="D2" s="31">
        <v>45077</v>
      </c>
      <c r="E2" s="31">
        <v>45078</v>
      </c>
      <c r="F2" s="31">
        <v>45079</v>
      </c>
      <c r="G2" s="31">
        <v>45080</v>
      </c>
      <c r="H2" s="31">
        <v>45081</v>
      </c>
      <c r="I2" s="31">
        <v>45082</v>
      </c>
      <c r="J2" s="31">
        <v>45083</v>
      </c>
      <c r="K2" s="31">
        <v>45084</v>
      </c>
      <c r="L2" s="31">
        <v>45085</v>
      </c>
      <c r="M2" s="31">
        <v>45086</v>
      </c>
      <c r="N2" s="31">
        <v>45087</v>
      </c>
      <c r="O2" s="31">
        <v>45088</v>
      </c>
      <c r="P2" s="31">
        <v>45089</v>
      </c>
      <c r="Q2" s="31">
        <v>45090</v>
      </c>
      <c r="R2" s="31">
        <v>45091</v>
      </c>
      <c r="S2" s="31">
        <v>45092</v>
      </c>
      <c r="T2" s="31">
        <v>45093</v>
      </c>
      <c r="U2" s="31">
        <v>45094</v>
      </c>
      <c r="V2" s="31">
        <v>45095</v>
      </c>
      <c r="W2" s="31">
        <v>45096</v>
      </c>
      <c r="X2" s="31">
        <v>45097</v>
      </c>
      <c r="Y2" s="31">
        <v>45098</v>
      </c>
      <c r="Z2" s="31">
        <v>45099</v>
      </c>
      <c r="AA2" s="31">
        <v>45100</v>
      </c>
      <c r="AB2" s="31">
        <v>45101</v>
      </c>
      <c r="AC2" s="31">
        <v>45102</v>
      </c>
      <c r="AD2" s="31">
        <v>45103</v>
      </c>
      <c r="AE2" s="31">
        <v>45104</v>
      </c>
      <c r="AF2" s="31">
        <v>45105</v>
      </c>
      <c r="AG2" s="31">
        <v>45106</v>
      </c>
      <c r="AH2" s="31">
        <v>45107</v>
      </c>
      <c r="AI2" s="31">
        <v>45108</v>
      </c>
      <c r="AJ2" s="31">
        <v>45109</v>
      </c>
      <c r="AK2" s="31">
        <v>45108</v>
      </c>
      <c r="AL2" s="31">
        <v>45109</v>
      </c>
    </row>
    <row r="3" spans="1:38" x14ac:dyDescent="0.35">
      <c r="A3" s="105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</row>
    <row r="4" spans="1:38" x14ac:dyDescent="0.35">
      <c r="A4" s="193" t="s">
        <v>1</v>
      </c>
      <c r="B4" s="185" t="s">
        <v>10</v>
      </c>
      <c r="C4" s="185" t="s">
        <v>10</v>
      </c>
      <c r="D4" s="185" t="s">
        <v>10</v>
      </c>
      <c r="E4" s="184" t="s">
        <v>2</v>
      </c>
      <c r="F4" s="184" t="s">
        <v>2</v>
      </c>
      <c r="G4" s="19" t="s">
        <v>42</v>
      </c>
      <c r="H4" s="19" t="s">
        <v>42</v>
      </c>
      <c r="I4" s="19" t="s">
        <v>41</v>
      </c>
      <c r="J4" s="19" t="s">
        <v>41</v>
      </c>
      <c r="K4" s="19" t="s">
        <v>41</v>
      </c>
      <c r="L4" s="19" t="s">
        <v>41</v>
      </c>
      <c r="M4" s="184" t="s">
        <v>2</v>
      </c>
      <c r="N4" s="131" t="s">
        <v>4</v>
      </c>
      <c r="O4" s="131" t="s">
        <v>4</v>
      </c>
      <c r="P4" s="19" t="s">
        <v>41</v>
      </c>
      <c r="Q4" s="19" t="s">
        <v>41</v>
      </c>
      <c r="R4" s="19" t="s">
        <v>41</v>
      </c>
      <c r="S4" s="19" t="s">
        <v>41</v>
      </c>
      <c r="T4" s="184" t="s">
        <v>2</v>
      </c>
      <c r="U4" s="19" t="s">
        <v>42</v>
      </c>
      <c r="V4" s="123" t="s">
        <v>4</v>
      </c>
      <c r="W4" s="131" t="s">
        <v>5</v>
      </c>
      <c r="X4" s="131" t="s">
        <v>5</v>
      </c>
      <c r="Y4" s="131" t="s">
        <v>5</v>
      </c>
      <c r="Z4" s="131" t="s">
        <v>5</v>
      </c>
      <c r="AA4" s="131" t="s">
        <v>5</v>
      </c>
      <c r="AB4" s="131" t="s">
        <v>4</v>
      </c>
      <c r="AC4" s="131" t="s">
        <v>4</v>
      </c>
      <c r="AD4" s="131" t="s">
        <v>5</v>
      </c>
      <c r="AE4" s="131" t="s">
        <v>5</v>
      </c>
      <c r="AF4" s="131" t="s">
        <v>5</v>
      </c>
      <c r="AG4" s="131" t="s">
        <v>5</v>
      </c>
      <c r="AH4" s="131" t="s">
        <v>5</v>
      </c>
      <c r="AI4" s="131" t="s">
        <v>4</v>
      </c>
      <c r="AJ4" s="131" t="s">
        <v>4</v>
      </c>
      <c r="AK4" s="131" t="s">
        <v>4</v>
      </c>
      <c r="AL4" s="131" t="s">
        <v>4</v>
      </c>
    </row>
    <row r="5" spans="1:38" x14ac:dyDescent="0.35">
      <c r="A5" s="182" t="s">
        <v>21</v>
      </c>
      <c r="B5" s="25" t="s">
        <v>6</v>
      </c>
      <c r="C5" s="25" t="s">
        <v>6</v>
      </c>
      <c r="D5" s="25" t="s">
        <v>6</v>
      </c>
      <c r="E5" s="184" t="s">
        <v>2</v>
      </c>
      <c r="F5" s="19" t="s">
        <v>41</v>
      </c>
      <c r="G5" s="123" t="s">
        <v>4</v>
      </c>
      <c r="H5" s="19" t="s">
        <v>42</v>
      </c>
      <c r="I5" s="184" t="s">
        <v>2</v>
      </c>
      <c r="J5" s="19" t="s">
        <v>41</v>
      </c>
      <c r="K5" s="184" t="s">
        <v>2</v>
      </c>
      <c r="L5" s="19" t="s">
        <v>41</v>
      </c>
      <c r="M5" s="19" t="s">
        <v>41</v>
      </c>
      <c r="N5" s="19" t="s">
        <v>42</v>
      </c>
      <c r="O5" s="123" t="s">
        <v>4</v>
      </c>
      <c r="P5" s="19" t="s">
        <v>41</v>
      </c>
      <c r="Q5" s="184" t="s">
        <v>2</v>
      </c>
      <c r="R5" s="19" t="s">
        <v>41</v>
      </c>
      <c r="S5" s="19" t="s">
        <v>41</v>
      </c>
      <c r="T5" s="19" t="s">
        <v>41</v>
      </c>
      <c r="U5" s="123" t="s">
        <v>4</v>
      </c>
      <c r="V5" s="19" t="s">
        <v>42</v>
      </c>
      <c r="W5" s="185" t="s">
        <v>10</v>
      </c>
      <c r="X5" s="185" t="s">
        <v>10</v>
      </c>
      <c r="Y5" s="185" t="s">
        <v>10</v>
      </c>
      <c r="Z5" s="185" t="s">
        <v>10</v>
      </c>
      <c r="AA5" s="185" t="s">
        <v>10</v>
      </c>
      <c r="AB5" s="185" t="s">
        <v>11</v>
      </c>
      <c r="AC5" s="123" t="s">
        <v>4</v>
      </c>
      <c r="AD5" s="19" t="s">
        <v>41</v>
      </c>
      <c r="AE5" s="19" t="s">
        <v>41</v>
      </c>
      <c r="AF5" s="19" t="s">
        <v>41</v>
      </c>
      <c r="AG5" s="19" t="s">
        <v>41</v>
      </c>
      <c r="AH5" s="19" t="s">
        <v>41</v>
      </c>
      <c r="AI5" s="19" t="s">
        <v>42</v>
      </c>
      <c r="AJ5" s="123" t="s">
        <v>4</v>
      </c>
      <c r="AK5" s="19" t="s">
        <v>42</v>
      </c>
      <c r="AL5" s="123" t="s">
        <v>4</v>
      </c>
    </row>
    <row r="6" spans="1:38" x14ac:dyDescent="0.35">
      <c r="A6" s="182" t="s">
        <v>75</v>
      </c>
      <c r="B6" s="25" t="s">
        <v>6</v>
      </c>
      <c r="C6" s="25" t="s">
        <v>6</v>
      </c>
      <c r="D6" s="25" t="s">
        <v>6</v>
      </c>
      <c r="E6" s="19" t="s">
        <v>41</v>
      </c>
      <c r="F6" s="184" t="s">
        <v>2</v>
      </c>
      <c r="G6" s="123" t="s">
        <v>4</v>
      </c>
      <c r="H6" s="123" t="s">
        <v>4</v>
      </c>
      <c r="I6" s="19" t="s">
        <v>41</v>
      </c>
      <c r="J6" s="19" t="s">
        <v>41</v>
      </c>
      <c r="K6" s="19" t="s">
        <v>41</v>
      </c>
      <c r="L6" s="184" t="s">
        <v>2</v>
      </c>
      <c r="M6" s="19" t="s">
        <v>41</v>
      </c>
      <c r="N6" s="123" t="s">
        <v>4</v>
      </c>
      <c r="O6" s="19" t="s">
        <v>42</v>
      </c>
      <c r="P6" s="19" t="s">
        <v>41</v>
      </c>
      <c r="Q6" s="19" t="s">
        <v>41</v>
      </c>
      <c r="R6" s="184" t="s">
        <v>2</v>
      </c>
      <c r="S6" s="184" t="s">
        <v>2</v>
      </c>
      <c r="T6" s="19" t="s">
        <v>41</v>
      </c>
      <c r="U6" s="123" t="s">
        <v>4</v>
      </c>
      <c r="V6" s="19" t="s">
        <v>42</v>
      </c>
      <c r="W6" s="19" t="s">
        <v>41</v>
      </c>
      <c r="X6" s="19" t="s">
        <v>41</v>
      </c>
      <c r="Y6" s="19" t="s">
        <v>41</v>
      </c>
      <c r="Z6" s="19" t="s">
        <v>41</v>
      </c>
      <c r="AA6" s="184" t="s">
        <v>2</v>
      </c>
      <c r="AB6" s="123" t="s">
        <v>4</v>
      </c>
      <c r="AC6" s="19" t="s">
        <v>42</v>
      </c>
      <c r="AD6" s="19" t="s">
        <v>41</v>
      </c>
      <c r="AE6" s="19" t="s">
        <v>41</v>
      </c>
      <c r="AF6" s="19" t="s">
        <v>41</v>
      </c>
      <c r="AG6" s="19" t="s">
        <v>41</v>
      </c>
      <c r="AH6" s="184" t="s">
        <v>2</v>
      </c>
      <c r="AI6" s="123" t="s">
        <v>4</v>
      </c>
      <c r="AJ6" s="185" t="s">
        <v>11</v>
      </c>
      <c r="AK6" s="123" t="s">
        <v>4</v>
      </c>
      <c r="AL6" s="185" t="s">
        <v>11</v>
      </c>
    </row>
    <row r="7" spans="1:38" x14ac:dyDescent="0.35">
      <c r="A7" s="182" t="s">
        <v>74</v>
      </c>
      <c r="B7" s="184" t="s">
        <v>2</v>
      </c>
      <c r="C7" s="25" t="s">
        <v>6</v>
      </c>
      <c r="D7" s="25" t="s">
        <v>6</v>
      </c>
      <c r="E7" s="19" t="s">
        <v>41</v>
      </c>
      <c r="F7" s="19" t="s">
        <v>41</v>
      </c>
      <c r="G7" s="19" t="s">
        <v>42</v>
      </c>
      <c r="H7" s="123" t="s">
        <v>4</v>
      </c>
      <c r="I7" s="19" t="s">
        <v>41</v>
      </c>
      <c r="J7" s="184" t="s">
        <v>2</v>
      </c>
      <c r="K7" s="19" t="s">
        <v>41</v>
      </c>
      <c r="L7" s="19" t="s">
        <v>41</v>
      </c>
      <c r="M7" s="19" t="s">
        <v>41</v>
      </c>
      <c r="N7" s="19" t="s">
        <v>42</v>
      </c>
      <c r="O7" s="123" t="s">
        <v>4</v>
      </c>
      <c r="P7" s="184" t="s">
        <v>2</v>
      </c>
      <c r="Q7" s="19" t="s">
        <v>41</v>
      </c>
      <c r="R7" s="19" t="s">
        <v>41</v>
      </c>
      <c r="S7" s="19" t="s">
        <v>41</v>
      </c>
      <c r="T7" s="19" t="s">
        <v>41</v>
      </c>
      <c r="U7" s="19" t="s">
        <v>42</v>
      </c>
      <c r="V7" s="123" t="s">
        <v>4</v>
      </c>
      <c r="W7" s="19" t="s">
        <v>41</v>
      </c>
      <c r="X7" s="19" t="s">
        <v>41</v>
      </c>
      <c r="Y7" s="19" t="s">
        <v>41</v>
      </c>
      <c r="Z7" s="19" t="s">
        <v>41</v>
      </c>
      <c r="AA7" s="19" t="s">
        <v>41</v>
      </c>
      <c r="AB7" s="19" t="s">
        <v>42</v>
      </c>
      <c r="AC7" s="123" t="s">
        <v>4</v>
      </c>
      <c r="AD7" s="19" t="s">
        <v>41</v>
      </c>
      <c r="AE7" s="184" t="s">
        <v>2</v>
      </c>
      <c r="AF7" s="184" t="s">
        <v>2</v>
      </c>
      <c r="AG7" s="19" t="s">
        <v>41</v>
      </c>
      <c r="AH7" s="19" t="s">
        <v>41</v>
      </c>
      <c r="AI7" s="19" t="s">
        <v>42</v>
      </c>
      <c r="AJ7" s="123" t="s">
        <v>4</v>
      </c>
      <c r="AK7" s="19" t="s">
        <v>42</v>
      </c>
      <c r="AL7" s="123" t="s">
        <v>4</v>
      </c>
    </row>
    <row r="8" spans="1:38" x14ac:dyDescent="0.35">
      <c r="A8" s="182" t="s">
        <v>76</v>
      </c>
      <c r="B8" s="25" t="s">
        <v>6</v>
      </c>
      <c r="C8" s="184" t="s">
        <v>2</v>
      </c>
      <c r="D8" s="25" t="s">
        <v>6</v>
      </c>
      <c r="E8" s="19" t="s">
        <v>41</v>
      </c>
      <c r="F8" s="19" t="s">
        <v>41</v>
      </c>
      <c r="G8" s="22" t="s">
        <v>30</v>
      </c>
      <c r="H8" s="123" t="s">
        <v>4</v>
      </c>
      <c r="I8" s="184" t="s">
        <v>2</v>
      </c>
      <c r="J8" s="22" t="s">
        <v>16</v>
      </c>
      <c r="K8" s="25" t="s">
        <v>6</v>
      </c>
      <c r="L8" s="19" t="s">
        <v>41</v>
      </c>
      <c r="M8" s="131" t="s">
        <v>5</v>
      </c>
      <c r="N8" s="123" t="s">
        <v>4</v>
      </c>
      <c r="O8" s="19" t="s">
        <v>42</v>
      </c>
      <c r="P8" s="19" t="s">
        <v>41</v>
      </c>
      <c r="Q8" s="19" t="s">
        <v>41</v>
      </c>
      <c r="R8" s="184" t="s">
        <v>2</v>
      </c>
      <c r="S8" s="19" t="s">
        <v>41</v>
      </c>
      <c r="T8" s="19" t="s">
        <v>41</v>
      </c>
      <c r="U8" s="123" t="s">
        <v>4</v>
      </c>
      <c r="V8" s="123" t="s">
        <v>4</v>
      </c>
      <c r="W8" s="19" t="s">
        <v>41</v>
      </c>
      <c r="X8" s="19" t="s">
        <v>41</v>
      </c>
      <c r="Y8" s="19" t="s">
        <v>41</v>
      </c>
      <c r="Z8" s="19" t="s">
        <v>41</v>
      </c>
      <c r="AA8" s="19" t="s">
        <v>41</v>
      </c>
      <c r="AB8" s="123" t="s">
        <v>4</v>
      </c>
      <c r="AC8" s="19" t="s">
        <v>42</v>
      </c>
      <c r="AD8" s="19" t="s">
        <v>41</v>
      </c>
      <c r="AE8" s="19" t="s">
        <v>41</v>
      </c>
      <c r="AF8" s="19" t="s">
        <v>41</v>
      </c>
      <c r="AG8" s="184" t="s">
        <v>2</v>
      </c>
      <c r="AH8" s="19" t="s">
        <v>41</v>
      </c>
      <c r="AI8" s="123" t="s">
        <v>4</v>
      </c>
      <c r="AJ8" s="185" t="s">
        <v>11</v>
      </c>
      <c r="AK8" s="123" t="s">
        <v>4</v>
      </c>
      <c r="AL8" s="185" t="s">
        <v>11</v>
      </c>
    </row>
    <row r="10" spans="1:38" x14ac:dyDescent="0.35">
      <c r="A10" s="193" t="s">
        <v>9</v>
      </c>
      <c r="B10" s="25" t="s">
        <v>6</v>
      </c>
      <c r="C10" s="25" t="s">
        <v>6</v>
      </c>
      <c r="D10" s="184" t="s">
        <v>2</v>
      </c>
      <c r="E10" s="185" t="s">
        <v>10</v>
      </c>
      <c r="F10" s="185" t="s">
        <v>10</v>
      </c>
      <c r="G10" s="185" t="s">
        <v>11</v>
      </c>
      <c r="H10" s="185" t="s">
        <v>11</v>
      </c>
      <c r="I10" s="185" t="s">
        <v>10</v>
      </c>
      <c r="J10" s="185" t="s">
        <v>10</v>
      </c>
      <c r="K10" s="185" t="s">
        <v>10</v>
      </c>
      <c r="L10" s="185" t="s">
        <v>10</v>
      </c>
      <c r="M10" s="131" t="s">
        <v>5</v>
      </c>
      <c r="N10" s="131" t="s">
        <v>4</v>
      </c>
      <c r="O10" s="185" t="s">
        <v>11</v>
      </c>
      <c r="P10" s="185" t="s">
        <v>10</v>
      </c>
      <c r="Q10" s="185" t="s">
        <v>10</v>
      </c>
      <c r="R10" s="185" t="s">
        <v>10</v>
      </c>
      <c r="S10" s="184" t="s">
        <v>2</v>
      </c>
      <c r="T10" s="184" t="s">
        <v>2</v>
      </c>
      <c r="U10" s="185" t="s">
        <v>11</v>
      </c>
      <c r="V10" s="185" t="s">
        <v>11</v>
      </c>
      <c r="W10" s="131" t="s">
        <v>5</v>
      </c>
      <c r="X10" s="131" t="s">
        <v>5</v>
      </c>
      <c r="Y10" s="131" t="s">
        <v>5</v>
      </c>
      <c r="Z10" s="131" t="s">
        <v>5</v>
      </c>
      <c r="AA10" s="131" t="s">
        <v>5</v>
      </c>
      <c r="AB10" s="131" t="s">
        <v>4</v>
      </c>
      <c r="AC10" s="185" t="s">
        <v>11</v>
      </c>
      <c r="AD10" s="185" t="s">
        <v>10</v>
      </c>
      <c r="AE10" s="185" t="s">
        <v>10</v>
      </c>
      <c r="AF10" s="185" t="s">
        <v>10</v>
      </c>
      <c r="AG10" s="185" t="s">
        <v>10</v>
      </c>
      <c r="AH10" s="185" t="s">
        <v>10</v>
      </c>
      <c r="AI10" s="185" t="s">
        <v>11</v>
      </c>
      <c r="AJ10" s="123" t="s">
        <v>4</v>
      </c>
      <c r="AK10" s="185" t="s">
        <v>11</v>
      </c>
      <c r="AL10" s="123" t="s">
        <v>4</v>
      </c>
    </row>
    <row r="11" spans="1:38" x14ac:dyDescent="0.35">
      <c r="A11" s="193" t="s">
        <v>15</v>
      </c>
      <c r="B11" s="19" t="s">
        <v>41</v>
      </c>
      <c r="C11" s="131" t="s">
        <v>5</v>
      </c>
      <c r="D11" s="19" t="s">
        <v>41</v>
      </c>
      <c r="E11" s="185" t="s">
        <v>10</v>
      </c>
      <c r="F11" s="184" t="s">
        <v>2</v>
      </c>
      <c r="G11" s="123" t="s">
        <v>4</v>
      </c>
      <c r="H11" s="123" t="s">
        <v>4</v>
      </c>
      <c r="I11" s="185" t="s">
        <v>10</v>
      </c>
      <c r="J11" s="185" t="s">
        <v>10</v>
      </c>
      <c r="K11" s="185" t="s">
        <v>10</v>
      </c>
      <c r="L11" s="185" t="s">
        <v>10</v>
      </c>
      <c r="M11" s="185" t="s">
        <v>10</v>
      </c>
      <c r="N11" s="185" t="s">
        <v>11</v>
      </c>
      <c r="O11" s="123" t="s">
        <v>4</v>
      </c>
      <c r="P11" s="184" t="s">
        <v>2</v>
      </c>
      <c r="Q11" s="185" t="s">
        <v>10</v>
      </c>
      <c r="R11" s="185" t="s">
        <v>10</v>
      </c>
      <c r="S11" s="185" t="s">
        <v>10</v>
      </c>
      <c r="T11" s="185" t="s">
        <v>10</v>
      </c>
      <c r="U11" s="185" t="s">
        <v>11</v>
      </c>
      <c r="V11" s="123" t="s">
        <v>4</v>
      </c>
      <c r="W11" s="184" t="s">
        <v>2</v>
      </c>
      <c r="X11" s="19" t="s">
        <v>41</v>
      </c>
      <c r="Y11" s="19" t="s">
        <v>41</v>
      </c>
      <c r="Z11" s="19" t="s">
        <v>41</v>
      </c>
      <c r="AA11" s="19" t="s">
        <v>41</v>
      </c>
      <c r="AB11" s="19" t="s">
        <v>42</v>
      </c>
      <c r="AC11" s="123" t="s">
        <v>4</v>
      </c>
      <c r="AD11" s="184" t="s">
        <v>2</v>
      </c>
      <c r="AE11" s="19" t="s">
        <v>41</v>
      </c>
      <c r="AF11" s="19" t="s">
        <v>41</v>
      </c>
      <c r="AG11" s="19" t="s">
        <v>41</v>
      </c>
      <c r="AH11" s="19" t="s">
        <v>41</v>
      </c>
      <c r="AI11" s="123" t="s">
        <v>4</v>
      </c>
      <c r="AJ11" s="25" t="s">
        <v>3</v>
      </c>
      <c r="AK11" s="123" t="s">
        <v>4</v>
      </c>
      <c r="AL11" s="19" t="s">
        <v>42</v>
      </c>
    </row>
    <row r="12" spans="1:38" x14ac:dyDescent="0.35">
      <c r="A12" s="182" t="s">
        <v>77</v>
      </c>
      <c r="B12" s="19" t="s">
        <v>41</v>
      </c>
      <c r="C12" s="19" t="s">
        <v>41</v>
      </c>
      <c r="D12" s="19" t="s">
        <v>41</v>
      </c>
      <c r="E12" s="185" t="s">
        <v>10</v>
      </c>
      <c r="F12" s="185" t="s">
        <v>10</v>
      </c>
      <c r="G12" s="185" t="s">
        <v>11</v>
      </c>
      <c r="H12" s="185" t="s">
        <v>11</v>
      </c>
      <c r="I12" s="185" t="s">
        <v>10</v>
      </c>
      <c r="J12" s="184" t="s">
        <v>2</v>
      </c>
      <c r="K12" s="184" t="s">
        <v>2</v>
      </c>
      <c r="L12" s="131" t="s">
        <v>5</v>
      </c>
      <c r="M12" s="185" t="s">
        <v>10</v>
      </c>
      <c r="N12" s="185" t="s">
        <v>11</v>
      </c>
      <c r="O12" s="185" t="s">
        <v>11</v>
      </c>
      <c r="P12" s="185" t="s">
        <v>10</v>
      </c>
      <c r="Q12" s="184" t="s">
        <v>2</v>
      </c>
      <c r="R12" s="184" t="s">
        <v>2</v>
      </c>
      <c r="S12" s="185" t="s">
        <v>10</v>
      </c>
      <c r="T12" s="185" t="s">
        <v>10</v>
      </c>
      <c r="U12" s="123" t="s">
        <v>4</v>
      </c>
      <c r="V12" s="185" t="s">
        <v>11</v>
      </c>
      <c r="W12" s="185" t="s">
        <v>10</v>
      </c>
      <c r="X12" s="185" t="s">
        <v>10</v>
      </c>
      <c r="Y12" s="184" t="s">
        <v>2</v>
      </c>
      <c r="Z12" s="185" t="s">
        <v>10</v>
      </c>
      <c r="AA12" s="185" t="s">
        <v>10</v>
      </c>
      <c r="AB12" s="185" t="s">
        <v>11</v>
      </c>
      <c r="AC12" s="185" t="s">
        <v>11</v>
      </c>
      <c r="AD12" s="185" t="s">
        <v>10</v>
      </c>
      <c r="AE12" s="184" t="s">
        <v>2</v>
      </c>
      <c r="AF12" s="185" t="s">
        <v>10</v>
      </c>
      <c r="AG12" s="185" t="s">
        <v>10</v>
      </c>
      <c r="AH12" s="185" t="s">
        <v>10</v>
      </c>
      <c r="AI12" s="185" t="s">
        <v>11</v>
      </c>
      <c r="AJ12" s="123" t="s">
        <v>4</v>
      </c>
      <c r="AK12" s="185" t="s">
        <v>11</v>
      </c>
      <c r="AL12" s="123" t="s">
        <v>4</v>
      </c>
    </row>
    <row r="13" spans="1:38" x14ac:dyDescent="0.35">
      <c r="A13" s="182" t="s">
        <v>181</v>
      </c>
      <c r="B13" s="19" t="s">
        <v>41</v>
      </c>
      <c r="C13" s="184" t="s">
        <v>2</v>
      </c>
      <c r="D13" s="184" t="s">
        <v>2</v>
      </c>
      <c r="E13" s="185" t="s">
        <v>10</v>
      </c>
      <c r="F13" s="185" t="s">
        <v>10</v>
      </c>
      <c r="G13" s="123" t="s">
        <v>4</v>
      </c>
      <c r="H13" s="185" t="s">
        <v>11</v>
      </c>
      <c r="I13" s="185" t="s">
        <v>10</v>
      </c>
      <c r="J13" s="185" t="s">
        <v>10</v>
      </c>
      <c r="K13" s="185" t="s">
        <v>10</v>
      </c>
      <c r="L13" s="184" t="s">
        <v>2</v>
      </c>
      <c r="M13" s="185" t="s">
        <v>10</v>
      </c>
      <c r="N13" s="123" t="s">
        <v>4</v>
      </c>
      <c r="O13" s="185" t="s">
        <v>11</v>
      </c>
      <c r="P13" s="185" t="s">
        <v>10</v>
      </c>
      <c r="Q13" s="185" t="s">
        <v>10</v>
      </c>
      <c r="R13" s="185" t="s">
        <v>10</v>
      </c>
      <c r="S13" s="185" t="s">
        <v>10</v>
      </c>
      <c r="T13" s="185" t="s">
        <v>10</v>
      </c>
      <c r="U13" s="123" t="s">
        <v>4</v>
      </c>
      <c r="V13" s="185" t="s">
        <v>11</v>
      </c>
      <c r="W13" s="185" t="s">
        <v>10</v>
      </c>
      <c r="X13" s="185" t="s">
        <v>10</v>
      </c>
      <c r="Y13" s="185" t="s">
        <v>10</v>
      </c>
      <c r="Z13" s="184" t="s">
        <v>2</v>
      </c>
      <c r="AA13" s="185" t="s">
        <v>10</v>
      </c>
      <c r="AB13" s="123" t="s">
        <v>4</v>
      </c>
      <c r="AC13" s="185" t="s">
        <v>11</v>
      </c>
      <c r="AD13" s="185" t="s">
        <v>10</v>
      </c>
      <c r="AE13" s="185" t="s">
        <v>10</v>
      </c>
      <c r="AF13" s="185" t="s">
        <v>10</v>
      </c>
      <c r="AG13" s="184" t="s">
        <v>2</v>
      </c>
      <c r="AH13" s="185" t="s">
        <v>10</v>
      </c>
      <c r="AI13" s="185" t="s">
        <v>11</v>
      </c>
      <c r="AJ13" s="123" t="s">
        <v>4</v>
      </c>
      <c r="AK13" s="185" t="s">
        <v>11</v>
      </c>
      <c r="AL13" s="123" t="s">
        <v>4</v>
      </c>
    </row>
    <row r="14" spans="1:38" x14ac:dyDescent="0.35">
      <c r="A14" s="182" t="s">
        <v>155</v>
      </c>
      <c r="B14" s="19" t="s">
        <v>41</v>
      </c>
      <c r="C14" s="19" t="s">
        <v>41</v>
      </c>
      <c r="D14" s="19" t="s">
        <v>41</v>
      </c>
      <c r="E14" s="22" t="s">
        <v>16</v>
      </c>
      <c r="F14" s="185" t="s">
        <v>10</v>
      </c>
      <c r="G14" s="185" t="s">
        <v>11</v>
      </c>
      <c r="H14" s="123" t="s">
        <v>4</v>
      </c>
      <c r="I14" s="184" t="s">
        <v>2</v>
      </c>
      <c r="J14" s="185" t="s">
        <v>10</v>
      </c>
      <c r="K14" s="185" t="s">
        <v>10</v>
      </c>
      <c r="L14" s="185" t="s">
        <v>10</v>
      </c>
      <c r="M14" s="185" t="s">
        <v>10</v>
      </c>
      <c r="N14" s="185" t="s">
        <v>11</v>
      </c>
      <c r="O14" s="123" t="s">
        <v>4</v>
      </c>
      <c r="P14" s="184" t="s">
        <v>2</v>
      </c>
      <c r="Q14" s="185" t="s">
        <v>10</v>
      </c>
      <c r="R14" s="185" t="s">
        <v>10</v>
      </c>
      <c r="S14" s="185" t="s">
        <v>10</v>
      </c>
      <c r="T14" s="185" t="s">
        <v>10</v>
      </c>
      <c r="U14" s="185" t="s">
        <v>11</v>
      </c>
      <c r="V14" s="123" t="s">
        <v>4</v>
      </c>
      <c r="W14" s="185" t="s">
        <v>10</v>
      </c>
      <c r="X14" s="185" t="s">
        <v>10</v>
      </c>
      <c r="Y14" s="185" t="s">
        <v>10</v>
      </c>
      <c r="Z14" s="185" t="s">
        <v>10</v>
      </c>
      <c r="AA14" s="185" t="s">
        <v>10</v>
      </c>
      <c r="AB14" s="185" t="s">
        <v>11</v>
      </c>
      <c r="AC14" s="123" t="s">
        <v>4</v>
      </c>
      <c r="AD14" s="131" t="s">
        <v>5</v>
      </c>
      <c r="AE14" s="185" t="s">
        <v>10</v>
      </c>
      <c r="AF14" s="185" t="s">
        <v>10</v>
      </c>
      <c r="AG14" s="185" t="s">
        <v>10</v>
      </c>
      <c r="AH14" s="185" t="s">
        <v>10</v>
      </c>
      <c r="AI14" s="123" t="s">
        <v>4</v>
      </c>
      <c r="AJ14" s="25" t="s">
        <v>3</v>
      </c>
      <c r="AK14" s="123" t="s">
        <v>4</v>
      </c>
      <c r="AL14" s="25" t="s">
        <v>3</v>
      </c>
    </row>
    <row r="16" spans="1:38" x14ac:dyDescent="0.35">
      <c r="A16" s="193" t="s">
        <v>57</v>
      </c>
      <c r="B16" s="184" t="s">
        <v>2</v>
      </c>
      <c r="C16" s="19" t="s">
        <v>41</v>
      </c>
      <c r="D16" s="19" t="s">
        <v>41</v>
      </c>
      <c r="E16" s="19" t="s">
        <v>41</v>
      </c>
      <c r="F16" s="19" t="s">
        <v>41</v>
      </c>
      <c r="G16" s="123" t="s">
        <v>4</v>
      </c>
      <c r="H16" s="25" t="s">
        <v>3</v>
      </c>
      <c r="I16" s="131" t="s">
        <v>5</v>
      </c>
      <c r="J16" s="131" t="s">
        <v>5</v>
      </c>
      <c r="K16" s="131" t="s">
        <v>5</v>
      </c>
      <c r="L16" s="131" t="s">
        <v>5</v>
      </c>
      <c r="M16" s="131" t="s">
        <v>5</v>
      </c>
      <c r="N16" s="131" t="s">
        <v>4</v>
      </c>
      <c r="O16" s="131" t="s">
        <v>4</v>
      </c>
      <c r="P16" s="131" t="s">
        <v>5</v>
      </c>
      <c r="Q16" s="131" t="s">
        <v>5</v>
      </c>
      <c r="R16" s="25" t="s">
        <v>6</v>
      </c>
      <c r="S16" s="25" t="s">
        <v>6</v>
      </c>
      <c r="T16" s="25" t="s">
        <v>6</v>
      </c>
      <c r="U16" s="25" t="s">
        <v>3</v>
      </c>
      <c r="V16" s="123" t="s">
        <v>4</v>
      </c>
      <c r="W16" s="25" t="s">
        <v>6</v>
      </c>
      <c r="X16" s="25" t="s">
        <v>6</v>
      </c>
      <c r="Y16" s="25" t="s">
        <v>6</v>
      </c>
      <c r="Z16" s="25" t="s">
        <v>6</v>
      </c>
      <c r="AA16" s="25" t="s">
        <v>6</v>
      </c>
      <c r="AB16" s="25" t="s">
        <v>3</v>
      </c>
      <c r="AC16" s="123" t="s">
        <v>4</v>
      </c>
      <c r="AD16" s="184" t="s">
        <v>2</v>
      </c>
      <c r="AE16" s="25" t="s">
        <v>6</v>
      </c>
      <c r="AF16" s="25" t="s">
        <v>6</v>
      </c>
      <c r="AG16" s="25" t="s">
        <v>6</v>
      </c>
      <c r="AH16" s="25" t="s">
        <v>6</v>
      </c>
      <c r="AI16" s="25" t="s">
        <v>3</v>
      </c>
      <c r="AJ16" s="123" t="s">
        <v>4</v>
      </c>
      <c r="AK16" s="25" t="s">
        <v>3</v>
      </c>
      <c r="AL16" s="123" t="s">
        <v>4</v>
      </c>
    </row>
    <row r="17" spans="1:38" x14ac:dyDescent="0.35">
      <c r="A17" s="193" t="s">
        <v>43</v>
      </c>
      <c r="B17" s="185" t="s">
        <v>10</v>
      </c>
      <c r="C17" s="185" t="s">
        <v>10</v>
      </c>
      <c r="D17" s="184" t="s">
        <v>2</v>
      </c>
      <c r="E17" s="25" t="s">
        <v>6</v>
      </c>
      <c r="F17" s="25" t="s">
        <v>6</v>
      </c>
      <c r="G17" s="25" t="s">
        <v>3</v>
      </c>
      <c r="H17" s="123" t="s">
        <v>4</v>
      </c>
      <c r="I17" s="25" t="s">
        <v>6</v>
      </c>
      <c r="J17" s="25" t="s">
        <v>6</v>
      </c>
      <c r="K17" s="25" t="s">
        <v>6</v>
      </c>
      <c r="L17" s="25" t="s">
        <v>6</v>
      </c>
      <c r="M17" s="25" t="s">
        <v>6</v>
      </c>
      <c r="N17" s="25" t="s">
        <v>3</v>
      </c>
      <c r="O17" s="123" t="s">
        <v>4</v>
      </c>
      <c r="P17" s="25" t="s">
        <v>6</v>
      </c>
      <c r="Q17" s="25" t="s">
        <v>6</v>
      </c>
      <c r="R17" s="25" t="s">
        <v>6</v>
      </c>
      <c r="S17" s="25" t="s">
        <v>6</v>
      </c>
      <c r="T17" s="131" t="s">
        <v>5</v>
      </c>
      <c r="U17" s="131" t="s">
        <v>4</v>
      </c>
      <c r="V17" s="131" t="s">
        <v>4</v>
      </c>
      <c r="W17" s="184" t="s">
        <v>2</v>
      </c>
      <c r="X17" s="25" t="s">
        <v>6</v>
      </c>
      <c r="Y17" s="25" t="s">
        <v>6</v>
      </c>
      <c r="Z17" s="25" t="s">
        <v>6</v>
      </c>
      <c r="AA17" s="184" t="s">
        <v>2</v>
      </c>
      <c r="AB17" s="123" t="s">
        <v>4</v>
      </c>
      <c r="AC17" s="25" t="s">
        <v>3</v>
      </c>
      <c r="AD17" s="25" t="s">
        <v>6</v>
      </c>
      <c r="AE17" s="25" t="s">
        <v>6</v>
      </c>
      <c r="AF17" s="25" t="s">
        <v>6</v>
      </c>
      <c r="AG17" s="25" t="s">
        <v>6</v>
      </c>
      <c r="AH17" s="184" t="s">
        <v>2</v>
      </c>
      <c r="AI17" s="123" t="s">
        <v>4</v>
      </c>
      <c r="AJ17" s="19" t="s">
        <v>42</v>
      </c>
      <c r="AK17" s="123" t="s">
        <v>4</v>
      </c>
      <c r="AL17" s="19" t="s">
        <v>42</v>
      </c>
    </row>
    <row r="18" spans="1:38" x14ac:dyDescent="0.35">
      <c r="A18" s="182" t="s">
        <v>223</v>
      </c>
      <c r="B18" s="185" t="s">
        <v>10</v>
      </c>
      <c r="C18" s="184" t="s">
        <v>2</v>
      </c>
      <c r="D18" s="22" t="s">
        <v>16</v>
      </c>
      <c r="E18" s="25" t="s">
        <v>6</v>
      </c>
      <c r="F18" s="184" t="s">
        <v>2</v>
      </c>
      <c r="G18" s="123" t="s">
        <v>4</v>
      </c>
      <c r="H18" s="25" t="s">
        <v>3</v>
      </c>
      <c r="I18" s="25" t="s">
        <v>6</v>
      </c>
      <c r="J18" s="131" t="s">
        <v>5</v>
      </c>
      <c r="K18" s="22" t="s">
        <v>16</v>
      </c>
      <c r="L18" s="25" t="s">
        <v>6</v>
      </c>
      <c r="M18" s="184" t="s">
        <v>2</v>
      </c>
      <c r="N18" s="25" t="s">
        <v>3</v>
      </c>
      <c r="O18" s="25" t="s">
        <v>3</v>
      </c>
      <c r="P18" s="25" t="s">
        <v>6</v>
      </c>
      <c r="Q18" s="184" t="s">
        <v>2</v>
      </c>
      <c r="R18" s="25" t="s">
        <v>6</v>
      </c>
      <c r="S18" s="25" t="s">
        <v>6</v>
      </c>
      <c r="T18" s="25" t="s">
        <v>6</v>
      </c>
      <c r="U18" s="25" t="s">
        <v>3</v>
      </c>
      <c r="V18" s="25" t="s">
        <v>3</v>
      </c>
      <c r="W18" s="25" t="s">
        <v>6</v>
      </c>
      <c r="X18" s="184" t="s">
        <v>2</v>
      </c>
      <c r="Y18" s="25" t="s">
        <v>6</v>
      </c>
      <c r="Z18" s="25" t="s">
        <v>6</v>
      </c>
      <c r="AA18" s="25" t="s">
        <v>6</v>
      </c>
      <c r="AB18" s="25" t="s">
        <v>3</v>
      </c>
      <c r="AC18" s="123" t="s">
        <v>4</v>
      </c>
      <c r="AD18" s="184" t="s">
        <v>2</v>
      </c>
      <c r="AE18" s="22" t="s">
        <v>16</v>
      </c>
      <c r="AF18" s="25" t="s">
        <v>6</v>
      </c>
      <c r="AG18" s="25" t="s">
        <v>6</v>
      </c>
      <c r="AH18" s="25" t="s">
        <v>6</v>
      </c>
      <c r="AI18" s="25" t="s">
        <v>3</v>
      </c>
      <c r="AJ18" s="123" t="s">
        <v>4</v>
      </c>
      <c r="AK18" s="25" t="s">
        <v>3</v>
      </c>
      <c r="AL18" s="25" t="s">
        <v>3</v>
      </c>
    </row>
    <row r="19" spans="1:38" x14ac:dyDescent="0.35">
      <c r="A19" s="182" t="s">
        <v>62</v>
      </c>
      <c r="B19" s="185" t="s">
        <v>10</v>
      </c>
      <c r="C19" s="185" t="s">
        <v>10</v>
      </c>
      <c r="D19" s="185" t="s">
        <v>10</v>
      </c>
      <c r="E19" s="184" t="s">
        <v>2</v>
      </c>
      <c r="F19" s="25" t="s">
        <v>6</v>
      </c>
      <c r="G19" s="25" t="s">
        <v>3</v>
      </c>
      <c r="H19" s="123" t="s">
        <v>4</v>
      </c>
      <c r="I19" s="25" t="s">
        <v>6</v>
      </c>
      <c r="J19" s="25" t="s">
        <v>6</v>
      </c>
      <c r="K19" s="131" t="s">
        <v>5</v>
      </c>
      <c r="L19" s="25" t="s">
        <v>6</v>
      </c>
      <c r="M19" s="25" t="s">
        <v>6</v>
      </c>
      <c r="N19" s="123" t="s">
        <v>4</v>
      </c>
      <c r="O19" s="25" t="s">
        <v>3</v>
      </c>
      <c r="P19" s="25" t="s">
        <v>6</v>
      </c>
      <c r="Q19" s="25" t="s">
        <v>6</v>
      </c>
      <c r="R19" s="184" t="s">
        <v>2</v>
      </c>
      <c r="S19" s="25" t="s">
        <v>6</v>
      </c>
      <c r="T19" s="25" t="s">
        <v>6</v>
      </c>
      <c r="U19" s="123" t="s">
        <v>4</v>
      </c>
      <c r="V19" s="25" t="s">
        <v>3</v>
      </c>
      <c r="W19" s="184" t="s">
        <v>2</v>
      </c>
      <c r="X19" s="25" t="s">
        <v>6</v>
      </c>
      <c r="Y19" s="184" t="s">
        <v>2</v>
      </c>
      <c r="Z19" s="25" t="s">
        <v>6</v>
      </c>
      <c r="AA19" s="22" t="s">
        <v>16</v>
      </c>
      <c r="AB19" s="123" t="s">
        <v>4</v>
      </c>
      <c r="AC19" s="25" t="s">
        <v>3</v>
      </c>
      <c r="AD19" s="25" t="s">
        <v>6</v>
      </c>
      <c r="AE19" s="25" t="s">
        <v>6</v>
      </c>
      <c r="AF19" s="184" t="s">
        <v>2</v>
      </c>
      <c r="AG19" s="25" t="s">
        <v>6</v>
      </c>
      <c r="AH19" s="25" t="s">
        <v>6</v>
      </c>
      <c r="AI19" s="123" t="s">
        <v>4</v>
      </c>
      <c r="AJ19" s="19" t="s">
        <v>42</v>
      </c>
      <c r="AK19" s="131" t="s">
        <v>4</v>
      </c>
      <c r="AL19" s="131" t="s">
        <v>4</v>
      </c>
    </row>
    <row r="20" spans="1:38" x14ac:dyDescent="0.35">
      <c r="A20" s="182" t="s">
        <v>180</v>
      </c>
      <c r="B20" s="184" t="s">
        <v>2</v>
      </c>
      <c r="C20" s="184" t="s">
        <v>2</v>
      </c>
      <c r="D20" s="22" t="s">
        <v>16</v>
      </c>
      <c r="E20" s="25" t="s">
        <v>6</v>
      </c>
      <c r="F20" s="25" t="s">
        <v>3</v>
      </c>
      <c r="G20" s="123" t="s">
        <v>4</v>
      </c>
      <c r="H20" s="123" t="s">
        <v>4</v>
      </c>
      <c r="I20" s="184" t="s">
        <v>2</v>
      </c>
      <c r="J20" s="25" t="s">
        <v>6</v>
      </c>
      <c r="K20" s="25" t="s">
        <v>6</v>
      </c>
      <c r="L20" s="25" t="s">
        <v>6</v>
      </c>
      <c r="M20" s="25" t="s">
        <v>6</v>
      </c>
      <c r="N20" s="22" t="s">
        <v>30</v>
      </c>
      <c r="O20" s="123" t="s">
        <v>4</v>
      </c>
      <c r="P20" s="25" t="s">
        <v>6</v>
      </c>
      <c r="Q20" s="25" t="s">
        <v>6</v>
      </c>
      <c r="R20" s="22" t="s">
        <v>16</v>
      </c>
      <c r="S20" s="184" t="s">
        <v>2</v>
      </c>
      <c r="T20" s="25" t="s">
        <v>6</v>
      </c>
      <c r="U20" s="22" t="s">
        <v>30</v>
      </c>
      <c r="V20" s="123" t="s">
        <v>4</v>
      </c>
      <c r="W20" s="25" t="s">
        <v>6</v>
      </c>
      <c r="X20" s="25" t="s">
        <v>6</v>
      </c>
      <c r="Y20" s="25" t="s">
        <v>6</v>
      </c>
      <c r="Z20" s="184" t="s">
        <v>2</v>
      </c>
      <c r="AA20" s="25" t="s">
        <v>6</v>
      </c>
      <c r="AB20" s="22" t="s">
        <v>30</v>
      </c>
      <c r="AC20" s="123" t="s">
        <v>4</v>
      </c>
      <c r="AD20" s="25" t="s">
        <v>6</v>
      </c>
      <c r="AE20" s="25" t="s">
        <v>6</v>
      </c>
      <c r="AF20" s="25" t="s">
        <v>6</v>
      </c>
      <c r="AG20" s="184" t="s">
        <v>2</v>
      </c>
      <c r="AH20" s="25" t="s">
        <v>6</v>
      </c>
      <c r="AI20" s="22" t="s">
        <v>30</v>
      </c>
      <c r="AJ20" s="123" t="s">
        <v>4</v>
      </c>
      <c r="AK20" s="22" t="s">
        <v>30</v>
      </c>
      <c r="AL20" s="123" t="s">
        <v>4</v>
      </c>
    </row>
    <row r="22" spans="1:38" x14ac:dyDescent="0.35">
      <c r="A22" s="189" t="s">
        <v>156</v>
      </c>
      <c r="B22">
        <f t="shared" ref="B22:E22" si="2">COUNTIF(B4:B20,"*MS")</f>
        <v>4</v>
      </c>
      <c r="C22">
        <f t="shared" si="2"/>
        <v>4</v>
      </c>
      <c r="D22">
        <f t="shared" si="2"/>
        <v>4</v>
      </c>
      <c r="E22">
        <f t="shared" si="2"/>
        <v>3</v>
      </c>
      <c r="F22">
        <f t="shared" ref="F22:H22" si="3">COUNTIF(F4:F20,"*MS")</f>
        <v>3</v>
      </c>
      <c r="G22">
        <f t="shared" si="3"/>
        <v>2</v>
      </c>
      <c r="H22">
        <f t="shared" si="3"/>
        <v>2</v>
      </c>
      <c r="I22">
        <f t="shared" ref="I22:AL22" si="4">COUNTIF(I4:I20,"*MS")</f>
        <v>3</v>
      </c>
      <c r="J22">
        <f t="shared" si="4"/>
        <v>3</v>
      </c>
      <c r="K22">
        <f t="shared" si="4"/>
        <v>3</v>
      </c>
      <c r="L22">
        <f t="shared" si="4"/>
        <v>4</v>
      </c>
      <c r="M22">
        <f t="shared" si="4"/>
        <v>3</v>
      </c>
      <c r="N22">
        <f t="shared" si="4"/>
        <v>2</v>
      </c>
      <c r="O22">
        <f t="shared" si="4"/>
        <v>2</v>
      </c>
      <c r="P22">
        <f t="shared" si="4"/>
        <v>4</v>
      </c>
      <c r="Q22">
        <f t="shared" si="4"/>
        <v>3</v>
      </c>
      <c r="R22">
        <f t="shared" ref="R22" si="5">COUNTIF(R4:R20,"*MS")</f>
        <v>3</v>
      </c>
      <c r="S22">
        <f t="shared" si="4"/>
        <v>4</v>
      </c>
      <c r="T22">
        <f t="shared" si="4"/>
        <v>4</v>
      </c>
      <c r="U22">
        <f t="shared" si="4"/>
        <v>2</v>
      </c>
      <c r="V22">
        <f t="shared" si="4"/>
        <v>2</v>
      </c>
      <c r="W22">
        <f t="shared" si="4"/>
        <v>3</v>
      </c>
      <c r="X22">
        <f t="shared" si="4"/>
        <v>4</v>
      </c>
      <c r="Y22">
        <f t="shared" si="4"/>
        <v>4</v>
      </c>
      <c r="Z22">
        <f>COUNTIF(Z4:Z20,"*MS")</f>
        <v>4</v>
      </c>
      <c r="AA22">
        <f t="shared" si="4"/>
        <v>3</v>
      </c>
      <c r="AB22">
        <f t="shared" si="4"/>
        <v>2</v>
      </c>
      <c r="AC22">
        <f t="shared" si="4"/>
        <v>2</v>
      </c>
      <c r="AD22">
        <f t="shared" si="4"/>
        <v>3</v>
      </c>
      <c r="AE22">
        <f t="shared" si="4"/>
        <v>4</v>
      </c>
      <c r="AF22">
        <f t="shared" si="4"/>
        <v>4</v>
      </c>
      <c r="AG22">
        <f t="shared" si="4"/>
        <v>4</v>
      </c>
      <c r="AH22">
        <f t="shared" si="4"/>
        <v>4</v>
      </c>
      <c r="AI22">
        <f t="shared" si="4"/>
        <v>2</v>
      </c>
      <c r="AJ22">
        <f t="shared" si="4"/>
        <v>2</v>
      </c>
      <c r="AK22">
        <f t="shared" si="4"/>
        <v>2</v>
      </c>
      <c r="AL22">
        <f t="shared" si="4"/>
        <v>2</v>
      </c>
    </row>
    <row r="23" spans="1:38" x14ac:dyDescent="0.35">
      <c r="A23" s="189" t="s">
        <v>157</v>
      </c>
      <c r="B23">
        <f t="shared" ref="B23:E23" si="6">COUNTIF(B4:B20,"*ASS1")</f>
        <v>4</v>
      </c>
      <c r="C23">
        <f t="shared" si="6"/>
        <v>3</v>
      </c>
      <c r="D23">
        <f t="shared" si="6"/>
        <v>4</v>
      </c>
      <c r="E23">
        <f t="shared" si="6"/>
        <v>4</v>
      </c>
      <c r="F23">
        <f t="shared" ref="F23:H23" si="7">COUNTIF(F4:F20,"*ASS1")</f>
        <v>4</v>
      </c>
      <c r="G23">
        <f t="shared" si="7"/>
        <v>2</v>
      </c>
      <c r="H23">
        <f t="shared" si="7"/>
        <v>2</v>
      </c>
      <c r="I23">
        <f t="shared" ref="I23:AL23" si="8">COUNTIF(I4:I20,"*ASS1")</f>
        <v>3</v>
      </c>
      <c r="J23">
        <f t="shared" si="8"/>
        <v>3</v>
      </c>
      <c r="K23">
        <f t="shared" si="8"/>
        <v>3</v>
      </c>
      <c r="L23">
        <f t="shared" si="8"/>
        <v>4</v>
      </c>
      <c r="M23">
        <f t="shared" si="8"/>
        <v>3</v>
      </c>
      <c r="N23">
        <f t="shared" si="8"/>
        <v>2</v>
      </c>
      <c r="O23">
        <f t="shared" si="8"/>
        <v>2</v>
      </c>
      <c r="P23">
        <f t="shared" si="8"/>
        <v>4</v>
      </c>
      <c r="Q23">
        <f t="shared" si="8"/>
        <v>4</v>
      </c>
      <c r="R23">
        <f t="shared" ref="R23" si="9">COUNTIF(R4:R20,"*ASS1")</f>
        <v>3</v>
      </c>
      <c r="S23">
        <f t="shared" si="8"/>
        <v>4</v>
      </c>
      <c r="T23">
        <f t="shared" si="8"/>
        <v>4</v>
      </c>
      <c r="U23">
        <f t="shared" si="8"/>
        <v>2</v>
      </c>
      <c r="V23">
        <f t="shared" si="8"/>
        <v>2</v>
      </c>
      <c r="W23">
        <f t="shared" si="8"/>
        <v>3</v>
      </c>
      <c r="X23">
        <f t="shared" si="8"/>
        <v>4</v>
      </c>
      <c r="Y23">
        <f t="shared" si="8"/>
        <v>4</v>
      </c>
      <c r="Z23">
        <f>COUNTIF(Z4:Z20,"*ASS1")</f>
        <v>4</v>
      </c>
      <c r="AA23">
        <f t="shared" si="8"/>
        <v>3</v>
      </c>
      <c r="AB23">
        <f t="shared" si="8"/>
        <v>2</v>
      </c>
      <c r="AC23">
        <f t="shared" si="8"/>
        <v>2</v>
      </c>
      <c r="AD23">
        <f t="shared" si="8"/>
        <v>4</v>
      </c>
      <c r="AE23">
        <f t="shared" si="8"/>
        <v>4</v>
      </c>
      <c r="AF23">
        <f t="shared" si="8"/>
        <v>4</v>
      </c>
      <c r="AG23">
        <f t="shared" si="8"/>
        <v>4</v>
      </c>
      <c r="AH23">
        <f t="shared" si="8"/>
        <v>4</v>
      </c>
      <c r="AI23">
        <f t="shared" si="8"/>
        <v>2</v>
      </c>
      <c r="AJ23">
        <f t="shared" si="8"/>
        <v>2</v>
      </c>
      <c r="AK23">
        <f t="shared" si="8"/>
        <v>2</v>
      </c>
      <c r="AL23">
        <f t="shared" si="8"/>
        <v>2</v>
      </c>
    </row>
    <row r="24" spans="1:38" x14ac:dyDescent="0.35">
      <c r="A24" s="189" t="s">
        <v>158</v>
      </c>
      <c r="B24">
        <f t="shared" ref="B24:E24" si="10">COUNTIF(B4:B20,"*NST7")</f>
        <v>4</v>
      </c>
      <c r="C24">
        <f t="shared" si="10"/>
        <v>3</v>
      </c>
      <c r="D24">
        <f t="shared" si="10"/>
        <v>2</v>
      </c>
      <c r="E24">
        <f t="shared" si="10"/>
        <v>4</v>
      </c>
      <c r="F24">
        <f t="shared" ref="F24:H24" si="11">COUNTIF(F4:F20,"*NST7")</f>
        <v>4</v>
      </c>
      <c r="G24">
        <f t="shared" si="11"/>
        <v>3</v>
      </c>
      <c r="H24">
        <f t="shared" si="11"/>
        <v>3</v>
      </c>
      <c r="I24">
        <f t="shared" ref="I24:AL24" si="12">COUNTIF(I4:I20,"*NST7")</f>
        <v>4</v>
      </c>
      <c r="J24">
        <f t="shared" si="12"/>
        <v>4</v>
      </c>
      <c r="K24">
        <f t="shared" si="12"/>
        <v>4</v>
      </c>
      <c r="L24">
        <f t="shared" si="12"/>
        <v>3</v>
      </c>
      <c r="M24">
        <f t="shared" si="12"/>
        <v>4</v>
      </c>
      <c r="N24">
        <f t="shared" si="12"/>
        <v>3</v>
      </c>
      <c r="O24">
        <f t="shared" si="12"/>
        <v>3</v>
      </c>
      <c r="P24">
        <f t="shared" si="12"/>
        <v>3</v>
      </c>
      <c r="Q24">
        <f t="shared" si="12"/>
        <v>4</v>
      </c>
      <c r="R24">
        <f t="shared" ref="R24" si="13">COUNTIF(R4:R20,"*NST7")</f>
        <v>4</v>
      </c>
      <c r="S24">
        <f t="shared" si="12"/>
        <v>4</v>
      </c>
      <c r="T24">
        <f t="shared" si="12"/>
        <v>4</v>
      </c>
      <c r="U24">
        <f t="shared" si="12"/>
        <v>3</v>
      </c>
      <c r="V24">
        <f t="shared" si="12"/>
        <v>3</v>
      </c>
      <c r="W24">
        <f t="shared" si="12"/>
        <v>4</v>
      </c>
      <c r="X24">
        <f t="shared" si="12"/>
        <v>4</v>
      </c>
      <c r="Y24">
        <f t="shared" si="12"/>
        <v>3</v>
      </c>
      <c r="Z24">
        <f>COUNTIF(Z4:Z20,"*NST7")</f>
        <v>3</v>
      </c>
      <c r="AA24">
        <f t="shared" si="12"/>
        <v>4</v>
      </c>
      <c r="AB24">
        <f t="shared" si="12"/>
        <v>3</v>
      </c>
      <c r="AC24">
        <f t="shared" si="12"/>
        <v>3</v>
      </c>
      <c r="AD24">
        <f t="shared" si="12"/>
        <v>3</v>
      </c>
      <c r="AE24">
        <f t="shared" si="12"/>
        <v>3</v>
      </c>
      <c r="AF24">
        <f t="shared" si="12"/>
        <v>4</v>
      </c>
      <c r="AG24">
        <f t="shared" si="12"/>
        <v>3</v>
      </c>
      <c r="AH24">
        <f t="shared" si="12"/>
        <v>4</v>
      </c>
      <c r="AI24">
        <f t="shared" si="12"/>
        <v>3</v>
      </c>
      <c r="AJ24">
        <f t="shared" si="12"/>
        <v>2</v>
      </c>
      <c r="AK24">
        <f t="shared" si="12"/>
        <v>3</v>
      </c>
      <c r="AL24">
        <f t="shared" si="12"/>
        <v>2</v>
      </c>
    </row>
    <row r="25" spans="1:38" x14ac:dyDescent="0.35">
      <c r="A25" s="189" t="s">
        <v>159</v>
      </c>
      <c r="B25">
        <f t="shared" ref="B25:E25" si="14">COUNTIF(B4:B20,"*GS")</f>
        <v>0</v>
      </c>
      <c r="C25">
        <f t="shared" si="14"/>
        <v>0</v>
      </c>
      <c r="D25">
        <f t="shared" si="14"/>
        <v>2</v>
      </c>
      <c r="E25">
        <f t="shared" si="14"/>
        <v>1</v>
      </c>
      <c r="F25">
        <f t="shared" ref="F25:H25" si="15">COUNTIF(F4:F20,"*GS")</f>
        <v>0</v>
      </c>
      <c r="G25">
        <f t="shared" si="15"/>
        <v>1</v>
      </c>
      <c r="H25">
        <f t="shared" si="15"/>
        <v>0</v>
      </c>
      <c r="I25">
        <f t="shared" ref="I25:AL25" si="16">COUNTIF(I4:I20,"*GS")</f>
        <v>0</v>
      </c>
      <c r="J25">
        <f t="shared" si="16"/>
        <v>1</v>
      </c>
      <c r="K25">
        <f t="shared" si="16"/>
        <v>1</v>
      </c>
      <c r="L25">
        <f t="shared" si="16"/>
        <v>0</v>
      </c>
      <c r="M25">
        <f t="shared" si="16"/>
        <v>0</v>
      </c>
      <c r="N25">
        <f t="shared" si="16"/>
        <v>1</v>
      </c>
      <c r="O25">
        <f t="shared" si="16"/>
        <v>0</v>
      </c>
      <c r="P25">
        <f t="shared" si="16"/>
        <v>0</v>
      </c>
      <c r="Q25">
        <f t="shared" si="16"/>
        <v>0</v>
      </c>
      <c r="R25">
        <f t="shared" ref="R25" si="17">COUNTIF(R4:R20,"*GS")</f>
        <v>1</v>
      </c>
      <c r="S25">
        <f t="shared" si="16"/>
        <v>0</v>
      </c>
      <c r="T25">
        <f t="shared" si="16"/>
        <v>0</v>
      </c>
      <c r="U25">
        <f t="shared" si="16"/>
        <v>1</v>
      </c>
      <c r="V25">
        <f t="shared" si="16"/>
        <v>0</v>
      </c>
      <c r="W25">
        <f t="shared" si="16"/>
        <v>0</v>
      </c>
      <c r="X25">
        <f t="shared" si="16"/>
        <v>0</v>
      </c>
      <c r="Y25">
        <f t="shared" si="16"/>
        <v>0</v>
      </c>
      <c r="Z25">
        <f>COUNTIF(Z4:Z20,"*GS")</f>
        <v>0</v>
      </c>
      <c r="AA25">
        <f t="shared" si="16"/>
        <v>1</v>
      </c>
      <c r="AB25">
        <f t="shared" si="16"/>
        <v>1</v>
      </c>
      <c r="AC25">
        <f t="shared" si="16"/>
        <v>0</v>
      </c>
      <c r="AD25">
        <f t="shared" si="16"/>
        <v>0</v>
      </c>
      <c r="AE25">
        <f t="shared" si="16"/>
        <v>1</v>
      </c>
      <c r="AF25">
        <f t="shared" si="16"/>
        <v>0</v>
      </c>
      <c r="AG25">
        <f t="shared" si="16"/>
        <v>0</v>
      </c>
      <c r="AH25">
        <f t="shared" si="16"/>
        <v>0</v>
      </c>
      <c r="AI25">
        <f t="shared" si="16"/>
        <v>1</v>
      </c>
      <c r="AJ25">
        <f t="shared" si="16"/>
        <v>0</v>
      </c>
      <c r="AK25">
        <f t="shared" si="16"/>
        <v>1</v>
      </c>
      <c r="AL25">
        <f t="shared" si="16"/>
        <v>0</v>
      </c>
    </row>
    <row r="26" spans="1:38" x14ac:dyDescent="0.35">
      <c r="A26" s="189" t="s">
        <v>160</v>
      </c>
      <c r="B26">
        <f t="shared" ref="B26:E26" si="18">COUNTIF(B4:B20,"C")</f>
        <v>3</v>
      </c>
      <c r="C26">
        <f t="shared" si="18"/>
        <v>4</v>
      </c>
      <c r="D26">
        <f t="shared" si="18"/>
        <v>3</v>
      </c>
      <c r="E26">
        <f t="shared" si="18"/>
        <v>3</v>
      </c>
      <c r="F26">
        <f t="shared" ref="F26" si="19">COUNTIF(F4:F20,"C")</f>
        <v>4</v>
      </c>
      <c r="G26">
        <f t="shared" ref="G26:H26" si="20">COUNTIF(G4:G20,"WO")</f>
        <v>7</v>
      </c>
      <c r="H26">
        <f t="shared" si="20"/>
        <v>8</v>
      </c>
      <c r="I26">
        <f t="shared" ref="I26:M26" si="21">COUNTIF(I4:I20,"C")</f>
        <v>4</v>
      </c>
      <c r="J26">
        <f t="shared" si="21"/>
        <v>2</v>
      </c>
      <c r="K26">
        <f t="shared" si="21"/>
        <v>2</v>
      </c>
      <c r="L26">
        <f t="shared" si="21"/>
        <v>2</v>
      </c>
      <c r="M26">
        <f t="shared" si="21"/>
        <v>2</v>
      </c>
      <c r="N26">
        <f t="shared" ref="N26:O26" si="22">COUNTIF(N4:N20,"WO")</f>
        <v>7</v>
      </c>
      <c r="O26">
        <f t="shared" si="22"/>
        <v>8</v>
      </c>
      <c r="P26">
        <f t="shared" ref="P26:T26" si="23">COUNTIF(P4:P20,"C")</f>
        <v>3</v>
      </c>
      <c r="Q26">
        <f t="shared" si="23"/>
        <v>3</v>
      </c>
      <c r="R26">
        <f t="shared" ref="R26" si="24">COUNTIF(R4:R20,"C")</f>
        <v>4</v>
      </c>
      <c r="S26">
        <f t="shared" si="23"/>
        <v>3</v>
      </c>
      <c r="T26">
        <f t="shared" si="23"/>
        <v>2</v>
      </c>
      <c r="U26">
        <f t="shared" ref="U26:V26" si="25">COUNTIF(U4:U20,"WO")</f>
        <v>7</v>
      </c>
      <c r="V26">
        <f t="shared" si="25"/>
        <v>8</v>
      </c>
      <c r="W26">
        <f t="shared" ref="W26:AA26" si="26">COUNTIF(W4:W20,"C")</f>
        <v>3</v>
      </c>
      <c r="X26">
        <f t="shared" si="26"/>
        <v>1</v>
      </c>
      <c r="Y26">
        <f t="shared" si="26"/>
        <v>2</v>
      </c>
      <c r="Z26">
        <f>COUNTIF(Z4:Z20,"C")</f>
        <v>2</v>
      </c>
      <c r="AA26">
        <f t="shared" si="26"/>
        <v>2</v>
      </c>
      <c r="AB26">
        <f t="shared" ref="AB26:AC26" si="27">COUNTIF(AB4:AB20,"WO")</f>
        <v>7</v>
      </c>
      <c r="AC26">
        <f t="shared" si="27"/>
        <v>8</v>
      </c>
      <c r="AD26">
        <f t="shared" ref="AD26:AH26" si="28">COUNTIF(AD4:AD20,"C")</f>
        <v>3</v>
      </c>
      <c r="AE26">
        <f t="shared" si="28"/>
        <v>2</v>
      </c>
      <c r="AF26">
        <f t="shared" si="28"/>
        <v>2</v>
      </c>
      <c r="AG26">
        <f t="shared" si="28"/>
        <v>3</v>
      </c>
      <c r="AH26">
        <f t="shared" si="28"/>
        <v>2</v>
      </c>
      <c r="AI26">
        <f t="shared" ref="AI26:AL26" si="29">COUNTIF(AI4:AI20,"WO")</f>
        <v>7</v>
      </c>
      <c r="AJ26">
        <f t="shared" si="29"/>
        <v>9</v>
      </c>
      <c r="AK26">
        <f t="shared" si="29"/>
        <v>7</v>
      </c>
      <c r="AL26">
        <f t="shared" si="29"/>
        <v>9</v>
      </c>
    </row>
    <row r="27" spans="1:38" x14ac:dyDescent="0.35">
      <c r="A27" s="189" t="s">
        <v>161</v>
      </c>
      <c r="B27">
        <f t="shared" ref="B27:E27" si="30">COUNTIF(B4:B20,"PL")</f>
        <v>0</v>
      </c>
      <c r="C27">
        <f t="shared" si="30"/>
        <v>1</v>
      </c>
      <c r="D27">
        <f t="shared" si="30"/>
        <v>0</v>
      </c>
      <c r="E27">
        <f t="shared" si="30"/>
        <v>0</v>
      </c>
      <c r="F27">
        <f t="shared" ref="F27:H27" si="31">COUNTIF(F4:F20,"PL")</f>
        <v>0</v>
      </c>
      <c r="G27">
        <f t="shared" si="31"/>
        <v>0</v>
      </c>
      <c r="H27">
        <f t="shared" si="31"/>
        <v>0</v>
      </c>
      <c r="I27">
        <f t="shared" ref="I27:AL27" si="32">COUNTIF(I4:I20,"PL")</f>
        <v>1</v>
      </c>
      <c r="J27">
        <f t="shared" si="32"/>
        <v>2</v>
      </c>
      <c r="K27">
        <f t="shared" si="32"/>
        <v>2</v>
      </c>
      <c r="L27">
        <f t="shared" si="32"/>
        <v>2</v>
      </c>
      <c r="M27">
        <f t="shared" si="32"/>
        <v>3</v>
      </c>
      <c r="N27">
        <f t="shared" si="32"/>
        <v>0</v>
      </c>
      <c r="O27">
        <f t="shared" si="32"/>
        <v>0</v>
      </c>
      <c r="P27">
        <f t="shared" si="32"/>
        <v>1</v>
      </c>
      <c r="Q27">
        <f t="shared" si="32"/>
        <v>1</v>
      </c>
      <c r="R27">
        <f t="shared" ref="R27" si="33">COUNTIF(R4:R20,"PL")</f>
        <v>0</v>
      </c>
      <c r="S27">
        <f t="shared" si="32"/>
        <v>0</v>
      </c>
      <c r="T27">
        <f t="shared" si="32"/>
        <v>1</v>
      </c>
      <c r="U27">
        <f t="shared" si="32"/>
        <v>0</v>
      </c>
      <c r="V27">
        <f t="shared" si="32"/>
        <v>0</v>
      </c>
      <c r="W27">
        <f t="shared" si="32"/>
        <v>2</v>
      </c>
      <c r="X27">
        <f t="shared" si="32"/>
        <v>2</v>
      </c>
      <c r="Y27">
        <f t="shared" si="32"/>
        <v>2</v>
      </c>
      <c r="Z27">
        <f>COUNTIF(Z4:Z20,"PL")</f>
        <v>2</v>
      </c>
      <c r="AA27">
        <f t="shared" si="32"/>
        <v>2</v>
      </c>
      <c r="AB27">
        <f t="shared" si="32"/>
        <v>0</v>
      </c>
      <c r="AC27">
        <f t="shared" si="32"/>
        <v>0</v>
      </c>
      <c r="AD27">
        <f t="shared" si="32"/>
        <v>2</v>
      </c>
      <c r="AE27">
        <f t="shared" si="32"/>
        <v>1</v>
      </c>
      <c r="AF27">
        <f t="shared" si="32"/>
        <v>1</v>
      </c>
      <c r="AG27">
        <f t="shared" si="32"/>
        <v>1</v>
      </c>
      <c r="AH27">
        <f t="shared" si="32"/>
        <v>1</v>
      </c>
      <c r="AI27">
        <f t="shared" si="32"/>
        <v>0</v>
      </c>
      <c r="AJ27">
        <f t="shared" si="32"/>
        <v>0</v>
      </c>
      <c r="AK27">
        <f t="shared" si="32"/>
        <v>0</v>
      </c>
      <c r="AL27">
        <f t="shared" si="32"/>
        <v>0</v>
      </c>
    </row>
    <row r="28" spans="1:38" x14ac:dyDescent="0.35">
      <c r="A28" s="189" t="s">
        <v>33</v>
      </c>
      <c r="B28">
        <f t="shared" ref="B28:E28" si="34">COUNTIF(B4:B20,"UPL")</f>
        <v>0</v>
      </c>
      <c r="C28">
        <f t="shared" si="34"/>
        <v>0</v>
      </c>
      <c r="D28">
        <f t="shared" si="34"/>
        <v>0</v>
      </c>
      <c r="E28">
        <f t="shared" si="34"/>
        <v>0</v>
      </c>
      <c r="F28">
        <f t="shared" ref="F28:H28" si="35">COUNTIF(F4:F20,"UPL")</f>
        <v>0</v>
      </c>
      <c r="G28">
        <f t="shared" si="35"/>
        <v>0</v>
      </c>
      <c r="H28">
        <f t="shared" si="35"/>
        <v>0</v>
      </c>
      <c r="I28">
        <f t="shared" ref="I28:AL28" si="36">COUNTIF(I4:I20,"UPL")</f>
        <v>0</v>
      </c>
      <c r="J28">
        <f t="shared" si="36"/>
        <v>0</v>
      </c>
      <c r="K28">
        <f t="shared" si="36"/>
        <v>0</v>
      </c>
      <c r="L28">
        <f t="shared" si="36"/>
        <v>0</v>
      </c>
      <c r="M28">
        <f t="shared" si="36"/>
        <v>0</v>
      </c>
      <c r="N28">
        <f t="shared" si="36"/>
        <v>0</v>
      </c>
      <c r="O28">
        <f t="shared" si="36"/>
        <v>0</v>
      </c>
      <c r="P28">
        <f t="shared" si="36"/>
        <v>0</v>
      </c>
      <c r="Q28">
        <f t="shared" si="36"/>
        <v>0</v>
      </c>
      <c r="R28">
        <f t="shared" ref="R28" si="37">COUNTIF(R4:R20,"UPL")</f>
        <v>0</v>
      </c>
      <c r="S28">
        <f t="shared" si="36"/>
        <v>0</v>
      </c>
      <c r="T28">
        <f t="shared" si="36"/>
        <v>0</v>
      </c>
      <c r="U28">
        <f t="shared" si="36"/>
        <v>0</v>
      </c>
      <c r="V28">
        <f t="shared" si="36"/>
        <v>0</v>
      </c>
      <c r="W28">
        <f t="shared" si="36"/>
        <v>0</v>
      </c>
      <c r="X28">
        <f t="shared" si="36"/>
        <v>0</v>
      </c>
      <c r="Y28">
        <f t="shared" si="36"/>
        <v>0</v>
      </c>
      <c r="Z28">
        <f>COUNTIF(Z4:Z20,"UPL")</f>
        <v>0</v>
      </c>
      <c r="AA28">
        <f t="shared" si="36"/>
        <v>0</v>
      </c>
      <c r="AB28">
        <f t="shared" si="36"/>
        <v>0</v>
      </c>
      <c r="AC28">
        <f t="shared" si="36"/>
        <v>0</v>
      </c>
      <c r="AD28">
        <f t="shared" si="36"/>
        <v>0</v>
      </c>
      <c r="AE28">
        <f t="shared" si="36"/>
        <v>0</v>
      </c>
      <c r="AF28">
        <f t="shared" si="36"/>
        <v>0</v>
      </c>
      <c r="AG28">
        <f t="shared" si="36"/>
        <v>0</v>
      </c>
      <c r="AH28">
        <f t="shared" si="36"/>
        <v>0</v>
      </c>
      <c r="AI28">
        <f t="shared" si="36"/>
        <v>0</v>
      </c>
      <c r="AJ28">
        <f t="shared" si="36"/>
        <v>0</v>
      </c>
      <c r="AK28">
        <f t="shared" si="36"/>
        <v>0</v>
      </c>
      <c r="AL28">
        <f t="shared" si="36"/>
        <v>0</v>
      </c>
    </row>
    <row r="29" spans="1:38" x14ac:dyDescent="0.35">
      <c r="A29" s="189" t="s">
        <v>172</v>
      </c>
      <c r="B29">
        <f t="shared" ref="B29:E29" si="38">COUNTIF(B4:B20,"H")</f>
        <v>0</v>
      </c>
      <c r="C29">
        <f t="shared" si="38"/>
        <v>0</v>
      </c>
      <c r="D29">
        <f t="shared" si="38"/>
        <v>0</v>
      </c>
      <c r="E29">
        <f t="shared" si="38"/>
        <v>0</v>
      </c>
      <c r="F29">
        <f t="shared" ref="F29:H29" si="39">COUNTIF(F4:F20,"H")</f>
        <v>0</v>
      </c>
      <c r="G29">
        <f t="shared" si="39"/>
        <v>0</v>
      </c>
      <c r="H29">
        <f t="shared" si="39"/>
        <v>0</v>
      </c>
      <c r="I29">
        <f t="shared" ref="I29:AL29" si="40">COUNTIF(I4:I20,"H")</f>
        <v>0</v>
      </c>
      <c r="J29">
        <f t="shared" si="40"/>
        <v>0</v>
      </c>
      <c r="K29">
        <f t="shared" si="40"/>
        <v>0</v>
      </c>
      <c r="L29">
        <f t="shared" si="40"/>
        <v>0</v>
      </c>
      <c r="M29">
        <f t="shared" si="40"/>
        <v>0</v>
      </c>
      <c r="N29">
        <f t="shared" si="40"/>
        <v>0</v>
      </c>
      <c r="O29">
        <f t="shared" si="40"/>
        <v>0</v>
      </c>
      <c r="P29">
        <f t="shared" si="40"/>
        <v>0</v>
      </c>
      <c r="Q29">
        <f t="shared" si="40"/>
        <v>0</v>
      </c>
      <c r="R29">
        <f t="shared" ref="R29" si="41">COUNTIF(R4:R20,"H")</f>
        <v>0</v>
      </c>
      <c r="S29">
        <f t="shared" si="40"/>
        <v>0</v>
      </c>
      <c r="T29">
        <f t="shared" si="40"/>
        <v>0</v>
      </c>
      <c r="U29">
        <f t="shared" si="40"/>
        <v>0</v>
      </c>
      <c r="V29">
        <f t="shared" si="40"/>
        <v>0</v>
      </c>
      <c r="W29">
        <f t="shared" si="40"/>
        <v>0</v>
      </c>
      <c r="X29">
        <f t="shared" si="40"/>
        <v>0</v>
      </c>
      <c r="Y29">
        <f t="shared" si="40"/>
        <v>0</v>
      </c>
      <c r="Z29">
        <f>COUNTIF(Z4:Z20,"H")</f>
        <v>0</v>
      </c>
      <c r="AA29">
        <f t="shared" si="40"/>
        <v>0</v>
      </c>
      <c r="AB29">
        <f t="shared" si="40"/>
        <v>0</v>
      </c>
      <c r="AC29">
        <f t="shared" si="40"/>
        <v>0</v>
      </c>
      <c r="AD29">
        <f t="shared" si="40"/>
        <v>0</v>
      </c>
      <c r="AE29">
        <f t="shared" si="40"/>
        <v>0</v>
      </c>
      <c r="AF29">
        <f t="shared" si="40"/>
        <v>0</v>
      </c>
      <c r="AG29">
        <f t="shared" si="40"/>
        <v>0</v>
      </c>
      <c r="AH29">
        <f t="shared" si="40"/>
        <v>0</v>
      </c>
      <c r="AI29">
        <f t="shared" si="40"/>
        <v>0</v>
      </c>
      <c r="AJ29">
        <f t="shared" si="40"/>
        <v>0</v>
      </c>
      <c r="AK29">
        <f t="shared" si="40"/>
        <v>0</v>
      </c>
      <c r="AL29">
        <f t="shared" si="40"/>
        <v>0</v>
      </c>
    </row>
    <row r="30" spans="1:38" x14ac:dyDescent="0.35">
      <c r="A30" s="189" t="s">
        <v>162</v>
      </c>
      <c r="B30" s="138">
        <f t="shared" ref="B30:D30" si="42">SUM(B22:B29)</f>
        <v>15</v>
      </c>
      <c r="C30" s="138">
        <f t="shared" si="42"/>
        <v>15</v>
      </c>
      <c r="D30" s="138">
        <f t="shared" si="42"/>
        <v>15</v>
      </c>
      <c r="E30" s="138">
        <f t="shared" ref="E30:H30" si="43">SUM(E22:E29)</f>
        <v>15</v>
      </c>
      <c r="F30" s="138">
        <f t="shared" si="43"/>
        <v>15</v>
      </c>
      <c r="G30" s="138">
        <f t="shared" si="43"/>
        <v>15</v>
      </c>
      <c r="H30" s="138">
        <f t="shared" si="43"/>
        <v>15</v>
      </c>
      <c r="I30" s="138">
        <f t="shared" ref="I30:AJ30" si="44">SUM(I22:I29)</f>
        <v>15</v>
      </c>
      <c r="J30" s="138">
        <f t="shared" si="44"/>
        <v>15</v>
      </c>
      <c r="K30" s="138">
        <f t="shared" si="44"/>
        <v>15</v>
      </c>
      <c r="L30" s="138">
        <f t="shared" si="44"/>
        <v>15</v>
      </c>
      <c r="M30" s="138">
        <f t="shared" si="44"/>
        <v>15</v>
      </c>
      <c r="N30" s="138">
        <f t="shared" si="44"/>
        <v>15</v>
      </c>
      <c r="O30" s="138">
        <f t="shared" si="44"/>
        <v>15</v>
      </c>
      <c r="P30" s="138">
        <f t="shared" si="44"/>
        <v>15</v>
      </c>
      <c r="Q30" s="138">
        <f t="shared" si="44"/>
        <v>15</v>
      </c>
      <c r="R30" s="138">
        <f t="shared" si="44"/>
        <v>15</v>
      </c>
      <c r="S30" s="138">
        <f t="shared" si="44"/>
        <v>15</v>
      </c>
      <c r="T30" s="138">
        <f t="shared" si="44"/>
        <v>15</v>
      </c>
      <c r="U30" s="138">
        <f t="shared" si="44"/>
        <v>15</v>
      </c>
      <c r="V30" s="138">
        <f t="shared" si="44"/>
        <v>15</v>
      </c>
      <c r="W30" s="138">
        <f t="shared" si="44"/>
        <v>15</v>
      </c>
      <c r="X30" s="138">
        <f t="shared" si="44"/>
        <v>15</v>
      </c>
      <c r="Y30" s="138">
        <f t="shared" si="44"/>
        <v>15</v>
      </c>
      <c r="Z30" s="138">
        <f t="shared" si="44"/>
        <v>15</v>
      </c>
      <c r="AA30" s="138">
        <f t="shared" si="44"/>
        <v>15</v>
      </c>
      <c r="AB30" s="138">
        <f t="shared" si="44"/>
        <v>15</v>
      </c>
      <c r="AC30" s="138">
        <f t="shared" si="44"/>
        <v>15</v>
      </c>
      <c r="AD30" s="138">
        <f t="shared" si="44"/>
        <v>15</v>
      </c>
      <c r="AE30" s="138">
        <f t="shared" si="44"/>
        <v>15</v>
      </c>
      <c r="AF30" s="138">
        <f t="shared" si="44"/>
        <v>15</v>
      </c>
      <c r="AG30" s="138">
        <f t="shared" si="44"/>
        <v>15</v>
      </c>
      <c r="AH30" s="138">
        <f t="shared" si="44"/>
        <v>15</v>
      </c>
      <c r="AI30" s="138">
        <f t="shared" si="44"/>
        <v>15</v>
      </c>
      <c r="AJ30" s="138">
        <f t="shared" si="44"/>
        <v>15</v>
      </c>
      <c r="AK30" s="138">
        <f t="shared" ref="AK30:AL30" si="45">SUM(AK22:AK29)</f>
        <v>15</v>
      </c>
      <c r="AL30" s="138">
        <f t="shared" si="45"/>
        <v>15</v>
      </c>
    </row>
  </sheetData>
  <conditionalFormatting sqref="I22:K25">
    <cfRule type="cellIs" dxfId="105" priority="17" operator="lessThan">
      <formula>3</formula>
    </cfRule>
  </conditionalFormatting>
  <conditionalFormatting sqref="N22:O25">
    <cfRule type="cellIs" dxfId="104" priority="16" operator="lessThan">
      <formula>3</formula>
    </cfRule>
  </conditionalFormatting>
  <conditionalFormatting sqref="L22:M25">
    <cfRule type="cellIs" dxfId="103" priority="15" operator="lessThan">
      <formula>3</formula>
    </cfRule>
  </conditionalFormatting>
  <conditionalFormatting sqref="P22:Q25">
    <cfRule type="cellIs" dxfId="102" priority="14" operator="lessThan">
      <formula>3</formula>
    </cfRule>
  </conditionalFormatting>
  <conditionalFormatting sqref="U22:V25">
    <cfRule type="cellIs" dxfId="101" priority="13" operator="lessThan">
      <formula>3</formula>
    </cfRule>
  </conditionalFormatting>
  <conditionalFormatting sqref="S22:T25">
    <cfRule type="cellIs" dxfId="100" priority="12" operator="lessThan">
      <formula>3</formula>
    </cfRule>
  </conditionalFormatting>
  <conditionalFormatting sqref="W22:Y25">
    <cfRule type="cellIs" dxfId="99" priority="11" operator="lessThan">
      <formula>3</formula>
    </cfRule>
  </conditionalFormatting>
  <conditionalFormatting sqref="AB22:AC25">
    <cfRule type="cellIs" dxfId="98" priority="10" operator="lessThan">
      <formula>3</formula>
    </cfRule>
  </conditionalFormatting>
  <conditionalFormatting sqref="Z22:AA25">
    <cfRule type="cellIs" dxfId="97" priority="9" operator="lessThan">
      <formula>3</formula>
    </cfRule>
  </conditionalFormatting>
  <conditionalFormatting sqref="AD22:AF25">
    <cfRule type="cellIs" dxfId="96" priority="8" operator="lessThan">
      <formula>3</formula>
    </cfRule>
  </conditionalFormatting>
  <conditionalFormatting sqref="AI22:AJ25">
    <cfRule type="cellIs" dxfId="95" priority="7" operator="lessThan">
      <formula>3</formula>
    </cfRule>
  </conditionalFormatting>
  <conditionalFormatting sqref="AG22:AH25">
    <cfRule type="cellIs" dxfId="94" priority="6" operator="lessThan">
      <formula>3</formula>
    </cfRule>
  </conditionalFormatting>
  <conditionalFormatting sqref="G22:H25">
    <cfRule type="cellIs" dxfId="93" priority="5" operator="lessThan">
      <formula>3</formula>
    </cfRule>
  </conditionalFormatting>
  <conditionalFormatting sqref="D22:F25">
    <cfRule type="cellIs" dxfId="92" priority="4" operator="lessThan">
      <formula>3</formula>
    </cfRule>
  </conditionalFormatting>
  <conditionalFormatting sqref="R22:R25">
    <cfRule type="cellIs" dxfId="91" priority="3" operator="lessThan">
      <formula>3</formula>
    </cfRule>
  </conditionalFormatting>
  <conditionalFormatting sqref="B22:C25">
    <cfRule type="cellIs" dxfId="90" priority="2" operator="lessThan">
      <formula>3</formula>
    </cfRule>
  </conditionalFormatting>
  <conditionalFormatting sqref="AK22:AL25">
    <cfRule type="cellIs" dxfId="89" priority="1" operator="lessThan">
      <formula>3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F30"/>
  <sheetViews>
    <sheetView zoomScale="55" zoomScaleNormal="55" workbookViewId="0">
      <pane xSplit="1" topLeftCell="B1" activePane="topRight" state="frozen"/>
      <selection pane="topRight" activeCell="W10" sqref="W10"/>
    </sheetView>
  </sheetViews>
  <sheetFormatPr defaultRowHeight="14.5" x14ac:dyDescent="0.35"/>
  <cols>
    <col min="1" max="1" width="27" bestFit="1" customWidth="1"/>
    <col min="2" max="2" width="8.7265625" customWidth="1"/>
    <col min="3" max="3" width="8.54296875" customWidth="1"/>
    <col min="4" max="32" width="8.7265625" customWidth="1"/>
  </cols>
  <sheetData>
    <row r="1" spans="1:32" x14ac:dyDescent="0.35">
      <c r="A1" s="70"/>
      <c r="B1" s="2" t="str">
        <f t="shared" ref="B1:AF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si="0"/>
        <v>Tue</v>
      </c>
      <c r="F1" s="2" t="str">
        <f t="shared" si="0"/>
        <v>Wed</v>
      </c>
      <c r="G1" s="2" t="str">
        <f t="shared" si="0"/>
        <v>Thu</v>
      </c>
      <c r="H1" s="2" t="str">
        <f t="shared" si="0"/>
        <v>Fri</v>
      </c>
      <c r="I1" s="2" t="str">
        <f t="shared" si="0"/>
        <v>Sat</v>
      </c>
      <c r="J1" s="2" t="str">
        <f t="shared" si="0"/>
        <v>Sun</v>
      </c>
      <c r="K1" s="2" t="str">
        <f t="shared" si="0"/>
        <v>Mon</v>
      </c>
      <c r="L1" s="2" t="str">
        <f t="shared" si="0"/>
        <v>Tue</v>
      </c>
      <c r="M1" s="2" t="str">
        <f t="shared" si="0"/>
        <v>Wed</v>
      </c>
      <c r="N1" s="2" t="str">
        <f t="shared" si="0"/>
        <v>Thu</v>
      </c>
      <c r="O1" s="2" t="str">
        <f t="shared" si="0"/>
        <v>Fri</v>
      </c>
      <c r="P1" s="2" t="str">
        <f t="shared" si="0"/>
        <v>Sat</v>
      </c>
      <c r="Q1" s="2" t="str">
        <f t="shared" si="0"/>
        <v>Sun</v>
      </c>
      <c r="R1" s="2" t="str">
        <f t="shared" si="0"/>
        <v>Mon</v>
      </c>
      <c r="S1" s="2" t="str">
        <f t="shared" si="0"/>
        <v>Tue</v>
      </c>
      <c r="T1" s="2" t="str">
        <f t="shared" si="0"/>
        <v>Wed</v>
      </c>
      <c r="U1" s="2" t="str">
        <f t="shared" si="0"/>
        <v>Thu</v>
      </c>
      <c r="V1" s="2" t="str">
        <f t="shared" si="0"/>
        <v>Fri</v>
      </c>
      <c r="W1" s="2" t="str">
        <f t="shared" si="0"/>
        <v>Sat</v>
      </c>
      <c r="X1" s="2" t="str">
        <f t="shared" si="0"/>
        <v>Sun</v>
      </c>
      <c r="Y1" s="2" t="str">
        <f t="shared" si="0"/>
        <v>Mon</v>
      </c>
      <c r="Z1" s="2" t="str">
        <f t="shared" si="0"/>
        <v>Tue</v>
      </c>
      <c r="AA1" s="2" t="str">
        <f t="shared" si="0"/>
        <v>Wed</v>
      </c>
      <c r="AB1" s="2" t="str">
        <f t="shared" si="0"/>
        <v>Thu</v>
      </c>
      <c r="AC1" s="2" t="str">
        <f t="shared" si="0"/>
        <v>Fri</v>
      </c>
      <c r="AD1" s="2" t="str">
        <f t="shared" si="0"/>
        <v>Sat</v>
      </c>
      <c r="AE1" s="2" t="str">
        <f t="shared" si="0"/>
        <v>Sun</v>
      </c>
      <c r="AF1" s="2" t="str">
        <f t="shared" si="0"/>
        <v>Mon</v>
      </c>
    </row>
    <row r="2" spans="1:32" x14ac:dyDescent="0.35">
      <c r="A2" s="104" t="s">
        <v>0</v>
      </c>
      <c r="B2" s="31">
        <v>45108</v>
      </c>
      <c r="C2" s="31">
        <v>45109</v>
      </c>
      <c r="D2" s="31">
        <v>45110</v>
      </c>
      <c r="E2" s="31">
        <v>45111</v>
      </c>
      <c r="F2" s="31">
        <v>45112</v>
      </c>
      <c r="G2" s="31">
        <v>45113</v>
      </c>
      <c r="H2" s="31">
        <v>45114</v>
      </c>
      <c r="I2" s="31">
        <v>45115</v>
      </c>
      <c r="J2" s="31">
        <v>45116</v>
      </c>
      <c r="K2" s="31">
        <v>45117</v>
      </c>
      <c r="L2" s="31">
        <v>45118</v>
      </c>
      <c r="M2" s="31">
        <v>45119</v>
      </c>
      <c r="N2" s="31">
        <v>45120</v>
      </c>
      <c r="O2" s="31">
        <v>45121</v>
      </c>
      <c r="P2" s="31">
        <v>45122</v>
      </c>
      <c r="Q2" s="31">
        <v>45123</v>
      </c>
      <c r="R2" s="31">
        <v>45124</v>
      </c>
      <c r="S2" s="31">
        <v>45125</v>
      </c>
      <c r="T2" s="31">
        <v>45126</v>
      </c>
      <c r="U2" s="31">
        <v>45127</v>
      </c>
      <c r="V2" s="31">
        <v>45128</v>
      </c>
      <c r="W2" s="31">
        <v>45129</v>
      </c>
      <c r="X2" s="31">
        <v>45130</v>
      </c>
      <c r="Y2" s="31">
        <v>45131</v>
      </c>
      <c r="Z2" s="31">
        <v>45132</v>
      </c>
      <c r="AA2" s="31">
        <v>45133</v>
      </c>
      <c r="AB2" s="31">
        <v>45134</v>
      </c>
      <c r="AC2" s="31">
        <v>45135</v>
      </c>
      <c r="AD2" s="31">
        <v>45136</v>
      </c>
      <c r="AE2" s="31">
        <v>45137</v>
      </c>
      <c r="AF2" s="31">
        <v>45138</v>
      </c>
    </row>
    <row r="3" spans="1:32" x14ac:dyDescent="0.35">
      <c r="A3" s="105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</row>
    <row r="4" spans="1:32" x14ac:dyDescent="0.35">
      <c r="A4" s="193" t="s">
        <v>57</v>
      </c>
      <c r="B4" s="25" t="s">
        <v>3</v>
      </c>
      <c r="C4" s="123" t="s">
        <v>4</v>
      </c>
      <c r="D4" s="185" t="s">
        <v>10</v>
      </c>
      <c r="E4" s="185" t="s">
        <v>10</v>
      </c>
      <c r="F4" s="185" t="s">
        <v>10</v>
      </c>
      <c r="G4" s="185" t="s">
        <v>10</v>
      </c>
      <c r="H4" s="184" t="s">
        <v>2</v>
      </c>
      <c r="I4" s="123" t="s">
        <v>4</v>
      </c>
      <c r="J4" s="185" t="s">
        <v>11</v>
      </c>
      <c r="K4" s="185" t="s">
        <v>10</v>
      </c>
      <c r="L4" s="185" t="s">
        <v>10</v>
      </c>
      <c r="M4" s="185" t="s">
        <v>10</v>
      </c>
      <c r="N4" s="185" t="s">
        <v>10</v>
      </c>
      <c r="O4" s="184" t="s">
        <v>2</v>
      </c>
      <c r="P4" s="123" t="s">
        <v>4</v>
      </c>
      <c r="Q4" s="185" t="s">
        <v>11</v>
      </c>
      <c r="R4" s="185" t="s">
        <v>10</v>
      </c>
      <c r="S4" s="185" t="s">
        <v>10</v>
      </c>
      <c r="T4" s="185" t="s">
        <v>10</v>
      </c>
      <c r="U4" s="185" t="s">
        <v>10</v>
      </c>
      <c r="V4" s="185" t="s">
        <v>10</v>
      </c>
      <c r="W4" s="123" t="s">
        <v>4</v>
      </c>
      <c r="X4" s="185" t="s">
        <v>11</v>
      </c>
      <c r="Y4" s="185" t="s">
        <v>10</v>
      </c>
      <c r="Z4" s="185" t="s">
        <v>10</v>
      </c>
      <c r="AA4" s="125" t="s">
        <v>2</v>
      </c>
      <c r="AB4" s="185" t="s">
        <v>10</v>
      </c>
      <c r="AC4" s="185" t="s">
        <v>10</v>
      </c>
      <c r="AD4" s="185" t="s">
        <v>11</v>
      </c>
      <c r="AE4" s="185" t="s">
        <v>11</v>
      </c>
      <c r="AF4" s="184" t="s">
        <v>2</v>
      </c>
    </row>
    <row r="5" spans="1:32" x14ac:dyDescent="0.35">
      <c r="A5" s="193" t="s">
        <v>21</v>
      </c>
      <c r="B5" s="19" t="s">
        <v>42</v>
      </c>
      <c r="C5" s="185" t="s">
        <v>11</v>
      </c>
      <c r="D5" s="185" t="s">
        <v>10</v>
      </c>
      <c r="E5" s="185" t="s">
        <v>10</v>
      </c>
      <c r="F5" s="125" t="s">
        <v>2</v>
      </c>
      <c r="G5" s="185" t="s">
        <v>10</v>
      </c>
      <c r="H5" s="185" t="s">
        <v>10</v>
      </c>
      <c r="I5" s="185" t="s">
        <v>11</v>
      </c>
      <c r="J5" s="123" t="s">
        <v>4</v>
      </c>
      <c r="K5" s="185" t="s">
        <v>10</v>
      </c>
      <c r="L5" s="185" t="s">
        <v>10</v>
      </c>
      <c r="M5" s="125" t="s">
        <v>2</v>
      </c>
      <c r="N5" s="185" t="s">
        <v>10</v>
      </c>
      <c r="O5" s="185" t="s">
        <v>10</v>
      </c>
      <c r="P5" s="185" t="s">
        <v>11</v>
      </c>
      <c r="Q5" s="123" t="s">
        <v>4</v>
      </c>
      <c r="R5" s="185" t="s">
        <v>10</v>
      </c>
      <c r="S5" s="185" t="s">
        <v>10</v>
      </c>
      <c r="T5" s="125" t="s">
        <v>2</v>
      </c>
      <c r="U5" s="185" t="s">
        <v>10</v>
      </c>
      <c r="V5" s="185" t="s">
        <v>10</v>
      </c>
      <c r="W5" s="185" t="s">
        <v>11</v>
      </c>
      <c r="X5" s="123" t="s">
        <v>4</v>
      </c>
      <c r="Y5" s="185" t="s">
        <v>10</v>
      </c>
      <c r="Z5" s="185" t="s">
        <v>10</v>
      </c>
      <c r="AA5" s="185" t="s">
        <v>10</v>
      </c>
      <c r="AB5" s="185" t="s">
        <v>10</v>
      </c>
      <c r="AC5" s="125" t="s">
        <v>2</v>
      </c>
      <c r="AD5" s="185" t="s">
        <v>11</v>
      </c>
      <c r="AE5" s="123" t="s">
        <v>4</v>
      </c>
      <c r="AF5" s="19" t="s">
        <v>41</v>
      </c>
    </row>
    <row r="6" spans="1:32" x14ac:dyDescent="0.35">
      <c r="A6" s="182" t="s">
        <v>75</v>
      </c>
      <c r="B6" s="123" t="s">
        <v>4</v>
      </c>
      <c r="C6" s="185" t="s">
        <v>11</v>
      </c>
      <c r="D6" s="16" t="s">
        <v>10</v>
      </c>
      <c r="E6" s="125" t="s">
        <v>2</v>
      </c>
      <c r="F6" s="185" t="s">
        <v>10</v>
      </c>
      <c r="G6" s="16" t="s">
        <v>10</v>
      </c>
      <c r="H6" s="16" t="s">
        <v>10</v>
      </c>
      <c r="I6" s="16" t="s">
        <v>11</v>
      </c>
      <c r="J6" s="123" t="s">
        <v>4</v>
      </c>
      <c r="K6" s="125" t="s">
        <v>2</v>
      </c>
      <c r="L6" s="16" t="s">
        <v>10</v>
      </c>
      <c r="M6" s="16" t="s">
        <v>10</v>
      </c>
      <c r="N6" s="16" t="s">
        <v>10</v>
      </c>
      <c r="O6" s="16" t="s">
        <v>10</v>
      </c>
      <c r="P6" s="16" t="s">
        <v>11</v>
      </c>
      <c r="Q6" s="123" t="s">
        <v>4</v>
      </c>
      <c r="R6" s="125" t="s">
        <v>2</v>
      </c>
      <c r="S6" s="16" t="s">
        <v>10</v>
      </c>
      <c r="T6" s="16" t="s">
        <v>10</v>
      </c>
      <c r="U6" s="16" t="s">
        <v>10</v>
      </c>
      <c r="V6" s="16" t="s">
        <v>10</v>
      </c>
      <c r="W6" s="16" t="s">
        <v>11</v>
      </c>
      <c r="X6" s="123" t="s">
        <v>4</v>
      </c>
      <c r="Y6" s="125" t="s">
        <v>2</v>
      </c>
      <c r="Z6" s="16" t="s">
        <v>10</v>
      </c>
      <c r="AA6" s="16" t="s">
        <v>10</v>
      </c>
      <c r="AB6" s="16" t="s">
        <v>10</v>
      </c>
      <c r="AC6" s="16" t="s">
        <v>10</v>
      </c>
      <c r="AD6" s="16" t="s">
        <v>11</v>
      </c>
      <c r="AE6" s="123" t="s">
        <v>4</v>
      </c>
      <c r="AF6" s="19" t="s">
        <v>41</v>
      </c>
    </row>
    <row r="7" spans="1:32" x14ac:dyDescent="0.35">
      <c r="A7" s="182" t="s">
        <v>76</v>
      </c>
      <c r="B7" s="123" t="s">
        <v>4</v>
      </c>
      <c r="C7" s="123" t="s">
        <v>4</v>
      </c>
      <c r="D7" s="16" t="s">
        <v>10</v>
      </c>
      <c r="E7" s="16" t="s">
        <v>10</v>
      </c>
      <c r="F7" s="16" t="s">
        <v>10</v>
      </c>
      <c r="G7" s="125" t="s">
        <v>2</v>
      </c>
      <c r="H7" s="16" t="s">
        <v>10</v>
      </c>
      <c r="I7" s="123" t="s">
        <v>4</v>
      </c>
      <c r="J7" s="185" t="s">
        <v>11</v>
      </c>
      <c r="K7" s="16" t="s">
        <v>10</v>
      </c>
      <c r="L7" s="125" t="s">
        <v>2</v>
      </c>
      <c r="M7" s="16" t="s">
        <v>10</v>
      </c>
      <c r="N7" s="16" t="s">
        <v>10</v>
      </c>
      <c r="O7" s="16" t="s">
        <v>10</v>
      </c>
      <c r="P7" s="123" t="s">
        <v>4</v>
      </c>
      <c r="Q7" s="185" t="s">
        <v>11</v>
      </c>
      <c r="R7" s="16" t="s">
        <v>10</v>
      </c>
      <c r="S7" s="125" t="s">
        <v>2</v>
      </c>
      <c r="T7" s="16" t="s">
        <v>10</v>
      </c>
      <c r="U7" s="16" t="s">
        <v>10</v>
      </c>
      <c r="V7" s="16" t="s">
        <v>10</v>
      </c>
      <c r="W7" s="123" t="s">
        <v>4</v>
      </c>
      <c r="X7" s="185" t="s">
        <v>11</v>
      </c>
      <c r="Y7" s="16" t="s">
        <v>10</v>
      </c>
      <c r="Z7" s="125" t="s">
        <v>2</v>
      </c>
      <c r="AA7" s="16" t="s">
        <v>10</v>
      </c>
      <c r="AB7" s="16" t="s">
        <v>10</v>
      </c>
      <c r="AC7" s="16" t="s">
        <v>10</v>
      </c>
      <c r="AD7" s="123" t="s">
        <v>4</v>
      </c>
      <c r="AE7" s="185" t="s">
        <v>11</v>
      </c>
      <c r="AF7" s="184" t="s">
        <v>2</v>
      </c>
    </row>
    <row r="8" spans="1:32" x14ac:dyDescent="0.35">
      <c r="A8" s="193" t="s">
        <v>1</v>
      </c>
      <c r="B8" s="131" t="s">
        <v>4</v>
      </c>
      <c r="C8" s="131" t="s">
        <v>4</v>
      </c>
      <c r="D8" s="131" t="s">
        <v>5</v>
      </c>
      <c r="E8" s="131" t="s">
        <v>5</v>
      </c>
      <c r="F8" s="131" t="s">
        <v>5</v>
      </c>
      <c r="G8" s="131" t="s">
        <v>5</v>
      </c>
      <c r="H8" s="131" t="s">
        <v>5</v>
      </c>
      <c r="I8" s="131" t="s">
        <v>4</v>
      </c>
      <c r="J8" s="131" t="s">
        <v>4</v>
      </c>
      <c r="K8" s="131" t="s">
        <v>5</v>
      </c>
      <c r="L8" s="131" t="s">
        <v>5</v>
      </c>
      <c r="M8" s="131" t="s">
        <v>5</v>
      </c>
      <c r="N8" s="131" t="s">
        <v>5</v>
      </c>
      <c r="O8" s="131" t="s">
        <v>5</v>
      </c>
      <c r="P8" s="131" t="s">
        <v>4</v>
      </c>
      <c r="Q8" s="131" t="s">
        <v>4</v>
      </c>
      <c r="R8" s="131" t="s">
        <v>5</v>
      </c>
      <c r="S8" s="131" t="s">
        <v>5</v>
      </c>
      <c r="T8" s="131" t="s">
        <v>5</v>
      </c>
      <c r="U8" s="131" t="s">
        <v>5</v>
      </c>
      <c r="V8" s="131" t="s">
        <v>5</v>
      </c>
      <c r="W8" s="131" t="s">
        <v>4</v>
      </c>
      <c r="X8" s="131" t="s">
        <v>4</v>
      </c>
      <c r="Y8" s="131" t="s">
        <v>5</v>
      </c>
      <c r="Z8" s="131" t="s">
        <v>5</v>
      </c>
      <c r="AA8" s="131" t="s">
        <v>5</v>
      </c>
      <c r="AB8" s="131" t="s">
        <v>5</v>
      </c>
      <c r="AC8" s="131" t="s">
        <v>5</v>
      </c>
      <c r="AD8" s="131" t="s">
        <v>4</v>
      </c>
      <c r="AE8" s="131" t="s">
        <v>4</v>
      </c>
      <c r="AF8" s="131" t="s">
        <v>5</v>
      </c>
    </row>
    <row r="10" spans="1:32" x14ac:dyDescent="0.35">
      <c r="A10" s="193" t="s">
        <v>9</v>
      </c>
      <c r="B10" s="185" t="s">
        <v>11</v>
      </c>
      <c r="C10" s="123" t="s">
        <v>4</v>
      </c>
      <c r="D10" s="221" t="s">
        <v>6</v>
      </c>
      <c r="E10" s="221" t="s">
        <v>6</v>
      </c>
      <c r="F10" s="184" t="s">
        <v>2</v>
      </c>
      <c r="G10" s="25" t="s">
        <v>6</v>
      </c>
      <c r="H10" s="25" t="s">
        <v>6</v>
      </c>
      <c r="I10" s="25" t="s">
        <v>3</v>
      </c>
      <c r="J10" s="123" t="s">
        <v>4</v>
      </c>
      <c r="K10" s="221" t="s">
        <v>6</v>
      </c>
      <c r="L10" s="221" t="s">
        <v>6</v>
      </c>
      <c r="M10" s="184" t="s">
        <v>2</v>
      </c>
      <c r="N10" s="25" t="s">
        <v>6</v>
      </c>
      <c r="O10" s="25" t="s">
        <v>6</v>
      </c>
      <c r="P10" s="25" t="s">
        <v>3</v>
      </c>
      <c r="Q10" s="123" t="s">
        <v>4</v>
      </c>
      <c r="R10" s="221" t="s">
        <v>6</v>
      </c>
      <c r="S10" s="221" t="s">
        <v>6</v>
      </c>
      <c r="T10" s="184" t="s">
        <v>2</v>
      </c>
      <c r="U10" s="25" t="s">
        <v>6</v>
      </c>
      <c r="V10" s="25" t="s">
        <v>6</v>
      </c>
      <c r="W10" s="25" t="s">
        <v>3</v>
      </c>
      <c r="X10" s="123" t="s">
        <v>4</v>
      </c>
      <c r="Y10" s="25" t="s">
        <v>6</v>
      </c>
      <c r="Z10" s="25" t="s">
        <v>6</v>
      </c>
      <c r="AA10" s="184" t="s">
        <v>2</v>
      </c>
      <c r="AB10" s="25" t="s">
        <v>6</v>
      </c>
      <c r="AC10" s="25" t="s">
        <v>6</v>
      </c>
      <c r="AD10" s="25" t="s">
        <v>3</v>
      </c>
      <c r="AE10" s="25" t="s">
        <v>3</v>
      </c>
      <c r="AF10" s="221" t="s">
        <v>6</v>
      </c>
    </row>
    <row r="11" spans="1:32" x14ac:dyDescent="0.35">
      <c r="A11" s="193" t="s">
        <v>155</v>
      </c>
      <c r="B11" s="123" t="s">
        <v>4</v>
      </c>
      <c r="C11" s="25" t="s">
        <v>3</v>
      </c>
      <c r="D11" s="25" t="s">
        <v>6</v>
      </c>
      <c r="E11" s="25" t="s">
        <v>6</v>
      </c>
      <c r="F11" s="25" t="s">
        <v>6</v>
      </c>
      <c r="G11" s="184" t="s">
        <v>2</v>
      </c>
      <c r="H11" s="25" t="s">
        <v>6</v>
      </c>
      <c r="I11" s="123" t="s">
        <v>4</v>
      </c>
      <c r="J11" s="25" t="s">
        <v>3</v>
      </c>
      <c r="K11" s="25" t="s">
        <v>6</v>
      </c>
      <c r="L11" s="25" t="s">
        <v>6</v>
      </c>
      <c r="M11" s="25" t="s">
        <v>6</v>
      </c>
      <c r="N11" s="184" t="s">
        <v>2</v>
      </c>
      <c r="O11" s="25" t="s">
        <v>6</v>
      </c>
      <c r="P11" s="123" t="s">
        <v>4</v>
      </c>
      <c r="Q11" s="25" t="s">
        <v>3</v>
      </c>
      <c r="R11" s="25" t="s">
        <v>6</v>
      </c>
      <c r="S11" s="25" t="s">
        <v>6</v>
      </c>
      <c r="T11" s="25" t="s">
        <v>6</v>
      </c>
      <c r="U11" s="25" t="s">
        <v>6</v>
      </c>
      <c r="V11" s="184" t="s">
        <v>2</v>
      </c>
      <c r="W11" s="123" t="s">
        <v>4</v>
      </c>
      <c r="X11" s="25" t="s">
        <v>3</v>
      </c>
      <c r="Y11" s="25" t="s">
        <v>6</v>
      </c>
      <c r="Z11" s="25" t="s">
        <v>6</v>
      </c>
      <c r="AA11" s="25" t="s">
        <v>6</v>
      </c>
      <c r="AB11" s="184" t="s">
        <v>2</v>
      </c>
      <c r="AC11" s="25" t="s">
        <v>6</v>
      </c>
      <c r="AD11" s="123" t="s">
        <v>4</v>
      </c>
      <c r="AE11" s="19" t="s">
        <v>42</v>
      </c>
      <c r="AF11" s="19" t="s">
        <v>41</v>
      </c>
    </row>
    <row r="12" spans="1:32" x14ac:dyDescent="0.35">
      <c r="A12" s="182" t="s">
        <v>22</v>
      </c>
      <c r="B12" s="25" t="s">
        <v>3</v>
      </c>
      <c r="C12" s="25" t="s">
        <v>3</v>
      </c>
      <c r="D12" s="184" t="s">
        <v>2</v>
      </c>
      <c r="E12" s="184" t="s">
        <v>2</v>
      </c>
      <c r="F12" s="25" t="s">
        <v>6</v>
      </c>
      <c r="G12" s="25" t="s">
        <v>6</v>
      </c>
      <c r="H12" s="184" t="s">
        <v>2</v>
      </c>
      <c r="I12" s="25" t="s">
        <v>3</v>
      </c>
      <c r="J12" s="123" t="s">
        <v>4</v>
      </c>
      <c r="K12" s="25" t="s">
        <v>6</v>
      </c>
      <c r="L12" s="25" t="s">
        <v>6</v>
      </c>
      <c r="M12" s="25" t="s">
        <v>6</v>
      </c>
      <c r="N12" s="25" t="s">
        <v>6</v>
      </c>
      <c r="O12" s="184" t="s">
        <v>2</v>
      </c>
      <c r="P12" s="123" t="s">
        <v>4</v>
      </c>
      <c r="Q12" s="25" t="s">
        <v>3</v>
      </c>
      <c r="R12" s="25" t="s">
        <v>6</v>
      </c>
      <c r="S12" s="25" t="s">
        <v>6</v>
      </c>
      <c r="T12" s="25" t="s">
        <v>6</v>
      </c>
      <c r="U12" s="184" t="s">
        <v>2</v>
      </c>
      <c r="V12" s="25" t="s">
        <v>6</v>
      </c>
      <c r="W12" s="25" t="s">
        <v>3</v>
      </c>
      <c r="X12" s="25" t="s">
        <v>3</v>
      </c>
      <c r="Y12" s="184" t="s">
        <v>2</v>
      </c>
      <c r="Z12" s="25" t="s">
        <v>6</v>
      </c>
      <c r="AA12" s="25" t="s">
        <v>6</v>
      </c>
      <c r="AB12" s="25" t="s">
        <v>6</v>
      </c>
      <c r="AC12" s="184" t="s">
        <v>2</v>
      </c>
      <c r="AD12" s="123" t="s">
        <v>4</v>
      </c>
      <c r="AE12" s="25" t="s">
        <v>3</v>
      </c>
      <c r="AF12" s="25" t="s">
        <v>6</v>
      </c>
    </row>
    <row r="13" spans="1:32" x14ac:dyDescent="0.35">
      <c r="A13" s="182" t="s">
        <v>181</v>
      </c>
      <c r="B13" s="185" t="s">
        <v>11</v>
      </c>
      <c r="C13" s="123" t="s">
        <v>4</v>
      </c>
      <c r="D13" s="25" t="s">
        <v>6</v>
      </c>
      <c r="E13" s="25" t="s">
        <v>6</v>
      </c>
      <c r="F13" s="25" t="s">
        <v>6</v>
      </c>
      <c r="G13" s="131" t="s">
        <v>5</v>
      </c>
      <c r="H13" s="25" t="s">
        <v>6</v>
      </c>
      <c r="I13" s="123" t="s">
        <v>4</v>
      </c>
      <c r="J13" s="123" t="s">
        <v>4</v>
      </c>
      <c r="K13" s="25" t="s">
        <v>6</v>
      </c>
      <c r="L13" s="184" t="s">
        <v>2</v>
      </c>
      <c r="M13" s="25" t="s">
        <v>6</v>
      </c>
      <c r="N13" s="25" t="s">
        <v>6</v>
      </c>
      <c r="O13" s="25" t="s">
        <v>6</v>
      </c>
      <c r="P13" s="22" t="s">
        <v>30</v>
      </c>
      <c r="Q13" s="123" t="s">
        <v>4</v>
      </c>
      <c r="R13" s="25" t="s">
        <v>6</v>
      </c>
      <c r="S13" s="184" t="s">
        <v>2</v>
      </c>
      <c r="T13" s="25" t="s">
        <v>6</v>
      </c>
      <c r="U13" s="25" t="s">
        <v>6</v>
      </c>
      <c r="V13" s="25" t="s">
        <v>6</v>
      </c>
      <c r="W13" s="22" t="s">
        <v>30</v>
      </c>
      <c r="X13" s="123" t="s">
        <v>4</v>
      </c>
      <c r="Y13" s="25" t="s">
        <v>6</v>
      </c>
      <c r="Z13" s="184" t="s">
        <v>2</v>
      </c>
      <c r="AA13" s="25" t="s">
        <v>6</v>
      </c>
      <c r="AB13" s="25" t="s">
        <v>6</v>
      </c>
      <c r="AC13" s="25" t="s">
        <v>6</v>
      </c>
      <c r="AD13" s="22" t="s">
        <v>30</v>
      </c>
      <c r="AE13" s="123" t="s">
        <v>4</v>
      </c>
      <c r="AF13" s="19" t="s">
        <v>41</v>
      </c>
    </row>
    <row r="14" spans="1:32" x14ac:dyDescent="0.35">
      <c r="A14" s="182" t="s">
        <v>74</v>
      </c>
      <c r="B14" s="19" t="s">
        <v>42</v>
      </c>
      <c r="C14" s="123" t="s">
        <v>4</v>
      </c>
      <c r="D14" s="184" t="s">
        <v>2</v>
      </c>
      <c r="E14" s="25" t="s">
        <v>6</v>
      </c>
      <c r="F14" s="25" t="s">
        <v>6</v>
      </c>
      <c r="G14" s="25" t="s">
        <v>6</v>
      </c>
      <c r="H14" s="25" t="s">
        <v>6</v>
      </c>
      <c r="I14" s="123" t="s">
        <v>4</v>
      </c>
      <c r="J14" s="25" t="s">
        <v>3</v>
      </c>
      <c r="K14" s="184" t="s">
        <v>2</v>
      </c>
      <c r="L14" s="25" t="s">
        <v>6</v>
      </c>
      <c r="M14" s="25" t="s">
        <v>6</v>
      </c>
      <c r="N14" s="25" t="s">
        <v>6</v>
      </c>
      <c r="O14" s="25" t="s">
        <v>6</v>
      </c>
      <c r="P14" s="25" t="s">
        <v>3</v>
      </c>
      <c r="Q14" s="123" t="s">
        <v>4</v>
      </c>
      <c r="R14" s="184" t="s">
        <v>2</v>
      </c>
      <c r="S14" s="25" t="s">
        <v>6</v>
      </c>
      <c r="T14" s="25" t="s">
        <v>6</v>
      </c>
      <c r="U14" s="25" t="s">
        <v>6</v>
      </c>
      <c r="V14" s="25" t="s">
        <v>6</v>
      </c>
      <c r="W14" s="123" t="s">
        <v>4</v>
      </c>
      <c r="X14" s="123" t="s">
        <v>4</v>
      </c>
      <c r="Y14" s="25" t="s">
        <v>6</v>
      </c>
      <c r="Z14" s="25" t="s">
        <v>6</v>
      </c>
      <c r="AA14" s="25" t="s">
        <v>6</v>
      </c>
      <c r="AB14" s="25" t="s">
        <v>6</v>
      </c>
      <c r="AC14" s="25" t="s">
        <v>6</v>
      </c>
      <c r="AD14" s="25" t="s">
        <v>3</v>
      </c>
      <c r="AE14" s="123" t="s">
        <v>4</v>
      </c>
      <c r="AF14" s="185" t="s">
        <v>10</v>
      </c>
    </row>
    <row r="16" spans="1:32" x14ac:dyDescent="0.35">
      <c r="A16" s="193" t="s">
        <v>15</v>
      </c>
      <c r="B16" s="123" t="s">
        <v>4</v>
      </c>
      <c r="C16" s="19" t="s">
        <v>42</v>
      </c>
      <c r="D16" s="19" t="s">
        <v>41</v>
      </c>
      <c r="E16" s="19" t="s">
        <v>41</v>
      </c>
      <c r="F16" s="19" t="s">
        <v>41</v>
      </c>
      <c r="G16" s="197" t="s">
        <v>34</v>
      </c>
      <c r="H16" s="184" t="s">
        <v>2</v>
      </c>
      <c r="I16" s="123" t="s">
        <v>4</v>
      </c>
      <c r="J16" s="19" t="s">
        <v>42</v>
      </c>
      <c r="K16" s="19" t="s">
        <v>41</v>
      </c>
      <c r="L16" s="19" t="s">
        <v>41</v>
      </c>
      <c r="M16" s="19" t="s">
        <v>41</v>
      </c>
      <c r="N16" s="19" t="s">
        <v>41</v>
      </c>
      <c r="O16" s="184" t="s">
        <v>2</v>
      </c>
      <c r="P16" s="19" t="s">
        <v>42</v>
      </c>
      <c r="Q16" s="19" t="s">
        <v>42</v>
      </c>
      <c r="R16" s="19" t="s">
        <v>41</v>
      </c>
      <c r="S16" s="19" t="s">
        <v>41</v>
      </c>
      <c r="T16" s="19" t="s">
        <v>41</v>
      </c>
      <c r="U16" s="19" t="s">
        <v>41</v>
      </c>
      <c r="V16" s="184" t="s">
        <v>2</v>
      </c>
      <c r="W16" s="123" t="s">
        <v>4</v>
      </c>
      <c r="X16" s="123" t="s">
        <v>4</v>
      </c>
      <c r="Y16" s="19" t="s">
        <v>41</v>
      </c>
      <c r="Z16" s="19" t="s">
        <v>41</v>
      </c>
      <c r="AA16" s="19" t="s">
        <v>41</v>
      </c>
      <c r="AB16" s="19" t="s">
        <v>41</v>
      </c>
      <c r="AC16" s="184" t="s">
        <v>2</v>
      </c>
      <c r="AD16" s="123" t="s">
        <v>4</v>
      </c>
      <c r="AE16" s="123" t="s">
        <v>4</v>
      </c>
      <c r="AF16" s="25" t="s">
        <v>6</v>
      </c>
    </row>
    <row r="17" spans="1:32" x14ac:dyDescent="0.35">
      <c r="A17" s="193" t="s">
        <v>43</v>
      </c>
      <c r="B17" s="123" t="s">
        <v>4</v>
      </c>
      <c r="C17" s="19" t="s">
        <v>42</v>
      </c>
      <c r="D17" s="184" t="s">
        <v>2</v>
      </c>
      <c r="E17" s="19" t="s">
        <v>41</v>
      </c>
      <c r="F17" s="19" t="s">
        <v>41</v>
      </c>
      <c r="G17" s="19" t="s">
        <v>41</v>
      </c>
      <c r="H17" s="19" t="s">
        <v>41</v>
      </c>
      <c r="I17" s="19" t="s">
        <v>42</v>
      </c>
      <c r="J17" s="123" t="s">
        <v>4</v>
      </c>
      <c r="K17" s="184" t="s">
        <v>2</v>
      </c>
      <c r="L17" s="19" t="s">
        <v>41</v>
      </c>
      <c r="M17" s="19" t="s">
        <v>41</v>
      </c>
      <c r="N17" s="19" t="s">
        <v>41</v>
      </c>
      <c r="O17" s="19" t="s">
        <v>41</v>
      </c>
      <c r="P17" s="123" t="s">
        <v>4</v>
      </c>
      <c r="Q17" s="123" t="s">
        <v>4</v>
      </c>
      <c r="R17" s="184" t="s">
        <v>2</v>
      </c>
      <c r="S17" s="19" t="s">
        <v>41</v>
      </c>
      <c r="T17" s="19" t="s">
        <v>41</v>
      </c>
      <c r="U17" s="19" t="s">
        <v>41</v>
      </c>
      <c r="V17" s="19" t="s">
        <v>41</v>
      </c>
      <c r="W17" s="19" t="s">
        <v>42</v>
      </c>
      <c r="X17" s="19" t="s">
        <v>42</v>
      </c>
      <c r="Y17" s="184" t="s">
        <v>2</v>
      </c>
      <c r="Z17" s="184" t="s">
        <v>2</v>
      </c>
      <c r="AA17" s="19" t="s">
        <v>41</v>
      </c>
      <c r="AB17" s="19" t="s">
        <v>41</v>
      </c>
      <c r="AC17" s="19" t="s">
        <v>41</v>
      </c>
      <c r="AD17" s="19" t="s">
        <v>42</v>
      </c>
      <c r="AE17" s="123" t="s">
        <v>4</v>
      </c>
      <c r="AF17" s="185" t="s">
        <v>10</v>
      </c>
    </row>
    <row r="18" spans="1:32" x14ac:dyDescent="0.35">
      <c r="A18" s="182" t="s">
        <v>62</v>
      </c>
      <c r="B18" s="131" t="s">
        <v>4</v>
      </c>
      <c r="C18" s="131" t="s">
        <v>4</v>
      </c>
      <c r="D18" s="19" t="s">
        <v>41</v>
      </c>
      <c r="E18" s="19" t="s">
        <v>41</v>
      </c>
      <c r="F18" s="19" t="s">
        <v>41</v>
      </c>
      <c r="G18" s="184" t="s">
        <v>2</v>
      </c>
      <c r="H18" s="19" t="s">
        <v>41</v>
      </c>
      <c r="I18" s="19" t="s">
        <v>42</v>
      </c>
      <c r="J18" s="123" t="s">
        <v>4</v>
      </c>
      <c r="K18" s="19" t="s">
        <v>41</v>
      </c>
      <c r="L18" s="131" t="s">
        <v>5</v>
      </c>
      <c r="M18" s="131" t="s">
        <v>5</v>
      </c>
      <c r="N18" s="131" t="s">
        <v>5</v>
      </c>
      <c r="O18" s="19" t="s">
        <v>41</v>
      </c>
      <c r="P18" s="19" t="s">
        <v>42</v>
      </c>
      <c r="Q18" s="19" t="s">
        <v>42</v>
      </c>
      <c r="R18" s="19" t="s">
        <v>41</v>
      </c>
      <c r="S18" s="19" t="s">
        <v>41</v>
      </c>
      <c r="T18" s="19" t="s">
        <v>41</v>
      </c>
      <c r="U18" s="184" t="s">
        <v>2</v>
      </c>
      <c r="V18" s="19" t="s">
        <v>41</v>
      </c>
      <c r="W18" s="123" t="s">
        <v>4</v>
      </c>
      <c r="X18" s="19" t="s">
        <v>42</v>
      </c>
      <c r="Y18" s="19" t="s">
        <v>41</v>
      </c>
      <c r="Z18" s="19" t="s">
        <v>41</v>
      </c>
      <c r="AA18" s="19" t="s">
        <v>41</v>
      </c>
      <c r="AB18" s="184" t="s">
        <v>2</v>
      </c>
      <c r="AC18" s="19" t="s">
        <v>41</v>
      </c>
      <c r="AD18" s="19" t="s">
        <v>42</v>
      </c>
      <c r="AE18" s="123" t="s">
        <v>4</v>
      </c>
      <c r="AF18" s="185" t="s">
        <v>10</v>
      </c>
    </row>
    <row r="19" spans="1:32" x14ac:dyDescent="0.35">
      <c r="A19" s="182" t="s">
        <v>224</v>
      </c>
      <c r="B19" s="22" t="s">
        <v>30</v>
      </c>
      <c r="C19" s="123" t="s">
        <v>4</v>
      </c>
      <c r="D19" s="19" t="s">
        <v>41</v>
      </c>
      <c r="E19" s="184" t="s">
        <v>2</v>
      </c>
      <c r="F19" s="19" t="s">
        <v>41</v>
      </c>
      <c r="G19" s="19" t="s">
        <v>41</v>
      </c>
      <c r="H19" s="19" t="s">
        <v>41</v>
      </c>
      <c r="I19" s="22" t="s">
        <v>30</v>
      </c>
      <c r="J19" s="123" t="s">
        <v>4</v>
      </c>
      <c r="K19" s="19" t="s">
        <v>41</v>
      </c>
      <c r="L19" s="19" t="s">
        <v>41</v>
      </c>
      <c r="M19" s="19" t="s">
        <v>41</v>
      </c>
      <c r="N19" s="19" t="s">
        <v>41</v>
      </c>
      <c r="O19" s="19" t="s">
        <v>41</v>
      </c>
      <c r="P19" s="123" t="s">
        <v>4</v>
      </c>
      <c r="Q19" s="123" t="s">
        <v>4</v>
      </c>
      <c r="R19" s="19" t="s">
        <v>41</v>
      </c>
      <c r="S19" s="184" t="s">
        <v>2</v>
      </c>
      <c r="T19" s="19" t="s">
        <v>41</v>
      </c>
      <c r="U19" s="19" t="s">
        <v>41</v>
      </c>
      <c r="V19" s="19" t="s">
        <v>41</v>
      </c>
      <c r="W19" s="123" t="s">
        <v>4</v>
      </c>
      <c r="X19" s="123" t="s">
        <v>4</v>
      </c>
      <c r="Y19" s="19" t="s">
        <v>41</v>
      </c>
      <c r="Z19" s="19" t="s">
        <v>41</v>
      </c>
      <c r="AA19" s="19" t="s">
        <v>41</v>
      </c>
      <c r="AB19" s="19" t="s">
        <v>41</v>
      </c>
      <c r="AC19" s="19" t="s">
        <v>41</v>
      </c>
      <c r="AD19" s="123" t="s">
        <v>4</v>
      </c>
      <c r="AE19" s="123" t="s">
        <v>4</v>
      </c>
      <c r="AF19" s="185" t="s">
        <v>10</v>
      </c>
    </row>
    <row r="20" spans="1:32" x14ac:dyDescent="0.35">
      <c r="A20" s="182" t="s">
        <v>77</v>
      </c>
      <c r="B20" s="185" t="s">
        <v>11</v>
      </c>
      <c r="C20" s="123" t="s">
        <v>4</v>
      </c>
      <c r="D20" s="19" t="s">
        <v>41</v>
      </c>
      <c r="E20" s="19" t="s">
        <v>41</v>
      </c>
      <c r="F20" s="184" t="s">
        <v>2</v>
      </c>
      <c r="G20" s="19" t="s">
        <v>41</v>
      </c>
      <c r="H20" s="19" t="s">
        <v>41</v>
      </c>
      <c r="I20" s="123" t="s">
        <v>4</v>
      </c>
      <c r="J20" s="19" t="s">
        <v>42</v>
      </c>
      <c r="K20" s="19" t="s">
        <v>41</v>
      </c>
      <c r="L20" s="19" t="s">
        <v>41</v>
      </c>
      <c r="M20" s="19" t="s">
        <v>41</v>
      </c>
      <c r="N20" s="19" t="s">
        <v>41</v>
      </c>
      <c r="O20" s="19" t="s">
        <v>41</v>
      </c>
      <c r="P20" s="123" t="s">
        <v>4</v>
      </c>
      <c r="Q20" s="123" t="s">
        <v>4</v>
      </c>
      <c r="R20" s="19" t="s">
        <v>41</v>
      </c>
      <c r="S20" s="19" t="s">
        <v>41</v>
      </c>
      <c r="T20" s="184" t="s">
        <v>2</v>
      </c>
      <c r="U20" s="19" t="s">
        <v>41</v>
      </c>
      <c r="V20" s="19" t="s">
        <v>41</v>
      </c>
      <c r="W20" s="19" t="s">
        <v>42</v>
      </c>
      <c r="X20" s="123" t="s">
        <v>4</v>
      </c>
      <c r="Y20" s="19" t="s">
        <v>41</v>
      </c>
      <c r="Z20" s="19" t="s">
        <v>41</v>
      </c>
      <c r="AA20" s="184" t="s">
        <v>2</v>
      </c>
      <c r="AB20" s="19" t="s">
        <v>41</v>
      </c>
      <c r="AC20" s="19" t="s">
        <v>41</v>
      </c>
      <c r="AD20" s="123" t="s">
        <v>4</v>
      </c>
      <c r="AE20" s="19" t="s">
        <v>42</v>
      </c>
      <c r="AF20" s="184" t="s">
        <v>2</v>
      </c>
    </row>
    <row r="22" spans="1:32" x14ac:dyDescent="0.35">
      <c r="A22" s="189" t="s">
        <v>156</v>
      </c>
      <c r="B22">
        <f t="shared" ref="B22:H22" si="1">COUNTIF(B4:B20,"*MS")</f>
        <v>2</v>
      </c>
      <c r="C22">
        <f t="shared" si="1"/>
        <v>2</v>
      </c>
      <c r="D22">
        <f t="shared" si="1"/>
        <v>3</v>
      </c>
      <c r="E22">
        <f t="shared" si="1"/>
        <v>4</v>
      </c>
      <c r="F22">
        <f t="shared" si="1"/>
        <v>4</v>
      </c>
      <c r="G22">
        <f t="shared" si="1"/>
        <v>3</v>
      </c>
      <c r="H22">
        <f t="shared" si="1"/>
        <v>4</v>
      </c>
      <c r="I22">
        <f t="shared" ref="I22:O22" si="2">COUNTIF(I4:I20,"*MS")</f>
        <v>2</v>
      </c>
      <c r="J22">
        <f t="shared" si="2"/>
        <v>2</v>
      </c>
      <c r="K22">
        <f t="shared" si="2"/>
        <v>4</v>
      </c>
      <c r="L22">
        <f t="shared" si="2"/>
        <v>4</v>
      </c>
      <c r="M22">
        <f t="shared" si="2"/>
        <v>4</v>
      </c>
      <c r="N22">
        <f t="shared" si="2"/>
        <v>4</v>
      </c>
      <c r="O22">
        <f t="shared" si="2"/>
        <v>4</v>
      </c>
      <c r="P22">
        <f t="shared" ref="P22:Q22" si="3">COUNTIF(P4:P20,"*MS")</f>
        <v>2</v>
      </c>
      <c r="Q22">
        <f t="shared" si="3"/>
        <v>2</v>
      </c>
      <c r="R22">
        <f t="shared" ref="R22:V22" si="4">COUNTIF(R4:R20,"*MS")</f>
        <v>4</v>
      </c>
      <c r="S22">
        <f t="shared" si="4"/>
        <v>4</v>
      </c>
      <c r="T22">
        <f t="shared" si="4"/>
        <v>4</v>
      </c>
      <c r="U22">
        <f t="shared" si="4"/>
        <v>4</v>
      </c>
      <c r="V22">
        <f t="shared" si="4"/>
        <v>4</v>
      </c>
      <c r="W22">
        <f>COUNTIF(W4:W20,"*MS")</f>
        <v>2</v>
      </c>
      <c r="X22">
        <f>COUNTIF(X4:X20,"*MS")</f>
        <v>2</v>
      </c>
      <c r="Y22">
        <f t="shared" ref="Y22:AC22" si="5">COUNTIF(Y4:Y20,"*MS")</f>
        <v>4</v>
      </c>
      <c r="Z22">
        <f t="shared" si="5"/>
        <v>4</v>
      </c>
      <c r="AA22">
        <f t="shared" si="5"/>
        <v>4</v>
      </c>
      <c r="AB22">
        <f t="shared" si="5"/>
        <v>4</v>
      </c>
      <c r="AC22">
        <f t="shared" si="5"/>
        <v>4</v>
      </c>
      <c r="AD22">
        <f t="shared" ref="AD22:AF22" si="6">COUNTIF(AD4:AD20,"*MS")</f>
        <v>2</v>
      </c>
      <c r="AE22">
        <f t="shared" si="6"/>
        <v>2</v>
      </c>
      <c r="AF22">
        <f t="shared" si="6"/>
        <v>3</v>
      </c>
    </row>
    <row r="23" spans="1:32" x14ac:dyDescent="0.35">
      <c r="A23" s="189" t="s">
        <v>157</v>
      </c>
      <c r="B23">
        <f t="shared" ref="B23:H23" si="7">COUNTIF(B4:B20,"*ASS1")</f>
        <v>2</v>
      </c>
      <c r="C23">
        <f t="shared" si="7"/>
        <v>2</v>
      </c>
      <c r="D23">
        <f t="shared" si="7"/>
        <v>4</v>
      </c>
      <c r="E23">
        <f t="shared" si="7"/>
        <v>4</v>
      </c>
      <c r="F23">
        <f t="shared" si="7"/>
        <v>4</v>
      </c>
      <c r="G23">
        <f t="shared" si="7"/>
        <v>3</v>
      </c>
      <c r="H23">
        <f t="shared" si="7"/>
        <v>4</v>
      </c>
      <c r="I23">
        <f t="shared" ref="I23:O23" si="8">COUNTIF(I4:I20,"*ASS1")</f>
        <v>2</v>
      </c>
      <c r="J23">
        <f t="shared" si="8"/>
        <v>2</v>
      </c>
      <c r="K23">
        <f t="shared" si="8"/>
        <v>4</v>
      </c>
      <c r="L23">
        <f t="shared" si="8"/>
        <v>4</v>
      </c>
      <c r="M23">
        <f t="shared" si="8"/>
        <v>4</v>
      </c>
      <c r="N23">
        <f t="shared" si="8"/>
        <v>4</v>
      </c>
      <c r="O23">
        <f t="shared" si="8"/>
        <v>4</v>
      </c>
      <c r="P23">
        <f t="shared" ref="P23:Q23" si="9">COUNTIF(P4:P20,"*ASS1")</f>
        <v>2</v>
      </c>
      <c r="Q23">
        <f t="shared" si="9"/>
        <v>2</v>
      </c>
      <c r="R23">
        <f t="shared" ref="R23:V23" si="10">COUNTIF(R4:R20,"*ASS1")</f>
        <v>4</v>
      </c>
      <c r="S23">
        <f t="shared" si="10"/>
        <v>4</v>
      </c>
      <c r="T23">
        <f t="shared" si="10"/>
        <v>4</v>
      </c>
      <c r="U23">
        <f t="shared" si="10"/>
        <v>4</v>
      </c>
      <c r="V23">
        <f t="shared" si="10"/>
        <v>4</v>
      </c>
      <c r="W23">
        <f>COUNTIF(W4:W20,"*ASS1")</f>
        <v>2</v>
      </c>
      <c r="X23">
        <f>COUNTIF(X4:X20,"*ASS1")</f>
        <v>2</v>
      </c>
      <c r="Y23">
        <f t="shared" ref="Y23:AC23" si="11">COUNTIF(Y4:Y20,"*ASS1")</f>
        <v>4</v>
      </c>
      <c r="Z23">
        <f t="shared" si="11"/>
        <v>4</v>
      </c>
      <c r="AA23">
        <f t="shared" si="11"/>
        <v>4</v>
      </c>
      <c r="AB23">
        <f t="shared" si="11"/>
        <v>4</v>
      </c>
      <c r="AC23">
        <f t="shared" si="11"/>
        <v>4</v>
      </c>
      <c r="AD23">
        <f t="shared" ref="AD23:AF23" si="12">COUNTIF(AD4:AD20,"*ASS1")</f>
        <v>2</v>
      </c>
      <c r="AE23">
        <f t="shared" si="12"/>
        <v>2</v>
      </c>
      <c r="AF23">
        <f t="shared" si="12"/>
        <v>4</v>
      </c>
    </row>
    <row r="24" spans="1:32" x14ac:dyDescent="0.35">
      <c r="A24" s="189" t="s">
        <v>158</v>
      </c>
      <c r="B24">
        <f t="shared" ref="B24:H24" si="13">COUNTIF(B4:B20,"*NST7")</f>
        <v>3</v>
      </c>
      <c r="C24">
        <f t="shared" si="13"/>
        <v>2</v>
      </c>
      <c r="D24">
        <f t="shared" si="13"/>
        <v>4</v>
      </c>
      <c r="E24">
        <f t="shared" si="13"/>
        <v>3</v>
      </c>
      <c r="F24">
        <f t="shared" si="13"/>
        <v>3</v>
      </c>
      <c r="G24">
        <f t="shared" si="13"/>
        <v>3</v>
      </c>
      <c r="H24">
        <f t="shared" si="13"/>
        <v>3</v>
      </c>
      <c r="I24">
        <f t="shared" ref="I24:O24" si="14">COUNTIF(I4:I20,"*NST7")</f>
        <v>2</v>
      </c>
      <c r="J24">
        <f t="shared" si="14"/>
        <v>2</v>
      </c>
      <c r="K24">
        <f t="shared" si="14"/>
        <v>3</v>
      </c>
      <c r="L24">
        <f t="shared" si="14"/>
        <v>3</v>
      </c>
      <c r="M24">
        <f t="shared" si="14"/>
        <v>3</v>
      </c>
      <c r="N24">
        <f t="shared" si="14"/>
        <v>4</v>
      </c>
      <c r="O24">
        <f t="shared" si="14"/>
        <v>3</v>
      </c>
      <c r="P24">
        <f t="shared" ref="P24:Q24" si="15">COUNTIF(P4:P20,"*NST7")</f>
        <v>2</v>
      </c>
      <c r="Q24">
        <f t="shared" si="15"/>
        <v>2</v>
      </c>
      <c r="R24">
        <f t="shared" ref="R24:V24" si="16">COUNTIF(R4:R20,"*NST7")</f>
        <v>3</v>
      </c>
      <c r="S24">
        <f t="shared" si="16"/>
        <v>3</v>
      </c>
      <c r="T24">
        <f t="shared" si="16"/>
        <v>3</v>
      </c>
      <c r="U24">
        <f t="shared" si="16"/>
        <v>4</v>
      </c>
      <c r="V24">
        <f t="shared" si="16"/>
        <v>4</v>
      </c>
      <c r="W24">
        <f>COUNTIF(W4:W20,"*NST7")</f>
        <v>2</v>
      </c>
      <c r="X24">
        <f>COUNTIF(X4:X20,"*NST7")</f>
        <v>2</v>
      </c>
      <c r="Y24">
        <f t="shared" ref="Y24:AC24" si="17">COUNTIF(Y4:Y20,"*NST7")</f>
        <v>3</v>
      </c>
      <c r="Z24">
        <f t="shared" si="17"/>
        <v>3</v>
      </c>
      <c r="AA24">
        <f t="shared" si="17"/>
        <v>3</v>
      </c>
      <c r="AB24">
        <f t="shared" si="17"/>
        <v>4</v>
      </c>
      <c r="AC24">
        <f t="shared" si="17"/>
        <v>3</v>
      </c>
      <c r="AD24">
        <f t="shared" ref="AD24:AF24" si="18">COUNTIF(AD4:AD20,"*NST7")</f>
        <v>3</v>
      </c>
      <c r="AE24">
        <f t="shared" si="18"/>
        <v>2</v>
      </c>
      <c r="AF24">
        <f t="shared" si="18"/>
        <v>4</v>
      </c>
    </row>
    <row r="25" spans="1:32" x14ac:dyDescent="0.35">
      <c r="A25" s="189" t="s">
        <v>159</v>
      </c>
      <c r="B25">
        <f t="shared" ref="B25:H25" si="19">COUNTIF(B4:B20,"*GS")</f>
        <v>1</v>
      </c>
      <c r="C25">
        <f t="shared" si="19"/>
        <v>0</v>
      </c>
      <c r="D25">
        <f t="shared" si="19"/>
        <v>0</v>
      </c>
      <c r="E25">
        <f t="shared" si="19"/>
        <v>0</v>
      </c>
      <c r="F25">
        <f t="shared" si="19"/>
        <v>0</v>
      </c>
      <c r="G25">
        <f t="shared" si="19"/>
        <v>0</v>
      </c>
      <c r="H25">
        <f t="shared" si="19"/>
        <v>0</v>
      </c>
      <c r="I25">
        <f t="shared" ref="I25:O25" si="20">COUNTIF(I4:I20,"*GS")</f>
        <v>1</v>
      </c>
      <c r="J25">
        <f t="shared" si="20"/>
        <v>0</v>
      </c>
      <c r="K25">
        <f t="shared" si="20"/>
        <v>0</v>
      </c>
      <c r="L25">
        <f t="shared" si="20"/>
        <v>0</v>
      </c>
      <c r="M25">
        <f t="shared" si="20"/>
        <v>0</v>
      </c>
      <c r="N25">
        <f t="shared" si="20"/>
        <v>0</v>
      </c>
      <c r="O25">
        <f t="shared" si="20"/>
        <v>0</v>
      </c>
      <c r="P25">
        <f t="shared" ref="P25:Q25" si="21">COUNTIF(P4:P20,"*GS")</f>
        <v>1</v>
      </c>
      <c r="Q25">
        <f t="shared" si="21"/>
        <v>0</v>
      </c>
      <c r="R25">
        <f t="shared" ref="R25:V25" si="22">COUNTIF(R4:R20,"*GS")</f>
        <v>0</v>
      </c>
      <c r="S25">
        <f t="shared" si="22"/>
        <v>0</v>
      </c>
      <c r="T25">
        <f t="shared" si="22"/>
        <v>0</v>
      </c>
      <c r="U25">
        <f t="shared" si="22"/>
        <v>0</v>
      </c>
      <c r="V25">
        <f t="shared" si="22"/>
        <v>0</v>
      </c>
      <c r="W25">
        <f>COUNTIF(W4:W20,"*GS")</f>
        <v>1</v>
      </c>
      <c r="X25">
        <f>COUNTIF(X4:X20,"*GS")</f>
        <v>0</v>
      </c>
      <c r="Y25">
        <f t="shared" ref="Y25:AC25" si="23">COUNTIF(Y4:Y20,"*GS")</f>
        <v>0</v>
      </c>
      <c r="Z25">
        <f t="shared" si="23"/>
        <v>0</v>
      </c>
      <c r="AA25">
        <f t="shared" si="23"/>
        <v>0</v>
      </c>
      <c r="AB25">
        <f t="shared" si="23"/>
        <v>0</v>
      </c>
      <c r="AC25">
        <f t="shared" si="23"/>
        <v>0</v>
      </c>
      <c r="AD25">
        <f t="shared" ref="AD25:AF25" si="24">COUNTIF(AD4:AD20,"*GS")</f>
        <v>1</v>
      </c>
      <c r="AE25">
        <f t="shared" si="24"/>
        <v>0</v>
      </c>
      <c r="AF25">
        <f t="shared" si="24"/>
        <v>0</v>
      </c>
    </row>
    <row r="26" spans="1:32" x14ac:dyDescent="0.35">
      <c r="A26" s="189" t="s">
        <v>160</v>
      </c>
      <c r="B26">
        <f t="shared" ref="B26:C26" si="25">COUNTIF(B4:B20,"WO")</f>
        <v>7</v>
      </c>
      <c r="C26">
        <f t="shared" si="25"/>
        <v>9</v>
      </c>
      <c r="D26">
        <f t="shared" ref="D26:H26" si="26">COUNTIF(D4:D20,"C")</f>
        <v>3</v>
      </c>
      <c r="E26">
        <f t="shared" si="26"/>
        <v>3</v>
      </c>
      <c r="F26">
        <f t="shared" si="26"/>
        <v>3</v>
      </c>
      <c r="G26">
        <f t="shared" si="26"/>
        <v>3</v>
      </c>
      <c r="H26">
        <f t="shared" si="26"/>
        <v>3</v>
      </c>
      <c r="I26">
        <f t="shared" ref="I26:J26" si="27">COUNTIF(I4:I20,"WO")</f>
        <v>8</v>
      </c>
      <c r="J26">
        <f t="shared" si="27"/>
        <v>9</v>
      </c>
      <c r="K26">
        <f t="shared" ref="K26:O26" si="28">COUNTIF(K4:K20,"C")</f>
        <v>3</v>
      </c>
      <c r="L26">
        <f t="shared" si="28"/>
        <v>2</v>
      </c>
      <c r="M26">
        <f t="shared" si="28"/>
        <v>2</v>
      </c>
      <c r="N26">
        <f t="shared" si="28"/>
        <v>1</v>
      </c>
      <c r="O26">
        <f t="shared" si="28"/>
        <v>3</v>
      </c>
      <c r="P26">
        <f t="shared" ref="P26:Q26" si="29">COUNTIF(P4:P20,"WO")</f>
        <v>8</v>
      </c>
      <c r="Q26">
        <f t="shared" si="29"/>
        <v>9</v>
      </c>
      <c r="R26">
        <f t="shared" ref="R26:V26" si="30">COUNTIF(R4:R20,"C")</f>
        <v>3</v>
      </c>
      <c r="S26">
        <f t="shared" si="30"/>
        <v>3</v>
      </c>
      <c r="T26">
        <f t="shared" si="30"/>
        <v>3</v>
      </c>
      <c r="U26">
        <f t="shared" si="30"/>
        <v>2</v>
      </c>
      <c r="V26">
        <f t="shared" si="30"/>
        <v>2</v>
      </c>
      <c r="W26">
        <f>COUNTIF(W4:W20,"WO")</f>
        <v>8</v>
      </c>
      <c r="X26">
        <f>COUNTIF(X4:X20,"WO")</f>
        <v>9</v>
      </c>
      <c r="Y26">
        <f t="shared" ref="Y26:AC26" si="31">COUNTIF(Y4:Y20,"C")</f>
        <v>3</v>
      </c>
      <c r="Z26">
        <f t="shared" si="31"/>
        <v>3</v>
      </c>
      <c r="AA26">
        <f t="shared" si="31"/>
        <v>3</v>
      </c>
      <c r="AB26">
        <f t="shared" si="31"/>
        <v>2</v>
      </c>
      <c r="AC26">
        <f t="shared" si="31"/>
        <v>3</v>
      </c>
      <c r="AD26">
        <f t="shared" ref="AD26:AE26" si="32">COUNTIF(AD4:AD20,"WO")</f>
        <v>7</v>
      </c>
      <c r="AE26">
        <f t="shared" si="32"/>
        <v>9</v>
      </c>
      <c r="AF26">
        <f t="shared" ref="AF26" si="33">COUNTIF(AF4:AF20,"C")</f>
        <v>3</v>
      </c>
    </row>
    <row r="27" spans="1:32" x14ac:dyDescent="0.35">
      <c r="A27" s="189" t="s">
        <v>161</v>
      </c>
      <c r="B27">
        <f t="shared" ref="B27:H27" si="34">COUNTIF(B4:B20,"PL")</f>
        <v>0</v>
      </c>
      <c r="C27">
        <f t="shared" si="34"/>
        <v>0</v>
      </c>
      <c r="D27">
        <f t="shared" si="34"/>
        <v>1</v>
      </c>
      <c r="E27">
        <f t="shared" si="34"/>
        <v>1</v>
      </c>
      <c r="F27">
        <f t="shared" si="34"/>
        <v>1</v>
      </c>
      <c r="G27">
        <f t="shared" si="34"/>
        <v>2</v>
      </c>
      <c r="H27">
        <f t="shared" si="34"/>
        <v>1</v>
      </c>
      <c r="I27">
        <f t="shared" ref="I27:O27" si="35">COUNTIF(I4:I20,"PL")</f>
        <v>0</v>
      </c>
      <c r="J27">
        <f t="shared" si="35"/>
        <v>0</v>
      </c>
      <c r="K27">
        <f t="shared" si="35"/>
        <v>1</v>
      </c>
      <c r="L27">
        <f t="shared" si="35"/>
        <v>2</v>
      </c>
      <c r="M27">
        <f t="shared" si="35"/>
        <v>2</v>
      </c>
      <c r="N27">
        <f t="shared" si="35"/>
        <v>2</v>
      </c>
      <c r="O27">
        <f t="shared" si="35"/>
        <v>1</v>
      </c>
      <c r="P27">
        <f t="shared" ref="P27:Q27" si="36">COUNTIF(P4:P20,"PL")</f>
        <v>0</v>
      </c>
      <c r="Q27">
        <f t="shared" si="36"/>
        <v>0</v>
      </c>
      <c r="R27">
        <f t="shared" ref="R27:V27" si="37">COUNTIF(R4:R20,"PL")</f>
        <v>1</v>
      </c>
      <c r="S27">
        <f t="shared" si="37"/>
        <v>1</v>
      </c>
      <c r="T27">
        <f t="shared" si="37"/>
        <v>1</v>
      </c>
      <c r="U27">
        <f t="shared" si="37"/>
        <v>1</v>
      </c>
      <c r="V27">
        <f t="shared" si="37"/>
        <v>1</v>
      </c>
      <c r="W27">
        <f>COUNTIF(W4:W20,"PL")</f>
        <v>0</v>
      </c>
      <c r="X27">
        <f>COUNTIF(X4:X20,"PL")</f>
        <v>0</v>
      </c>
      <c r="Y27">
        <f t="shared" ref="Y27:AC27" si="38">COUNTIF(Y4:Y20,"PL")</f>
        <v>1</v>
      </c>
      <c r="Z27">
        <f t="shared" si="38"/>
        <v>1</v>
      </c>
      <c r="AA27">
        <f t="shared" si="38"/>
        <v>1</v>
      </c>
      <c r="AB27">
        <f t="shared" si="38"/>
        <v>1</v>
      </c>
      <c r="AC27">
        <f t="shared" si="38"/>
        <v>1</v>
      </c>
      <c r="AD27">
        <f t="shared" ref="AD27:AF27" si="39">COUNTIF(AD4:AD20,"PL")</f>
        <v>0</v>
      </c>
      <c r="AE27">
        <f t="shared" si="39"/>
        <v>0</v>
      </c>
      <c r="AF27">
        <f t="shared" si="39"/>
        <v>1</v>
      </c>
    </row>
    <row r="28" spans="1:32" x14ac:dyDescent="0.35">
      <c r="A28" s="189" t="s">
        <v>33</v>
      </c>
      <c r="B28">
        <f t="shared" ref="B28:H28" si="40">COUNTIF(B4:B20,"UPL")</f>
        <v>0</v>
      </c>
      <c r="C28">
        <f t="shared" si="40"/>
        <v>0</v>
      </c>
      <c r="D28">
        <f t="shared" si="40"/>
        <v>0</v>
      </c>
      <c r="E28">
        <f t="shared" si="40"/>
        <v>0</v>
      </c>
      <c r="F28">
        <f t="shared" si="40"/>
        <v>0</v>
      </c>
      <c r="G28">
        <f t="shared" si="40"/>
        <v>1</v>
      </c>
      <c r="H28">
        <f t="shared" si="40"/>
        <v>0</v>
      </c>
      <c r="I28">
        <f t="shared" ref="I28:O28" si="41">COUNTIF(I4:I20,"UPL")</f>
        <v>0</v>
      </c>
      <c r="J28">
        <f t="shared" si="41"/>
        <v>0</v>
      </c>
      <c r="K28">
        <f t="shared" si="41"/>
        <v>0</v>
      </c>
      <c r="L28">
        <f t="shared" si="41"/>
        <v>0</v>
      </c>
      <c r="M28">
        <f t="shared" si="41"/>
        <v>0</v>
      </c>
      <c r="N28">
        <f t="shared" si="41"/>
        <v>0</v>
      </c>
      <c r="O28">
        <f t="shared" si="41"/>
        <v>0</v>
      </c>
      <c r="P28">
        <f t="shared" ref="P28:Q28" si="42">COUNTIF(P4:P20,"UPL")</f>
        <v>0</v>
      </c>
      <c r="Q28">
        <f t="shared" si="42"/>
        <v>0</v>
      </c>
      <c r="R28">
        <f t="shared" ref="R28:V28" si="43">COUNTIF(R4:R20,"UPL")</f>
        <v>0</v>
      </c>
      <c r="S28">
        <f t="shared" si="43"/>
        <v>0</v>
      </c>
      <c r="T28">
        <f t="shared" si="43"/>
        <v>0</v>
      </c>
      <c r="U28">
        <f t="shared" si="43"/>
        <v>0</v>
      </c>
      <c r="V28">
        <f t="shared" si="43"/>
        <v>0</v>
      </c>
      <c r="W28">
        <f>COUNTIF(W4:W20,"UPL")</f>
        <v>0</v>
      </c>
      <c r="X28">
        <f>COUNTIF(X4:X20,"UPL")</f>
        <v>0</v>
      </c>
      <c r="Y28">
        <f t="shared" ref="Y28:AC28" si="44">COUNTIF(Y4:Y20,"UPL")</f>
        <v>0</v>
      </c>
      <c r="Z28">
        <f t="shared" si="44"/>
        <v>0</v>
      </c>
      <c r="AA28">
        <f t="shared" si="44"/>
        <v>0</v>
      </c>
      <c r="AB28">
        <f t="shared" si="44"/>
        <v>0</v>
      </c>
      <c r="AC28">
        <f t="shared" si="44"/>
        <v>0</v>
      </c>
      <c r="AD28">
        <f t="shared" ref="AD28:AF28" si="45">COUNTIF(AD4:AD20,"UPL")</f>
        <v>0</v>
      </c>
      <c r="AE28">
        <f t="shared" si="45"/>
        <v>0</v>
      </c>
      <c r="AF28">
        <f t="shared" si="45"/>
        <v>0</v>
      </c>
    </row>
    <row r="29" spans="1:32" x14ac:dyDescent="0.35">
      <c r="A29" s="189" t="s">
        <v>172</v>
      </c>
      <c r="B29">
        <f t="shared" ref="B29:H29" si="46">COUNTIF(B4:B20,"H")</f>
        <v>0</v>
      </c>
      <c r="C29">
        <f t="shared" si="46"/>
        <v>0</v>
      </c>
      <c r="D29">
        <f t="shared" si="46"/>
        <v>0</v>
      </c>
      <c r="E29">
        <f t="shared" si="46"/>
        <v>0</v>
      </c>
      <c r="F29">
        <f t="shared" si="46"/>
        <v>0</v>
      </c>
      <c r="G29">
        <f t="shared" si="46"/>
        <v>0</v>
      </c>
      <c r="H29">
        <f t="shared" si="46"/>
        <v>0</v>
      </c>
      <c r="I29">
        <f t="shared" ref="I29:O29" si="47">COUNTIF(I4:I20,"H")</f>
        <v>0</v>
      </c>
      <c r="J29">
        <f t="shared" si="47"/>
        <v>0</v>
      </c>
      <c r="K29">
        <f t="shared" si="47"/>
        <v>0</v>
      </c>
      <c r="L29">
        <f t="shared" si="47"/>
        <v>0</v>
      </c>
      <c r="M29">
        <f t="shared" si="47"/>
        <v>0</v>
      </c>
      <c r="N29">
        <f t="shared" si="47"/>
        <v>0</v>
      </c>
      <c r="O29">
        <f t="shared" si="47"/>
        <v>0</v>
      </c>
      <c r="P29">
        <f t="shared" ref="P29:Q29" si="48">COUNTIF(P4:P20,"H")</f>
        <v>0</v>
      </c>
      <c r="Q29">
        <f t="shared" si="48"/>
        <v>0</v>
      </c>
      <c r="R29">
        <f t="shared" ref="R29:V29" si="49">COUNTIF(R4:R20,"H")</f>
        <v>0</v>
      </c>
      <c r="S29">
        <f t="shared" si="49"/>
        <v>0</v>
      </c>
      <c r="T29">
        <f t="shared" si="49"/>
        <v>0</v>
      </c>
      <c r="U29">
        <f t="shared" si="49"/>
        <v>0</v>
      </c>
      <c r="V29">
        <f t="shared" si="49"/>
        <v>0</v>
      </c>
      <c r="W29">
        <f>COUNTIF(W4:W20,"H")</f>
        <v>0</v>
      </c>
      <c r="X29">
        <f>COUNTIF(X4:X20,"H")</f>
        <v>0</v>
      </c>
      <c r="Y29">
        <f t="shared" ref="Y29:AC29" si="50">COUNTIF(Y4:Y20,"H")</f>
        <v>0</v>
      </c>
      <c r="Z29">
        <f t="shared" si="50"/>
        <v>0</v>
      </c>
      <c r="AA29">
        <f t="shared" si="50"/>
        <v>0</v>
      </c>
      <c r="AB29">
        <f t="shared" si="50"/>
        <v>0</v>
      </c>
      <c r="AC29">
        <f t="shared" si="50"/>
        <v>0</v>
      </c>
      <c r="AD29">
        <f t="shared" ref="AD29:AF29" si="51">COUNTIF(AD4:AD20,"H")</f>
        <v>0</v>
      </c>
      <c r="AE29">
        <f t="shared" si="51"/>
        <v>0</v>
      </c>
      <c r="AF29">
        <f t="shared" si="51"/>
        <v>0</v>
      </c>
    </row>
    <row r="30" spans="1:32" x14ac:dyDescent="0.35">
      <c r="A30" s="189" t="s">
        <v>162</v>
      </c>
      <c r="B30" s="138">
        <f t="shared" ref="B30:H30" si="52">SUM(B22:B29)</f>
        <v>15</v>
      </c>
      <c r="C30" s="138">
        <f t="shared" si="52"/>
        <v>15</v>
      </c>
      <c r="D30" s="138">
        <f t="shared" si="52"/>
        <v>15</v>
      </c>
      <c r="E30" s="138">
        <f t="shared" si="52"/>
        <v>15</v>
      </c>
      <c r="F30" s="138">
        <f t="shared" si="52"/>
        <v>15</v>
      </c>
      <c r="G30" s="138">
        <f t="shared" si="52"/>
        <v>15</v>
      </c>
      <c r="H30" s="138">
        <f t="shared" si="52"/>
        <v>15</v>
      </c>
      <c r="I30" s="138">
        <f t="shared" ref="I30:O30" si="53">SUM(I22:I29)</f>
        <v>15</v>
      </c>
      <c r="J30" s="138">
        <f t="shared" si="53"/>
        <v>15</v>
      </c>
      <c r="K30" s="138">
        <f t="shared" si="53"/>
        <v>15</v>
      </c>
      <c r="L30" s="138">
        <f t="shared" si="53"/>
        <v>15</v>
      </c>
      <c r="M30" s="138">
        <f t="shared" si="53"/>
        <v>15</v>
      </c>
      <c r="N30" s="138">
        <f t="shared" si="53"/>
        <v>15</v>
      </c>
      <c r="O30" s="138">
        <f t="shared" si="53"/>
        <v>15</v>
      </c>
      <c r="P30" s="138">
        <f t="shared" ref="P30:Q30" si="54">SUM(P22:P29)</f>
        <v>15</v>
      </c>
      <c r="Q30" s="138">
        <f t="shared" si="54"/>
        <v>15</v>
      </c>
      <c r="R30" s="138">
        <f t="shared" ref="R30:V30" si="55">SUM(R22:R29)</f>
        <v>15</v>
      </c>
      <c r="S30" s="138">
        <f t="shared" si="55"/>
        <v>15</v>
      </c>
      <c r="T30" s="138">
        <f t="shared" si="55"/>
        <v>15</v>
      </c>
      <c r="U30" s="138">
        <f t="shared" si="55"/>
        <v>15</v>
      </c>
      <c r="V30" s="138">
        <f t="shared" si="55"/>
        <v>15</v>
      </c>
      <c r="W30" s="138">
        <f t="shared" ref="W30:AC30" si="56">SUM(W22:W29)</f>
        <v>15</v>
      </c>
      <c r="X30" s="138">
        <f t="shared" si="56"/>
        <v>15</v>
      </c>
      <c r="Y30" s="138">
        <f t="shared" si="56"/>
        <v>15</v>
      </c>
      <c r="Z30" s="138">
        <f t="shared" si="56"/>
        <v>15</v>
      </c>
      <c r="AA30" s="138">
        <f t="shared" si="56"/>
        <v>15</v>
      </c>
      <c r="AB30" s="138">
        <f t="shared" si="56"/>
        <v>15</v>
      </c>
      <c r="AC30" s="138">
        <f t="shared" si="56"/>
        <v>15</v>
      </c>
      <c r="AD30" s="138">
        <f t="shared" ref="AD30:AF30" si="57">SUM(AD22:AD29)</f>
        <v>15</v>
      </c>
      <c r="AE30" s="138">
        <f t="shared" si="57"/>
        <v>15</v>
      </c>
      <c r="AF30" s="138">
        <f t="shared" si="57"/>
        <v>15</v>
      </c>
    </row>
  </sheetData>
  <conditionalFormatting sqref="B22:C25">
    <cfRule type="cellIs" dxfId="88" priority="14" operator="lessThan">
      <formula>3</formula>
    </cfRule>
  </conditionalFormatting>
  <conditionalFormatting sqref="I22:J25">
    <cfRule type="cellIs" dxfId="87" priority="13" operator="lessThan">
      <formula>3</formula>
    </cfRule>
  </conditionalFormatting>
  <conditionalFormatting sqref="W22:X25">
    <cfRule type="cellIs" dxfId="86" priority="11" operator="lessThan">
      <formula>3</formula>
    </cfRule>
  </conditionalFormatting>
  <conditionalFormatting sqref="AD22:AE25">
    <cfRule type="cellIs" dxfId="85" priority="10" operator="lessThan">
      <formula>3</formula>
    </cfRule>
  </conditionalFormatting>
  <conditionalFormatting sqref="D22:H25">
    <cfRule type="cellIs" dxfId="84" priority="9" operator="lessThan">
      <formula>3</formula>
    </cfRule>
  </conditionalFormatting>
  <conditionalFormatting sqref="K22:K25">
    <cfRule type="cellIs" dxfId="83" priority="8" operator="lessThan">
      <formula>3</formula>
    </cfRule>
  </conditionalFormatting>
  <conditionalFormatting sqref="L22:O25">
    <cfRule type="cellIs" dxfId="82" priority="7" operator="lessThan">
      <formula>3</formula>
    </cfRule>
  </conditionalFormatting>
  <conditionalFormatting sqref="R22:V25">
    <cfRule type="cellIs" dxfId="81" priority="6" operator="lessThan">
      <formula>3</formula>
    </cfRule>
  </conditionalFormatting>
  <conditionalFormatting sqref="Y22:AC25">
    <cfRule type="cellIs" dxfId="80" priority="5" operator="lessThan">
      <formula>3</formula>
    </cfRule>
  </conditionalFormatting>
  <conditionalFormatting sqref="P22:Q25">
    <cfRule type="cellIs" dxfId="79" priority="4" operator="lessThan">
      <formula>3</formula>
    </cfRule>
  </conditionalFormatting>
  <conditionalFormatting sqref="AF22:AF25">
    <cfRule type="cellIs" dxfId="78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L32"/>
  <sheetViews>
    <sheetView zoomScale="56" zoomScaleNormal="56" workbookViewId="0">
      <pane xSplit="1" topLeftCell="F1" activePane="topRight" state="frozen"/>
      <selection pane="topRight" activeCell="M23" sqref="M23"/>
    </sheetView>
  </sheetViews>
  <sheetFormatPr defaultRowHeight="14.5" x14ac:dyDescent="0.35"/>
  <cols>
    <col min="1" max="1" width="21.7265625" bestFit="1" customWidth="1"/>
    <col min="2" max="3" width="6.90625" customWidth="1"/>
    <col min="4" max="4" width="7.36328125" hidden="1" customWidth="1"/>
    <col min="5" max="5" width="8.7265625" customWidth="1"/>
    <col min="6" max="6" width="8.90625" customWidth="1"/>
    <col min="7" max="38" width="8.7265625" customWidth="1"/>
  </cols>
  <sheetData>
    <row r="1" spans="1:38" x14ac:dyDescent="0.35">
      <c r="A1" s="70"/>
      <c r="B1" s="2" t="str">
        <f t="shared" ref="B1:D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ref="E1:AH1" si="1">TEXT(E2,"ddd")</f>
        <v>Tue</v>
      </c>
      <c r="F1" s="2" t="str">
        <f t="shared" si="1"/>
        <v>Wed</v>
      </c>
      <c r="G1" s="2" t="str">
        <f t="shared" si="1"/>
        <v>Thu</v>
      </c>
      <c r="H1" s="2" t="str">
        <f t="shared" si="1"/>
        <v>Fri</v>
      </c>
      <c r="I1" s="2" t="str">
        <f t="shared" si="1"/>
        <v>Sat</v>
      </c>
      <c r="J1" s="2" t="str">
        <f t="shared" si="1"/>
        <v>Sun</v>
      </c>
      <c r="K1" s="2" t="str">
        <f t="shared" si="1"/>
        <v>Mon</v>
      </c>
      <c r="L1" s="2" t="str">
        <f t="shared" si="1"/>
        <v>Tue</v>
      </c>
      <c r="M1" s="2" t="str">
        <f t="shared" si="1"/>
        <v>Wed</v>
      </c>
      <c r="N1" s="2" t="str">
        <f t="shared" si="1"/>
        <v>Thu</v>
      </c>
      <c r="O1" s="2" t="str">
        <f t="shared" si="1"/>
        <v>Fri</v>
      </c>
      <c r="P1" s="2" t="str">
        <f t="shared" si="1"/>
        <v>Sat</v>
      </c>
      <c r="Q1" s="2" t="str">
        <f t="shared" si="1"/>
        <v>Sun</v>
      </c>
      <c r="R1" s="2" t="str">
        <f t="shared" si="1"/>
        <v>Mon</v>
      </c>
      <c r="S1" s="2" t="str">
        <f t="shared" si="1"/>
        <v>Tue</v>
      </c>
      <c r="T1" s="2" t="str">
        <f t="shared" si="1"/>
        <v>Wed</v>
      </c>
      <c r="U1" s="2" t="str">
        <f t="shared" si="1"/>
        <v>Thu</v>
      </c>
      <c r="V1" s="2" t="str">
        <f t="shared" si="1"/>
        <v>Fri</v>
      </c>
      <c r="W1" s="2" t="str">
        <f t="shared" si="1"/>
        <v>Sat</v>
      </c>
      <c r="X1" s="2" t="str">
        <f t="shared" si="1"/>
        <v>Sun</v>
      </c>
      <c r="Y1" s="2" t="str">
        <f t="shared" si="1"/>
        <v>Mon</v>
      </c>
      <c r="Z1" s="2" t="str">
        <f t="shared" si="1"/>
        <v>Tue</v>
      </c>
      <c r="AA1" s="2" t="str">
        <f t="shared" si="1"/>
        <v>Wed</v>
      </c>
      <c r="AB1" s="2" t="str">
        <f t="shared" si="1"/>
        <v>Thu</v>
      </c>
      <c r="AC1" s="2" t="str">
        <f t="shared" si="1"/>
        <v>Fri</v>
      </c>
      <c r="AD1" s="2" t="str">
        <f t="shared" si="1"/>
        <v>Sat</v>
      </c>
      <c r="AE1" s="2" t="str">
        <f t="shared" si="1"/>
        <v>Sun</v>
      </c>
      <c r="AF1" s="2" t="str">
        <f t="shared" si="1"/>
        <v>Mon</v>
      </c>
      <c r="AG1" s="2" t="str">
        <f t="shared" si="1"/>
        <v>Tue</v>
      </c>
      <c r="AH1" s="2" t="str">
        <f t="shared" si="1"/>
        <v>Wed</v>
      </c>
      <c r="AI1" s="2" t="str">
        <f>TEXT(AI2,"ddd")</f>
        <v>Thu</v>
      </c>
      <c r="AJ1" s="2" t="str">
        <f>TEXT(AJ2,"ddd")</f>
        <v>Fri</v>
      </c>
      <c r="AK1" s="2" t="str">
        <f>TEXT(AK2,"ddd")</f>
        <v>Sat</v>
      </c>
      <c r="AL1" s="2" t="str">
        <f>TEXT(AL2,"ddd")</f>
        <v>Sun</v>
      </c>
    </row>
    <row r="2" spans="1:38" x14ac:dyDescent="0.35">
      <c r="A2" s="104" t="s">
        <v>0</v>
      </c>
      <c r="B2" s="31">
        <v>45136</v>
      </c>
      <c r="C2" s="31">
        <v>45137</v>
      </c>
      <c r="D2" s="31">
        <v>45138</v>
      </c>
      <c r="E2" s="31">
        <v>45139</v>
      </c>
      <c r="F2" s="31">
        <v>45140</v>
      </c>
      <c r="G2" s="31">
        <v>45141</v>
      </c>
      <c r="H2" s="31">
        <v>45142</v>
      </c>
      <c r="I2" s="31">
        <v>45143</v>
      </c>
      <c r="J2" s="31">
        <v>45144</v>
      </c>
      <c r="K2" s="31">
        <v>45145</v>
      </c>
      <c r="L2" s="31">
        <v>45146</v>
      </c>
      <c r="M2" s="31">
        <v>45147</v>
      </c>
      <c r="N2" s="31">
        <v>45148</v>
      </c>
      <c r="O2" s="31">
        <v>45149</v>
      </c>
      <c r="P2" s="31">
        <v>45150</v>
      </c>
      <c r="Q2" s="31">
        <v>45151</v>
      </c>
      <c r="R2" s="31">
        <v>45152</v>
      </c>
      <c r="S2" s="31">
        <v>45153</v>
      </c>
      <c r="T2" s="31">
        <v>45154</v>
      </c>
      <c r="U2" s="31">
        <v>45155</v>
      </c>
      <c r="V2" s="31">
        <v>45156</v>
      </c>
      <c r="W2" s="31">
        <v>45157</v>
      </c>
      <c r="X2" s="31">
        <v>45158</v>
      </c>
      <c r="Y2" s="31">
        <v>45159</v>
      </c>
      <c r="Z2" s="31">
        <v>45160</v>
      </c>
      <c r="AA2" s="31">
        <v>45161</v>
      </c>
      <c r="AB2" s="31">
        <v>45162</v>
      </c>
      <c r="AC2" s="31">
        <v>45163</v>
      </c>
      <c r="AD2" s="31">
        <v>45164</v>
      </c>
      <c r="AE2" s="31">
        <v>45165</v>
      </c>
      <c r="AF2" s="31">
        <v>45166</v>
      </c>
      <c r="AG2" s="31">
        <v>45167</v>
      </c>
      <c r="AH2" s="31">
        <v>45168</v>
      </c>
      <c r="AI2" s="31">
        <v>45169</v>
      </c>
      <c r="AJ2" s="31">
        <v>45170</v>
      </c>
      <c r="AK2" s="31">
        <v>45171</v>
      </c>
      <c r="AL2" s="31">
        <v>45172</v>
      </c>
    </row>
    <row r="3" spans="1:38" x14ac:dyDescent="0.35">
      <c r="A3" s="105"/>
      <c r="B3" s="105"/>
      <c r="C3" s="105"/>
      <c r="D3" s="105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</row>
    <row r="4" spans="1:38" x14ac:dyDescent="0.35">
      <c r="A4" s="193" t="s">
        <v>9</v>
      </c>
      <c r="B4" s="25" t="s">
        <v>3</v>
      </c>
      <c r="C4" s="25" t="s">
        <v>3</v>
      </c>
      <c r="D4" s="25" t="s">
        <v>6</v>
      </c>
      <c r="E4" s="221" t="s">
        <v>6</v>
      </c>
      <c r="F4" s="184" t="s">
        <v>2</v>
      </c>
      <c r="G4" s="184" t="s">
        <v>2</v>
      </c>
      <c r="H4" s="25" t="s">
        <v>6</v>
      </c>
      <c r="I4" s="25" t="s">
        <v>3</v>
      </c>
      <c r="J4" s="25" t="s">
        <v>3</v>
      </c>
      <c r="K4" s="221" t="s">
        <v>6</v>
      </c>
      <c r="L4" s="220" t="s">
        <v>34</v>
      </c>
      <c r="M4" s="184" t="s">
        <v>2</v>
      </c>
      <c r="N4" s="184" t="s">
        <v>2</v>
      </c>
      <c r="O4" s="25" t="s">
        <v>6</v>
      </c>
      <c r="P4" s="25" t="s">
        <v>3</v>
      </c>
      <c r="Q4" s="25" t="s">
        <v>3</v>
      </c>
      <c r="R4" s="221" t="s">
        <v>6</v>
      </c>
      <c r="S4" s="25" t="s">
        <v>3</v>
      </c>
      <c r="T4" s="184" t="s">
        <v>2</v>
      </c>
      <c r="U4" s="184" t="s">
        <v>2</v>
      </c>
      <c r="V4" s="25" t="s">
        <v>6</v>
      </c>
      <c r="W4" s="25" t="s">
        <v>3</v>
      </c>
      <c r="X4" s="25" t="s">
        <v>3</v>
      </c>
      <c r="Y4" s="221" t="s">
        <v>6</v>
      </c>
      <c r="Z4" s="221" t="s">
        <v>6</v>
      </c>
      <c r="AA4" s="184" t="s">
        <v>2</v>
      </c>
      <c r="AB4" s="184" t="s">
        <v>2</v>
      </c>
      <c r="AC4" s="25" t="s">
        <v>6</v>
      </c>
      <c r="AD4" s="25" t="s">
        <v>3</v>
      </c>
      <c r="AE4" s="25" t="s">
        <v>3</v>
      </c>
      <c r="AF4" s="221" t="s">
        <v>6</v>
      </c>
      <c r="AG4" s="221" t="s">
        <v>6</v>
      </c>
      <c r="AH4" s="25" t="s">
        <v>6</v>
      </c>
      <c r="AI4" s="184" t="s">
        <v>2</v>
      </c>
      <c r="AJ4" s="185" t="s">
        <v>10</v>
      </c>
      <c r="AK4" s="185" t="s">
        <v>11</v>
      </c>
      <c r="AL4" s="185" t="s">
        <v>11</v>
      </c>
    </row>
    <row r="5" spans="1:38" x14ac:dyDescent="0.35">
      <c r="A5" s="193" t="s">
        <v>15</v>
      </c>
      <c r="B5" s="123" t="s">
        <v>4</v>
      </c>
      <c r="C5" s="123" t="s">
        <v>4</v>
      </c>
      <c r="D5" s="25" t="s">
        <v>6</v>
      </c>
      <c r="E5" s="25" t="s">
        <v>6</v>
      </c>
      <c r="F5" s="25" t="s">
        <v>6</v>
      </c>
      <c r="G5" s="25" t="s">
        <v>6</v>
      </c>
      <c r="H5" s="25" t="s">
        <v>6</v>
      </c>
      <c r="I5" s="25" t="s">
        <v>3</v>
      </c>
      <c r="J5" s="123" t="s">
        <v>4</v>
      </c>
      <c r="K5" s="184" t="s">
        <v>2</v>
      </c>
      <c r="L5" s="25" t="s">
        <v>6</v>
      </c>
      <c r="M5" s="25" t="s">
        <v>6</v>
      </c>
      <c r="N5" s="25" t="s">
        <v>6</v>
      </c>
      <c r="O5" s="220" t="s">
        <v>34</v>
      </c>
      <c r="P5" s="123" t="s">
        <v>4</v>
      </c>
      <c r="Q5" s="123" t="s">
        <v>4</v>
      </c>
      <c r="R5" s="25" t="s">
        <v>6</v>
      </c>
      <c r="S5" s="25" t="s">
        <v>3</v>
      </c>
      <c r="T5" s="25" t="s">
        <v>6</v>
      </c>
      <c r="U5" s="25" t="s">
        <v>6</v>
      </c>
      <c r="V5" s="25" t="s">
        <v>6</v>
      </c>
      <c r="W5" s="19" t="s">
        <v>42</v>
      </c>
      <c r="X5" s="123" t="s">
        <v>4</v>
      </c>
      <c r="Y5" s="25" t="s">
        <v>6</v>
      </c>
      <c r="Z5" s="25" t="s">
        <v>6</v>
      </c>
      <c r="AA5" s="25" t="s">
        <v>6</v>
      </c>
      <c r="AB5" s="25" t="s">
        <v>6</v>
      </c>
      <c r="AC5" s="184" t="s">
        <v>2</v>
      </c>
      <c r="AD5" s="123" t="s">
        <v>4</v>
      </c>
      <c r="AE5" s="123" t="s">
        <v>4</v>
      </c>
      <c r="AF5" s="25" t="s">
        <v>6</v>
      </c>
      <c r="AG5" s="25" t="s">
        <v>6</v>
      </c>
      <c r="AH5" s="25" t="s">
        <v>6</v>
      </c>
      <c r="AI5" s="25" t="s">
        <v>6</v>
      </c>
      <c r="AJ5" s="184" t="s">
        <v>2</v>
      </c>
      <c r="AK5" s="123" t="s">
        <v>4</v>
      </c>
      <c r="AL5" s="185" t="s">
        <v>11</v>
      </c>
    </row>
    <row r="6" spans="1:38" x14ac:dyDescent="0.35">
      <c r="A6" s="182" t="s">
        <v>77</v>
      </c>
      <c r="B6" s="123" t="s">
        <v>4</v>
      </c>
      <c r="C6" s="19" t="s">
        <v>42</v>
      </c>
      <c r="D6" s="184" t="s">
        <v>2</v>
      </c>
      <c r="E6" s="25" t="s">
        <v>6</v>
      </c>
      <c r="F6" s="25" t="s">
        <v>6</v>
      </c>
      <c r="G6" s="22" t="s">
        <v>16</v>
      </c>
      <c r="H6" s="25" t="s">
        <v>6</v>
      </c>
      <c r="I6" s="22" t="s">
        <v>30</v>
      </c>
      <c r="J6" s="123" t="s">
        <v>4</v>
      </c>
      <c r="K6" s="25" t="s">
        <v>6</v>
      </c>
      <c r="L6" s="184" t="s">
        <v>2</v>
      </c>
      <c r="M6" s="25" t="s">
        <v>6</v>
      </c>
      <c r="N6" s="25" t="s">
        <v>6</v>
      </c>
      <c r="O6" s="25" t="s">
        <v>6</v>
      </c>
      <c r="P6" s="25" t="s">
        <v>3</v>
      </c>
      <c r="Q6" s="123" t="s">
        <v>4</v>
      </c>
      <c r="R6" s="184" t="s">
        <v>2</v>
      </c>
      <c r="S6" s="25" t="s">
        <v>3</v>
      </c>
      <c r="T6" s="25" t="s">
        <v>6</v>
      </c>
      <c r="U6" s="25" t="s">
        <v>6</v>
      </c>
      <c r="V6" s="25" t="s">
        <v>6</v>
      </c>
      <c r="W6" s="25" t="s">
        <v>3</v>
      </c>
      <c r="X6" s="123" t="s">
        <v>4</v>
      </c>
      <c r="Y6" s="184" t="s">
        <v>2</v>
      </c>
      <c r="Z6" s="25" t="s">
        <v>6</v>
      </c>
      <c r="AA6" s="25" t="s">
        <v>6</v>
      </c>
      <c r="AB6" s="25" t="s">
        <v>6</v>
      </c>
      <c r="AC6" s="25" t="s">
        <v>6</v>
      </c>
      <c r="AD6" s="25" t="s">
        <v>3</v>
      </c>
      <c r="AE6" s="123" t="s">
        <v>4</v>
      </c>
      <c r="AF6" s="184" t="s">
        <v>2</v>
      </c>
      <c r="AG6" s="25" t="s">
        <v>6</v>
      </c>
      <c r="AH6" s="25" t="s">
        <v>6</v>
      </c>
      <c r="AI6" s="25" t="s">
        <v>6</v>
      </c>
      <c r="AJ6" s="185" t="s">
        <v>10</v>
      </c>
      <c r="AK6" s="185" t="s">
        <v>11</v>
      </c>
      <c r="AL6" s="123" t="s">
        <v>4</v>
      </c>
    </row>
    <row r="7" spans="1:38" x14ac:dyDescent="0.35">
      <c r="A7" s="182" t="s">
        <v>223</v>
      </c>
      <c r="B7" s="123" t="s">
        <v>4</v>
      </c>
      <c r="C7" s="25" t="s">
        <v>3</v>
      </c>
      <c r="D7" s="25" t="s">
        <v>6</v>
      </c>
      <c r="E7" s="25" t="s">
        <v>6</v>
      </c>
      <c r="F7" s="22" t="s">
        <v>16</v>
      </c>
      <c r="G7" s="25" t="s">
        <v>6</v>
      </c>
      <c r="H7" s="184" t="s">
        <v>2</v>
      </c>
      <c r="I7" s="123" t="s">
        <v>4</v>
      </c>
      <c r="J7" s="25" t="s">
        <v>3</v>
      </c>
      <c r="K7" s="25" t="s">
        <v>6</v>
      </c>
      <c r="L7" s="25" t="s">
        <v>6</v>
      </c>
      <c r="M7" s="25" t="s">
        <v>6</v>
      </c>
      <c r="N7" s="25" t="s">
        <v>6</v>
      </c>
      <c r="O7" s="184" t="s">
        <v>2</v>
      </c>
      <c r="P7" s="123" t="s">
        <v>4</v>
      </c>
      <c r="Q7" s="25" t="s">
        <v>3</v>
      </c>
      <c r="R7" s="25" t="s">
        <v>6</v>
      </c>
      <c r="S7" s="22" t="s">
        <v>30</v>
      </c>
      <c r="T7" s="25" t="s">
        <v>6</v>
      </c>
      <c r="U7" s="25" t="s">
        <v>6</v>
      </c>
      <c r="V7" s="25" t="s">
        <v>6</v>
      </c>
      <c r="W7" s="123" t="s">
        <v>4</v>
      </c>
      <c r="X7" s="25" t="s">
        <v>3</v>
      </c>
      <c r="Y7" s="25" t="s">
        <v>6</v>
      </c>
      <c r="Z7" s="184" t="s">
        <v>2</v>
      </c>
      <c r="AA7" s="25" t="s">
        <v>6</v>
      </c>
      <c r="AB7" s="25" t="s">
        <v>6</v>
      </c>
      <c r="AC7" s="25" t="s">
        <v>6</v>
      </c>
      <c r="AD7" s="22" t="s">
        <v>30</v>
      </c>
      <c r="AE7" s="123" t="s">
        <v>4</v>
      </c>
      <c r="AF7" s="25" t="s">
        <v>3</v>
      </c>
      <c r="AG7" s="184" t="s">
        <v>2</v>
      </c>
      <c r="AH7" s="25" t="s">
        <v>6</v>
      </c>
      <c r="AI7" s="25" t="s">
        <v>6</v>
      </c>
      <c r="AJ7" s="25" t="s">
        <v>6</v>
      </c>
      <c r="AK7" s="25" t="s">
        <v>3</v>
      </c>
      <c r="AL7" s="123" t="s">
        <v>4</v>
      </c>
    </row>
    <row r="8" spans="1:38" x14ac:dyDescent="0.35">
      <c r="A8" s="182" t="s">
        <v>76</v>
      </c>
      <c r="B8" s="123" t="s">
        <v>4</v>
      </c>
      <c r="C8" s="185" t="s">
        <v>11</v>
      </c>
      <c r="D8" s="184" t="s">
        <v>2</v>
      </c>
      <c r="E8" s="22" t="s">
        <v>16</v>
      </c>
      <c r="F8" s="25" t="s">
        <v>6</v>
      </c>
      <c r="G8" s="25" t="s">
        <v>6</v>
      </c>
      <c r="H8" s="220" t="s">
        <v>34</v>
      </c>
      <c r="I8" s="131" t="s">
        <v>4</v>
      </c>
      <c r="J8" s="131" t="s">
        <v>4</v>
      </c>
      <c r="K8" s="25" t="s">
        <v>6</v>
      </c>
      <c r="L8" s="25" t="s">
        <v>6</v>
      </c>
      <c r="M8" s="25" t="s">
        <v>6</v>
      </c>
      <c r="N8" s="25" t="s">
        <v>6</v>
      </c>
      <c r="O8" s="25" t="s">
        <v>6</v>
      </c>
      <c r="P8" s="22" t="s">
        <v>30</v>
      </c>
      <c r="Q8" s="123" t="s">
        <v>4</v>
      </c>
      <c r="R8" s="184" t="s">
        <v>2</v>
      </c>
      <c r="S8" s="183" t="s">
        <v>37</v>
      </c>
      <c r="T8" s="25" t="s">
        <v>6</v>
      </c>
      <c r="U8" s="25" t="s">
        <v>6</v>
      </c>
      <c r="V8" s="184" t="s">
        <v>2</v>
      </c>
      <c r="W8" s="123" t="s">
        <v>4</v>
      </c>
      <c r="X8" s="123" t="s">
        <v>4</v>
      </c>
      <c r="Y8" s="25" t="s">
        <v>6</v>
      </c>
      <c r="Z8" s="25" t="s">
        <v>6</v>
      </c>
      <c r="AA8" s="25" t="s">
        <v>6</v>
      </c>
      <c r="AB8" s="25" t="s">
        <v>6</v>
      </c>
      <c r="AC8" s="25" t="s">
        <v>6</v>
      </c>
      <c r="AD8" s="123" t="s">
        <v>4</v>
      </c>
      <c r="AE8" s="25" t="s">
        <v>3</v>
      </c>
      <c r="AF8" s="25" t="s">
        <v>6</v>
      </c>
      <c r="AG8" s="25" t="s">
        <v>6</v>
      </c>
      <c r="AH8" s="184" t="s">
        <v>2</v>
      </c>
      <c r="AI8" s="25" t="s">
        <v>6</v>
      </c>
      <c r="AJ8" s="25" t="s">
        <v>6</v>
      </c>
      <c r="AK8" s="22" t="s">
        <v>30</v>
      </c>
      <c r="AL8" s="123" t="s">
        <v>4</v>
      </c>
    </row>
    <row r="9" spans="1:38" x14ac:dyDescent="0.35">
      <c r="A9" s="219" t="s">
        <v>225</v>
      </c>
      <c r="B9" s="123" t="s">
        <v>4</v>
      </c>
      <c r="C9" s="123" t="s">
        <v>4</v>
      </c>
      <c r="D9" s="22" t="s">
        <v>16</v>
      </c>
      <c r="E9" s="22" t="s">
        <v>16</v>
      </c>
      <c r="F9" s="22" t="s">
        <v>16</v>
      </c>
      <c r="G9" s="22" t="s">
        <v>16</v>
      </c>
      <c r="H9" s="22" t="s">
        <v>16</v>
      </c>
      <c r="I9" s="123" t="s">
        <v>4</v>
      </c>
      <c r="J9" s="123" t="s">
        <v>4</v>
      </c>
      <c r="K9" s="22" t="s">
        <v>16</v>
      </c>
      <c r="L9" s="22" t="s">
        <v>16</v>
      </c>
      <c r="M9" s="22" t="s">
        <v>16</v>
      </c>
      <c r="N9" s="22" t="s">
        <v>16</v>
      </c>
      <c r="O9" s="22" t="s">
        <v>16</v>
      </c>
      <c r="P9" s="123" t="s">
        <v>4</v>
      </c>
      <c r="Q9" s="123" t="s">
        <v>4</v>
      </c>
      <c r="R9" s="22" t="s">
        <v>16</v>
      </c>
      <c r="S9" s="183" t="s">
        <v>37</v>
      </c>
      <c r="T9" s="22" t="s">
        <v>16</v>
      </c>
      <c r="U9" s="22" t="s">
        <v>16</v>
      </c>
      <c r="V9" s="22" t="s">
        <v>16</v>
      </c>
      <c r="W9" s="123" t="s">
        <v>4</v>
      </c>
      <c r="X9" s="123" t="s">
        <v>4</v>
      </c>
      <c r="Y9" s="22" t="s">
        <v>16</v>
      </c>
      <c r="Z9" s="131" t="s">
        <v>5</v>
      </c>
      <c r="AA9" s="131" t="s">
        <v>5</v>
      </c>
      <c r="AB9" s="22" t="s">
        <v>16</v>
      </c>
      <c r="AC9" s="22" t="s">
        <v>16</v>
      </c>
      <c r="AD9" s="123" t="s">
        <v>4</v>
      </c>
      <c r="AE9" s="123" t="s">
        <v>4</v>
      </c>
      <c r="AF9" s="22" t="s">
        <v>16</v>
      </c>
      <c r="AG9" s="22" t="s">
        <v>16</v>
      </c>
      <c r="AH9" s="22" t="s">
        <v>16</v>
      </c>
      <c r="AI9" s="22" t="s">
        <v>16</v>
      </c>
      <c r="AJ9" s="25" t="s">
        <v>6</v>
      </c>
      <c r="AK9" s="123" t="s">
        <v>4</v>
      </c>
      <c r="AL9" s="123" t="s">
        <v>4</v>
      </c>
    </row>
    <row r="11" spans="1:38" x14ac:dyDescent="0.35">
      <c r="A11" s="193" t="s">
        <v>57</v>
      </c>
      <c r="B11" s="185" t="s">
        <v>11</v>
      </c>
      <c r="C11" s="185" t="s">
        <v>11</v>
      </c>
      <c r="D11" s="184" t="s">
        <v>2</v>
      </c>
      <c r="E11" s="19" t="s">
        <v>41</v>
      </c>
      <c r="F11" s="19" t="s">
        <v>41</v>
      </c>
      <c r="G11" s="25" t="s">
        <v>6</v>
      </c>
      <c r="H11" s="131" t="s">
        <v>5</v>
      </c>
      <c r="I11" s="131" t="s">
        <v>4</v>
      </c>
      <c r="J11" s="131" t="s">
        <v>4</v>
      </c>
      <c r="K11" s="131" t="s">
        <v>5</v>
      </c>
      <c r="L11" s="131" t="s">
        <v>5</v>
      </c>
      <c r="M11" s="131" t="s">
        <v>5</v>
      </c>
      <c r="N11" s="131" t="s">
        <v>5</v>
      </c>
      <c r="O11" s="131" t="s">
        <v>5</v>
      </c>
      <c r="P11" s="131" t="s">
        <v>4</v>
      </c>
      <c r="Q11" s="131" t="s">
        <v>4</v>
      </c>
      <c r="R11" s="131" t="s">
        <v>5</v>
      </c>
      <c r="S11" s="19" t="s">
        <v>42</v>
      </c>
      <c r="T11" s="19" t="s">
        <v>41</v>
      </c>
      <c r="U11" s="19" t="s">
        <v>41</v>
      </c>
      <c r="V11" s="19" t="s">
        <v>41</v>
      </c>
      <c r="W11" s="123" t="s">
        <v>4</v>
      </c>
      <c r="X11" s="19" t="s">
        <v>42</v>
      </c>
      <c r="Y11" s="184" t="s">
        <v>2</v>
      </c>
      <c r="Z11" s="19" t="s">
        <v>41</v>
      </c>
      <c r="AA11" s="22" t="s">
        <v>16</v>
      </c>
      <c r="AB11" s="19" t="s">
        <v>41</v>
      </c>
      <c r="AC11" s="19" t="s">
        <v>41</v>
      </c>
      <c r="AD11" s="19" t="s">
        <v>42</v>
      </c>
      <c r="AE11" s="123" t="s">
        <v>4</v>
      </c>
      <c r="AF11" s="184" t="s">
        <v>2</v>
      </c>
      <c r="AG11" s="19" t="s">
        <v>41</v>
      </c>
      <c r="AH11" s="19" t="s">
        <v>41</v>
      </c>
      <c r="AI11" s="19" t="s">
        <v>41</v>
      </c>
      <c r="AJ11" s="25" t="s">
        <v>6</v>
      </c>
      <c r="AK11" s="25" t="s">
        <v>3</v>
      </c>
      <c r="AL11" s="131" t="s">
        <v>5</v>
      </c>
    </row>
    <row r="12" spans="1:38" x14ac:dyDescent="0.35">
      <c r="A12" s="193" t="s">
        <v>155</v>
      </c>
      <c r="B12" s="123" t="s">
        <v>4</v>
      </c>
      <c r="C12" s="19" t="s">
        <v>42</v>
      </c>
      <c r="D12" s="19" t="s">
        <v>41</v>
      </c>
      <c r="E12" s="184" t="s">
        <v>2</v>
      </c>
      <c r="F12" s="19" t="s">
        <v>41</v>
      </c>
      <c r="G12" s="19" t="s">
        <v>41</v>
      </c>
      <c r="H12" s="19" t="s">
        <v>41</v>
      </c>
      <c r="I12" s="19" t="s">
        <v>42</v>
      </c>
      <c r="J12" s="123" t="s">
        <v>4</v>
      </c>
      <c r="K12" s="184" t="s">
        <v>2</v>
      </c>
      <c r="L12" s="19" t="s">
        <v>41</v>
      </c>
      <c r="M12" s="19" t="s">
        <v>41</v>
      </c>
      <c r="N12" s="19" t="s">
        <v>41</v>
      </c>
      <c r="O12" s="19" t="s">
        <v>41</v>
      </c>
      <c r="P12" s="19" t="s">
        <v>42</v>
      </c>
      <c r="Q12" s="123" t="s">
        <v>4</v>
      </c>
      <c r="R12" s="184" t="s">
        <v>2</v>
      </c>
      <c r="S12" s="19" t="s">
        <v>42</v>
      </c>
      <c r="T12" s="19" t="s">
        <v>41</v>
      </c>
      <c r="U12" s="184" t="s">
        <v>2</v>
      </c>
      <c r="V12" s="19" t="s">
        <v>41</v>
      </c>
      <c r="W12" s="22" t="s">
        <v>30</v>
      </c>
      <c r="X12" s="123" t="s">
        <v>4</v>
      </c>
      <c r="Y12" s="19" t="s">
        <v>41</v>
      </c>
      <c r="Z12" s="19" t="s">
        <v>41</v>
      </c>
      <c r="AA12" s="19" t="s">
        <v>41</v>
      </c>
      <c r="AB12" s="184" t="s">
        <v>2</v>
      </c>
      <c r="AC12" s="19" t="s">
        <v>41</v>
      </c>
      <c r="AD12" s="131" t="s">
        <v>4</v>
      </c>
      <c r="AE12" s="131" t="s">
        <v>4</v>
      </c>
      <c r="AF12" s="131" t="s">
        <v>5</v>
      </c>
      <c r="AG12" s="131" t="s">
        <v>5</v>
      </c>
      <c r="AH12" s="131" t="s">
        <v>5</v>
      </c>
      <c r="AI12" s="131" t="s">
        <v>5</v>
      </c>
      <c r="AJ12" s="185" t="s">
        <v>10</v>
      </c>
      <c r="AK12" s="123" t="s">
        <v>4</v>
      </c>
      <c r="AL12" s="185" t="s">
        <v>11</v>
      </c>
    </row>
    <row r="13" spans="1:38" x14ac:dyDescent="0.35">
      <c r="A13" s="182" t="s">
        <v>75</v>
      </c>
      <c r="B13" s="16" t="s">
        <v>11</v>
      </c>
      <c r="C13" s="123" t="s">
        <v>4</v>
      </c>
      <c r="D13" s="19" t="s">
        <v>41</v>
      </c>
      <c r="E13" s="19" t="s">
        <v>41</v>
      </c>
      <c r="F13" s="184" t="s">
        <v>2</v>
      </c>
      <c r="G13" s="19" t="s">
        <v>41</v>
      </c>
      <c r="H13" s="19" t="s">
        <v>41</v>
      </c>
      <c r="I13" s="19" t="s">
        <v>42</v>
      </c>
      <c r="J13" s="123" t="s">
        <v>4</v>
      </c>
      <c r="K13" s="19" t="s">
        <v>41</v>
      </c>
      <c r="L13" s="19" t="s">
        <v>41</v>
      </c>
      <c r="M13" s="19" t="s">
        <v>41</v>
      </c>
      <c r="N13" s="19" t="s">
        <v>41</v>
      </c>
      <c r="O13" s="19" t="s">
        <v>41</v>
      </c>
      <c r="P13" s="19" t="s">
        <v>42</v>
      </c>
      <c r="Q13" s="123" t="s">
        <v>4</v>
      </c>
      <c r="R13" s="19" t="s">
        <v>41</v>
      </c>
      <c r="S13" s="183" t="s">
        <v>37</v>
      </c>
      <c r="T13" s="184" t="s">
        <v>2</v>
      </c>
      <c r="U13" s="19" t="s">
        <v>41</v>
      </c>
      <c r="V13" s="19" t="s">
        <v>41</v>
      </c>
      <c r="W13" s="19" t="s">
        <v>42</v>
      </c>
      <c r="X13" s="123" t="s">
        <v>4</v>
      </c>
      <c r="Y13" s="19" t="s">
        <v>41</v>
      </c>
      <c r="Z13" s="19" t="s">
        <v>41</v>
      </c>
      <c r="AA13" s="184" t="s">
        <v>2</v>
      </c>
      <c r="AB13" s="19" t="s">
        <v>41</v>
      </c>
      <c r="AC13" s="19" t="s">
        <v>41</v>
      </c>
      <c r="AD13" s="19" t="s">
        <v>42</v>
      </c>
      <c r="AE13" s="123" t="s">
        <v>4</v>
      </c>
      <c r="AF13" s="19" t="s">
        <v>41</v>
      </c>
      <c r="AG13" s="19" t="s">
        <v>41</v>
      </c>
      <c r="AH13" s="19" t="s">
        <v>41</v>
      </c>
      <c r="AI13" s="19" t="s">
        <v>41</v>
      </c>
      <c r="AJ13" s="19" t="s">
        <v>41</v>
      </c>
      <c r="AK13" s="123" t="s">
        <v>4</v>
      </c>
      <c r="AL13" s="25" t="s">
        <v>3</v>
      </c>
    </row>
    <row r="14" spans="1:38" x14ac:dyDescent="0.35">
      <c r="A14" s="182" t="s">
        <v>181</v>
      </c>
      <c r="B14" s="22" t="s">
        <v>30</v>
      </c>
      <c r="C14" s="123" t="s">
        <v>4</v>
      </c>
      <c r="D14" s="19" t="s">
        <v>41</v>
      </c>
      <c r="E14" s="19" t="s">
        <v>41</v>
      </c>
      <c r="F14" s="19" t="s">
        <v>41</v>
      </c>
      <c r="G14" s="19" t="s">
        <v>41</v>
      </c>
      <c r="H14" s="19" t="s">
        <v>41</v>
      </c>
      <c r="I14" s="123" t="s">
        <v>4</v>
      </c>
      <c r="J14" s="19" t="s">
        <v>42</v>
      </c>
      <c r="K14" s="19" t="s">
        <v>41</v>
      </c>
      <c r="L14" s="19" t="s">
        <v>41</v>
      </c>
      <c r="M14" s="19" t="s">
        <v>41</v>
      </c>
      <c r="N14" s="19" t="s">
        <v>41</v>
      </c>
      <c r="O14" s="184" t="s">
        <v>2</v>
      </c>
      <c r="P14" s="123" t="s">
        <v>4</v>
      </c>
      <c r="Q14" s="19" t="s">
        <v>42</v>
      </c>
      <c r="R14" s="19" t="s">
        <v>41</v>
      </c>
      <c r="S14" s="183" t="s">
        <v>37</v>
      </c>
      <c r="T14" s="19" t="s">
        <v>41</v>
      </c>
      <c r="U14" s="19" t="s">
        <v>41</v>
      </c>
      <c r="V14" s="19" t="s">
        <v>41</v>
      </c>
      <c r="W14" s="123" t="s">
        <v>4</v>
      </c>
      <c r="X14" s="19" t="s">
        <v>42</v>
      </c>
      <c r="Y14" s="19" t="s">
        <v>41</v>
      </c>
      <c r="Z14" s="19" t="s">
        <v>41</v>
      </c>
      <c r="AA14" s="19" t="s">
        <v>41</v>
      </c>
      <c r="AB14" s="19" t="s">
        <v>41</v>
      </c>
      <c r="AC14" s="184" t="s">
        <v>2</v>
      </c>
      <c r="AD14" s="123" t="s">
        <v>4</v>
      </c>
      <c r="AE14" s="19" t="s">
        <v>42</v>
      </c>
      <c r="AF14" s="19" t="s">
        <v>41</v>
      </c>
      <c r="AG14" s="19" t="s">
        <v>41</v>
      </c>
      <c r="AH14" s="131" t="s">
        <v>5</v>
      </c>
      <c r="AI14" s="19" t="s">
        <v>41</v>
      </c>
      <c r="AJ14" s="185" t="s">
        <v>10</v>
      </c>
      <c r="AK14" s="185" t="s">
        <v>11</v>
      </c>
      <c r="AL14" s="123" t="s">
        <v>4</v>
      </c>
    </row>
    <row r="15" spans="1:38" x14ac:dyDescent="0.35">
      <c r="A15" s="182" t="s">
        <v>65</v>
      </c>
      <c r="B15" s="185" t="s">
        <v>11</v>
      </c>
      <c r="C15" s="123" t="s">
        <v>4</v>
      </c>
      <c r="D15" s="19" t="s">
        <v>41</v>
      </c>
      <c r="E15" s="19" t="s">
        <v>41</v>
      </c>
      <c r="F15" s="19" t="s">
        <v>41</v>
      </c>
      <c r="G15" s="19" t="s">
        <v>41</v>
      </c>
      <c r="H15" s="19" t="s">
        <v>41</v>
      </c>
      <c r="I15" s="123" t="s">
        <v>4</v>
      </c>
      <c r="J15" s="19" t="s">
        <v>42</v>
      </c>
      <c r="K15" s="19" t="s">
        <v>41</v>
      </c>
      <c r="L15" s="184" t="s">
        <v>2</v>
      </c>
      <c r="M15" s="131" t="s">
        <v>5</v>
      </c>
      <c r="N15" s="19" t="s">
        <v>41</v>
      </c>
      <c r="O15" s="19" t="s">
        <v>41</v>
      </c>
      <c r="P15" s="123" t="s">
        <v>4</v>
      </c>
      <c r="Q15" s="19" t="s">
        <v>42</v>
      </c>
      <c r="R15" s="19" t="s">
        <v>41</v>
      </c>
      <c r="S15" s="19" t="s">
        <v>42</v>
      </c>
      <c r="T15" s="19" t="s">
        <v>41</v>
      </c>
      <c r="U15" s="19" t="s">
        <v>41</v>
      </c>
      <c r="V15" s="184" t="s">
        <v>2</v>
      </c>
      <c r="W15" s="123" t="s">
        <v>4</v>
      </c>
      <c r="X15" s="123" t="s">
        <v>4</v>
      </c>
      <c r="Y15" s="131" t="s">
        <v>5</v>
      </c>
      <c r="Z15" s="131" t="s">
        <v>5</v>
      </c>
      <c r="AA15" s="19" t="s">
        <v>41</v>
      </c>
      <c r="AB15" s="19" t="s">
        <v>41</v>
      </c>
      <c r="AC15" s="19" t="s">
        <v>41</v>
      </c>
      <c r="AD15" s="123" t="s">
        <v>4</v>
      </c>
      <c r="AE15" s="19" t="s">
        <v>42</v>
      </c>
      <c r="AF15" s="19" t="s">
        <v>41</v>
      </c>
      <c r="AG15" s="184" t="s">
        <v>2</v>
      </c>
      <c r="AH15" s="19" t="s">
        <v>41</v>
      </c>
      <c r="AI15" s="19" t="s">
        <v>41</v>
      </c>
      <c r="AJ15" s="19" t="s">
        <v>41</v>
      </c>
      <c r="AK15" s="123" t="s">
        <v>4</v>
      </c>
      <c r="AL15" s="25" t="s">
        <v>3</v>
      </c>
    </row>
    <row r="16" spans="1:38" x14ac:dyDescent="0.35">
      <c r="A16" s="219" t="s">
        <v>226</v>
      </c>
      <c r="B16" s="123" t="s">
        <v>4</v>
      </c>
      <c r="C16" s="123" t="s">
        <v>4</v>
      </c>
      <c r="D16" s="22" t="s">
        <v>16</v>
      </c>
      <c r="E16" s="22" t="s">
        <v>16</v>
      </c>
      <c r="F16" s="22" t="s">
        <v>16</v>
      </c>
      <c r="G16" s="22" t="s">
        <v>16</v>
      </c>
      <c r="H16" s="22" t="s">
        <v>16</v>
      </c>
      <c r="I16" s="123" t="s">
        <v>4</v>
      </c>
      <c r="J16" s="123" t="s">
        <v>4</v>
      </c>
      <c r="K16" s="22" t="s">
        <v>16</v>
      </c>
      <c r="L16" s="22" t="s">
        <v>16</v>
      </c>
      <c r="M16" s="22" t="s">
        <v>16</v>
      </c>
      <c r="N16" s="22" t="s">
        <v>16</v>
      </c>
      <c r="O16" s="22" t="s">
        <v>16</v>
      </c>
      <c r="P16" s="123" t="s">
        <v>4</v>
      </c>
      <c r="Q16" s="123" t="s">
        <v>4</v>
      </c>
      <c r="R16" s="220" t="s">
        <v>34</v>
      </c>
      <c r="S16" s="183" t="s">
        <v>37</v>
      </c>
      <c r="T16" s="22" t="s">
        <v>16</v>
      </c>
      <c r="U16" s="22" t="s">
        <v>16</v>
      </c>
      <c r="V16" s="22" t="s">
        <v>16</v>
      </c>
      <c r="W16" s="123" t="s">
        <v>4</v>
      </c>
      <c r="X16" s="123" t="s">
        <v>4</v>
      </c>
      <c r="Y16" s="22" t="s">
        <v>16</v>
      </c>
      <c r="Z16" s="22" t="s">
        <v>16</v>
      </c>
      <c r="AA16" s="22" t="s">
        <v>16</v>
      </c>
      <c r="AB16" s="22" t="s">
        <v>16</v>
      </c>
      <c r="AC16" s="22" t="s">
        <v>16</v>
      </c>
      <c r="AD16" s="123" t="s">
        <v>4</v>
      </c>
      <c r="AE16" s="123" t="s">
        <v>4</v>
      </c>
      <c r="AF16" s="22" t="s">
        <v>16</v>
      </c>
      <c r="AG16" s="22" t="s">
        <v>16</v>
      </c>
      <c r="AH16" s="22" t="s">
        <v>16</v>
      </c>
      <c r="AI16" s="22" t="s">
        <v>16</v>
      </c>
      <c r="AJ16" s="22" t="s">
        <v>16</v>
      </c>
      <c r="AK16" s="123" t="s">
        <v>4</v>
      </c>
      <c r="AL16" s="123" t="s">
        <v>4</v>
      </c>
    </row>
    <row r="18" spans="1:38" x14ac:dyDescent="0.35">
      <c r="A18" s="193" t="s">
        <v>1</v>
      </c>
      <c r="B18" s="131" t="s">
        <v>4</v>
      </c>
      <c r="C18" s="131" t="s">
        <v>4</v>
      </c>
      <c r="D18" s="131" t="s">
        <v>5</v>
      </c>
      <c r="E18" s="131" t="s">
        <v>5</v>
      </c>
      <c r="F18" s="131" t="s">
        <v>5</v>
      </c>
      <c r="G18" s="185" t="s">
        <v>10</v>
      </c>
      <c r="H18" s="185" t="s">
        <v>10</v>
      </c>
      <c r="I18" s="123" t="s">
        <v>4</v>
      </c>
      <c r="J18" s="185" t="s">
        <v>11</v>
      </c>
      <c r="K18" s="185" t="s">
        <v>10</v>
      </c>
      <c r="L18" s="185" t="s">
        <v>10</v>
      </c>
      <c r="M18" s="185" t="s">
        <v>10</v>
      </c>
      <c r="N18" s="184" t="s">
        <v>2</v>
      </c>
      <c r="O18" s="185" t="s">
        <v>10</v>
      </c>
      <c r="P18" s="185" t="s">
        <v>11</v>
      </c>
      <c r="Q18" s="123" t="s">
        <v>4</v>
      </c>
      <c r="R18" s="185" t="s">
        <v>10</v>
      </c>
      <c r="S18" s="185" t="s">
        <v>11</v>
      </c>
      <c r="T18" s="185" t="s">
        <v>10</v>
      </c>
      <c r="U18" s="184" t="s">
        <v>2</v>
      </c>
      <c r="V18" s="185" t="s">
        <v>10</v>
      </c>
      <c r="W18" s="185" t="s">
        <v>11</v>
      </c>
      <c r="X18" s="123" t="s">
        <v>4</v>
      </c>
      <c r="Y18" s="185" t="s">
        <v>10</v>
      </c>
      <c r="Z18" s="185" t="s">
        <v>10</v>
      </c>
      <c r="AA18" s="185" t="s">
        <v>10</v>
      </c>
      <c r="AB18" s="184" t="s">
        <v>2</v>
      </c>
      <c r="AC18" s="185" t="s">
        <v>10</v>
      </c>
      <c r="AD18" s="185" t="s">
        <v>11</v>
      </c>
      <c r="AE18" s="185" t="s">
        <v>11</v>
      </c>
      <c r="AF18" s="185" t="s">
        <v>10</v>
      </c>
      <c r="AG18" s="185" t="s">
        <v>10</v>
      </c>
      <c r="AH18" s="185" t="s">
        <v>10</v>
      </c>
      <c r="AI18" s="185" t="s">
        <v>10</v>
      </c>
      <c r="AJ18" s="184" t="s">
        <v>2</v>
      </c>
      <c r="AK18" s="19" t="s">
        <v>42</v>
      </c>
      <c r="AL18" s="19" t="s">
        <v>42</v>
      </c>
    </row>
    <row r="19" spans="1:38" x14ac:dyDescent="0.35">
      <c r="A19" s="193" t="s">
        <v>43</v>
      </c>
      <c r="B19" s="19" t="s">
        <v>42</v>
      </c>
      <c r="C19" s="123" t="s">
        <v>4</v>
      </c>
      <c r="D19" s="185" t="s">
        <v>10</v>
      </c>
      <c r="E19" s="185" t="s">
        <v>10</v>
      </c>
      <c r="F19" s="185" t="s">
        <v>10</v>
      </c>
      <c r="G19" s="185" t="s">
        <v>10</v>
      </c>
      <c r="H19" s="184" t="s">
        <v>2</v>
      </c>
      <c r="I19" s="185" t="s">
        <v>11</v>
      </c>
      <c r="J19" s="185" t="s">
        <v>11</v>
      </c>
      <c r="K19" s="184" t="s">
        <v>2</v>
      </c>
      <c r="L19" s="185" t="s">
        <v>10</v>
      </c>
      <c r="M19" s="185" t="s">
        <v>10</v>
      </c>
      <c r="N19" s="185" t="s">
        <v>10</v>
      </c>
      <c r="O19" s="184" t="s">
        <v>2</v>
      </c>
      <c r="P19" s="123" t="s">
        <v>4</v>
      </c>
      <c r="Q19" s="185" t="s">
        <v>11</v>
      </c>
      <c r="R19" s="184" t="s">
        <v>2</v>
      </c>
      <c r="S19" s="183" t="s">
        <v>37</v>
      </c>
      <c r="T19" s="185" t="s">
        <v>10</v>
      </c>
      <c r="U19" s="185" t="s">
        <v>10</v>
      </c>
      <c r="V19" s="184" t="s">
        <v>2</v>
      </c>
      <c r="W19" s="123" t="s">
        <v>4</v>
      </c>
      <c r="X19" s="185" t="s">
        <v>11</v>
      </c>
      <c r="Y19" s="185" t="s">
        <v>10</v>
      </c>
      <c r="Z19" s="185" t="s">
        <v>10</v>
      </c>
      <c r="AA19" s="185" t="s">
        <v>10</v>
      </c>
      <c r="AB19" s="185" t="s">
        <v>10</v>
      </c>
      <c r="AC19" s="184" t="s">
        <v>2</v>
      </c>
      <c r="AD19" s="123" t="s">
        <v>4</v>
      </c>
      <c r="AE19" s="123" t="s">
        <v>4</v>
      </c>
      <c r="AF19" s="185" t="s">
        <v>10</v>
      </c>
      <c r="AG19" s="185" t="s">
        <v>10</v>
      </c>
      <c r="AH19" s="185" t="s">
        <v>10</v>
      </c>
      <c r="AI19" s="184" t="s">
        <v>2</v>
      </c>
      <c r="AJ19" s="19" t="s">
        <v>41</v>
      </c>
      <c r="AK19" s="19" t="s">
        <v>42</v>
      </c>
      <c r="AL19" s="123" t="s">
        <v>4</v>
      </c>
    </row>
    <row r="20" spans="1:38" x14ac:dyDescent="0.35">
      <c r="A20" s="182" t="s">
        <v>74</v>
      </c>
      <c r="B20" s="25" t="s">
        <v>3</v>
      </c>
      <c r="C20" s="123" t="s">
        <v>4</v>
      </c>
      <c r="D20" s="185" t="s">
        <v>10</v>
      </c>
      <c r="E20" s="185" t="s">
        <v>10</v>
      </c>
      <c r="F20" s="185" t="s">
        <v>10</v>
      </c>
      <c r="G20" s="185" t="s">
        <v>10</v>
      </c>
      <c r="H20" s="185" t="s">
        <v>10</v>
      </c>
      <c r="I20" s="185" t="s">
        <v>11</v>
      </c>
      <c r="J20" s="123" t="s">
        <v>4</v>
      </c>
      <c r="K20" s="185" t="s">
        <v>10</v>
      </c>
      <c r="L20" s="185" t="s">
        <v>10</v>
      </c>
      <c r="M20" s="184" t="s">
        <v>2</v>
      </c>
      <c r="N20" s="185" t="s">
        <v>10</v>
      </c>
      <c r="O20" s="185" t="s">
        <v>10</v>
      </c>
      <c r="P20" s="131" t="s">
        <v>4</v>
      </c>
      <c r="Q20" s="131" t="s">
        <v>4</v>
      </c>
      <c r="R20" s="185" t="s">
        <v>10</v>
      </c>
      <c r="S20" s="185" t="s">
        <v>11</v>
      </c>
      <c r="T20" s="185" t="s">
        <v>10</v>
      </c>
      <c r="U20" s="185" t="s">
        <v>10</v>
      </c>
      <c r="V20" s="185" t="s">
        <v>10</v>
      </c>
      <c r="W20" s="185" t="s">
        <v>11</v>
      </c>
      <c r="X20" s="123" t="s">
        <v>4</v>
      </c>
      <c r="Y20" s="185" t="s">
        <v>10</v>
      </c>
      <c r="Z20" s="184" t="s">
        <v>2</v>
      </c>
      <c r="AA20" s="184" t="s">
        <v>2</v>
      </c>
      <c r="AB20" s="185" t="s">
        <v>10</v>
      </c>
      <c r="AC20" s="185" t="s">
        <v>10</v>
      </c>
      <c r="AD20" s="131" t="s">
        <v>4</v>
      </c>
      <c r="AE20" s="131" t="s">
        <v>4</v>
      </c>
      <c r="AF20" s="185" t="s">
        <v>10</v>
      </c>
      <c r="AG20" s="185" t="s">
        <v>10</v>
      </c>
      <c r="AH20" s="185" t="s">
        <v>10</v>
      </c>
      <c r="AI20" s="185" t="s">
        <v>10</v>
      </c>
      <c r="AJ20" s="184" t="s">
        <v>2</v>
      </c>
      <c r="AK20" s="123" t="s">
        <v>4</v>
      </c>
      <c r="AL20" s="19" t="s">
        <v>42</v>
      </c>
    </row>
    <row r="21" spans="1:38" x14ac:dyDescent="0.35">
      <c r="A21" s="182" t="s">
        <v>62</v>
      </c>
      <c r="B21" s="19" t="s">
        <v>42</v>
      </c>
      <c r="C21" s="123" t="s">
        <v>4</v>
      </c>
      <c r="D21" s="185" t="s">
        <v>10</v>
      </c>
      <c r="E21" s="185" t="s">
        <v>10</v>
      </c>
      <c r="F21" s="185" t="s">
        <v>10</v>
      </c>
      <c r="G21" s="184" t="s">
        <v>2</v>
      </c>
      <c r="H21" s="185" t="s">
        <v>10</v>
      </c>
      <c r="I21" s="123" t="s">
        <v>4</v>
      </c>
      <c r="J21" s="123" t="s">
        <v>4</v>
      </c>
      <c r="K21" s="185" t="s">
        <v>10</v>
      </c>
      <c r="L21" s="185" t="s">
        <v>10</v>
      </c>
      <c r="M21" s="185" t="s">
        <v>10</v>
      </c>
      <c r="N21" s="185" t="s">
        <v>10</v>
      </c>
      <c r="O21" s="184" t="s">
        <v>2</v>
      </c>
      <c r="P21" s="185" t="s">
        <v>11</v>
      </c>
      <c r="Q21" s="185" t="s">
        <v>11</v>
      </c>
      <c r="R21" s="185" t="s">
        <v>10</v>
      </c>
      <c r="S21" s="183" t="s">
        <v>37</v>
      </c>
      <c r="T21" s="185" t="s">
        <v>10</v>
      </c>
      <c r="U21" s="185" t="s">
        <v>10</v>
      </c>
      <c r="V21" s="184" t="s">
        <v>2</v>
      </c>
      <c r="W21" s="123" t="s">
        <v>4</v>
      </c>
      <c r="X21" s="185" t="s">
        <v>11</v>
      </c>
      <c r="Y21" s="185" t="s">
        <v>10</v>
      </c>
      <c r="Z21" s="185" t="s">
        <v>10</v>
      </c>
      <c r="AA21" s="185" t="s">
        <v>10</v>
      </c>
      <c r="AB21" s="185" t="s">
        <v>10</v>
      </c>
      <c r="AC21" s="184" t="s">
        <v>2</v>
      </c>
      <c r="AD21" s="123" t="s">
        <v>4</v>
      </c>
      <c r="AE21" s="185" t="s">
        <v>11</v>
      </c>
      <c r="AF21" s="185" t="s">
        <v>10</v>
      </c>
      <c r="AG21" s="185" t="s">
        <v>10</v>
      </c>
      <c r="AH21" s="184" t="s">
        <v>2</v>
      </c>
      <c r="AI21" s="184" t="s">
        <v>2</v>
      </c>
      <c r="AJ21" s="19" t="s">
        <v>41</v>
      </c>
      <c r="AK21" s="123" t="s">
        <v>4</v>
      </c>
      <c r="AL21" s="123" t="s">
        <v>4</v>
      </c>
    </row>
    <row r="22" spans="1:38" x14ac:dyDescent="0.35">
      <c r="A22" s="182" t="s">
        <v>180</v>
      </c>
      <c r="B22" s="123" t="s">
        <v>4</v>
      </c>
      <c r="C22" s="123" t="s">
        <v>4</v>
      </c>
      <c r="D22" s="185" t="s">
        <v>10</v>
      </c>
      <c r="E22" s="185" t="s">
        <v>10</v>
      </c>
      <c r="F22" s="184" t="s">
        <v>2</v>
      </c>
      <c r="G22" s="185" t="s">
        <v>10</v>
      </c>
      <c r="H22" s="185" t="s">
        <v>10</v>
      </c>
      <c r="I22" s="185" t="s">
        <v>11</v>
      </c>
      <c r="J22" s="123" t="s">
        <v>4</v>
      </c>
      <c r="K22" s="185" t="s">
        <v>10</v>
      </c>
      <c r="L22" s="184" t="s">
        <v>2</v>
      </c>
      <c r="M22" s="185" t="s">
        <v>10</v>
      </c>
      <c r="N22" s="185" t="s">
        <v>10</v>
      </c>
      <c r="O22" s="185" t="s">
        <v>10</v>
      </c>
      <c r="P22" s="185" t="s">
        <v>11</v>
      </c>
      <c r="Q22" s="123" t="s">
        <v>4</v>
      </c>
      <c r="R22" s="185" t="s">
        <v>10</v>
      </c>
      <c r="S22" s="185" t="s">
        <v>11</v>
      </c>
      <c r="T22" s="184" t="s">
        <v>2</v>
      </c>
      <c r="U22" s="185" t="s">
        <v>10</v>
      </c>
      <c r="V22" s="185" t="s">
        <v>10</v>
      </c>
      <c r="W22" s="185" t="s">
        <v>11</v>
      </c>
      <c r="X22" s="123" t="s">
        <v>4</v>
      </c>
      <c r="Y22" s="184" t="s">
        <v>2</v>
      </c>
      <c r="Z22" s="185" t="s">
        <v>10</v>
      </c>
      <c r="AA22" s="185" t="s">
        <v>10</v>
      </c>
      <c r="AB22" s="185" t="s">
        <v>10</v>
      </c>
      <c r="AC22" s="185" t="s">
        <v>10</v>
      </c>
      <c r="AD22" s="185" t="s">
        <v>11</v>
      </c>
      <c r="AE22" s="123" t="s">
        <v>4</v>
      </c>
      <c r="AF22" s="184" t="s">
        <v>2</v>
      </c>
      <c r="AG22" s="184" t="s">
        <v>2</v>
      </c>
      <c r="AH22" s="185" t="s">
        <v>10</v>
      </c>
      <c r="AI22" s="185" t="s">
        <v>10</v>
      </c>
      <c r="AJ22" s="184" t="s">
        <v>2</v>
      </c>
      <c r="AK22" s="123" t="s">
        <v>4</v>
      </c>
      <c r="AL22" s="123" t="s">
        <v>4</v>
      </c>
    </row>
    <row r="24" spans="1:38" x14ac:dyDescent="0.35">
      <c r="A24" s="189" t="s">
        <v>156</v>
      </c>
      <c r="B24">
        <f>COUNTIF(B4:B22,"*MS")</f>
        <v>2</v>
      </c>
      <c r="C24">
        <f>COUNTIF(C5:C22,"*MS")</f>
        <v>1</v>
      </c>
      <c r="D24">
        <f>COUNTIF(D4:D22,"*MS")</f>
        <v>3</v>
      </c>
      <c r="E24">
        <f t="shared" ref="E24:H24" si="2">COUNTIF(E4:E22,"*MS")</f>
        <v>4</v>
      </c>
      <c r="F24">
        <f t="shared" si="2"/>
        <v>3</v>
      </c>
      <c r="G24">
        <f t="shared" si="2"/>
        <v>4</v>
      </c>
      <c r="H24">
        <f t="shared" si="2"/>
        <v>3</v>
      </c>
      <c r="I24">
        <f>COUNTIF(I4:I22,"*MS")</f>
        <v>2</v>
      </c>
      <c r="J24">
        <f>COUNTIF(J4:J22,"*MS")</f>
        <v>2</v>
      </c>
      <c r="K24">
        <f>COUNTIF(K4:K22,"*MS")</f>
        <v>4</v>
      </c>
      <c r="L24">
        <f t="shared" ref="L24:O24" si="3">COUNTIF(L4:L22,"*MS")</f>
        <v>3</v>
      </c>
      <c r="M24">
        <f>COUNTIF(M4:M22,"*MS")</f>
        <v>4</v>
      </c>
      <c r="N24">
        <f t="shared" si="3"/>
        <v>4</v>
      </c>
      <c r="O24">
        <f t="shared" si="3"/>
        <v>3</v>
      </c>
      <c r="P24">
        <f>COUNTIF(P4:P22,"*MS")</f>
        <v>2</v>
      </c>
      <c r="Q24">
        <f>COUNTIF(Q4:Q22,"*MS")</f>
        <v>2</v>
      </c>
      <c r="R24">
        <f>COUNTIF(R4:R22,"*MS")</f>
        <v>3</v>
      </c>
      <c r="S24">
        <f t="shared" ref="S24:V24" si="4">COUNTIF(S4:S22,"*MS")</f>
        <v>3</v>
      </c>
      <c r="T24">
        <f t="shared" si="4"/>
        <v>4</v>
      </c>
      <c r="U24">
        <f t="shared" si="4"/>
        <v>4</v>
      </c>
      <c r="V24">
        <f t="shared" si="4"/>
        <v>4</v>
      </c>
      <c r="W24">
        <f>COUNTIF(W4:W22,"*MS")</f>
        <v>2</v>
      </c>
      <c r="X24">
        <f>COUNTIF(X4:X22,"*MS")</f>
        <v>2</v>
      </c>
      <c r="Y24">
        <f>COUNTIF(Y4:Y22,"*MS")</f>
        <v>4</v>
      </c>
      <c r="Z24">
        <f t="shared" ref="Z24:AC24" si="5">COUNTIF(Z4:Z22,"*MS")</f>
        <v>4</v>
      </c>
      <c r="AA24">
        <f t="shared" si="5"/>
        <v>4</v>
      </c>
      <c r="AB24">
        <f t="shared" si="5"/>
        <v>4</v>
      </c>
      <c r="AC24">
        <f t="shared" si="5"/>
        <v>4</v>
      </c>
      <c r="AD24">
        <f>COUNTIF(AD4:AD22,"*MS")</f>
        <v>2</v>
      </c>
      <c r="AE24">
        <f>COUNTIF(AE4:AE22,"*MS")</f>
        <v>2</v>
      </c>
      <c r="AF24">
        <f>COUNTIF(AF4:AF22,"*MS")</f>
        <v>4</v>
      </c>
      <c r="AG24">
        <f t="shared" ref="AG24:AH24" si="6">COUNTIF(AG4:AG22,"*MS")</f>
        <v>4</v>
      </c>
      <c r="AH24">
        <f t="shared" si="6"/>
        <v>4</v>
      </c>
      <c r="AI24">
        <f>COUNTIF(AI5:AI22,"*MS")</f>
        <v>4</v>
      </c>
      <c r="AJ24">
        <f t="shared" ref="AJ24" si="7">COUNTIF(AJ4:AJ22,"*MS")</f>
        <v>4</v>
      </c>
      <c r="AK24">
        <f>COUNTIF(AK4:AK22,"*MS")</f>
        <v>2</v>
      </c>
      <c r="AL24">
        <f>COUNTIF(AL4:AL22,"*MS")</f>
        <v>2</v>
      </c>
    </row>
    <row r="25" spans="1:38" x14ac:dyDescent="0.35">
      <c r="A25" s="189" t="s">
        <v>157</v>
      </c>
      <c r="B25">
        <f>COUNTIF(B4:B22,"*ASS1")</f>
        <v>2</v>
      </c>
      <c r="C25">
        <f>COUNTIF(C5:C22,"*ASS1")</f>
        <v>2</v>
      </c>
      <c r="D25">
        <f>COUNTIF(D4:D22,"*ASS1")</f>
        <v>4</v>
      </c>
      <c r="E25">
        <f t="shared" ref="E25:H25" si="8">COUNTIF(E4:E22,"*ASS1")</f>
        <v>4</v>
      </c>
      <c r="F25">
        <f t="shared" si="8"/>
        <v>4</v>
      </c>
      <c r="G25">
        <f t="shared" si="8"/>
        <v>4</v>
      </c>
      <c r="H25">
        <f t="shared" si="8"/>
        <v>4</v>
      </c>
      <c r="I25">
        <f>COUNTIF(I4:I22,"*ASS1")</f>
        <v>2</v>
      </c>
      <c r="J25">
        <f>COUNTIF(J4:J22,"*ASS1")</f>
        <v>2</v>
      </c>
      <c r="K25">
        <f>COUNTIF(K4:K22,"*ASS1")</f>
        <v>3</v>
      </c>
      <c r="L25">
        <f t="shared" ref="L25:O25" si="9">COUNTIF(L4:L22,"*ASS1")</f>
        <v>3</v>
      </c>
      <c r="M25">
        <f>COUNTIF(M4:M22,"*ASS1")</f>
        <v>3</v>
      </c>
      <c r="N25">
        <f t="shared" si="9"/>
        <v>4</v>
      </c>
      <c r="O25">
        <f t="shared" si="9"/>
        <v>3</v>
      </c>
      <c r="P25">
        <f>COUNTIF(P4:P22,"*ASS1")</f>
        <v>2</v>
      </c>
      <c r="Q25">
        <f>COUNTIF(Q4:Q22,"*ASS1")</f>
        <v>2</v>
      </c>
      <c r="R25">
        <f>COUNTIF(R4:R22,"*ASS1")</f>
        <v>3</v>
      </c>
      <c r="S25">
        <f t="shared" ref="S25:V25" si="10">COUNTIF(S4:S22,"*ASS1")</f>
        <v>3</v>
      </c>
      <c r="T25">
        <f t="shared" si="10"/>
        <v>4</v>
      </c>
      <c r="U25">
        <f t="shared" si="10"/>
        <v>4</v>
      </c>
      <c r="V25">
        <f t="shared" si="10"/>
        <v>4</v>
      </c>
      <c r="W25">
        <f>COUNTIF(W4:W22,"*ASS1")</f>
        <v>2</v>
      </c>
      <c r="X25">
        <f>COUNTIF(X4:X22,"*ASS1")</f>
        <v>2</v>
      </c>
      <c r="Y25">
        <f>COUNTIF(Y4:Y22,"*ASS1")</f>
        <v>3</v>
      </c>
      <c r="Z25">
        <f t="shared" ref="Z25:AC25" si="11">COUNTIF(Z4:Z22,"*ASS1")</f>
        <v>4</v>
      </c>
      <c r="AA25">
        <f t="shared" si="11"/>
        <v>3</v>
      </c>
      <c r="AB25">
        <f t="shared" si="11"/>
        <v>4</v>
      </c>
      <c r="AC25">
        <f t="shared" si="11"/>
        <v>4</v>
      </c>
      <c r="AD25">
        <f>COUNTIF(AD4:AD22,"*ASS1")</f>
        <v>2</v>
      </c>
      <c r="AE25">
        <f>COUNTIF(AE4:AE22,"*ASS1")</f>
        <v>2</v>
      </c>
      <c r="AF25">
        <f>COUNTIF(AF4:AF22,"*ASS1")</f>
        <v>3</v>
      </c>
      <c r="AG25">
        <f t="shared" ref="AG25:AH25" si="12">COUNTIF(AG4:AG22,"*ASS1")</f>
        <v>3</v>
      </c>
      <c r="AH25">
        <f t="shared" si="12"/>
        <v>3</v>
      </c>
      <c r="AI25">
        <f>COUNTIF(AI5:AI22,"*ASS1")</f>
        <v>4</v>
      </c>
      <c r="AJ25">
        <f t="shared" ref="AJ25" si="13">COUNTIF(AJ4:AJ22,"*ASS1")</f>
        <v>4</v>
      </c>
      <c r="AK25">
        <f>COUNTIF(AK4:AK22,"*ASS1")</f>
        <v>2</v>
      </c>
      <c r="AL25">
        <f>COUNTIF(AL4:AL22,"*ASS1")</f>
        <v>2</v>
      </c>
    </row>
    <row r="26" spans="1:38" x14ac:dyDescent="0.35">
      <c r="A26" s="189" t="s">
        <v>158</v>
      </c>
      <c r="B26">
        <f>COUNTIF(B4:B22,"*NST7")</f>
        <v>3</v>
      </c>
      <c r="C26">
        <f>COUNTIF(C5:C22,"*NST7")</f>
        <v>2</v>
      </c>
      <c r="D26">
        <f>COUNTIF(D4:D22,"*NST7")</f>
        <v>4</v>
      </c>
      <c r="E26">
        <f t="shared" ref="E26:H26" si="14">COUNTIF(E4:E22,"*NST7")</f>
        <v>4</v>
      </c>
      <c r="F26">
        <f t="shared" si="14"/>
        <v>3</v>
      </c>
      <c r="G26">
        <f t="shared" si="14"/>
        <v>4</v>
      </c>
      <c r="H26">
        <f t="shared" si="14"/>
        <v>4</v>
      </c>
      <c r="I26">
        <f>COUNTIF(I4:I22,"*NST7")</f>
        <v>3</v>
      </c>
      <c r="J26">
        <f>COUNTIF(J4:J22,"*NST7")</f>
        <v>2</v>
      </c>
      <c r="K26">
        <f>COUNTIF(K4:K22,"*NST7")</f>
        <v>4</v>
      </c>
      <c r="L26">
        <f t="shared" ref="L26:O26" si="15">COUNTIF(L4:L22,"*NST7")</f>
        <v>4</v>
      </c>
      <c r="M26">
        <f>COUNTIF(M4:M22,"*NST7")</f>
        <v>4</v>
      </c>
      <c r="N26">
        <f t="shared" si="15"/>
        <v>4</v>
      </c>
      <c r="O26">
        <f t="shared" si="15"/>
        <v>3</v>
      </c>
      <c r="P26">
        <f>COUNTIF(P4:P22,"*NST7")</f>
        <v>3</v>
      </c>
      <c r="Q26">
        <f>COUNTIF(Q4:Q22,"*NST7")</f>
        <v>2</v>
      </c>
      <c r="R26">
        <f>COUNTIF(R4:R22,"*NST7")</f>
        <v>4</v>
      </c>
      <c r="S26">
        <f t="shared" ref="S26:V26" si="16">COUNTIF(S4:S22,"*NST7")</f>
        <v>3</v>
      </c>
      <c r="T26">
        <f t="shared" si="16"/>
        <v>4</v>
      </c>
      <c r="U26">
        <f t="shared" si="16"/>
        <v>4</v>
      </c>
      <c r="V26">
        <f t="shared" si="16"/>
        <v>3</v>
      </c>
      <c r="W26">
        <f>COUNTIF(W4:W22,"*NST7")</f>
        <v>3</v>
      </c>
      <c r="X26">
        <f>COUNTIF(X4:X22,"*NST7")</f>
        <v>2</v>
      </c>
      <c r="Y26">
        <f>COUNTIF(Y4:Y22,"*NST7")</f>
        <v>4</v>
      </c>
      <c r="Z26">
        <f t="shared" ref="Z26:AC26" si="17">COUNTIF(Z4:Z22,"*NST7")</f>
        <v>4</v>
      </c>
      <c r="AA26">
        <f t="shared" si="17"/>
        <v>4</v>
      </c>
      <c r="AB26">
        <f t="shared" si="17"/>
        <v>4</v>
      </c>
      <c r="AC26">
        <f t="shared" si="17"/>
        <v>3</v>
      </c>
      <c r="AD26">
        <f>COUNTIF(AD4:AD22,"*NST7")</f>
        <v>2</v>
      </c>
      <c r="AE26">
        <f>COUNTIF(AE4:AE22,"*NST7")</f>
        <v>2</v>
      </c>
      <c r="AF26">
        <f>COUNTIF(AF4:AF22,"*NST7")</f>
        <v>4</v>
      </c>
      <c r="AG26">
        <f t="shared" ref="AG26:AH26" si="18">COUNTIF(AG4:AG22,"*NST7")</f>
        <v>4</v>
      </c>
      <c r="AH26">
        <f t="shared" si="18"/>
        <v>4</v>
      </c>
      <c r="AI26">
        <f>COUNTIF(AI5:AI22,"*NST7")</f>
        <v>3</v>
      </c>
      <c r="AJ26">
        <f t="shared" ref="AJ26" si="19">COUNTIF(AJ4:AJ22,"*NST7")</f>
        <v>4</v>
      </c>
      <c r="AK26">
        <f>COUNTIF(AK4:AK22,"*NST7")</f>
        <v>3</v>
      </c>
      <c r="AL26">
        <f>COUNTIF(AL4:AL22,"*NST7")</f>
        <v>3</v>
      </c>
    </row>
    <row r="27" spans="1:38" x14ac:dyDescent="0.35">
      <c r="A27" s="189" t="s">
        <v>159</v>
      </c>
      <c r="B27">
        <f>COUNTIF(B4:B22,"*GS")</f>
        <v>1</v>
      </c>
      <c r="C27">
        <f>COUNTIF(C5:C22,"*GS")</f>
        <v>0</v>
      </c>
      <c r="D27">
        <f>COUNTIF(D4:D22,"*GS")</f>
        <v>2</v>
      </c>
      <c r="E27">
        <f t="shared" ref="E27:H27" si="20">COUNTIF(E4:E22,"*GS")</f>
        <v>3</v>
      </c>
      <c r="F27">
        <f t="shared" si="20"/>
        <v>3</v>
      </c>
      <c r="G27">
        <f t="shared" si="20"/>
        <v>3</v>
      </c>
      <c r="H27">
        <f t="shared" si="20"/>
        <v>2</v>
      </c>
      <c r="I27">
        <f>COUNTIF(I4:I22,"*GS")</f>
        <v>1</v>
      </c>
      <c r="J27">
        <f>COUNTIF(J4:J22,"*GS")</f>
        <v>0</v>
      </c>
      <c r="K27">
        <f>COUNTIF(K4:K22,"*GS")</f>
        <v>2</v>
      </c>
      <c r="L27">
        <f t="shared" ref="L27:O27" si="21">COUNTIF(L4:L22,"*GS")</f>
        <v>2</v>
      </c>
      <c r="M27">
        <f>COUNTIF(M4:M22,"*GS")</f>
        <v>2</v>
      </c>
      <c r="N27">
        <f t="shared" si="21"/>
        <v>2</v>
      </c>
      <c r="O27">
        <f t="shared" si="21"/>
        <v>2</v>
      </c>
      <c r="P27">
        <f>COUNTIF(P4:P22,"*GS")</f>
        <v>1</v>
      </c>
      <c r="Q27">
        <f>COUNTIF(Q4:Q22,"*GS")</f>
        <v>0</v>
      </c>
      <c r="R27">
        <f>COUNTIF(R4:R22,"*GS")</f>
        <v>1</v>
      </c>
      <c r="S27">
        <f t="shared" ref="S27:V27" si="22">COUNTIF(S4:S22,"*GS")</f>
        <v>1</v>
      </c>
      <c r="T27">
        <f t="shared" si="22"/>
        <v>2</v>
      </c>
      <c r="U27">
        <f t="shared" si="22"/>
        <v>2</v>
      </c>
      <c r="V27">
        <f t="shared" si="22"/>
        <v>2</v>
      </c>
      <c r="W27">
        <f>COUNTIF(W4:W22,"*GS")</f>
        <v>1</v>
      </c>
      <c r="X27">
        <f>COUNTIF(X4:X22,"*GS")</f>
        <v>0</v>
      </c>
      <c r="Y27">
        <f>COUNTIF(Y4:Y22,"*GS")</f>
        <v>2</v>
      </c>
      <c r="Z27">
        <f t="shared" ref="Z27:AC27" si="23">COUNTIF(Z4:Z22,"*GS")</f>
        <v>1</v>
      </c>
      <c r="AA27">
        <f t="shared" si="23"/>
        <v>2</v>
      </c>
      <c r="AB27">
        <f t="shared" si="23"/>
        <v>2</v>
      </c>
      <c r="AC27">
        <f t="shared" si="23"/>
        <v>2</v>
      </c>
      <c r="AD27">
        <f>COUNTIF(AD4:AD22,"*GS")</f>
        <v>1</v>
      </c>
      <c r="AE27">
        <f>COUNTIF(AE4:AE22,"*GS")</f>
        <v>0</v>
      </c>
      <c r="AF27">
        <f>COUNTIF(AF4:AF22,"*GS")</f>
        <v>2</v>
      </c>
      <c r="AG27">
        <f t="shared" ref="AG27:AH27" si="24">COUNTIF(AG4:AG22,"*GS")</f>
        <v>2</v>
      </c>
      <c r="AH27">
        <f t="shared" si="24"/>
        <v>2</v>
      </c>
      <c r="AI27">
        <f>COUNTIF(AI5:AI22,"*GS")</f>
        <v>2</v>
      </c>
      <c r="AJ27">
        <f t="shared" ref="AJ27" si="25">COUNTIF(AJ4:AJ22,"*GS")</f>
        <v>1</v>
      </c>
      <c r="AK27">
        <f>COUNTIF(AK4:AK22,"*GS")</f>
        <v>1</v>
      </c>
      <c r="AL27">
        <f>COUNTIF(AL4:AL22,"*GS")</f>
        <v>0</v>
      </c>
    </row>
    <row r="28" spans="1:38" x14ac:dyDescent="0.35">
      <c r="A28" s="189" t="s">
        <v>160</v>
      </c>
      <c r="B28">
        <f>COUNTIF(B4:B22,"WO")</f>
        <v>9</v>
      </c>
      <c r="C28">
        <f>COUNTIF(C5:C22,"WO")</f>
        <v>11</v>
      </c>
      <c r="D28">
        <f>COUNTIF(D4:D22,"C")</f>
        <v>3</v>
      </c>
      <c r="E28">
        <f t="shared" ref="E28:H28" si="26">COUNTIF(E4:E22,"C")</f>
        <v>1</v>
      </c>
      <c r="F28">
        <f t="shared" si="26"/>
        <v>3</v>
      </c>
      <c r="G28">
        <f t="shared" si="26"/>
        <v>2</v>
      </c>
      <c r="H28">
        <f t="shared" si="26"/>
        <v>2</v>
      </c>
      <c r="I28">
        <f>COUNTIF(I4:I22,"WO")</f>
        <v>9</v>
      </c>
      <c r="J28">
        <f>COUNTIF(J4:J22,"WO")</f>
        <v>11</v>
      </c>
      <c r="K28">
        <f>COUNTIF(K4:K22,"C")</f>
        <v>3</v>
      </c>
      <c r="L28">
        <f t="shared" ref="L28:O28" si="27">COUNTIF(L4:L22,"C")</f>
        <v>3</v>
      </c>
      <c r="M28">
        <f>COUNTIF(M4:M22,"C")</f>
        <v>2</v>
      </c>
      <c r="N28">
        <f t="shared" si="27"/>
        <v>2</v>
      </c>
      <c r="O28">
        <f t="shared" si="27"/>
        <v>4</v>
      </c>
      <c r="P28">
        <f>COUNTIF(P4:P22,"WO")</f>
        <v>9</v>
      </c>
      <c r="Q28">
        <f>COUNTIF(Q4:Q22,"WO")</f>
        <v>11</v>
      </c>
      <c r="R28">
        <f>COUNTIF(R4:R22,"C")</f>
        <v>4</v>
      </c>
      <c r="S28">
        <f t="shared" ref="S28:V28" si="28">COUNTIF(S4:S22,"C")</f>
        <v>0</v>
      </c>
      <c r="T28">
        <f t="shared" si="28"/>
        <v>3</v>
      </c>
      <c r="U28">
        <f t="shared" si="28"/>
        <v>3</v>
      </c>
      <c r="V28">
        <f t="shared" si="28"/>
        <v>4</v>
      </c>
      <c r="W28">
        <f>COUNTIF(W4:W22,"WO")</f>
        <v>9</v>
      </c>
      <c r="X28">
        <f>COUNTIF(X4:X22,"WO")</f>
        <v>11</v>
      </c>
      <c r="Y28">
        <f>COUNTIF(Y4:Y22,"C")</f>
        <v>3</v>
      </c>
      <c r="Z28">
        <f t="shared" ref="Z28:AC28" si="29">COUNTIF(Z4:Z22,"C")</f>
        <v>2</v>
      </c>
      <c r="AA28">
        <f t="shared" si="29"/>
        <v>3</v>
      </c>
      <c r="AB28">
        <f t="shared" si="29"/>
        <v>3</v>
      </c>
      <c r="AC28">
        <f t="shared" si="29"/>
        <v>4</v>
      </c>
      <c r="AD28">
        <f>COUNTIF(AD4:AD22,"WO")</f>
        <v>10</v>
      </c>
      <c r="AE28">
        <f>COUNTIF(AE4:AE22,"WO")</f>
        <v>11</v>
      </c>
      <c r="AF28">
        <f>COUNTIF(AF4:AF22,"C")</f>
        <v>3</v>
      </c>
      <c r="AG28">
        <f t="shared" ref="AG28:AH28" si="30">COUNTIF(AG4:AG22,"C")</f>
        <v>3</v>
      </c>
      <c r="AH28">
        <f t="shared" si="30"/>
        <v>2</v>
      </c>
      <c r="AI28">
        <f>COUNTIF(AI5:AI22,"C")</f>
        <v>2</v>
      </c>
      <c r="AJ28">
        <f t="shared" ref="AJ28" si="31">COUNTIF(AJ4:AJ22,"C")</f>
        <v>4</v>
      </c>
      <c r="AK28">
        <f>COUNTIF(AK4:AK22,"WO")</f>
        <v>9</v>
      </c>
      <c r="AL28">
        <f>COUNTIF(AL4:AL22,"WO")</f>
        <v>9</v>
      </c>
    </row>
    <row r="29" spans="1:38" x14ac:dyDescent="0.35">
      <c r="A29" s="189" t="s">
        <v>161</v>
      </c>
      <c r="B29">
        <f>COUNTIF(B4:B22,"PL")</f>
        <v>0</v>
      </c>
      <c r="C29">
        <f>COUNTIF(C5:C22,"PL")</f>
        <v>0</v>
      </c>
      <c r="D29">
        <f>COUNTIF(D4:D22,"PL")</f>
        <v>1</v>
      </c>
      <c r="E29">
        <f t="shared" ref="E29:H29" si="32">COUNTIF(E4:E22,"PL")</f>
        <v>1</v>
      </c>
      <c r="F29">
        <f t="shared" si="32"/>
        <v>1</v>
      </c>
      <c r="G29">
        <f t="shared" si="32"/>
        <v>0</v>
      </c>
      <c r="H29">
        <f t="shared" si="32"/>
        <v>1</v>
      </c>
      <c r="I29">
        <f>COUNTIF(I4:I22,"PL")</f>
        <v>0</v>
      </c>
      <c r="J29">
        <f>COUNTIF(J4:J22,"PL")</f>
        <v>0</v>
      </c>
      <c r="K29">
        <f>COUNTIF(K4:K22,"PL")</f>
        <v>1</v>
      </c>
      <c r="L29">
        <f t="shared" ref="L29:O29" si="33">COUNTIF(L4:L22,"PL")</f>
        <v>1</v>
      </c>
      <c r="M29">
        <f>COUNTIF(M4:M22,"PL")</f>
        <v>2</v>
      </c>
      <c r="N29">
        <f t="shared" si="33"/>
        <v>1</v>
      </c>
      <c r="O29">
        <f t="shared" si="33"/>
        <v>1</v>
      </c>
      <c r="P29">
        <f>COUNTIF(P4:P22,"PL")</f>
        <v>0</v>
      </c>
      <c r="Q29">
        <f>COUNTIF(Q4:Q22,"PL")</f>
        <v>0</v>
      </c>
      <c r="R29">
        <f>COUNTIF(R4:R22,"PL")</f>
        <v>1</v>
      </c>
      <c r="S29">
        <f t="shared" ref="S29:V29" si="34">COUNTIF(S4:S22,"PL")</f>
        <v>0</v>
      </c>
      <c r="T29">
        <f t="shared" si="34"/>
        <v>0</v>
      </c>
      <c r="U29">
        <f t="shared" si="34"/>
        <v>0</v>
      </c>
      <c r="V29">
        <f t="shared" si="34"/>
        <v>0</v>
      </c>
      <c r="W29">
        <f>COUNTIF(W4:W22,"PL")</f>
        <v>0</v>
      </c>
      <c r="X29">
        <f>COUNTIF(X4:X22,"PL")</f>
        <v>0</v>
      </c>
      <c r="Y29">
        <f>COUNTIF(Y4:Y22,"PL")</f>
        <v>1</v>
      </c>
      <c r="Z29">
        <f t="shared" ref="Z29:AC29" si="35">COUNTIF(Z4:Z22,"PL")</f>
        <v>2</v>
      </c>
      <c r="AA29">
        <f t="shared" si="35"/>
        <v>1</v>
      </c>
      <c r="AB29">
        <f t="shared" si="35"/>
        <v>0</v>
      </c>
      <c r="AC29">
        <f t="shared" si="35"/>
        <v>0</v>
      </c>
      <c r="AD29">
        <f>COUNTIF(AD4:AD22,"PL")</f>
        <v>0</v>
      </c>
      <c r="AE29">
        <f>COUNTIF(AE4:AE22,"PL")</f>
        <v>0</v>
      </c>
      <c r="AF29">
        <f>COUNTIF(AF4:AF22,"PL")</f>
        <v>1</v>
      </c>
      <c r="AG29">
        <f t="shared" ref="AG29:AH29" si="36">COUNTIF(AG4:AG22,"PL")</f>
        <v>1</v>
      </c>
      <c r="AH29">
        <f t="shared" si="36"/>
        <v>2</v>
      </c>
      <c r="AI29">
        <f>COUNTIF(AI5:AI22,"PL")</f>
        <v>1</v>
      </c>
      <c r="AJ29">
        <f t="shared" ref="AJ29" si="37">COUNTIF(AJ4:AJ22,"PL")</f>
        <v>0</v>
      </c>
      <c r="AK29">
        <f>COUNTIF(AK4:AK22,"PL")</f>
        <v>0</v>
      </c>
      <c r="AL29">
        <f>COUNTIF(AL4:AL22,"PL")</f>
        <v>1</v>
      </c>
    </row>
    <row r="30" spans="1:38" x14ac:dyDescent="0.35">
      <c r="A30" s="189" t="s">
        <v>33</v>
      </c>
      <c r="B30">
        <f>COUNTIF(B4:B22,"UPL")</f>
        <v>0</v>
      </c>
      <c r="C30">
        <f>COUNTIF(C5:C22,"UPL")</f>
        <v>0</v>
      </c>
      <c r="D30">
        <f>COUNTIF(D4:D22,"UPL")</f>
        <v>0</v>
      </c>
      <c r="E30">
        <f t="shared" ref="E30:H30" si="38">COUNTIF(E4:E22,"UPL")</f>
        <v>0</v>
      </c>
      <c r="F30">
        <f t="shared" si="38"/>
        <v>0</v>
      </c>
      <c r="G30">
        <f t="shared" si="38"/>
        <v>0</v>
      </c>
      <c r="H30">
        <f t="shared" si="38"/>
        <v>1</v>
      </c>
      <c r="I30">
        <f>COUNTIF(I4:I22,"UPL")</f>
        <v>0</v>
      </c>
      <c r="J30">
        <f>COUNTIF(J4:J22,"UPL")</f>
        <v>0</v>
      </c>
      <c r="K30">
        <f>COUNTIF(K4:K22,"UPL")</f>
        <v>0</v>
      </c>
      <c r="L30">
        <f t="shared" ref="L30:O30" si="39">COUNTIF(L4:L22,"UPL")</f>
        <v>1</v>
      </c>
      <c r="M30">
        <f>COUNTIF(M4:M22,"UPL")</f>
        <v>0</v>
      </c>
      <c r="N30">
        <f t="shared" si="39"/>
        <v>0</v>
      </c>
      <c r="O30">
        <f t="shared" si="39"/>
        <v>1</v>
      </c>
      <c r="P30">
        <f>COUNTIF(P4:P22,"UPL")</f>
        <v>0</v>
      </c>
      <c r="Q30">
        <f>COUNTIF(Q4:Q22,"UPL")</f>
        <v>0</v>
      </c>
      <c r="R30">
        <f>COUNTIF(R4:R22,"UPL")</f>
        <v>1</v>
      </c>
      <c r="S30">
        <f t="shared" ref="S30:V30" si="40">COUNTIF(S4:S22,"UPL")</f>
        <v>0</v>
      </c>
      <c r="T30">
        <f t="shared" si="40"/>
        <v>0</v>
      </c>
      <c r="U30">
        <f t="shared" si="40"/>
        <v>0</v>
      </c>
      <c r="V30">
        <f t="shared" si="40"/>
        <v>0</v>
      </c>
      <c r="W30">
        <f>COUNTIF(W4:W22,"UPL")</f>
        <v>0</v>
      </c>
      <c r="X30">
        <f>COUNTIF(X4:X22,"UPL")</f>
        <v>0</v>
      </c>
      <c r="Y30">
        <f>COUNTIF(Y4:Y22,"UPL")</f>
        <v>0</v>
      </c>
      <c r="Z30">
        <f t="shared" ref="Z30:AC30" si="41">COUNTIF(Z4:Z22,"UPL")</f>
        <v>0</v>
      </c>
      <c r="AA30">
        <f t="shared" si="41"/>
        <v>0</v>
      </c>
      <c r="AB30">
        <f t="shared" si="41"/>
        <v>0</v>
      </c>
      <c r="AC30">
        <f t="shared" si="41"/>
        <v>0</v>
      </c>
      <c r="AD30">
        <f>COUNTIF(AD4:AD22,"UPL")</f>
        <v>0</v>
      </c>
      <c r="AE30">
        <f>COUNTIF(AE4:AE22,"UPL")</f>
        <v>0</v>
      </c>
      <c r="AF30">
        <f>COUNTIF(AF4:AF22,"UPL")</f>
        <v>0</v>
      </c>
      <c r="AG30">
        <f t="shared" ref="AG30:AH30" si="42">COUNTIF(AG4:AG22,"UPL")</f>
        <v>0</v>
      </c>
      <c r="AH30">
        <f t="shared" si="42"/>
        <v>0</v>
      </c>
      <c r="AI30">
        <f>COUNTIF(AI5:AI22,"UPL")</f>
        <v>0</v>
      </c>
      <c r="AJ30">
        <f t="shared" ref="AJ30" si="43">COUNTIF(AJ4:AJ22,"UPL")</f>
        <v>0</v>
      </c>
      <c r="AK30">
        <f>COUNTIF(AK4:AK22,"UPL")</f>
        <v>0</v>
      </c>
      <c r="AL30">
        <f>COUNTIF(AL4:AL22,"UPL")</f>
        <v>0</v>
      </c>
    </row>
    <row r="31" spans="1:38" x14ac:dyDescent="0.35">
      <c r="A31" s="189" t="s">
        <v>172</v>
      </c>
      <c r="B31">
        <f>COUNTIF(B4:B22,"H")</f>
        <v>0</v>
      </c>
      <c r="C31">
        <f>COUNTIF(C5:C22,"H")</f>
        <v>0</v>
      </c>
      <c r="D31">
        <f>COUNTIF(D4:D22,"H")</f>
        <v>0</v>
      </c>
      <c r="E31">
        <f t="shared" ref="E31:H31" si="44">COUNTIF(E4:E22,"H")</f>
        <v>0</v>
      </c>
      <c r="F31">
        <f t="shared" si="44"/>
        <v>0</v>
      </c>
      <c r="G31">
        <f t="shared" si="44"/>
        <v>0</v>
      </c>
      <c r="H31">
        <f t="shared" si="44"/>
        <v>0</v>
      </c>
      <c r="I31">
        <f>COUNTIF(I4:I22,"H")</f>
        <v>0</v>
      </c>
      <c r="J31">
        <f>COUNTIF(J4:J22,"H")</f>
        <v>0</v>
      </c>
      <c r="K31">
        <f>COUNTIF(K4:K22,"H")</f>
        <v>0</v>
      </c>
      <c r="L31">
        <f t="shared" ref="L31:O31" si="45">COUNTIF(L4:L22,"H")</f>
        <v>0</v>
      </c>
      <c r="M31">
        <f>COUNTIF(M4:M22,"H")</f>
        <v>0</v>
      </c>
      <c r="N31">
        <f t="shared" si="45"/>
        <v>0</v>
      </c>
      <c r="O31">
        <f t="shared" si="45"/>
        <v>0</v>
      </c>
      <c r="P31">
        <f>COUNTIF(P4:P22,"H")</f>
        <v>0</v>
      </c>
      <c r="Q31">
        <f>COUNTIF(Q4:Q22,"H")</f>
        <v>0</v>
      </c>
      <c r="R31">
        <f>COUNTIF(R4:R22,"H")</f>
        <v>0</v>
      </c>
      <c r="S31">
        <f t="shared" ref="S31:V31" si="46">COUNTIF(S4:S22,"H")</f>
        <v>7</v>
      </c>
      <c r="T31">
        <f t="shared" si="46"/>
        <v>0</v>
      </c>
      <c r="U31">
        <f t="shared" si="46"/>
        <v>0</v>
      </c>
      <c r="V31">
        <f t="shared" si="46"/>
        <v>0</v>
      </c>
      <c r="W31">
        <f>COUNTIF(W4:W22,"H")</f>
        <v>0</v>
      </c>
      <c r="X31">
        <f>COUNTIF(X4:X22,"H")</f>
        <v>0</v>
      </c>
      <c r="Y31">
        <f>COUNTIF(Y4:Y22,"H")</f>
        <v>0</v>
      </c>
      <c r="Z31">
        <f t="shared" ref="Z31:AC31" si="47">COUNTIF(Z4:Z22,"H")</f>
        <v>0</v>
      </c>
      <c r="AA31">
        <f t="shared" si="47"/>
        <v>0</v>
      </c>
      <c r="AB31">
        <f t="shared" si="47"/>
        <v>0</v>
      </c>
      <c r="AC31">
        <f t="shared" si="47"/>
        <v>0</v>
      </c>
      <c r="AD31">
        <f>COUNTIF(AD4:AD22,"H")</f>
        <v>0</v>
      </c>
      <c r="AE31">
        <f>COUNTIF(AE4:AE22,"H")</f>
        <v>0</v>
      </c>
      <c r="AF31">
        <f>COUNTIF(AF4:AF22,"H")</f>
        <v>0</v>
      </c>
      <c r="AG31">
        <f t="shared" ref="AG31:AH31" si="48">COUNTIF(AG4:AG22,"H")</f>
        <v>0</v>
      </c>
      <c r="AH31">
        <f t="shared" si="48"/>
        <v>0</v>
      </c>
      <c r="AI31">
        <f>COUNTIF(AI5:AI22,"H")</f>
        <v>0</v>
      </c>
      <c r="AJ31">
        <f t="shared" ref="AJ31" si="49">COUNTIF(AJ4:AJ22,"H")</f>
        <v>0</v>
      </c>
      <c r="AK31">
        <f>COUNTIF(AK4:AK22,"H")</f>
        <v>0</v>
      </c>
      <c r="AL31">
        <f>COUNTIF(AL4:AL22,"H")</f>
        <v>0</v>
      </c>
    </row>
    <row r="32" spans="1:38" x14ac:dyDescent="0.35">
      <c r="A32" s="189" t="s">
        <v>162</v>
      </c>
      <c r="B32" s="138">
        <f t="shared" ref="B32:D32" si="50">SUM(B24:B31)</f>
        <v>17</v>
      </c>
      <c r="C32" s="138">
        <f t="shared" si="50"/>
        <v>16</v>
      </c>
      <c r="D32" s="138">
        <f t="shared" si="50"/>
        <v>17</v>
      </c>
      <c r="E32" s="138">
        <f t="shared" ref="E32:K32" si="51">SUM(E24:E31)</f>
        <v>17</v>
      </c>
      <c r="F32" s="138">
        <f t="shared" si="51"/>
        <v>17</v>
      </c>
      <c r="G32" s="138">
        <f t="shared" si="51"/>
        <v>17</v>
      </c>
      <c r="H32" s="138">
        <f t="shared" si="51"/>
        <v>17</v>
      </c>
      <c r="I32" s="138">
        <f t="shared" si="51"/>
        <v>17</v>
      </c>
      <c r="J32" s="138">
        <f t="shared" si="51"/>
        <v>17</v>
      </c>
      <c r="K32" s="138">
        <f t="shared" si="51"/>
        <v>17</v>
      </c>
      <c r="L32" s="138">
        <f t="shared" ref="L32:AE32" si="52">SUM(L24:L31)</f>
        <v>17</v>
      </c>
      <c r="M32" s="138">
        <f t="shared" si="52"/>
        <v>17</v>
      </c>
      <c r="N32" s="138">
        <f t="shared" si="52"/>
        <v>17</v>
      </c>
      <c r="O32" s="138">
        <f t="shared" si="52"/>
        <v>17</v>
      </c>
      <c r="P32" s="138">
        <f t="shared" si="52"/>
        <v>17</v>
      </c>
      <c r="Q32" s="138">
        <f t="shared" si="52"/>
        <v>17</v>
      </c>
      <c r="R32" s="138">
        <f t="shared" si="52"/>
        <v>17</v>
      </c>
      <c r="S32" s="138">
        <f t="shared" si="52"/>
        <v>17</v>
      </c>
      <c r="T32" s="138">
        <f t="shared" si="52"/>
        <v>17</v>
      </c>
      <c r="U32" s="138">
        <f t="shared" si="52"/>
        <v>17</v>
      </c>
      <c r="V32" s="138">
        <f t="shared" si="52"/>
        <v>17</v>
      </c>
      <c r="W32" s="138">
        <f t="shared" si="52"/>
        <v>17</v>
      </c>
      <c r="X32" s="138">
        <f t="shared" si="52"/>
        <v>17</v>
      </c>
      <c r="Y32" s="138">
        <f t="shared" si="52"/>
        <v>17</v>
      </c>
      <c r="Z32" s="138">
        <f t="shared" si="52"/>
        <v>17</v>
      </c>
      <c r="AA32" s="138">
        <f t="shared" si="52"/>
        <v>17</v>
      </c>
      <c r="AB32" s="138">
        <f t="shared" si="52"/>
        <v>17</v>
      </c>
      <c r="AC32" s="138">
        <f t="shared" si="52"/>
        <v>17</v>
      </c>
      <c r="AD32" s="138">
        <f t="shared" ref="AD32" si="53">SUM(AD24:AD31)</f>
        <v>17</v>
      </c>
      <c r="AE32" s="138">
        <f t="shared" si="52"/>
        <v>17</v>
      </c>
      <c r="AF32" s="138">
        <f t="shared" ref="AF32:AH32" si="54">SUM(AF24:AF31)</f>
        <v>17</v>
      </c>
      <c r="AG32" s="138">
        <f t="shared" si="54"/>
        <v>17</v>
      </c>
      <c r="AH32" s="138">
        <f t="shared" si="54"/>
        <v>17</v>
      </c>
      <c r="AI32" s="138">
        <f>SUM(AI24:AI31)</f>
        <v>16</v>
      </c>
      <c r="AJ32" s="138">
        <f t="shared" ref="AJ32:AL32" si="55">SUM(AJ24:AJ31)</f>
        <v>17</v>
      </c>
      <c r="AK32" s="138">
        <f t="shared" si="55"/>
        <v>17</v>
      </c>
      <c r="AL32" s="138">
        <f t="shared" si="55"/>
        <v>17</v>
      </c>
    </row>
  </sheetData>
  <conditionalFormatting sqref="B24:C27">
    <cfRule type="cellIs" dxfId="77" priority="20" operator="lessThan">
      <formula>3</formula>
    </cfRule>
  </conditionalFormatting>
  <conditionalFormatting sqref="D24:D27">
    <cfRule type="cellIs" dxfId="76" priority="18" operator="lessThan">
      <formula>3</formula>
    </cfRule>
  </conditionalFormatting>
  <conditionalFormatting sqref="E24:H27">
    <cfRule type="cellIs" dxfId="75" priority="17" operator="lessThan">
      <formula>3</formula>
    </cfRule>
  </conditionalFormatting>
  <conditionalFormatting sqref="I24:J27">
    <cfRule type="cellIs" dxfId="74" priority="16" operator="lessThan">
      <formula>3</formula>
    </cfRule>
  </conditionalFormatting>
  <conditionalFormatting sqref="K24:K27">
    <cfRule type="cellIs" dxfId="73" priority="15" operator="lessThan">
      <formula>3</formula>
    </cfRule>
  </conditionalFormatting>
  <conditionalFormatting sqref="L24:O27">
    <cfRule type="cellIs" dxfId="72" priority="14" operator="lessThan">
      <formula>3</formula>
    </cfRule>
  </conditionalFormatting>
  <conditionalFormatting sqref="P24:Q27">
    <cfRule type="cellIs" dxfId="71" priority="13" operator="lessThan">
      <formula>3</formula>
    </cfRule>
  </conditionalFormatting>
  <conditionalFormatting sqref="R24:R27">
    <cfRule type="cellIs" dxfId="70" priority="12" operator="lessThan">
      <formula>3</formula>
    </cfRule>
  </conditionalFormatting>
  <conditionalFormatting sqref="S24:V27">
    <cfRule type="cellIs" dxfId="69" priority="11" operator="lessThan">
      <formula>3</formula>
    </cfRule>
  </conditionalFormatting>
  <conditionalFormatting sqref="W24:X27">
    <cfRule type="cellIs" dxfId="68" priority="10" operator="lessThan">
      <formula>3</formula>
    </cfRule>
  </conditionalFormatting>
  <conditionalFormatting sqref="Y24:Y27">
    <cfRule type="cellIs" dxfId="67" priority="9" operator="lessThan">
      <formula>3</formula>
    </cfRule>
  </conditionalFormatting>
  <conditionalFormatting sqref="Z24:AC27">
    <cfRule type="cellIs" dxfId="66" priority="8" operator="lessThan">
      <formula>3</formula>
    </cfRule>
  </conditionalFormatting>
  <conditionalFormatting sqref="AE24:AE27">
    <cfRule type="cellIs" dxfId="65" priority="7" operator="lessThan">
      <formula>3</formula>
    </cfRule>
  </conditionalFormatting>
  <conditionalFormatting sqref="AF24:AF27">
    <cfRule type="cellIs" dxfId="64" priority="6" operator="lessThan">
      <formula>3</formula>
    </cfRule>
  </conditionalFormatting>
  <conditionalFormatting sqref="AG24:AI27">
    <cfRule type="cellIs" dxfId="63" priority="5" operator="lessThan">
      <formula>3</formula>
    </cfRule>
  </conditionalFormatting>
  <conditionalFormatting sqref="AJ24:AJ27">
    <cfRule type="cellIs" dxfId="62" priority="4" operator="lessThan">
      <formula>3</formula>
    </cfRule>
  </conditionalFormatting>
  <conditionalFormatting sqref="AD24:AD27">
    <cfRule type="cellIs" dxfId="61" priority="3" operator="lessThan">
      <formula>3</formula>
    </cfRule>
  </conditionalFormatting>
  <conditionalFormatting sqref="AL24:AL27">
    <cfRule type="cellIs" dxfId="60" priority="2" operator="lessThan">
      <formula>3</formula>
    </cfRule>
  </conditionalFormatting>
  <conditionalFormatting sqref="AK24:AK27">
    <cfRule type="cellIs" dxfId="59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F31"/>
  <sheetViews>
    <sheetView zoomScale="55" zoomScaleNormal="55" workbookViewId="0">
      <selection activeCell="T20" sqref="T20"/>
    </sheetView>
  </sheetViews>
  <sheetFormatPr defaultRowHeight="14.5" x14ac:dyDescent="0.35"/>
  <cols>
    <col min="1" max="1" width="21.7265625" customWidth="1"/>
    <col min="2" max="17" width="8.7265625" customWidth="1"/>
    <col min="18" max="18" width="8.54296875" customWidth="1"/>
    <col min="19" max="32" width="8.7265625" customWidth="1"/>
  </cols>
  <sheetData>
    <row r="1" spans="1:32" x14ac:dyDescent="0.35">
      <c r="A1" s="70"/>
      <c r="B1" s="2" t="str">
        <f>TEXT(B2,"ddd")</f>
        <v>Fri</v>
      </c>
      <c r="C1" s="2" t="str">
        <f>TEXT(C2,"ddd")</f>
        <v>Sat</v>
      </c>
      <c r="D1" s="2" t="str">
        <f>TEXT(D2,"ddd")</f>
        <v>Sun</v>
      </c>
      <c r="E1" s="2" t="str">
        <f t="shared" ref="E1:AF1" si="0">TEXT(E2,"ddd")</f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 t="shared" si="0"/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Sun</v>
      </c>
    </row>
    <row r="2" spans="1:32" x14ac:dyDescent="0.35">
      <c r="A2" s="104" t="s">
        <v>0</v>
      </c>
      <c r="B2" s="31">
        <v>45170</v>
      </c>
      <c r="C2" s="31">
        <v>45171</v>
      </c>
      <c r="D2" s="31">
        <v>45172</v>
      </c>
      <c r="E2" s="31">
        <v>45173</v>
      </c>
      <c r="F2" s="31">
        <v>45174</v>
      </c>
      <c r="G2" s="31">
        <v>45175</v>
      </c>
      <c r="H2" s="31">
        <v>45176</v>
      </c>
      <c r="I2" s="31">
        <v>45177</v>
      </c>
      <c r="J2" s="31">
        <v>45178</v>
      </c>
      <c r="K2" s="31">
        <v>45179</v>
      </c>
      <c r="L2" s="31">
        <v>45180</v>
      </c>
      <c r="M2" s="31">
        <v>45181</v>
      </c>
      <c r="N2" s="31">
        <v>45182</v>
      </c>
      <c r="O2" s="31">
        <v>45183</v>
      </c>
      <c r="P2" s="31">
        <v>45184</v>
      </c>
      <c r="Q2" s="31">
        <v>45185</v>
      </c>
      <c r="R2" s="31">
        <v>45186</v>
      </c>
      <c r="S2" s="31">
        <v>45187</v>
      </c>
      <c r="T2" s="31">
        <v>45188</v>
      </c>
      <c r="U2" s="31">
        <v>45189</v>
      </c>
      <c r="V2" s="31">
        <v>45190</v>
      </c>
      <c r="W2" s="31">
        <v>45191</v>
      </c>
      <c r="X2" s="31">
        <v>45192</v>
      </c>
      <c r="Y2" s="31">
        <v>45193</v>
      </c>
      <c r="Z2" s="31">
        <v>45194</v>
      </c>
      <c r="AA2" s="31">
        <v>45195</v>
      </c>
      <c r="AB2" s="31">
        <v>45196</v>
      </c>
      <c r="AC2" s="31">
        <v>45197</v>
      </c>
      <c r="AD2" s="31">
        <v>45198</v>
      </c>
      <c r="AE2" s="31">
        <v>45199</v>
      </c>
      <c r="AF2" s="31">
        <v>45200</v>
      </c>
    </row>
    <row r="3" spans="1:32" x14ac:dyDescent="0.35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</row>
    <row r="4" spans="1:32" x14ac:dyDescent="0.35">
      <c r="A4" s="193" t="s">
        <v>57</v>
      </c>
      <c r="B4" s="25" t="s">
        <v>6</v>
      </c>
      <c r="C4" s="25" t="s">
        <v>3</v>
      </c>
      <c r="D4" s="131" t="s">
        <v>5</v>
      </c>
      <c r="E4" s="25" t="s">
        <v>6</v>
      </c>
      <c r="F4" s="184" t="s">
        <v>2</v>
      </c>
      <c r="G4" s="25" t="s">
        <v>6</v>
      </c>
      <c r="H4" s="25" t="s">
        <v>6</v>
      </c>
      <c r="I4" s="25" t="s">
        <v>6</v>
      </c>
      <c r="J4" s="123" t="s">
        <v>4</v>
      </c>
      <c r="K4" s="25" t="s">
        <v>3</v>
      </c>
      <c r="L4" s="25" t="s">
        <v>6</v>
      </c>
      <c r="M4" s="25" t="s">
        <v>6</v>
      </c>
      <c r="N4" s="184" t="s">
        <v>2</v>
      </c>
      <c r="O4" s="25" t="s">
        <v>6</v>
      </c>
      <c r="P4" s="25" t="s">
        <v>6</v>
      </c>
      <c r="Q4" s="131" t="s">
        <v>4</v>
      </c>
      <c r="R4" s="131" t="s">
        <v>4</v>
      </c>
      <c r="S4" s="184" t="s">
        <v>2</v>
      </c>
      <c r="T4" s="25" t="s">
        <v>3</v>
      </c>
      <c r="U4" s="25" t="s">
        <v>6</v>
      </c>
      <c r="V4" s="25" t="s">
        <v>6</v>
      </c>
      <c r="W4" s="25" t="s">
        <v>6</v>
      </c>
      <c r="X4" s="25" t="s">
        <v>3</v>
      </c>
      <c r="Y4" s="123" t="s">
        <v>4</v>
      </c>
      <c r="Z4" s="184" t="s">
        <v>2</v>
      </c>
      <c r="AA4" s="25" t="s">
        <v>6</v>
      </c>
      <c r="AB4" s="220" t="s">
        <v>34</v>
      </c>
      <c r="AC4" s="184" t="s">
        <v>2</v>
      </c>
      <c r="AD4" s="25" t="s">
        <v>6</v>
      </c>
      <c r="AE4" s="25" t="s">
        <v>3</v>
      </c>
      <c r="AF4" s="185" t="s">
        <v>11</v>
      </c>
    </row>
    <row r="5" spans="1:32" x14ac:dyDescent="0.35">
      <c r="A5" s="193" t="s">
        <v>75</v>
      </c>
      <c r="B5" s="19" t="s">
        <v>41</v>
      </c>
      <c r="C5" s="123" t="s">
        <v>4</v>
      </c>
      <c r="D5" s="25" t="s">
        <v>3</v>
      </c>
      <c r="E5" s="25" t="s">
        <v>6</v>
      </c>
      <c r="F5" s="19" t="s">
        <v>41</v>
      </c>
      <c r="G5" s="25" t="s">
        <v>6</v>
      </c>
      <c r="H5" s="184" t="s">
        <v>2</v>
      </c>
      <c r="I5" s="25" t="s">
        <v>6</v>
      </c>
      <c r="J5" s="25" t="s">
        <v>3</v>
      </c>
      <c r="K5" s="123" t="s">
        <v>4</v>
      </c>
      <c r="L5" s="25" t="s">
        <v>6</v>
      </c>
      <c r="M5" s="25" t="s">
        <v>6</v>
      </c>
      <c r="N5" s="25" t="s">
        <v>6</v>
      </c>
      <c r="O5" s="25" t="s">
        <v>6</v>
      </c>
      <c r="P5" s="184" t="s">
        <v>2</v>
      </c>
      <c r="Q5" s="25" t="s">
        <v>3</v>
      </c>
      <c r="R5" s="25" t="s">
        <v>3</v>
      </c>
      <c r="S5" s="25" t="s">
        <v>6</v>
      </c>
      <c r="T5" s="19" t="s">
        <v>42</v>
      </c>
      <c r="U5" s="25" t="s">
        <v>6</v>
      </c>
      <c r="V5" s="184" t="s">
        <v>2</v>
      </c>
      <c r="W5" s="184" t="s">
        <v>2</v>
      </c>
      <c r="X5" s="123" t="s">
        <v>4</v>
      </c>
      <c r="Y5" s="25" t="s">
        <v>3</v>
      </c>
      <c r="Z5" s="25" t="s">
        <v>6</v>
      </c>
      <c r="AA5" s="25" t="s">
        <v>6</v>
      </c>
      <c r="AB5" s="25" t="s">
        <v>6</v>
      </c>
      <c r="AC5" s="25" t="s">
        <v>6</v>
      </c>
      <c r="AD5" s="184" t="s">
        <v>2</v>
      </c>
      <c r="AE5" s="123" t="s">
        <v>4</v>
      </c>
      <c r="AF5" s="185" t="s">
        <v>11</v>
      </c>
    </row>
    <row r="6" spans="1:32" x14ac:dyDescent="0.35">
      <c r="A6" s="182" t="s">
        <v>21</v>
      </c>
      <c r="B6" s="19" t="s">
        <v>41</v>
      </c>
      <c r="C6" s="123" t="s">
        <v>4</v>
      </c>
      <c r="D6" s="25" t="s">
        <v>3</v>
      </c>
      <c r="E6" s="25" t="s">
        <v>6</v>
      </c>
      <c r="F6" s="25" t="s">
        <v>6</v>
      </c>
      <c r="G6" s="25" t="s">
        <v>6</v>
      </c>
      <c r="H6" s="25" t="s">
        <v>3</v>
      </c>
      <c r="I6" s="184" t="s">
        <v>2</v>
      </c>
      <c r="J6" s="123" t="s">
        <v>4</v>
      </c>
      <c r="K6" s="25" t="s">
        <v>3</v>
      </c>
      <c r="L6" s="131" t="s">
        <v>5</v>
      </c>
      <c r="M6" s="131" t="s">
        <v>5</v>
      </c>
      <c r="N6" s="25" t="s">
        <v>6</v>
      </c>
      <c r="O6" s="25" t="s">
        <v>6</v>
      </c>
      <c r="P6" s="25" t="s">
        <v>6</v>
      </c>
      <c r="Q6" s="123" t="s">
        <v>4</v>
      </c>
      <c r="R6" s="25" t="s">
        <v>3</v>
      </c>
      <c r="S6" s="25" t="s">
        <v>6</v>
      </c>
      <c r="T6" s="25" t="s">
        <v>3</v>
      </c>
      <c r="U6" s="131" t="s">
        <v>5</v>
      </c>
      <c r="V6" s="131" t="s">
        <v>5</v>
      </c>
      <c r="W6" s="131" t="s">
        <v>5</v>
      </c>
      <c r="X6" s="123" t="s">
        <v>4</v>
      </c>
      <c r="Y6" s="25" t="s">
        <v>3</v>
      </c>
      <c r="Z6" s="25" t="s">
        <v>6</v>
      </c>
      <c r="AA6" s="184" t="s">
        <v>2</v>
      </c>
      <c r="AB6" s="25" t="s">
        <v>6</v>
      </c>
      <c r="AC6" s="25" t="s">
        <v>6</v>
      </c>
      <c r="AD6" s="25" t="s">
        <v>6</v>
      </c>
      <c r="AE6" s="19" t="s">
        <v>42</v>
      </c>
      <c r="AF6" s="123" t="s">
        <v>4</v>
      </c>
    </row>
    <row r="7" spans="1:32" x14ac:dyDescent="0.35">
      <c r="A7" s="182" t="s">
        <v>22</v>
      </c>
      <c r="B7" s="25" t="s">
        <v>6</v>
      </c>
      <c r="C7" s="25" t="s">
        <v>3</v>
      </c>
      <c r="D7" s="123" t="s">
        <v>4</v>
      </c>
      <c r="E7" s="25" t="s">
        <v>6</v>
      </c>
      <c r="F7" s="25" t="s">
        <v>6</v>
      </c>
      <c r="G7" s="184" t="s">
        <v>2</v>
      </c>
      <c r="H7" s="22" t="s">
        <v>16</v>
      </c>
      <c r="I7" s="25" t="s">
        <v>6</v>
      </c>
      <c r="J7" s="25" t="s">
        <v>3</v>
      </c>
      <c r="K7" s="123" t="s">
        <v>4</v>
      </c>
      <c r="L7" s="184" t="s">
        <v>2</v>
      </c>
      <c r="M7" s="22" t="s">
        <v>16</v>
      </c>
      <c r="N7" s="25" t="s">
        <v>6</v>
      </c>
      <c r="O7" s="25" t="s">
        <v>6</v>
      </c>
      <c r="P7" s="25" t="s">
        <v>6</v>
      </c>
      <c r="Q7" s="25" t="s">
        <v>3</v>
      </c>
      <c r="R7" s="123" t="s">
        <v>4</v>
      </c>
      <c r="S7" s="25" t="s">
        <v>6</v>
      </c>
      <c r="T7" s="25" t="s">
        <v>3</v>
      </c>
      <c r="U7" s="184" t="s">
        <v>2</v>
      </c>
      <c r="V7" s="25" t="s">
        <v>6</v>
      </c>
      <c r="W7" s="25" t="s">
        <v>6</v>
      </c>
      <c r="X7" s="25" t="s">
        <v>3</v>
      </c>
      <c r="Y7" s="123" t="s">
        <v>4</v>
      </c>
      <c r="Z7" s="25" t="s">
        <v>6</v>
      </c>
      <c r="AA7" s="25" t="s">
        <v>6</v>
      </c>
      <c r="AB7" s="184" t="s">
        <v>2</v>
      </c>
      <c r="AC7" s="25" t="s">
        <v>6</v>
      </c>
      <c r="AD7" s="25" t="s">
        <v>6</v>
      </c>
      <c r="AE7" s="25" t="s">
        <v>3</v>
      </c>
      <c r="AF7" s="123" t="s">
        <v>4</v>
      </c>
    </row>
    <row r="8" spans="1:32" x14ac:dyDescent="0.35">
      <c r="A8" s="182" t="s">
        <v>76</v>
      </c>
      <c r="B8" s="25" t="s">
        <v>6</v>
      </c>
      <c r="C8" s="22" t="s">
        <v>30</v>
      </c>
      <c r="D8" s="123" t="s">
        <v>4</v>
      </c>
      <c r="E8" s="131" t="s">
        <v>5</v>
      </c>
      <c r="F8" s="131" t="s">
        <v>5</v>
      </c>
      <c r="G8" s="131" t="s">
        <v>5</v>
      </c>
      <c r="H8" s="25" t="s">
        <v>6</v>
      </c>
      <c r="I8" s="25" t="s">
        <v>6</v>
      </c>
      <c r="J8" s="123" t="s">
        <v>4</v>
      </c>
      <c r="K8" s="123" t="s">
        <v>4</v>
      </c>
      <c r="L8" s="25" t="s">
        <v>6</v>
      </c>
      <c r="M8" s="25" t="s">
        <v>6</v>
      </c>
      <c r="N8" s="25" t="s">
        <v>6</v>
      </c>
      <c r="O8" s="19" t="s">
        <v>41</v>
      </c>
      <c r="P8" s="22" t="s">
        <v>16</v>
      </c>
      <c r="Q8" s="123" t="s">
        <v>4</v>
      </c>
      <c r="R8" s="123" t="s">
        <v>4</v>
      </c>
      <c r="S8" s="131" t="s">
        <v>5</v>
      </c>
      <c r="T8" s="131" t="s">
        <v>5</v>
      </c>
      <c r="U8" s="25" t="s">
        <v>6</v>
      </c>
      <c r="V8" s="25" t="s">
        <v>6</v>
      </c>
      <c r="W8" s="25" t="s">
        <v>6</v>
      </c>
      <c r="X8" s="22" t="s">
        <v>30</v>
      </c>
      <c r="Y8" s="123" t="s">
        <v>4</v>
      </c>
      <c r="Z8" s="184" t="s">
        <v>2</v>
      </c>
      <c r="AA8" s="22" t="s">
        <v>16</v>
      </c>
      <c r="AB8" s="25" t="s">
        <v>6</v>
      </c>
      <c r="AC8" s="220" t="s">
        <v>34</v>
      </c>
      <c r="AD8" s="220" t="s">
        <v>34</v>
      </c>
      <c r="AE8" s="123" t="s">
        <v>4</v>
      </c>
      <c r="AF8" s="185" t="s">
        <v>11</v>
      </c>
    </row>
    <row r="9" spans="1:32" x14ac:dyDescent="0.35">
      <c r="A9" s="219" t="s">
        <v>225</v>
      </c>
      <c r="B9" s="25" t="s">
        <v>6</v>
      </c>
      <c r="C9" s="123" t="s">
        <v>4</v>
      </c>
      <c r="D9" s="123" t="s">
        <v>4</v>
      </c>
      <c r="E9" s="22" t="s">
        <v>16</v>
      </c>
      <c r="F9" s="25" t="s">
        <v>6</v>
      </c>
      <c r="G9" s="25" t="s">
        <v>6</v>
      </c>
      <c r="H9" s="25" t="s">
        <v>6</v>
      </c>
      <c r="I9" s="22" t="s">
        <v>16</v>
      </c>
      <c r="J9" s="123" t="s">
        <v>4</v>
      </c>
      <c r="K9" s="123" t="s">
        <v>4</v>
      </c>
      <c r="L9" s="25" t="s">
        <v>6</v>
      </c>
      <c r="M9" s="25" t="s">
        <v>6</v>
      </c>
      <c r="N9" s="22" t="s">
        <v>16</v>
      </c>
      <c r="O9" s="22" t="s">
        <v>16</v>
      </c>
      <c r="P9" s="25" t="s">
        <v>6</v>
      </c>
      <c r="Q9" s="123" t="s">
        <v>4</v>
      </c>
      <c r="R9" s="123" t="s">
        <v>4</v>
      </c>
      <c r="S9" s="25" t="s">
        <v>6</v>
      </c>
      <c r="T9" s="25" t="s">
        <v>3</v>
      </c>
      <c r="U9" s="25" t="s">
        <v>6</v>
      </c>
      <c r="V9" s="25" t="s">
        <v>6</v>
      </c>
      <c r="W9" s="25" t="s">
        <v>6</v>
      </c>
      <c r="X9" s="123" t="s">
        <v>4</v>
      </c>
      <c r="Y9" s="123" t="s">
        <v>4</v>
      </c>
      <c r="Z9" s="25" t="s">
        <v>6</v>
      </c>
      <c r="AA9" s="25" t="s">
        <v>6</v>
      </c>
      <c r="AB9" s="25" t="s">
        <v>6</v>
      </c>
      <c r="AC9" s="25" t="s">
        <v>6</v>
      </c>
      <c r="AD9" s="25" t="s">
        <v>6</v>
      </c>
      <c r="AE9" s="123" t="s">
        <v>4</v>
      </c>
      <c r="AF9" s="123" t="s">
        <v>4</v>
      </c>
    </row>
    <row r="11" spans="1:32" x14ac:dyDescent="0.35">
      <c r="A11" s="193" t="s">
        <v>9</v>
      </c>
      <c r="B11" s="185" t="s">
        <v>10</v>
      </c>
      <c r="C11" s="185" t="s">
        <v>11</v>
      </c>
      <c r="D11" s="185" t="s">
        <v>11</v>
      </c>
      <c r="E11" s="184" t="s">
        <v>2</v>
      </c>
      <c r="F11" s="185" t="s">
        <v>10</v>
      </c>
      <c r="G11" s="185" t="s">
        <v>10</v>
      </c>
      <c r="H11" s="184" t="s">
        <v>2</v>
      </c>
      <c r="I11" s="185" t="s">
        <v>10</v>
      </c>
      <c r="J11" s="185" t="s">
        <v>11</v>
      </c>
      <c r="K11" s="185" t="s">
        <v>11</v>
      </c>
      <c r="L11" s="185" t="s">
        <v>10</v>
      </c>
      <c r="M11" s="185" t="s">
        <v>10</v>
      </c>
      <c r="N11" s="184" t="s">
        <v>2</v>
      </c>
      <c r="O11" s="184" t="s">
        <v>2</v>
      </c>
      <c r="P11" s="185" t="s">
        <v>10</v>
      </c>
      <c r="Q11" s="185" t="s">
        <v>11</v>
      </c>
      <c r="R11" s="185" t="s">
        <v>11</v>
      </c>
      <c r="S11" s="185" t="s">
        <v>10</v>
      </c>
      <c r="T11" s="185" t="s">
        <v>11</v>
      </c>
      <c r="U11" s="184" t="s">
        <v>2</v>
      </c>
      <c r="V11" s="184" t="s">
        <v>2</v>
      </c>
      <c r="W11" s="185" t="s">
        <v>10</v>
      </c>
      <c r="X11" s="185" t="s">
        <v>11</v>
      </c>
      <c r="Y11" s="185" t="s">
        <v>11</v>
      </c>
      <c r="Z11" s="185" t="s">
        <v>10</v>
      </c>
      <c r="AA11" s="185" t="s">
        <v>10</v>
      </c>
      <c r="AB11" s="184" t="s">
        <v>2</v>
      </c>
      <c r="AC11" s="131" t="s">
        <v>5</v>
      </c>
      <c r="AD11" s="131" t="s">
        <v>5</v>
      </c>
      <c r="AE11" s="123" t="s">
        <v>4</v>
      </c>
      <c r="AF11" s="123" t="s">
        <v>4</v>
      </c>
    </row>
    <row r="12" spans="1:32" x14ac:dyDescent="0.35">
      <c r="A12" s="193" t="s">
        <v>15</v>
      </c>
      <c r="B12" s="184" t="s">
        <v>2</v>
      </c>
      <c r="C12" s="123" t="s">
        <v>4</v>
      </c>
      <c r="D12" s="185" t="s">
        <v>11</v>
      </c>
      <c r="E12" s="185" t="s">
        <v>10</v>
      </c>
      <c r="F12" s="185" t="s">
        <v>10</v>
      </c>
      <c r="G12" s="185" t="s">
        <v>10</v>
      </c>
      <c r="H12" s="185" t="s">
        <v>10</v>
      </c>
      <c r="I12" s="184" t="s">
        <v>2</v>
      </c>
      <c r="J12" s="185" t="s">
        <v>11</v>
      </c>
      <c r="K12" s="185" t="s">
        <v>11</v>
      </c>
      <c r="L12" s="185" t="s">
        <v>10</v>
      </c>
      <c r="M12" s="185" t="s">
        <v>10</v>
      </c>
      <c r="N12" s="185" t="s">
        <v>10</v>
      </c>
      <c r="O12" s="185" t="s">
        <v>10</v>
      </c>
      <c r="P12" s="184" t="s">
        <v>2</v>
      </c>
      <c r="Q12" s="185" t="s">
        <v>11</v>
      </c>
      <c r="R12" s="185" t="s">
        <v>11</v>
      </c>
      <c r="S12" s="131" t="s">
        <v>5</v>
      </c>
      <c r="T12" s="131" t="s">
        <v>5</v>
      </c>
      <c r="U12" s="185" t="s">
        <v>10</v>
      </c>
      <c r="V12" s="185" t="s">
        <v>10</v>
      </c>
      <c r="W12" s="185" t="s">
        <v>10</v>
      </c>
      <c r="X12" s="123" t="s">
        <v>4</v>
      </c>
      <c r="Y12" s="185" t="s">
        <v>11</v>
      </c>
      <c r="Z12" s="185" t="s">
        <v>10</v>
      </c>
      <c r="AA12" s="185" t="s">
        <v>10</v>
      </c>
      <c r="AB12" s="185" t="s">
        <v>10</v>
      </c>
      <c r="AC12" s="185" t="s">
        <v>10</v>
      </c>
      <c r="AD12" s="185" t="s">
        <v>10</v>
      </c>
      <c r="AE12" s="185" t="s">
        <v>11</v>
      </c>
      <c r="AF12" s="123" t="s">
        <v>4</v>
      </c>
    </row>
    <row r="13" spans="1:32" x14ac:dyDescent="0.35">
      <c r="A13" s="182" t="s">
        <v>77</v>
      </c>
      <c r="B13" s="185" t="s">
        <v>10</v>
      </c>
      <c r="C13" s="185" t="s">
        <v>11</v>
      </c>
      <c r="D13" s="123" t="s">
        <v>4</v>
      </c>
      <c r="E13" s="184" t="s">
        <v>2</v>
      </c>
      <c r="F13" s="185" t="s">
        <v>10</v>
      </c>
      <c r="G13" s="185" t="s">
        <v>10</v>
      </c>
      <c r="H13" s="185" t="s">
        <v>10</v>
      </c>
      <c r="I13" s="185" t="s">
        <v>10</v>
      </c>
      <c r="J13" s="185" t="s">
        <v>11</v>
      </c>
      <c r="K13" s="123" t="s">
        <v>4</v>
      </c>
      <c r="L13" s="184" t="s">
        <v>2</v>
      </c>
      <c r="M13" s="185" t="s">
        <v>10</v>
      </c>
      <c r="N13" s="185" t="s">
        <v>10</v>
      </c>
      <c r="O13" s="185" t="s">
        <v>10</v>
      </c>
      <c r="P13" s="185" t="s">
        <v>10</v>
      </c>
      <c r="Q13" s="185" t="s">
        <v>11</v>
      </c>
      <c r="R13" s="123" t="s">
        <v>4</v>
      </c>
      <c r="S13" s="185" t="s">
        <v>10</v>
      </c>
      <c r="T13" s="185" t="s">
        <v>11</v>
      </c>
      <c r="U13" s="185" t="s">
        <v>10</v>
      </c>
      <c r="V13" s="185" t="s">
        <v>10</v>
      </c>
      <c r="W13" s="184" t="s">
        <v>2</v>
      </c>
      <c r="X13" s="185" t="s">
        <v>11</v>
      </c>
      <c r="Y13" s="123" t="s">
        <v>4</v>
      </c>
      <c r="Z13" s="184" t="s">
        <v>2</v>
      </c>
      <c r="AA13" s="185" t="s">
        <v>10</v>
      </c>
      <c r="AB13" s="185" t="s">
        <v>10</v>
      </c>
      <c r="AC13" s="185" t="s">
        <v>10</v>
      </c>
      <c r="AD13" s="185" t="s">
        <v>10</v>
      </c>
      <c r="AE13" s="185" t="s">
        <v>11</v>
      </c>
      <c r="AF13" s="123" t="s">
        <v>4</v>
      </c>
    </row>
    <row r="14" spans="1:32" x14ac:dyDescent="0.35">
      <c r="A14" s="182" t="s">
        <v>181</v>
      </c>
      <c r="B14" s="185" t="s">
        <v>10</v>
      </c>
      <c r="C14" s="185" t="s">
        <v>11</v>
      </c>
      <c r="D14" s="123" t="s">
        <v>4</v>
      </c>
      <c r="E14" s="185" t="s">
        <v>10</v>
      </c>
      <c r="F14" s="185" t="s">
        <v>10</v>
      </c>
      <c r="G14" s="184" t="s">
        <v>2</v>
      </c>
      <c r="H14" s="185" t="s">
        <v>10</v>
      </c>
      <c r="I14" s="185" t="s">
        <v>10</v>
      </c>
      <c r="J14" s="185" t="s">
        <v>11</v>
      </c>
      <c r="K14" s="123" t="s">
        <v>4</v>
      </c>
      <c r="L14" s="185" t="s">
        <v>10</v>
      </c>
      <c r="M14" s="185" t="s">
        <v>10</v>
      </c>
      <c r="N14" s="184" t="s">
        <v>2</v>
      </c>
      <c r="O14" s="184" t="s">
        <v>2</v>
      </c>
      <c r="P14" s="185" t="s">
        <v>10</v>
      </c>
      <c r="Q14" s="123" t="s">
        <v>4</v>
      </c>
      <c r="R14" s="185" t="s">
        <v>11</v>
      </c>
      <c r="S14" s="185" t="s">
        <v>10</v>
      </c>
      <c r="T14" s="185" t="s">
        <v>11</v>
      </c>
      <c r="U14" s="184" t="s">
        <v>2</v>
      </c>
      <c r="V14" s="185" t="s">
        <v>10</v>
      </c>
      <c r="W14" s="185" t="s">
        <v>10</v>
      </c>
      <c r="X14" s="185" t="s">
        <v>11</v>
      </c>
      <c r="Y14" s="123" t="s">
        <v>4</v>
      </c>
      <c r="Z14" s="185" t="s">
        <v>10</v>
      </c>
      <c r="AA14" s="185" t="s">
        <v>10</v>
      </c>
      <c r="AB14" s="185" t="s">
        <v>10</v>
      </c>
      <c r="AC14" s="184" t="s">
        <v>2</v>
      </c>
      <c r="AD14" s="185" t="s">
        <v>10</v>
      </c>
      <c r="AE14" s="123" t="s">
        <v>4</v>
      </c>
      <c r="AF14" s="19" t="s">
        <v>42</v>
      </c>
    </row>
    <row r="15" spans="1:32" x14ac:dyDescent="0.35">
      <c r="A15" s="182" t="s">
        <v>155</v>
      </c>
      <c r="B15" s="185" t="s">
        <v>10</v>
      </c>
      <c r="C15" s="123" t="s">
        <v>4</v>
      </c>
      <c r="D15" s="185" t="s">
        <v>11</v>
      </c>
      <c r="E15" s="185" t="s">
        <v>10</v>
      </c>
      <c r="F15" s="184" t="s">
        <v>2</v>
      </c>
      <c r="G15" s="185" t="s">
        <v>10</v>
      </c>
      <c r="H15" s="185" t="s">
        <v>10</v>
      </c>
      <c r="I15" s="185" t="s">
        <v>10</v>
      </c>
      <c r="J15" s="123" t="s">
        <v>4</v>
      </c>
      <c r="K15" s="185" t="s">
        <v>11</v>
      </c>
      <c r="L15" s="185" t="s">
        <v>10</v>
      </c>
      <c r="M15" s="184" t="s">
        <v>2</v>
      </c>
      <c r="N15" s="185" t="s">
        <v>10</v>
      </c>
      <c r="O15" s="185" t="s">
        <v>10</v>
      </c>
      <c r="P15" s="185" t="s">
        <v>10</v>
      </c>
      <c r="Q15" s="123" t="s">
        <v>4</v>
      </c>
      <c r="R15" s="131" t="s">
        <v>5</v>
      </c>
      <c r="S15" s="185" t="s">
        <v>10</v>
      </c>
      <c r="T15" s="185" t="s">
        <v>11</v>
      </c>
      <c r="U15" s="185" t="s">
        <v>10</v>
      </c>
      <c r="V15" s="185" t="s">
        <v>10</v>
      </c>
      <c r="W15" s="185" t="s">
        <v>10</v>
      </c>
      <c r="X15" s="123" t="s">
        <v>4</v>
      </c>
      <c r="Y15" s="185" t="s">
        <v>11</v>
      </c>
      <c r="Z15" s="185" t="s">
        <v>10</v>
      </c>
      <c r="AA15" s="184" t="s">
        <v>2</v>
      </c>
      <c r="AB15" s="185" t="s">
        <v>10</v>
      </c>
      <c r="AC15" s="185" t="s">
        <v>10</v>
      </c>
      <c r="AD15" s="184" t="s">
        <v>2</v>
      </c>
      <c r="AE15" s="123" t="s">
        <v>4</v>
      </c>
      <c r="AF15" s="123" t="s">
        <v>4</v>
      </c>
    </row>
    <row r="17" spans="1:32" x14ac:dyDescent="0.35">
      <c r="A17" s="193" t="s">
        <v>1</v>
      </c>
      <c r="B17" s="19" t="s">
        <v>41</v>
      </c>
      <c r="C17" s="19" t="s">
        <v>42</v>
      </c>
      <c r="D17" s="19" t="s">
        <v>42</v>
      </c>
      <c r="E17" s="184" t="s">
        <v>2</v>
      </c>
      <c r="F17" s="19" t="s">
        <v>41</v>
      </c>
      <c r="G17" s="19" t="s">
        <v>41</v>
      </c>
      <c r="H17" s="19" t="s">
        <v>41</v>
      </c>
      <c r="I17" s="19" t="s">
        <v>41</v>
      </c>
      <c r="J17" s="19" t="s">
        <v>42</v>
      </c>
      <c r="K17" s="19" t="s">
        <v>42</v>
      </c>
      <c r="L17" s="19" t="s">
        <v>41</v>
      </c>
      <c r="M17" s="19" t="s">
        <v>41</v>
      </c>
      <c r="N17" s="22" t="s">
        <v>16</v>
      </c>
      <c r="O17" s="22" t="s">
        <v>16</v>
      </c>
      <c r="P17" s="184" t="s">
        <v>2</v>
      </c>
      <c r="Q17" s="19" t="s">
        <v>42</v>
      </c>
      <c r="R17" s="19" t="s">
        <v>42</v>
      </c>
      <c r="S17" s="19" t="s">
        <v>41</v>
      </c>
      <c r="T17" s="183" t="s">
        <v>37</v>
      </c>
      <c r="U17" s="131" t="s">
        <v>5</v>
      </c>
      <c r="V17" s="131" t="s">
        <v>5</v>
      </c>
      <c r="W17" s="131" t="s">
        <v>5</v>
      </c>
      <c r="X17" s="131" t="s">
        <v>4</v>
      </c>
      <c r="Y17" s="19" t="s">
        <v>42</v>
      </c>
      <c r="Z17" s="19" t="s">
        <v>41</v>
      </c>
      <c r="AA17" s="19" t="s">
        <v>41</v>
      </c>
      <c r="AB17" s="19" t="s">
        <v>41</v>
      </c>
      <c r="AC17" s="183" t="s">
        <v>81</v>
      </c>
      <c r="AD17" s="22" t="s">
        <v>16</v>
      </c>
      <c r="AE17" s="19" t="s">
        <v>42</v>
      </c>
      <c r="AF17" s="25" t="s">
        <v>3</v>
      </c>
    </row>
    <row r="18" spans="1:32" x14ac:dyDescent="0.35">
      <c r="A18" s="193" t="s">
        <v>43</v>
      </c>
      <c r="B18" s="19" t="s">
        <v>41</v>
      </c>
      <c r="C18" s="19" t="s">
        <v>42</v>
      </c>
      <c r="D18" s="123" t="s">
        <v>4</v>
      </c>
      <c r="E18" s="19" t="s">
        <v>41</v>
      </c>
      <c r="F18" s="25" t="s">
        <v>6</v>
      </c>
      <c r="G18" s="131" t="s">
        <v>5</v>
      </c>
      <c r="H18" s="131" t="s">
        <v>5</v>
      </c>
      <c r="I18" s="131" t="s">
        <v>5</v>
      </c>
      <c r="J18" s="131" t="s">
        <v>4</v>
      </c>
      <c r="K18" s="131" t="s">
        <v>4</v>
      </c>
      <c r="L18" s="19" t="s">
        <v>41</v>
      </c>
      <c r="M18" s="19" t="s">
        <v>41</v>
      </c>
      <c r="N18" s="19" t="s">
        <v>41</v>
      </c>
      <c r="O18" s="19" t="s">
        <v>41</v>
      </c>
      <c r="P18" s="19" t="s">
        <v>41</v>
      </c>
      <c r="Q18" s="19" t="s">
        <v>42</v>
      </c>
      <c r="R18" s="123" t="s">
        <v>4</v>
      </c>
      <c r="S18" s="19" t="s">
        <v>41</v>
      </c>
      <c r="T18" s="19" t="s">
        <v>42</v>
      </c>
      <c r="U18" s="19" t="s">
        <v>41</v>
      </c>
      <c r="V18" s="19" t="s">
        <v>41</v>
      </c>
      <c r="W18" s="19" t="s">
        <v>41</v>
      </c>
      <c r="X18" s="19" t="s">
        <v>42</v>
      </c>
      <c r="Y18" s="123" t="s">
        <v>4</v>
      </c>
      <c r="Z18" s="19" t="s">
        <v>41</v>
      </c>
      <c r="AA18" s="19" t="s">
        <v>41</v>
      </c>
      <c r="AB18" s="184" t="s">
        <v>2</v>
      </c>
      <c r="AC18" s="19" t="s">
        <v>41</v>
      </c>
      <c r="AD18" s="19" t="s">
        <v>41</v>
      </c>
      <c r="AE18" s="22" t="s">
        <v>30</v>
      </c>
      <c r="AF18" s="19" t="s">
        <v>42</v>
      </c>
    </row>
    <row r="19" spans="1:32" x14ac:dyDescent="0.35">
      <c r="A19" s="182" t="s">
        <v>74</v>
      </c>
      <c r="B19" s="184" t="s">
        <v>2</v>
      </c>
      <c r="C19" s="123" t="s">
        <v>4</v>
      </c>
      <c r="D19" s="19" t="s">
        <v>42</v>
      </c>
      <c r="E19" s="19" t="s">
        <v>41</v>
      </c>
      <c r="F19" s="19" t="s">
        <v>41</v>
      </c>
      <c r="G19" s="131" t="s">
        <v>5</v>
      </c>
      <c r="H19" s="131" t="s">
        <v>5</v>
      </c>
      <c r="I19" s="131" t="s">
        <v>5</v>
      </c>
      <c r="J19" s="131" t="s">
        <v>4</v>
      </c>
      <c r="K19" s="19" t="s">
        <v>42</v>
      </c>
      <c r="L19" s="19" t="s">
        <v>41</v>
      </c>
      <c r="M19" s="184" t="s">
        <v>2</v>
      </c>
      <c r="N19" s="19" t="s">
        <v>41</v>
      </c>
      <c r="O19" s="19" t="s">
        <v>41</v>
      </c>
      <c r="P19" s="19" t="s">
        <v>41</v>
      </c>
      <c r="Q19" s="131" t="s">
        <v>4</v>
      </c>
      <c r="R19" s="19" t="s">
        <v>42</v>
      </c>
      <c r="S19" s="131" t="s">
        <v>5</v>
      </c>
      <c r="T19" s="19" t="s">
        <v>42</v>
      </c>
      <c r="U19" s="19" t="s">
        <v>41</v>
      </c>
      <c r="V19" s="19" t="s">
        <v>41</v>
      </c>
      <c r="W19" s="19" t="s">
        <v>41</v>
      </c>
      <c r="X19" s="19" t="s">
        <v>42</v>
      </c>
      <c r="Y19" s="19" t="s">
        <v>42</v>
      </c>
      <c r="Z19" s="184" t="s">
        <v>2</v>
      </c>
      <c r="AA19" s="184" t="s">
        <v>2</v>
      </c>
      <c r="AB19" s="19" t="s">
        <v>41</v>
      </c>
      <c r="AC19" s="19" t="s">
        <v>41</v>
      </c>
      <c r="AD19" s="19" t="s">
        <v>41</v>
      </c>
      <c r="AE19" s="123" t="s">
        <v>4</v>
      </c>
      <c r="AF19" s="131" t="s">
        <v>5</v>
      </c>
    </row>
    <row r="20" spans="1:32" x14ac:dyDescent="0.35">
      <c r="A20" s="182" t="s">
        <v>62</v>
      </c>
      <c r="B20" s="19" t="s">
        <v>41</v>
      </c>
      <c r="C20" s="123" t="s">
        <v>4</v>
      </c>
      <c r="D20" s="123" t="s">
        <v>4</v>
      </c>
      <c r="E20" s="19" t="s">
        <v>41</v>
      </c>
      <c r="F20" s="19" t="s">
        <v>41</v>
      </c>
      <c r="G20" s="19" t="s">
        <v>41</v>
      </c>
      <c r="H20" s="19" t="s">
        <v>41</v>
      </c>
      <c r="I20" s="19" t="s">
        <v>41</v>
      </c>
      <c r="J20" s="19" t="s">
        <v>42</v>
      </c>
      <c r="K20" s="123" t="s">
        <v>4</v>
      </c>
      <c r="L20" s="19" t="s">
        <v>41</v>
      </c>
      <c r="M20" s="19" t="s">
        <v>41</v>
      </c>
      <c r="N20" s="19" t="s">
        <v>41</v>
      </c>
      <c r="O20" s="184" t="s">
        <v>2</v>
      </c>
      <c r="P20" s="19" t="s">
        <v>41</v>
      </c>
      <c r="Q20" s="22" t="s">
        <v>30</v>
      </c>
      <c r="R20" s="123" t="s">
        <v>4</v>
      </c>
      <c r="S20" s="131" t="s">
        <v>5</v>
      </c>
      <c r="T20" s="183" t="s">
        <v>37</v>
      </c>
      <c r="U20" s="19" t="s">
        <v>41</v>
      </c>
      <c r="V20" s="19" t="s">
        <v>41</v>
      </c>
      <c r="W20" s="19" t="s">
        <v>41</v>
      </c>
      <c r="X20" s="131" t="s">
        <v>4</v>
      </c>
      <c r="Y20" s="131" t="s">
        <v>4</v>
      </c>
      <c r="Z20" s="131" t="s">
        <v>5</v>
      </c>
      <c r="AA20" s="19" t="s">
        <v>41</v>
      </c>
      <c r="AB20" s="19" t="s">
        <v>41</v>
      </c>
      <c r="AC20" s="19" t="s">
        <v>41</v>
      </c>
      <c r="AD20" s="19" t="s">
        <v>41</v>
      </c>
      <c r="AE20" s="123" t="s">
        <v>4</v>
      </c>
      <c r="AF20" s="25" t="s">
        <v>3</v>
      </c>
    </row>
    <row r="21" spans="1:32" x14ac:dyDescent="0.35">
      <c r="A21" s="219" t="s">
        <v>226</v>
      </c>
      <c r="B21" s="22" t="s">
        <v>16</v>
      </c>
      <c r="C21" s="123" t="s">
        <v>4</v>
      </c>
      <c r="D21" s="123" t="s">
        <v>4</v>
      </c>
      <c r="E21" s="22" t="s">
        <v>16</v>
      </c>
      <c r="F21" s="19" t="s">
        <v>41</v>
      </c>
      <c r="G21" s="19" t="s">
        <v>41</v>
      </c>
      <c r="H21" s="19" t="s">
        <v>41</v>
      </c>
      <c r="I21" s="19" t="s">
        <v>41</v>
      </c>
      <c r="J21" s="22" t="s">
        <v>30</v>
      </c>
      <c r="K21" s="123" t="s">
        <v>4</v>
      </c>
      <c r="L21" s="184" t="s">
        <v>2</v>
      </c>
      <c r="M21" s="19" t="s">
        <v>41</v>
      </c>
      <c r="N21" s="19" t="s">
        <v>41</v>
      </c>
      <c r="O21" s="19" t="s">
        <v>41</v>
      </c>
      <c r="P21" s="22" t="s">
        <v>16</v>
      </c>
      <c r="Q21" s="123" t="s">
        <v>4</v>
      </c>
      <c r="R21" s="123" t="s">
        <v>4</v>
      </c>
      <c r="S21" s="19" t="s">
        <v>41</v>
      </c>
      <c r="T21" s="19" t="s">
        <v>42</v>
      </c>
      <c r="U21" s="19" t="s">
        <v>41</v>
      </c>
      <c r="V21" s="19" t="s">
        <v>41</v>
      </c>
      <c r="W21" s="19" t="s">
        <v>41</v>
      </c>
      <c r="X21" s="123" t="s">
        <v>4</v>
      </c>
      <c r="Y21" s="123" t="s">
        <v>4</v>
      </c>
      <c r="Z21" s="19" t="s">
        <v>41</v>
      </c>
      <c r="AA21" s="19" t="s">
        <v>41</v>
      </c>
      <c r="AB21" s="19" t="s">
        <v>41</v>
      </c>
      <c r="AC21" s="19" t="s">
        <v>41</v>
      </c>
      <c r="AD21" s="22" t="s">
        <v>16</v>
      </c>
      <c r="AE21" s="123" t="s">
        <v>4</v>
      </c>
      <c r="AF21" s="123" t="s">
        <v>4</v>
      </c>
    </row>
    <row r="23" spans="1:32" x14ac:dyDescent="0.35">
      <c r="A23" s="189" t="s">
        <v>156</v>
      </c>
      <c r="B23">
        <f t="shared" ref="B23:AF23" si="1">COUNTIF(B4:B21,"*MS")</f>
        <v>4</v>
      </c>
      <c r="C23">
        <f t="shared" si="1"/>
        <v>2</v>
      </c>
      <c r="D23">
        <f t="shared" si="1"/>
        <v>2</v>
      </c>
      <c r="E23">
        <f t="shared" si="1"/>
        <v>4</v>
      </c>
      <c r="F23">
        <f t="shared" si="1"/>
        <v>4</v>
      </c>
      <c r="G23">
        <f t="shared" si="1"/>
        <v>4</v>
      </c>
      <c r="H23">
        <f t="shared" si="1"/>
        <v>4</v>
      </c>
      <c r="I23">
        <f t="shared" si="1"/>
        <v>4</v>
      </c>
      <c r="J23">
        <f t="shared" si="1"/>
        <v>2</v>
      </c>
      <c r="K23">
        <f t="shared" si="1"/>
        <v>2</v>
      </c>
      <c r="L23">
        <f t="shared" si="1"/>
        <v>4</v>
      </c>
      <c r="M23">
        <f t="shared" si="1"/>
        <v>4</v>
      </c>
      <c r="N23">
        <f t="shared" si="1"/>
        <v>4</v>
      </c>
      <c r="O23">
        <f t="shared" si="1"/>
        <v>4</v>
      </c>
      <c r="P23">
        <f t="shared" si="1"/>
        <v>4</v>
      </c>
      <c r="Q23">
        <f t="shared" si="1"/>
        <v>2</v>
      </c>
      <c r="R23">
        <f t="shared" si="1"/>
        <v>2</v>
      </c>
      <c r="S23">
        <f t="shared" si="1"/>
        <v>4</v>
      </c>
      <c r="T23">
        <f t="shared" si="1"/>
        <v>4</v>
      </c>
      <c r="U23">
        <f t="shared" si="1"/>
        <v>4</v>
      </c>
      <c r="V23">
        <f t="shared" si="1"/>
        <v>4</v>
      </c>
      <c r="W23">
        <f t="shared" si="1"/>
        <v>4</v>
      </c>
      <c r="X23">
        <f t="shared" si="1"/>
        <v>2</v>
      </c>
      <c r="Y23">
        <f t="shared" si="1"/>
        <v>2</v>
      </c>
      <c r="Z23">
        <f t="shared" si="1"/>
        <v>4</v>
      </c>
      <c r="AA23">
        <f t="shared" si="1"/>
        <v>4</v>
      </c>
      <c r="AB23">
        <f t="shared" si="1"/>
        <v>4</v>
      </c>
      <c r="AC23">
        <f t="shared" si="1"/>
        <v>4</v>
      </c>
      <c r="AD23">
        <f t="shared" si="1"/>
        <v>4</v>
      </c>
      <c r="AE23">
        <f t="shared" si="1"/>
        <v>2</v>
      </c>
      <c r="AF23">
        <f t="shared" si="1"/>
        <v>2</v>
      </c>
    </row>
    <row r="24" spans="1:32" x14ac:dyDescent="0.35">
      <c r="A24" s="189" t="s">
        <v>157</v>
      </c>
      <c r="B24">
        <f t="shared" ref="B24:AF24" si="2">COUNTIF(B4:B21,"*ASS1")</f>
        <v>5</v>
      </c>
      <c r="C24">
        <f t="shared" si="2"/>
        <v>2</v>
      </c>
      <c r="D24">
        <f t="shared" si="2"/>
        <v>2</v>
      </c>
      <c r="E24">
        <f t="shared" si="2"/>
        <v>3</v>
      </c>
      <c r="F24">
        <f t="shared" si="2"/>
        <v>5</v>
      </c>
      <c r="G24">
        <f t="shared" si="2"/>
        <v>3</v>
      </c>
      <c r="H24">
        <f t="shared" si="2"/>
        <v>3</v>
      </c>
      <c r="I24">
        <f t="shared" si="2"/>
        <v>3</v>
      </c>
      <c r="J24">
        <f t="shared" si="2"/>
        <v>2</v>
      </c>
      <c r="K24">
        <f t="shared" si="2"/>
        <v>2</v>
      </c>
      <c r="L24">
        <f t="shared" si="2"/>
        <v>4</v>
      </c>
      <c r="M24">
        <f t="shared" si="2"/>
        <v>4</v>
      </c>
      <c r="N24">
        <f t="shared" si="2"/>
        <v>4</v>
      </c>
      <c r="O24">
        <f t="shared" si="2"/>
        <v>4</v>
      </c>
      <c r="P24">
        <f t="shared" si="2"/>
        <v>3</v>
      </c>
      <c r="Q24">
        <f t="shared" si="2"/>
        <v>2</v>
      </c>
      <c r="R24">
        <f t="shared" si="2"/>
        <v>2</v>
      </c>
      <c r="S24">
        <f t="shared" si="2"/>
        <v>3</v>
      </c>
      <c r="T24">
        <f t="shared" si="2"/>
        <v>4</v>
      </c>
      <c r="U24">
        <f t="shared" si="2"/>
        <v>4</v>
      </c>
      <c r="V24">
        <f t="shared" si="2"/>
        <v>4</v>
      </c>
      <c r="W24">
        <f t="shared" si="2"/>
        <v>4</v>
      </c>
      <c r="X24">
        <f t="shared" si="2"/>
        <v>2</v>
      </c>
      <c r="Y24">
        <f t="shared" si="2"/>
        <v>2</v>
      </c>
      <c r="Z24">
        <f t="shared" si="2"/>
        <v>3</v>
      </c>
      <c r="AA24">
        <f t="shared" si="2"/>
        <v>4</v>
      </c>
      <c r="AB24">
        <f t="shared" si="2"/>
        <v>4</v>
      </c>
      <c r="AC24">
        <f t="shared" si="2"/>
        <v>4</v>
      </c>
      <c r="AD24">
        <f t="shared" si="2"/>
        <v>3</v>
      </c>
      <c r="AE24">
        <f t="shared" si="2"/>
        <v>2</v>
      </c>
      <c r="AF24">
        <f t="shared" si="2"/>
        <v>2</v>
      </c>
    </row>
    <row r="25" spans="1:32" x14ac:dyDescent="0.35">
      <c r="A25" s="189" t="s">
        <v>158</v>
      </c>
      <c r="B25">
        <f t="shared" ref="B25:AF25" si="3">COUNTIF(B4:B21,"*NST7")</f>
        <v>4</v>
      </c>
      <c r="C25">
        <f t="shared" si="3"/>
        <v>3</v>
      </c>
      <c r="D25">
        <f t="shared" si="3"/>
        <v>3</v>
      </c>
      <c r="E25">
        <f t="shared" si="3"/>
        <v>3</v>
      </c>
      <c r="F25">
        <f t="shared" si="3"/>
        <v>4</v>
      </c>
      <c r="G25">
        <f t="shared" si="3"/>
        <v>4</v>
      </c>
      <c r="H25">
        <f t="shared" si="3"/>
        <v>4</v>
      </c>
      <c r="I25">
        <f t="shared" si="3"/>
        <v>4</v>
      </c>
      <c r="J25">
        <f t="shared" si="3"/>
        <v>4</v>
      </c>
      <c r="K25">
        <f t="shared" si="3"/>
        <v>3</v>
      </c>
      <c r="L25">
        <f t="shared" si="3"/>
        <v>4</v>
      </c>
      <c r="M25">
        <f t="shared" si="3"/>
        <v>4</v>
      </c>
      <c r="N25">
        <f t="shared" si="3"/>
        <v>3</v>
      </c>
      <c r="O25">
        <f t="shared" si="3"/>
        <v>3</v>
      </c>
      <c r="P25">
        <f t="shared" si="3"/>
        <v>4</v>
      </c>
      <c r="Q25">
        <f t="shared" si="3"/>
        <v>3</v>
      </c>
      <c r="R25">
        <f t="shared" si="3"/>
        <v>3</v>
      </c>
      <c r="S25">
        <f t="shared" si="3"/>
        <v>4</v>
      </c>
      <c r="T25">
        <f t="shared" si="3"/>
        <v>4</v>
      </c>
      <c r="U25">
        <f t="shared" si="3"/>
        <v>3</v>
      </c>
      <c r="V25">
        <f t="shared" si="3"/>
        <v>4</v>
      </c>
      <c r="W25">
        <f t="shared" si="3"/>
        <v>4</v>
      </c>
      <c r="X25">
        <f t="shared" si="3"/>
        <v>3</v>
      </c>
      <c r="Y25">
        <f t="shared" si="3"/>
        <v>3</v>
      </c>
      <c r="Z25">
        <f t="shared" si="3"/>
        <v>4</v>
      </c>
      <c r="AA25">
        <f t="shared" si="3"/>
        <v>4</v>
      </c>
      <c r="AB25">
        <f t="shared" si="3"/>
        <v>4</v>
      </c>
      <c r="AC25">
        <f t="shared" si="3"/>
        <v>3</v>
      </c>
      <c r="AD25">
        <f t="shared" si="3"/>
        <v>3</v>
      </c>
      <c r="AE25">
        <f t="shared" si="3"/>
        <v>2</v>
      </c>
      <c r="AF25">
        <f t="shared" si="3"/>
        <v>3</v>
      </c>
    </row>
    <row r="26" spans="1:32" x14ac:dyDescent="0.35">
      <c r="A26" s="189" t="s">
        <v>159</v>
      </c>
      <c r="B26">
        <f t="shared" ref="B26:AF26" si="4">COUNTIF(B4:B21,"*GS")</f>
        <v>1</v>
      </c>
      <c r="C26">
        <f t="shared" si="4"/>
        <v>1</v>
      </c>
      <c r="D26">
        <f t="shared" si="4"/>
        <v>0</v>
      </c>
      <c r="E26">
        <f t="shared" si="4"/>
        <v>2</v>
      </c>
      <c r="F26">
        <f t="shared" si="4"/>
        <v>0</v>
      </c>
      <c r="G26">
        <f t="shared" si="4"/>
        <v>0</v>
      </c>
      <c r="H26">
        <f t="shared" si="4"/>
        <v>1</v>
      </c>
      <c r="I26">
        <f t="shared" si="4"/>
        <v>1</v>
      </c>
      <c r="J26">
        <f t="shared" si="4"/>
        <v>1</v>
      </c>
      <c r="K26">
        <f t="shared" si="4"/>
        <v>0</v>
      </c>
      <c r="L26">
        <f t="shared" si="4"/>
        <v>0</v>
      </c>
      <c r="M26">
        <f t="shared" si="4"/>
        <v>1</v>
      </c>
      <c r="N26">
        <f t="shared" si="4"/>
        <v>2</v>
      </c>
      <c r="O26">
        <f t="shared" si="4"/>
        <v>2</v>
      </c>
      <c r="P26">
        <f t="shared" si="4"/>
        <v>2</v>
      </c>
      <c r="Q26">
        <f t="shared" si="4"/>
        <v>1</v>
      </c>
      <c r="R26">
        <f t="shared" si="4"/>
        <v>0</v>
      </c>
      <c r="S26">
        <f t="shared" si="4"/>
        <v>0</v>
      </c>
      <c r="T26">
        <f t="shared" si="4"/>
        <v>0</v>
      </c>
      <c r="U26">
        <f t="shared" si="4"/>
        <v>0</v>
      </c>
      <c r="V26">
        <f t="shared" si="4"/>
        <v>0</v>
      </c>
      <c r="W26">
        <f t="shared" si="4"/>
        <v>0</v>
      </c>
      <c r="X26">
        <f t="shared" si="4"/>
        <v>1</v>
      </c>
      <c r="Y26">
        <f t="shared" si="4"/>
        <v>0</v>
      </c>
      <c r="Z26">
        <f t="shared" si="4"/>
        <v>0</v>
      </c>
      <c r="AA26">
        <f t="shared" si="4"/>
        <v>1</v>
      </c>
      <c r="AB26">
        <f t="shared" si="4"/>
        <v>0</v>
      </c>
      <c r="AC26">
        <f t="shared" si="4"/>
        <v>0</v>
      </c>
      <c r="AD26">
        <f t="shared" si="4"/>
        <v>2</v>
      </c>
      <c r="AE26">
        <f t="shared" si="4"/>
        <v>1</v>
      </c>
      <c r="AF26">
        <f t="shared" si="4"/>
        <v>0</v>
      </c>
    </row>
    <row r="27" spans="1:32" x14ac:dyDescent="0.35">
      <c r="A27" s="189" t="s">
        <v>160</v>
      </c>
      <c r="B27">
        <f>COUNTIF(B4:B21,"C")</f>
        <v>2</v>
      </c>
      <c r="C27">
        <f>COUNTIF(C4:C21,"WO")</f>
        <v>8</v>
      </c>
      <c r="D27">
        <f>COUNTIF(D4:D21,"WO")</f>
        <v>8</v>
      </c>
      <c r="E27">
        <f>COUNTIF(E4:E21,"C")</f>
        <v>3</v>
      </c>
      <c r="F27">
        <f>COUNTIF(F4:F21,"C")</f>
        <v>2</v>
      </c>
      <c r="G27">
        <f>COUNTIF(G4:G21,"C")</f>
        <v>2</v>
      </c>
      <c r="H27">
        <f>COUNTIF(H4:H21,"C")</f>
        <v>2</v>
      </c>
      <c r="I27">
        <f>COUNTIF(I4:I21,"C")</f>
        <v>2</v>
      </c>
      <c r="J27">
        <f>COUNTIF(J4:J21,"WO")</f>
        <v>7</v>
      </c>
      <c r="K27">
        <f>COUNTIF(K4:K21,"WO")</f>
        <v>9</v>
      </c>
      <c r="L27">
        <f>COUNTIF(L4:L21,"C")</f>
        <v>3</v>
      </c>
      <c r="M27">
        <f>COUNTIF(M4:M21,"C")</f>
        <v>2</v>
      </c>
      <c r="N27">
        <f>COUNTIF(N4:N21,"C")</f>
        <v>3</v>
      </c>
      <c r="O27">
        <f>COUNTIF(O4:O21,"C")</f>
        <v>3</v>
      </c>
      <c r="P27">
        <f>COUNTIF(P4:P21,"C")</f>
        <v>3</v>
      </c>
      <c r="Q27">
        <f>COUNTIF(Q4:Q21,"WO")</f>
        <v>8</v>
      </c>
      <c r="R27">
        <f>COUNTIF(R4:R21,"WO")</f>
        <v>8</v>
      </c>
      <c r="S27">
        <f>COUNTIF(S4:S21,"C")</f>
        <v>1</v>
      </c>
      <c r="T27">
        <f>COUNTIF(T4:T21,"C")</f>
        <v>0</v>
      </c>
      <c r="U27">
        <f>COUNTIF(U4:U21,"C")</f>
        <v>3</v>
      </c>
      <c r="V27">
        <f>COUNTIF(V4:V21,"C")</f>
        <v>2</v>
      </c>
      <c r="W27">
        <f>COUNTIF(W4:W21,"C")</f>
        <v>2</v>
      </c>
      <c r="X27">
        <f>COUNTIF(X4:X21,"WO")</f>
        <v>8</v>
      </c>
      <c r="Y27">
        <f>COUNTIF(Y4:Y21,"WO")</f>
        <v>9</v>
      </c>
      <c r="Z27">
        <f>COUNTIF(Z4:Z21,"C")</f>
        <v>4</v>
      </c>
      <c r="AA27">
        <f>COUNTIF(AA4:AA21,"C")</f>
        <v>3</v>
      </c>
      <c r="AB27">
        <f>COUNTIF(AB4:AB21,"C")</f>
        <v>3</v>
      </c>
      <c r="AC27">
        <f>COUNTIF(AC4:AC21,"C")</f>
        <v>2</v>
      </c>
      <c r="AD27">
        <f>COUNTIF(AD4:AD21,"C")</f>
        <v>2</v>
      </c>
      <c r="AE27">
        <f>COUNTIF(AE4:AE21,"WO")</f>
        <v>9</v>
      </c>
      <c r="AF27">
        <f>COUNTIF(AF4:AF21,"WO")</f>
        <v>8</v>
      </c>
    </row>
    <row r="28" spans="1:32" x14ac:dyDescent="0.35">
      <c r="A28" s="189" t="s">
        <v>161</v>
      </c>
      <c r="B28">
        <f t="shared" ref="B28:AF28" si="5">COUNTIF(B4:B21,"PL")</f>
        <v>0</v>
      </c>
      <c r="C28">
        <f t="shared" si="5"/>
        <v>0</v>
      </c>
      <c r="D28">
        <f t="shared" si="5"/>
        <v>1</v>
      </c>
      <c r="E28">
        <f t="shared" si="5"/>
        <v>1</v>
      </c>
      <c r="F28">
        <f t="shared" si="5"/>
        <v>1</v>
      </c>
      <c r="G28">
        <f t="shared" si="5"/>
        <v>3</v>
      </c>
      <c r="H28">
        <f t="shared" si="5"/>
        <v>2</v>
      </c>
      <c r="I28">
        <f t="shared" si="5"/>
        <v>2</v>
      </c>
      <c r="J28">
        <f t="shared" si="5"/>
        <v>0</v>
      </c>
      <c r="K28">
        <f t="shared" si="5"/>
        <v>0</v>
      </c>
      <c r="L28">
        <f t="shared" si="5"/>
        <v>1</v>
      </c>
      <c r="M28">
        <f t="shared" si="5"/>
        <v>1</v>
      </c>
      <c r="N28">
        <f t="shared" si="5"/>
        <v>0</v>
      </c>
      <c r="O28">
        <f t="shared" si="5"/>
        <v>0</v>
      </c>
      <c r="P28">
        <f t="shared" si="5"/>
        <v>0</v>
      </c>
      <c r="Q28">
        <f t="shared" si="5"/>
        <v>0</v>
      </c>
      <c r="R28">
        <f t="shared" si="5"/>
        <v>1</v>
      </c>
      <c r="S28">
        <f t="shared" si="5"/>
        <v>4</v>
      </c>
      <c r="T28">
        <f t="shared" si="5"/>
        <v>2</v>
      </c>
      <c r="U28">
        <f t="shared" si="5"/>
        <v>2</v>
      </c>
      <c r="V28">
        <f t="shared" si="5"/>
        <v>2</v>
      </c>
      <c r="W28">
        <f t="shared" si="5"/>
        <v>2</v>
      </c>
      <c r="X28">
        <f t="shared" si="5"/>
        <v>0</v>
      </c>
      <c r="Y28">
        <f t="shared" si="5"/>
        <v>0</v>
      </c>
      <c r="Z28">
        <f t="shared" si="5"/>
        <v>1</v>
      </c>
      <c r="AA28">
        <f t="shared" si="5"/>
        <v>0</v>
      </c>
      <c r="AB28">
        <f t="shared" si="5"/>
        <v>0</v>
      </c>
      <c r="AC28">
        <f t="shared" si="5"/>
        <v>1</v>
      </c>
      <c r="AD28">
        <f t="shared" si="5"/>
        <v>1</v>
      </c>
      <c r="AE28">
        <f t="shared" si="5"/>
        <v>0</v>
      </c>
      <c r="AF28">
        <f t="shared" si="5"/>
        <v>1</v>
      </c>
    </row>
    <row r="29" spans="1:32" x14ac:dyDescent="0.35">
      <c r="A29" s="189" t="s">
        <v>33</v>
      </c>
      <c r="B29">
        <f t="shared" ref="B29:AF29" si="6">COUNTIF(B4:B21,"UPL")</f>
        <v>0</v>
      </c>
      <c r="C29">
        <f t="shared" si="6"/>
        <v>0</v>
      </c>
      <c r="D29">
        <f t="shared" si="6"/>
        <v>0</v>
      </c>
      <c r="E29">
        <f t="shared" si="6"/>
        <v>0</v>
      </c>
      <c r="F29">
        <f t="shared" si="6"/>
        <v>0</v>
      </c>
      <c r="G29">
        <f t="shared" si="6"/>
        <v>0</v>
      </c>
      <c r="H29">
        <f t="shared" si="6"/>
        <v>0</v>
      </c>
      <c r="I29">
        <f t="shared" si="6"/>
        <v>0</v>
      </c>
      <c r="J29">
        <f t="shared" si="6"/>
        <v>0</v>
      </c>
      <c r="K29">
        <f t="shared" si="6"/>
        <v>0</v>
      </c>
      <c r="L29">
        <f t="shared" si="6"/>
        <v>0</v>
      </c>
      <c r="M29">
        <f t="shared" si="6"/>
        <v>0</v>
      </c>
      <c r="N29">
        <f t="shared" si="6"/>
        <v>0</v>
      </c>
      <c r="O29">
        <f t="shared" si="6"/>
        <v>0</v>
      </c>
      <c r="P29">
        <f t="shared" si="6"/>
        <v>0</v>
      </c>
      <c r="Q29">
        <f t="shared" si="6"/>
        <v>0</v>
      </c>
      <c r="R29">
        <f t="shared" si="6"/>
        <v>0</v>
      </c>
      <c r="S29">
        <f t="shared" si="6"/>
        <v>0</v>
      </c>
      <c r="T29">
        <f t="shared" si="6"/>
        <v>0</v>
      </c>
      <c r="U29">
        <f t="shared" si="6"/>
        <v>0</v>
      </c>
      <c r="V29">
        <f t="shared" si="6"/>
        <v>0</v>
      </c>
      <c r="W29">
        <f t="shared" si="6"/>
        <v>0</v>
      </c>
      <c r="X29">
        <f t="shared" si="6"/>
        <v>0</v>
      </c>
      <c r="Y29">
        <f t="shared" si="6"/>
        <v>0</v>
      </c>
      <c r="Z29">
        <f t="shared" si="6"/>
        <v>0</v>
      </c>
      <c r="AA29">
        <f t="shared" si="6"/>
        <v>0</v>
      </c>
      <c r="AB29">
        <f t="shared" si="6"/>
        <v>1</v>
      </c>
      <c r="AC29">
        <f t="shared" si="6"/>
        <v>1</v>
      </c>
      <c r="AD29">
        <f t="shared" si="6"/>
        <v>1</v>
      </c>
      <c r="AE29">
        <f t="shared" si="6"/>
        <v>0</v>
      </c>
      <c r="AF29">
        <f t="shared" si="6"/>
        <v>0</v>
      </c>
    </row>
    <row r="30" spans="1:32" x14ac:dyDescent="0.35">
      <c r="A30" s="189" t="s">
        <v>172</v>
      </c>
      <c r="B30">
        <f t="shared" ref="B30:AF30" si="7">COUNTIF(B4:B21,"H")</f>
        <v>0</v>
      </c>
      <c r="C30">
        <f t="shared" si="7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7"/>
        <v>0</v>
      </c>
      <c r="I30">
        <f t="shared" si="7"/>
        <v>0</v>
      </c>
      <c r="J30">
        <f t="shared" si="7"/>
        <v>0</v>
      </c>
      <c r="K30">
        <f t="shared" si="7"/>
        <v>0</v>
      </c>
      <c r="L30">
        <f t="shared" si="7"/>
        <v>0</v>
      </c>
      <c r="M30">
        <f t="shared" si="7"/>
        <v>0</v>
      </c>
      <c r="N30">
        <f t="shared" si="7"/>
        <v>0</v>
      </c>
      <c r="O30">
        <f t="shared" si="7"/>
        <v>0</v>
      </c>
      <c r="P30">
        <f t="shared" si="7"/>
        <v>0</v>
      </c>
      <c r="Q30">
        <f t="shared" si="7"/>
        <v>0</v>
      </c>
      <c r="R30">
        <f t="shared" si="7"/>
        <v>0</v>
      </c>
      <c r="S30">
        <f t="shared" si="7"/>
        <v>0</v>
      </c>
      <c r="T30">
        <f t="shared" si="7"/>
        <v>2</v>
      </c>
      <c r="U30">
        <f t="shared" si="7"/>
        <v>0</v>
      </c>
      <c r="V30">
        <f t="shared" si="7"/>
        <v>0</v>
      </c>
      <c r="W30">
        <f t="shared" si="7"/>
        <v>0</v>
      </c>
      <c r="X30">
        <f t="shared" si="7"/>
        <v>0</v>
      </c>
      <c r="Y30">
        <f t="shared" si="7"/>
        <v>0</v>
      </c>
      <c r="Z30">
        <f t="shared" si="7"/>
        <v>0</v>
      </c>
      <c r="AA30">
        <f t="shared" si="7"/>
        <v>0</v>
      </c>
      <c r="AB30">
        <f t="shared" si="7"/>
        <v>0</v>
      </c>
      <c r="AC30">
        <f t="shared" si="7"/>
        <v>0</v>
      </c>
      <c r="AD30">
        <f t="shared" si="7"/>
        <v>0</v>
      </c>
      <c r="AE30">
        <f t="shared" si="7"/>
        <v>0</v>
      </c>
      <c r="AF30">
        <f t="shared" si="7"/>
        <v>0</v>
      </c>
    </row>
    <row r="31" spans="1:32" x14ac:dyDescent="0.35">
      <c r="A31" s="189" t="s">
        <v>162</v>
      </c>
      <c r="B31" s="138">
        <f t="shared" ref="B31" si="8">SUM(B23:B30)</f>
        <v>16</v>
      </c>
      <c r="C31" s="138">
        <f t="shared" ref="C31:D31" si="9">SUM(C23:C30)</f>
        <v>16</v>
      </c>
      <c r="D31" s="138">
        <f t="shared" si="9"/>
        <v>16</v>
      </c>
      <c r="E31" s="138">
        <f t="shared" ref="E31:I31" si="10">SUM(E23:E30)</f>
        <v>16</v>
      </c>
      <c r="F31" s="138">
        <f t="shared" si="10"/>
        <v>16</v>
      </c>
      <c r="G31" s="138">
        <f t="shared" si="10"/>
        <v>16</v>
      </c>
      <c r="H31" s="138">
        <f t="shared" si="10"/>
        <v>16</v>
      </c>
      <c r="I31" s="138">
        <f t="shared" si="10"/>
        <v>16</v>
      </c>
      <c r="J31" s="138">
        <f t="shared" ref="J31:K31" si="11">SUM(J23:J30)</f>
        <v>16</v>
      </c>
      <c r="K31" s="138">
        <f t="shared" si="11"/>
        <v>16</v>
      </c>
      <c r="L31" s="138">
        <f t="shared" ref="L31:P31" si="12">SUM(L23:L30)</f>
        <v>16</v>
      </c>
      <c r="M31" s="138">
        <f t="shared" si="12"/>
        <v>16</v>
      </c>
      <c r="N31" s="138">
        <f t="shared" si="12"/>
        <v>16</v>
      </c>
      <c r="O31" s="138">
        <f t="shared" si="12"/>
        <v>16</v>
      </c>
      <c r="P31" s="138">
        <f t="shared" si="12"/>
        <v>16</v>
      </c>
      <c r="Q31" s="138">
        <f t="shared" ref="Q31:R31" si="13">SUM(Q23:Q30)</f>
        <v>16</v>
      </c>
      <c r="R31" s="138">
        <f t="shared" si="13"/>
        <v>16</v>
      </c>
      <c r="S31" s="138">
        <f t="shared" ref="S31:W31" si="14">SUM(S23:S30)</f>
        <v>16</v>
      </c>
      <c r="T31" s="138">
        <f t="shared" si="14"/>
        <v>16</v>
      </c>
      <c r="U31" s="138">
        <f t="shared" si="14"/>
        <v>16</v>
      </c>
      <c r="V31" s="138">
        <f t="shared" si="14"/>
        <v>16</v>
      </c>
      <c r="W31" s="138">
        <f t="shared" si="14"/>
        <v>16</v>
      </c>
      <c r="X31" s="138">
        <f t="shared" ref="X31:Y31" si="15">SUM(X23:X30)</f>
        <v>16</v>
      </c>
      <c r="Y31" s="138">
        <f t="shared" si="15"/>
        <v>16</v>
      </c>
      <c r="Z31" s="138">
        <f t="shared" ref="Z31:AD31" si="16">SUM(Z23:Z30)</f>
        <v>16</v>
      </c>
      <c r="AA31" s="138">
        <f t="shared" si="16"/>
        <v>16</v>
      </c>
      <c r="AB31" s="138">
        <f t="shared" si="16"/>
        <v>16</v>
      </c>
      <c r="AC31" s="138">
        <f t="shared" si="16"/>
        <v>15</v>
      </c>
      <c r="AD31" s="138">
        <f t="shared" si="16"/>
        <v>16</v>
      </c>
      <c r="AE31" s="138">
        <f t="shared" ref="AE31:AF31" si="17">SUM(AE23:AE30)</f>
        <v>16</v>
      </c>
      <c r="AF31" s="138">
        <f t="shared" si="17"/>
        <v>16</v>
      </c>
    </row>
  </sheetData>
  <conditionalFormatting sqref="B23:B26">
    <cfRule type="cellIs" dxfId="58" priority="17" operator="lessThan">
      <formula>3</formula>
    </cfRule>
  </conditionalFormatting>
  <conditionalFormatting sqref="C23:D26">
    <cfRule type="cellIs" dxfId="57" priority="9" operator="lessThan">
      <formula>3</formula>
    </cfRule>
  </conditionalFormatting>
  <conditionalFormatting sqref="E23:I26">
    <cfRule type="cellIs" dxfId="56" priority="8" operator="lessThan">
      <formula>3</formula>
    </cfRule>
  </conditionalFormatting>
  <conditionalFormatting sqref="J23:K26">
    <cfRule type="cellIs" dxfId="55" priority="7" operator="lessThan">
      <formula>3</formula>
    </cfRule>
  </conditionalFormatting>
  <conditionalFormatting sqref="L23:P26">
    <cfRule type="cellIs" dxfId="54" priority="6" operator="lessThan">
      <formula>3</formula>
    </cfRule>
  </conditionalFormatting>
  <conditionalFormatting sqref="Q23:R26">
    <cfRule type="cellIs" dxfId="53" priority="5" operator="lessThan">
      <formula>3</formula>
    </cfRule>
  </conditionalFormatting>
  <conditionalFormatting sqref="S23:W26">
    <cfRule type="cellIs" dxfId="52" priority="4" operator="lessThan">
      <formula>3</formula>
    </cfRule>
  </conditionalFormatting>
  <conditionalFormatting sqref="X23:Y26">
    <cfRule type="cellIs" dxfId="51" priority="3" operator="lessThan">
      <formula>3</formula>
    </cfRule>
  </conditionalFormatting>
  <conditionalFormatting sqref="Z23:AD26">
    <cfRule type="cellIs" dxfId="50" priority="2" operator="lessThan">
      <formula>3</formula>
    </cfRule>
  </conditionalFormatting>
  <conditionalFormatting sqref="AE23:AF26">
    <cfRule type="cellIs" dxfId="49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K31"/>
  <sheetViews>
    <sheetView zoomScale="60" zoomScaleNormal="60" workbookViewId="0">
      <pane xSplit="1" topLeftCell="B1" activePane="topRight" state="frozen"/>
      <selection pane="topRight" activeCell="C6" sqref="C6:C7"/>
    </sheetView>
  </sheetViews>
  <sheetFormatPr defaultRowHeight="14.5" x14ac:dyDescent="0.35"/>
  <cols>
    <col min="1" max="1" width="23.08984375" bestFit="1" customWidth="1"/>
    <col min="2" max="37" width="8.7265625" customWidth="1"/>
  </cols>
  <sheetData>
    <row r="1" spans="1:37" x14ac:dyDescent="0.35">
      <c r="A1" s="70"/>
      <c r="B1" s="2" t="str">
        <f t="shared" ref="B1:AK1" si="0">TEXT(B2,"ddd")</f>
        <v>Sun</v>
      </c>
      <c r="C1" s="2" t="str">
        <f t="shared" si="0"/>
        <v>Mon</v>
      </c>
      <c r="D1" s="2" t="str">
        <f t="shared" si="0"/>
        <v>Tue</v>
      </c>
      <c r="E1" s="2" t="str">
        <f t="shared" si="0"/>
        <v>Wed</v>
      </c>
      <c r="F1" s="2" t="str">
        <f t="shared" si="0"/>
        <v>Thu</v>
      </c>
      <c r="G1" s="2" t="str">
        <f t="shared" si="0"/>
        <v>Fri</v>
      </c>
      <c r="H1" s="2" t="str">
        <f t="shared" si="0"/>
        <v>Sat</v>
      </c>
      <c r="I1" s="2" t="str">
        <f t="shared" si="0"/>
        <v>Sun</v>
      </c>
      <c r="J1" s="2" t="str">
        <f t="shared" si="0"/>
        <v>Mon</v>
      </c>
      <c r="K1" s="2" t="str">
        <f t="shared" si="0"/>
        <v>Tue</v>
      </c>
      <c r="L1" s="2" t="str">
        <f t="shared" si="0"/>
        <v>Wed</v>
      </c>
      <c r="M1" s="2" t="str">
        <f t="shared" si="0"/>
        <v>Thu</v>
      </c>
      <c r="N1" s="2" t="str">
        <f t="shared" si="0"/>
        <v>Fri</v>
      </c>
      <c r="O1" s="2" t="str">
        <f t="shared" si="0"/>
        <v>Sat</v>
      </c>
      <c r="P1" s="2" t="str">
        <f t="shared" si="0"/>
        <v>Sun</v>
      </c>
      <c r="Q1" s="2" t="str">
        <f t="shared" si="0"/>
        <v>Mon</v>
      </c>
      <c r="R1" s="2" t="str">
        <f t="shared" si="0"/>
        <v>Tue</v>
      </c>
      <c r="S1" s="2" t="str">
        <f t="shared" si="0"/>
        <v>Wed</v>
      </c>
      <c r="T1" s="2" t="str">
        <f t="shared" si="0"/>
        <v>Thu</v>
      </c>
      <c r="U1" s="2" t="str">
        <f t="shared" si="0"/>
        <v>Fri</v>
      </c>
      <c r="V1" s="2" t="str">
        <f t="shared" si="0"/>
        <v>Sat</v>
      </c>
      <c r="W1" s="2" t="str">
        <f t="shared" si="0"/>
        <v>Sun</v>
      </c>
      <c r="X1" s="2" t="str">
        <f t="shared" si="0"/>
        <v>Mon</v>
      </c>
      <c r="Y1" s="2" t="str">
        <f t="shared" si="0"/>
        <v>Tue</v>
      </c>
      <c r="Z1" s="2" t="str">
        <f t="shared" si="0"/>
        <v>Wed</v>
      </c>
      <c r="AA1" s="2" t="str">
        <f t="shared" si="0"/>
        <v>Thu</v>
      </c>
      <c r="AB1" s="2" t="str">
        <f t="shared" si="0"/>
        <v>Fri</v>
      </c>
      <c r="AC1" s="2" t="str">
        <f t="shared" si="0"/>
        <v>Sat</v>
      </c>
      <c r="AD1" s="2" t="str">
        <f t="shared" si="0"/>
        <v>Sun</v>
      </c>
      <c r="AE1" s="2" t="str">
        <f t="shared" si="0"/>
        <v>Mon</v>
      </c>
      <c r="AF1" s="2" t="str">
        <f t="shared" si="0"/>
        <v>Tue</v>
      </c>
      <c r="AG1" s="2" t="str">
        <f t="shared" si="0"/>
        <v>Wed</v>
      </c>
      <c r="AH1" s="2" t="str">
        <f t="shared" si="0"/>
        <v>Thu</v>
      </c>
      <c r="AI1" s="2" t="str">
        <f t="shared" si="0"/>
        <v>Fri</v>
      </c>
      <c r="AJ1" s="2" t="str">
        <f t="shared" si="0"/>
        <v>Sat</v>
      </c>
      <c r="AK1" s="2" t="str">
        <f t="shared" si="0"/>
        <v>Sun</v>
      </c>
    </row>
    <row r="2" spans="1:37" x14ac:dyDescent="0.35">
      <c r="A2" s="104" t="s">
        <v>0</v>
      </c>
      <c r="B2" s="31">
        <v>45200</v>
      </c>
      <c r="C2" s="31">
        <v>45201</v>
      </c>
      <c r="D2" s="31">
        <v>45202</v>
      </c>
      <c r="E2" s="31">
        <v>45203</v>
      </c>
      <c r="F2" s="31">
        <v>45204</v>
      </c>
      <c r="G2" s="31">
        <v>45205</v>
      </c>
      <c r="H2" s="31">
        <v>45206</v>
      </c>
      <c r="I2" s="31">
        <v>45207</v>
      </c>
      <c r="J2" s="31">
        <v>45208</v>
      </c>
      <c r="K2" s="31">
        <v>45209</v>
      </c>
      <c r="L2" s="31">
        <v>45210</v>
      </c>
      <c r="M2" s="31">
        <v>45211</v>
      </c>
      <c r="N2" s="31">
        <v>45212</v>
      </c>
      <c r="O2" s="31">
        <v>45213</v>
      </c>
      <c r="P2" s="31">
        <v>45214</v>
      </c>
      <c r="Q2" s="31">
        <v>45215</v>
      </c>
      <c r="R2" s="31">
        <v>45216</v>
      </c>
      <c r="S2" s="31">
        <v>45217</v>
      </c>
      <c r="T2" s="31">
        <v>45218</v>
      </c>
      <c r="U2" s="31">
        <v>45219</v>
      </c>
      <c r="V2" s="31">
        <v>45220</v>
      </c>
      <c r="W2" s="31">
        <v>45221</v>
      </c>
      <c r="X2" s="31">
        <v>45222</v>
      </c>
      <c r="Y2" s="31">
        <v>45223</v>
      </c>
      <c r="Z2" s="31">
        <v>45224</v>
      </c>
      <c r="AA2" s="31">
        <v>45225</v>
      </c>
      <c r="AB2" s="31">
        <v>45226</v>
      </c>
      <c r="AC2" s="31">
        <v>45227</v>
      </c>
      <c r="AD2" s="31">
        <v>45228</v>
      </c>
      <c r="AE2" s="31">
        <v>45229</v>
      </c>
      <c r="AF2" s="31">
        <v>45230</v>
      </c>
      <c r="AG2" s="31">
        <v>45231</v>
      </c>
      <c r="AH2" s="31">
        <v>45232</v>
      </c>
      <c r="AI2" s="31">
        <v>45233</v>
      </c>
      <c r="AJ2" s="31">
        <v>45234</v>
      </c>
      <c r="AK2" s="31">
        <v>45235</v>
      </c>
    </row>
    <row r="3" spans="1:37" x14ac:dyDescent="0.35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</row>
    <row r="4" spans="1:37" x14ac:dyDescent="0.35">
      <c r="A4" s="193" t="s">
        <v>57</v>
      </c>
      <c r="B4" s="185" t="s">
        <v>11</v>
      </c>
      <c r="C4" s="185" t="s">
        <v>11</v>
      </c>
      <c r="D4" s="185" t="s">
        <v>10</v>
      </c>
      <c r="E4" s="184" t="s">
        <v>2</v>
      </c>
      <c r="F4" s="185" t="s">
        <v>10</v>
      </c>
      <c r="G4" s="184" t="s">
        <v>2</v>
      </c>
      <c r="H4" s="123" t="s">
        <v>4</v>
      </c>
      <c r="I4" s="185" t="s">
        <v>11</v>
      </c>
      <c r="J4" s="185" t="s">
        <v>10</v>
      </c>
      <c r="K4" s="185" t="s">
        <v>10</v>
      </c>
      <c r="L4" s="185" t="s">
        <v>10</v>
      </c>
      <c r="M4" s="185" t="s">
        <v>10</v>
      </c>
      <c r="N4" s="184" t="s">
        <v>2</v>
      </c>
      <c r="O4" s="123" t="s">
        <v>4</v>
      </c>
      <c r="P4" s="185" t="s">
        <v>11</v>
      </c>
      <c r="Q4" s="185" t="s">
        <v>10</v>
      </c>
      <c r="R4" s="185" t="s">
        <v>10</v>
      </c>
      <c r="S4" s="185" t="s">
        <v>10</v>
      </c>
      <c r="T4" s="184" t="s">
        <v>2</v>
      </c>
      <c r="U4" s="185" t="s">
        <v>10</v>
      </c>
      <c r="V4" s="185" t="s">
        <v>11</v>
      </c>
      <c r="W4" s="123" t="s">
        <v>4</v>
      </c>
      <c r="X4" s="185" t="s">
        <v>10</v>
      </c>
      <c r="Y4" s="185" t="s">
        <v>11</v>
      </c>
      <c r="Z4" s="184" t="s">
        <v>2</v>
      </c>
      <c r="AA4" s="185" t="s">
        <v>10</v>
      </c>
      <c r="AB4" s="185" t="s">
        <v>10</v>
      </c>
      <c r="AC4" s="185" t="s">
        <v>11</v>
      </c>
      <c r="AD4" s="185" t="s">
        <v>11</v>
      </c>
      <c r="AE4" s="184" t="s">
        <v>2</v>
      </c>
      <c r="AF4" s="184" t="s">
        <v>2</v>
      </c>
      <c r="AJ4" s="123" t="s">
        <v>4</v>
      </c>
      <c r="AK4" s="123" t="s">
        <v>4</v>
      </c>
    </row>
    <row r="5" spans="1:37" x14ac:dyDescent="0.35">
      <c r="A5" s="193" t="s">
        <v>75</v>
      </c>
      <c r="B5" s="185" t="s">
        <v>11</v>
      </c>
      <c r="C5" s="185" t="s">
        <v>11</v>
      </c>
      <c r="D5" s="184" t="s">
        <v>2</v>
      </c>
      <c r="E5" s="185" t="s">
        <v>10</v>
      </c>
      <c r="F5" s="184" t="s">
        <v>2</v>
      </c>
      <c r="G5" s="185" t="s">
        <v>10</v>
      </c>
      <c r="H5" s="185" t="s">
        <v>11</v>
      </c>
      <c r="I5" s="123" t="s">
        <v>4</v>
      </c>
      <c r="J5" s="184" t="s">
        <v>2</v>
      </c>
      <c r="K5" s="185" t="s">
        <v>10</v>
      </c>
      <c r="L5" s="185" t="s">
        <v>10</v>
      </c>
      <c r="M5" s="185" t="s">
        <v>10</v>
      </c>
      <c r="N5" s="185" t="s">
        <v>10</v>
      </c>
      <c r="O5" s="185" t="s">
        <v>11</v>
      </c>
      <c r="P5" s="123" t="s">
        <v>4</v>
      </c>
      <c r="Q5" s="184" t="s">
        <v>2</v>
      </c>
      <c r="R5" s="185" t="s">
        <v>10</v>
      </c>
      <c r="S5" s="185" t="s">
        <v>10</v>
      </c>
      <c r="T5" s="185" t="s">
        <v>10</v>
      </c>
      <c r="U5" s="131" t="s">
        <v>5</v>
      </c>
      <c r="V5" s="131" t="s">
        <v>5</v>
      </c>
      <c r="W5" s="131" t="s">
        <v>5</v>
      </c>
      <c r="X5" s="185" t="s">
        <v>10</v>
      </c>
      <c r="Y5" s="185" t="s">
        <v>11</v>
      </c>
      <c r="Z5" s="185" t="s">
        <v>10</v>
      </c>
      <c r="AA5" s="131" t="s">
        <v>5</v>
      </c>
      <c r="AB5" s="131" t="s">
        <v>5</v>
      </c>
      <c r="AC5" s="131" t="s">
        <v>5</v>
      </c>
      <c r="AD5" s="131" t="s">
        <v>5</v>
      </c>
      <c r="AE5" s="185" t="s">
        <v>10</v>
      </c>
      <c r="AF5" s="185" t="s">
        <v>10</v>
      </c>
      <c r="AJ5" s="123" t="s">
        <v>4</v>
      </c>
      <c r="AK5" s="123" t="s">
        <v>4</v>
      </c>
    </row>
    <row r="6" spans="1:37" x14ac:dyDescent="0.35">
      <c r="A6" s="182" t="s">
        <v>21</v>
      </c>
      <c r="B6" s="123" t="s">
        <v>4</v>
      </c>
      <c r="C6" s="183" t="s">
        <v>37</v>
      </c>
      <c r="D6" s="185" t="s">
        <v>10</v>
      </c>
      <c r="E6" s="185" t="s">
        <v>10</v>
      </c>
      <c r="F6" s="185" t="s">
        <v>10</v>
      </c>
      <c r="G6" s="185" t="s">
        <v>10</v>
      </c>
      <c r="H6" s="185" t="s">
        <v>11</v>
      </c>
      <c r="I6" s="123" t="s">
        <v>4</v>
      </c>
      <c r="J6" s="185" t="s">
        <v>10</v>
      </c>
      <c r="K6" s="185" t="s">
        <v>10</v>
      </c>
      <c r="L6" s="185" t="s">
        <v>10</v>
      </c>
      <c r="M6" s="185" t="s">
        <v>10</v>
      </c>
      <c r="N6" s="185" t="s">
        <v>10</v>
      </c>
      <c r="O6" s="185" t="s">
        <v>11</v>
      </c>
      <c r="P6" s="123" t="s">
        <v>4</v>
      </c>
      <c r="Q6" s="185" t="s">
        <v>10</v>
      </c>
      <c r="R6" s="185" t="s">
        <v>10</v>
      </c>
      <c r="S6" s="185" t="s">
        <v>10</v>
      </c>
      <c r="T6" s="184" t="s">
        <v>2</v>
      </c>
      <c r="U6" s="185" t="s">
        <v>10</v>
      </c>
      <c r="V6" s="185" t="s">
        <v>11</v>
      </c>
      <c r="W6" s="185" t="s">
        <v>11</v>
      </c>
      <c r="X6" s="185" t="s">
        <v>10</v>
      </c>
      <c r="Y6" s="185" t="s">
        <v>11</v>
      </c>
      <c r="Z6" s="185" t="s">
        <v>10</v>
      </c>
      <c r="AA6" s="184" t="s">
        <v>2</v>
      </c>
      <c r="AB6" s="25" t="s">
        <v>3</v>
      </c>
      <c r="AC6" s="185" t="s">
        <v>11</v>
      </c>
      <c r="AD6" s="123" t="s">
        <v>4</v>
      </c>
      <c r="AE6" s="185" t="s">
        <v>10</v>
      </c>
      <c r="AF6" s="185" t="s">
        <v>10</v>
      </c>
      <c r="AJ6" s="123" t="s">
        <v>4</v>
      </c>
      <c r="AK6" s="123" t="s">
        <v>4</v>
      </c>
    </row>
    <row r="7" spans="1:37" x14ac:dyDescent="0.35">
      <c r="A7" s="182" t="s">
        <v>22</v>
      </c>
      <c r="B7" s="123" t="s">
        <v>4</v>
      </c>
      <c r="C7" s="183" t="s">
        <v>37</v>
      </c>
      <c r="D7" s="185" t="s">
        <v>10</v>
      </c>
      <c r="E7" s="185" t="s">
        <v>10</v>
      </c>
      <c r="F7" s="185" t="s">
        <v>10</v>
      </c>
      <c r="G7" s="185" t="s">
        <v>10</v>
      </c>
      <c r="H7" s="123" t="s">
        <v>4</v>
      </c>
      <c r="I7" s="185" t="s">
        <v>11</v>
      </c>
      <c r="J7" s="185" t="s">
        <v>10</v>
      </c>
      <c r="K7" s="184" t="s">
        <v>2</v>
      </c>
      <c r="L7" s="185" t="s">
        <v>10</v>
      </c>
      <c r="M7" s="131" t="s">
        <v>5</v>
      </c>
      <c r="N7" s="131" t="s">
        <v>5</v>
      </c>
      <c r="O7" s="123" t="s">
        <v>4</v>
      </c>
      <c r="P7" s="185" t="s">
        <v>11</v>
      </c>
      <c r="Q7" s="185" t="s">
        <v>10</v>
      </c>
      <c r="R7" s="184" t="s">
        <v>2</v>
      </c>
      <c r="S7" s="185" t="s">
        <v>10</v>
      </c>
      <c r="T7" s="185" t="s">
        <v>10</v>
      </c>
      <c r="U7" s="185" t="s">
        <v>10</v>
      </c>
      <c r="V7" s="123" t="s">
        <v>4</v>
      </c>
      <c r="W7" s="185" t="s">
        <v>11</v>
      </c>
      <c r="X7" s="131" t="s">
        <v>5</v>
      </c>
      <c r="Y7" s="131" t="s">
        <v>5</v>
      </c>
      <c r="Z7" s="131" t="s">
        <v>5</v>
      </c>
      <c r="AA7" s="185" t="s">
        <v>10</v>
      </c>
      <c r="AB7" s="185" t="s">
        <v>10</v>
      </c>
      <c r="AC7" s="123" t="s">
        <v>4</v>
      </c>
      <c r="AD7" s="185" t="s">
        <v>11</v>
      </c>
      <c r="AE7" s="185" t="s">
        <v>10</v>
      </c>
      <c r="AF7" s="184" t="s">
        <v>2</v>
      </c>
      <c r="AJ7" s="123" t="s">
        <v>4</v>
      </c>
      <c r="AK7" s="123" t="s">
        <v>4</v>
      </c>
    </row>
    <row r="8" spans="1:37" x14ac:dyDescent="0.35">
      <c r="A8" s="182" t="s">
        <v>76</v>
      </c>
      <c r="B8" s="185" t="s">
        <v>11</v>
      </c>
      <c r="C8" s="185" t="s">
        <v>11</v>
      </c>
      <c r="D8" s="185" t="s">
        <v>10</v>
      </c>
      <c r="E8" s="184" t="s">
        <v>2</v>
      </c>
      <c r="F8" s="184" t="s">
        <v>2</v>
      </c>
      <c r="G8" s="185" t="s">
        <v>10</v>
      </c>
      <c r="H8" s="185" t="s">
        <v>11</v>
      </c>
      <c r="I8" s="123" t="s">
        <v>4</v>
      </c>
      <c r="J8" s="185" t="s">
        <v>10</v>
      </c>
      <c r="K8" s="185" t="s">
        <v>10</v>
      </c>
      <c r="L8" s="184" t="s">
        <v>2</v>
      </c>
      <c r="M8" s="185" t="s">
        <v>10</v>
      </c>
      <c r="N8" s="185" t="s">
        <v>10</v>
      </c>
      <c r="O8" s="185" t="s">
        <v>11</v>
      </c>
      <c r="P8" s="123" t="s">
        <v>4</v>
      </c>
      <c r="Q8" s="185" t="s">
        <v>10</v>
      </c>
      <c r="R8" s="185" t="s">
        <v>10</v>
      </c>
      <c r="S8" s="184" t="s">
        <v>2</v>
      </c>
      <c r="T8" s="185" t="s">
        <v>10</v>
      </c>
      <c r="U8" s="185" t="s">
        <v>10</v>
      </c>
      <c r="V8" s="185" t="s">
        <v>11</v>
      </c>
      <c r="W8" s="123" t="s">
        <v>4</v>
      </c>
      <c r="X8" s="131" t="s">
        <v>5</v>
      </c>
      <c r="Y8" s="131" t="s">
        <v>5</v>
      </c>
      <c r="Z8" s="185" t="s">
        <v>10</v>
      </c>
      <c r="AA8" s="185" t="s">
        <v>10</v>
      </c>
      <c r="AB8" s="185" t="s">
        <v>10</v>
      </c>
      <c r="AC8" s="185" t="s">
        <v>11</v>
      </c>
      <c r="AD8" s="123" t="s">
        <v>4</v>
      </c>
      <c r="AE8" s="185" t="s">
        <v>10</v>
      </c>
      <c r="AF8" s="184" t="s">
        <v>2</v>
      </c>
      <c r="AJ8" s="123" t="s">
        <v>4</v>
      </c>
      <c r="AK8" s="123" t="s">
        <v>4</v>
      </c>
    </row>
    <row r="10" spans="1:37" x14ac:dyDescent="0.35">
      <c r="A10" s="193" t="s">
        <v>1</v>
      </c>
      <c r="B10" s="25" t="s">
        <v>3</v>
      </c>
      <c r="C10" s="19" t="s">
        <v>42</v>
      </c>
      <c r="D10" s="19" t="s">
        <v>41</v>
      </c>
      <c r="E10" s="19" t="s">
        <v>41</v>
      </c>
      <c r="F10" s="19" t="s">
        <v>41</v>
      </c>
      <c r="G10" s="184" t="s">
        <v>2</v>
      </c>
      <c r="H10" s="19" t="s">
        <v>42</v>
      </c>
      <c r="I10" s="19" t="s">
        <v>42</v>
      </c>
      <c r="J10" s="19" t="s">
        <v>41</v>
      </c>
      <c r="K10" s="19" t="s">
        <v>41</v>
      </c>
      <c r="L10" s="19" t="s">
        <v>41</v>
      </c>
      <c r="M10" s="19" t="s">
        <v>41</v>
      </c>
      <c r="N10" s="184" t="s">
        <v>2</v>
      </c>
      <c r="O10" s="19" t="s">
        <v>42</v>
      </c>
      <c r="P10" s="131" t="s">
        <v>5</v>
      </c>
      <c r="Q10" s="131" t="s">
        <v>5</v>
      </c>
      <c r="R10" s="131" t="s">
        <v>5</v>
      </c>
      <c r="S10" s="19" t="s">
        <v>41</v>
      </c>
      <c r="T10" s="19" t="s">
        <v>41</v>
      </c>
      <c r="U10" s="131" t="s">
        <v>5</v>
      </c>
      <c r="V10" s="123" t="s">
        <v>4</v>
      </c>
      <c r="W10" s="123" t="s">
        <v>4</v>
      </c>
      <c r="X10" s="184" t="s">
        <v>2</v>
      </c>
      <c r="Y10" s="183" t="s">
        <v>37</v>
      </c>
      <c r="Z10" s="19" t="s">
        <v>41</v>
      </c>
      <c r="AA10" s="19" t="s">
        <v>41</v>
      </c>
      <c r="AB10" s="19" t="s">
        <v>41</v>
      </c>
      <c r="AC10" s="19" t="s">
        <v>42</v>
      </c>
      <c r="AD10" s="123" t="s">
        <v>4</v>
      </c>
      <c r="AE10" s="184" t="s">
        <v>2</v>
      </c>
      <c r="AF10" s="184" t="s">
        <v>2</v>
      </c>
      <c r="AG10" s="131" t="s">
        <v>5</v>
      </c>
      <c r="AH10" s="131" t="s">
        <v>5</v>
      </c>
      <c r="AI10" s="131" t="s">
        <v>5</v>
      </c>
      <c r="AJ10" s="131" t="s">
        <v>5</v>
      </c>
      <c r="AK10" s="131" t="s">
        <v>5</v>
      </c>
    </row>
    <row r="11" spans="1:37" x14ac:dyDescent="0.35">
      <c r="A11" s="193" t="s">
        <v>15</v>
      </c>
      <c r="B11" s="123" t="s">
        <v>4</v>
      </c>
      <c r="C11" s="19" t="s">
        <v>42</v>
      </c>
      <c r="D11" s="131" t="s">
        <v>5</v>
      </c>
      <c r="E11" s="131" t="s">
        <v>5</v>
      </c>
      <c r="F11" s="131" t="s">
        <v>5</v>
      </c>
      <c r="G11" s="19" t="s">
        <v>41</v>
      </c>
      <c r="H11" s="123" t="s">
        <v>4</v>
      </c>
      <c r="I11" s="123" t="s">
        <v>4</v>
      </c>
      <c r="J11" s="19" t="s">
        <v>41</v>
      </c>
      <c r="K11" s="131" t="s">
        <v>5</v>
      </c>
      <c r="L11" s="131" t="s">
        <v>5</v>
      </c>
      <c r="M11" s="131" t="s">
        <v>5</v>
      </c>
      <c r="N11" s="19" t="s">
        <v>41</v>
      </c>
      <c r="O11" s="123" t="s">
        <v>4</v>
      </c>
      <c r="P11" s="19" t="s">
        <v>42</v>
      </c>
      <c r="Q11" s="19" t="s">
        <v>41</v>
      </c>
      <c r="R11" s="19" t="s">
        <v>41</v>
      </c>
      <c r="S11" s="19" t="s">
        <v>41</v>
      </c>
      <c r="T11" s="19" t="s">
        <v>41</v>
      </c>
      <c r="U11" s="19" t="s">
        <v>41</v>
      </c>
      <c r="V11" s="123" t="s">
        <v>4</v>
      </c>
      <c r="W11" s="19" t="s">
        <v>42</v>
      </c>
      <c r="X11" s="19" t="s">
        <v>41</v>
      </c>
      <c r="Y11" s="19" t="s">
        <v>42</v>
      </c>
      <c r="Z11" s="19" t="s">
        <v>41</v>
      </c>
      <c r="AA11" s="184" t="s">
        <v>2</v>
      </c>
      <c r="AB11" s="131" t="s">
        <v>5</v>
      </c>
      <c r="AC11" s="123" t="s">
        <v>4</v>
      </c>
      <c r="AD11" s="19" t="s">
        <v>42</v>
      </c>
      <c r="AE11" s="19" t="s">
        <v>41</v>
      </c>
      <c r="AF11" s="19" t="s">
        <v>41</v>
      </c>
      <c r="AJ11" s="123" t="s">
        <v>4</v>
      </c>
      <c r="AK11" s="123" t="s">
        <v>4</v>
      </c>
    </row>
    <row r="12" spans="1:37" x14ac:dyDescent="0.35">
      <c r="A12" s="182" t="s">
        <v>77</v>
      </c>
      <c r="B12" s="123" t="s">
        <v>4</v>
      </c>
      <c r="C12" s="183" t="s">
        <v>37</v>
      </c>
      <c r="D12" s="184" t="s">
        <v>2</v>
      </c>
      <c r="E12" s="184" t="s">
        <v>2</v>
      </c>
      <c r="F12" s="184" t="s">
        <v>2</v>
      </c>
      <c r="G12" s="19" t="s">
        <v>41</v>
      </c>
      <c r="H12" s="123" t="s">
        <v>4</v>
      </c>
      <c r="I12" s="25" t="s">
        <v>3</v>
      </c>
      <c r="J12" s="19" t="s">
        <v>41</v>
      </c>
      <c r="K12" s="184" t="s">
        <v>2</v>
      </c>
      <c r="L12" s="184" t="s">
        <v>2</v>
      </c>
      <c r="M12" s="184" t="s">
        <v>2</v>
      </c>
      <c r="N12" s="19" t="s">
        <v>41</v>
      </c>
      <c r="O12" s="123" t="s">
        <v>4</v>
      </c>
      <c r="P12" s="123" t="s">
        <v>4</v>
      </c>
      <c r="Q12" s="19" t="s">
        <v>41</v>
      </c>
      <c r="R12" s="19" t="s">
        <v>41</v>
      </c>
      <c r="S12" s="184" t="s">
        <v>2</v>
      </c>
      <c r="T12" s="19" t="s">
        <v>41</v>
      </c>
      <c r="U12" s="19" t="s">
        <v>41</v>
      </c>
      <c r="V12" s="19" t="s">
        <v>42</v>
      </c>
      <c r="W12" s="123" t="s">
        <v>4</v>
      </c>
      <c r="X12" s="131" t="s">
        <v>5</v>
      </c>
      <c r="Y12" s="183" t="s">
        <v>37</v>
      </c>
      <c r="Z12" s="19" t="s">
        <v>41</v>
      </c>
      <c r="AA12" s="19" t="s">
        <v>41</v>
      </c>
      <c r="AB12" s="19" t="s">
        <v>41</v>
      </c>
      <c r="AC12" s="25" t="s">
        <v>3</v>
      </c>
      <c r="AD12" s="123" t="s">
        <v>4</v>
      </c>
      <c r="AE12" s="19" t="s">
        <v>41</v>
      </c>
      <c r="AF12" s="184" t="s">
        <v>2</v>
      </c>
      <c r="AJ12" s="123" t="s">
        <v>4</v>
      </c>
      <c r="AK12" s="123" t="s">
        <v>4</v>
      </c>
    </row>
    <row r="13" spans="1:37" x14ac:dyDescent="0.35">
      <c r="A13" s="182" t="s">
        <v>181</v>
      </c>
      <c r="B13" s="19" t="s">
        <v>42</v>
      </c>
      <c r="C13" s="19" t="s">
        <v>42</v>
      </c>
      <c r="D13" s="19" t="s">
        <v>41</v>
      </c>
      <c r="E13" s="19" t="s">
        <v>41</v>
      </c>
      <c r="F13" s="19" t="s">
        <v>41</v>
      </c>
      <c r="G13" s="184" t="s">
        <v>2</v>
      </c>
      <c r="H13" s="123" t="s">
        <v>4</v>
      </c>
      <c r="I13" s="19" t="s">
        <v>42</v>
      </c>
      <c r="J13" s="19" t="s">
        <v>41</v>
      </c>
      <c r="K13" s="19" t="s">
        <v>41</v>
      </c>
      <c r="L13" s="19" t="s">
        <v>41</v>
      </c>
      <c r="M13" s="19" t="s">
        <v>41</v>
      </c>
      <c r="N13" s="184" t="s">
        <v>2</v>
      </c>
      <c r="O13" s="22" t="s">
        <v>30</v>
      </c>
      <c r="P13" s="19" t="s">
        <v>42</v>
      </c>
      <c r="Q13" s="19" t="s">
        <v>41</v>
      </c>
      <c r="R13" s="19" t="s">
        <v>41</v>
      </c>
      <c r="S13" s="19" t="s">
        <v>41</v>
      </c>
      <c r="T13" s="184" t="s">
        <v>2</v>
      </c>
      <c r="U13" s="184" t="s">
        <v>2</v>
      </c>
      <c r="V13" s="123" t="s">
        <v>4</v>
      </c>
      <c r="W13" s="19" t="s">
        <v>42</v>
      </c>
      <c r="X13" s="19" t="s">
        <v>41</v>
      </c>
      <c r="Y13" s="131" t="s">
        <v>5</v>
      </c>
      <c r="Z13" s="131" t="s">
        <v>5</v>
      </c>
      <c r="AA13" s="19" t="s">
        <v>41</v>
      </c>
      <c r="AB13" s="184" t="s">
        <v>2</v>
      </c>
      <c r="AC13" s="123" t="s">
        <v>4</v>
      </c>
      <c r="AD13" s="19" t="s">
        <v>42</v>
      </c>
      <c r="AE13" s="19" t="s">
        <v>41</v>
      </c>
      <c r="AF13" s="19" t="s">
        <v>41</v>
      </c>
      <c r="AJ13" s="123" t="s">
        <v>4</v>
      </c>
      <c r="AK13" s="123" t="s">
        <v>4</v>
      </c>
    </row>
    <row r="14" spans="1:37" x14ac:dyDescent="0.35">
      <c r="A14" s="182" t="s">
        <v>155</v>
      </c>
      <c r="B14" s="123" t="s">
        <v>4</v>
      </c>
      <c r="C14" s="183" t="s">
        <v>37</v>
      </c>
      <c r="D14" s="19" t="s">
        <v>41</v>
      </c>
      <c r="E14" s="19" t="s">
        <v>41</v>
      </c>
      <c r="F14" s="19" t="s">
        <v>41</v>
      </c>
      <c r="G14" s="19" t="s">
        <v>41</v>
      </c>
      <c r="H14" s="19" t="s">
        <v>42</v>
      </c>
      <c r="I14" s="123" t="s">
        <v>4</v>
      </c>
      <c r="J14" s="184" t="s">
        <v>2</v>
      </c>
      <c r="K14" s="19" t="s">
        <v>41</v>
      </c>
      <c r="L14" s="19" t="s">
        <v>41</v>
      </c>
      <c r="M14" s="19" t="s">
        <v>41</v>
      </c>
      <c r="N14" s="19" t="s">
        <v>41</v>
      </c>
      <c r="O14" s="19" t="s">
        <v>42</v>
      </c>
      <c r="P14" s="123" t="s">
        <v>4</v>
      </c>
      <c r="Q14" s="184" t="s">
        <v>2</v>
      </c>
      <c r="R14" s="184" t="s">
        <v>2</v>
      </c>
      <c r="S14" s="19" t="s">
        <v>41</v>
      </c>
      <c r="T14" s="19" t="s">
        <v>41</v>
      </c>
      <c r="U14" s="19" t="s">
        <v>41</v>
      </c>
      <c r="V14" s="19" t="s">
        <v>42</v>
      </c>
      <c r="W14" s="123" t="s">
        <v>4</v>
      </c>
      <c r="X14" s="19" t="s">
        <v>41</v>
      </c>
      <c r="Y14" s="19" t="s">
        <v>42</v>
      </c>
      <c r="Z14" s="19" t="s">
        <v>41</v>
      </c>
      <c r="AA14" s="19" t="s">
        <v>41</v>
      </c>
      <c r="AB14" s="19" t="s">
        <v>41</v>
      </c>
      <c r="AC14" s="19" t="s">
        <v>42</v>
      </c>
      <c r="AD14" s="123" t="s">
        <v>4</v>
      </c>
      <c r="AE14" s="184" t="s">
        <v>2</v>
      </c>
      <c r="AF14" s="19" t="s">
        <v>41</v>
      </c>
      <c r="AJ14" s="123" t="s">
        <v>4</v>
      </c>
      <c r="AK14" s="123" t="s">
        <v>4</v>
      </c>
    </row>
    <row r="15" spans="1:37" x14ac:dyDescent="0.35">
      <c r="A15" s="219" t="s">
        <v>225</v>
      </c>
      <c r="B15" s="123" t="s">
        <v>4</v>
      </c>
      <c r="C15" s="183" t="s">
        <v>37</v>
      </c>
      <c r="D15" s="19" t="s">
        <v>41</v>
      </c>
      <c r="E15" s="19" t="s">
        <v>41</v>
      </c>
      <c r="F15" s="19" t="s">
        <v>41</v>
      </c>
      <c r="G15" s="19" t="s">
        <v>41</v>
      </c>
      <c r="H15" s="123" t="s">
        <v>4</v>
      </c>
      <c r="I15" s="123" t="s">
        <v>4</v>
      </c>
      <c r="J15" s="19" t="s">
        <v>41</v>
      </c>
      <c r="K15" s="19" t="s">
        <v>41</v>
      </c>
      <c r="L15" s="19" t="s">
        <v>41</v>
      </c>
      <c r="M15" s="19" t="s">
        <v>41</v>
      </c>
      <c r="N15" s="19" t="s">
        <v>41</v>
      </c>
      <c r="O15" s="123" t="s">
        <v>4</v>
      </c>
      <c r="P15" s="123" t="s">
        <v>4</v>
      </c>
      <c r="Q15" s="19" t="s">
        <v>41</v>
      </c>
      <c r="R15" s="19" t="s">
        <v>41</v>
      </c>
      <c r="S15" s="19" t="s">
        <v>41</v>
      </c>
      <c r="T15" s="19" t="s">
        <v>41</v>
      </c>
      <c r="U15" s="19" t="s">
        <v>41</v>
      </c>
      <c r="V15" s="22" t="s">
        <v>30</v>
      </c>
      <c r="W15" s="123" t="s">
        <v>4</v>
      </c>
      <c r="X15" s="19" t="s">
        <v>41</v>
      </c>
      <c r="Y15" s="19" t="s">
        <v>42</v>
      </c>
      <c r="Z15" s="19" t="s">
        <v>41</v>
      </c>
      <c r="AA15" s="184" t="s">
        <v>2</v>
      </c>
      <c r="AB15" s="19" t="s">
        <v>41</v>
      </c>
      <c r="AC15" s="22" t="s">
        <v>30</v>
      </c>
      <c r="AD15" s="123" t="s">
        <v>4</v>
      </c>
      <c r="AE15" s="19" t="s">
        <v>41</v>
      </c>
      <c r="AF15" s="19" t="s">
        <v>41</v>
      </c>
      <c r="AJ15" s="123" t="s">
        <v>4</v>
      </c>
      <c r="AK15" s="123" t="s">
        <v>4</v>
      </c>
    </row>
    <row r="17" spans="1:37" x14ac:dyDescent="0.35">
      <c r="A17" s="193" t="s">
        <v>9</v>
      </c>
      <c r="B17" s="123" t="s">
        <v>4</v>
      </c>
      <c r="C17" s="25" t="s">
        <v>3</v>
      </c>
      <c r="D17" s="131" t="s">
        <v>5</v>
      </c>
      <c r="E17" s="131" t="s">
        <v>5</v>
      </c>
      <c r="F17" s="131" t="s">
        <v>5</v>
      </c>
      <c r="G17" s="131" t="s">
        <v>5</v>
      </c>
      <c r="H17" s="25" t="s">
        <v>3</v>
      </c>
      <c r="I17" s="25" t="s">
        <v>3</v>
      </c>
      <c r="J17" s="131" t="s">
        <v>5</v>
      </c>
      <c r="K17" s="131" t="s">
        <v>5</v>
      </c>
      <c r="L17" s="131" t="s">
        <v>5</v>
      </c>
      <c r="M17" s="131" t="s">
        <v>5</v>
      </c>
      <c r="N17" s="131" t="s">
        <v>5</v>
      </c>
      <c r="O17" s="25" t="s">
        <v>3</v>
      </c>
      <c r="P17" s="123" t="s">
        <v>4</v>
      </c>
      <c r="Q17" s="25" t="s">
        <v>6</v>
      </c>
      <c r="R17" s="25" t="s">
        <v>6</v>
      </c>
      <c r="S17" s="25" t="s">
        <v>6</v>
      </c>
      <c r="T17" s="184" t="s">
        <v>2</v>
      </c>
      <c r="U17" s="25" t="s">
        <v>6</v>
      </c>
      <c r="V17" s="25" t="s">
        <v>3</v>
      </c>
      <c r="W17" s="123" t="s">
        <v>4</v>
      </c>
      <c r="X17" s="184" t="s">
        <v>2</v>
      </c>
      <c r="Y17" s="183" t="s">
        <v>37</v>
      </c>
      <c r="Z17" s="131" t="s">
        <v>5</v>
      </c>
      <c r="AA17" s="131" t="s">
        <v>5</v>
      </c>
      <c r="AB17" s="131" t="s">
        <v>5</v>
      </c>
      <c r="AC17" s="123" t="s">
        <v>4</v>
      </c>
      <c r="AD17" s="25" t="s">
        <v>3</v>
      </c>
      <c r="AE17" s="25" t="s">
        <v>6</v>
      </c>
      <c r="AF17" s="25" t="s">
        <v>6</v>
      </c>
      <c r="AJ17" s="123" t="s">
        <v>4</v>
      </c>
      <c r="AK17" s="123" t="s">
        <v>4</v>
      </c>
    </row>
    <row r="18" spans="1:37" x14ac:dyDescent="0.35">
      <c r="A18" s="193" t="s">
        <v>43</v>
      </c>
      <c r="B18" s="19" t="s">
        <v>42</v>
      </c>
      <c r="C18" s="25" t="s">
        <v>3</v>
      </c>
      <c r="D18" s="25" t="s">
        <v>6</v>
      </c>
      <c r="E18" s="25" t="s">
        <v>6</v>
      </c>
      <c r="F18" s="25" t="s">
        <v>6</v>
      </c>
      <c r="G18" s="25" t="s">
        <v>6</v>
      </c>
      <c r="H18" s="123" t="s">
        <v>4</v>
      </c>
      <c r="I18" s="123" t="s">
        <v>4</v>
      </c>
      <c r="J18" s="25" t="s">
        <v>6</v>
      </c>
      <c r="K18" s="25" t="s">
        <v>6</v>
      </c>
      <c r="L18" s="25" t="s">
        <v>6</v>
      </c>
      <c r="M18" s="25" t="s">
        <v>6</v>
      </c>
      <c r="N18" s="25" t="s">
        <v>6</v>
      </c>
      <c r="O18" s="123" t="s">
        <v>4</v>
      </c>
      <c r="P18" s="25" t="s">
        <v>3</v>
      </c>
      <c r="Q18" s="25" t="s">
        <v>6</v>
      </c>
      <c r="R18" s="25" t="s">
        <v>6</v>
      </c>
      <c r="S18" s="25" t="s">
        <v>6</v>
      </c>
      <c r="T18" s="25" t="s">
        <v>6</v>
      </c>
      <c r="U18" s="184" t="s">
        <v>2</v>
      </c>
      <c r="V18" s="123" t="s">
        <v>4</v>
      </c>
      <c r="W18" s="25" t="s">
        <v>3</v>
      </c>
      <c r="X18" s="25" t="s">
        <v>6</v>
      </c>
      <c r="Y18" s="25" t="s">
        <v>3</v>
      </c>
      <c r="Z18" s="25" t="s">
        <v>6</v>
      </c>
      <c r="AA18" s="25" t="s">
        <v>6</v>
      </c>
      <c r="AB18" s="131" t="s">
        <v>5</v>
      </c>
      <c r="AC18" s="131" t="s">
        <v>5</v>
      </c>
      <c r="AD18" s="131" t="s">
        <v>5</v>
      </c>
      <c r="AE18" s="131" t="s">
        <v>5</v>
      </c>
      <c r="AF18" s="131" t="s">
        <v>5</v>
      </c>
      <c r="AJ18" s="123" t="s">
        <v>4</v>
      </c>
      <c r="AK18" s="123" t="s">
        <v>4</v>
      </c>
    </row>
    <row r="19" spans="1:37" x14ac:dyDescent="0.35">
      <c r="A19" s="182" t="s">
        <v>74</v>
      </c>
      <c r="B19" s="131" t="s">
        <v>5</v>
      </c>
      <c r="C19" s="22" t="s">
        <v>30</v>
      </c>
      <c r="D19" s="25" t="s">
        <v>6</v>
      </c>
      <c r="E19" s="25" t="s">
        <v>6</v>
      </c>
      <c r="F19" s="25" t="s">
        <v>6</v>
      </c>
      <c r="G19" s="25" t="s">
        <v>6</v>
      </c>
      <c r="H19" s="25" t="s">
        <v>3</v>
      </c>
      <c r="I19" s="123" t="s">
        <v>4</v>
      </c>
      <c r="J19" s="184" t="s">
        <v>2</v>
      </c>
      <c r="K19" s="25" t="s">
        <v>6</v>
      </c>
      <c r="L19" s="25" t="s">
        <v>6</v>
      </c>
      <c r="M19" s="25" t="s">
        <v>6</v>
      </c>
      <c r="N19" s="25" t="s">
        <v>6</v>
      </c>
      <c r="O19" s="25" t="s">
        <v>3</v>
      </c>
      <c r="P19" s="123" t="s">
        <v>4</v>
      </c>
      <c r="Q19" s="184" t="s">
        <v>2</v>
      </c>
      <c r="R19" s="184" t="s">
        <v>2</v>
      </c>
      <c r="S19" s="25" t="s">
        <v>6</v>
      </c>
      <c r="T19" s="25" t="s">
        <v>6</v>
      </c>
      <c r="U19" s="25" t="s">
        <v>6</v>
      </c>
      <c r="V19" s="25" t="s">
        <v>3</v>
      </c>
      <c r="W19" s="123" t="s">
        <v>4</v>
      </c>
      <c r="X19" s="25" t="s">
        <v>6</v>
      </c>
      <c r="Y19" s="25" t="s">
        <v>3</v>
      </c>
      <c r="Z19" s="25" t="s">
        <v>6</v>
      </c>
      <c r="AA19" s="25" t="s">
        <v>6</v>
      </c>
      <c r="AB19" s="25" t="s">
        <v>6</v>
      </c>
      <c r="AC19" s="25" t="s">
        <v>3</v>
      </c>
      <c r="AD19" s="123" t="s">
        <v>4</v>
      </c>
      <c r="AE19" s="25" t="s">
        <v>6</v>
      </c>
      <c r="AF19" s="25" t="s">
        <v>6</v>
      </c>
      <c r="AJ19" s="123" t="s">
        <v>4</v>
      </c>
      <c r="AK19" s="123" t="s">
        <v>4</v>
      </c>
    </row>
    <row r="20" spans="1:37" x14ac:dyDescent="0.35">
      <c r="A20" s="182" t="s">
        <v>62</v>
      </c>
      <c r="B20" s="25" t="s">
        <v>3</v>
      </c>
      <c r="C20" s="25" t="s">
        <v>3</v>
      </c>
      <c r="D20" s="25" t="s">
        <v>6</v>
      </c>
      <c r="E20" s="184" t="s">
        <v>2</v>
      </c>
      <c r="F20" s="25" t="s">
        <v>6</v>
      </c>
      <c r="G20" s="25" t="s">
        <v>6</v>
      </c>
      <c r="H20" s="22" t="s">
        <v>30</v>
      </c>
      <c r="I20" s="123" t="s">
        <v>4</v>
      </c>
      <c r="J20" s="25" t="s">
        <v>6</v>
      </c>
      <c r="K20" s="25" t="s">
        <v>6</v>
      </c>
      <c r="L20" s="184" t="s">
        <v>2</v>
      </c>
      <c r="M20" s="25" t="s">
        <v>6</v>
      </c>
      <c r="N20" s="25" t="s">
        <v>6</v>
      </c>
      <c r="O20" s="123" t="s">
        <v>4</v>
      </c>
      <c r="P20" s="123" t="s">
        <v>4</v>
      </c>
      <c r="Q20" s="25" t="s">
        <v>6</v>
      </c>
      <c r="R20" s="25" t="s">
        <v>6</v>
      </c>
      <c r="S20" s="184" t="s">
        <v>2</v>
      </c>
      <c r="T20" s="25" t="s">
        <v>6</v>
      </c>
      <c r="U20" s="25" t="s">
        <v>6</v>
      </c>
      <c r="V20" s="123" t="s">
        <v>4</v>
      </c>
      <c r="W20" s="25" t="s">
        <v>3</v>
      </c>
      <c r="X20" s="25" t="s">
        <v>6</v>
      </c>
      <c r="Y20" s="25" t="s">
        <v>3</v>
      </c>
      <c r="Z20" s="184" t="s">
        <v>2</v>
      </c>
      <c r="AA20" s="25" t="s">
        <v>6</v>
      </c>
      <c r="AB20" s="25" t="s">
        <v>6</v>
      </c>
      <c r="AC20" s="123" t="s">
        <v>4</v>
      </c>
      <c r="AD20" s="25" t="s">
        <v>3</v>
      </c>
      <c r="AE20" s="25" t="s">
        <v>6</v>
      </c>
      <c r="AF20" s="25" t="s">
        <v>6</v>
      </c>
      <c r="AJ20" s="123" t="s">
        <v>4</v>
      </c>
      <c r="AK20" s="123" t="s">
        <v>4</v>
      </c>
    </row>
    <row r="21" spans="1:37" x14ac:dyDescent="0.35">
      <c r="A21" s="219" t="s">
        <v>226</v>
      </c>
      <c r="B21" s="123" t="s">
        <v>4</v>
      </c>
      <c r="C21" s="183" t="s">
        <v>37</v>
      </c>
      <c r="D21" s="25" t="s">
        <v>6</v>
      </c>
      <c r="E21" s="25" t="s">
        <v>6</v>
      </c>
      <c r="F21" s="25" t="s">
        <v>6</v>
      </c>
      <c r="G21" s="25" t="s">
        <v>6</v>
      </c>
      <c r="H21" s="123" t="s">
        <v>4</v>
      </c>
      <c r="I21" s="123" t="s">
        <v>4</v>
      </c>
      <c r="J21" s="25" t="s">
        <v>6</v>
      </c>
      <c r="K21" s="25" t="s">
        <v>6</v>
      </c>
      <c r="L21" s="25" t="s">
        <v>6</v>
      </c>
      <c r="M21" s="25" t="s">
        <v>6</v>
      </c>
      <c r="N21" s="25" t="s">
        <v>6</v>
      </c>
      <c r="O21" s="123" t="s">
        <v>4</v>
      </c>
      <c r="P21" s="25" t="s">
        <v>3</v>
      </c>
      <c r="Q21" s="25" t="s">
        <v>6</v>
      </c>
      <c r="R21" s="25" t="s">
        <v>6</v>
      </c>
      <c r="S21" s="25" t="s">
        <v>6</v>
      </c>
      <c r="T21" s="25" t="s">
        <v>6</v>
      </c>
      <c r="U21" s="25" t="s">
        <v>6</v>
      </c>
      <c r="V21" s="123" t="s">
        <v>4</v>
      </c>
      <c r="W21" s="123" t="s">
        <v>4</v>
      </c>
      <c r="X21" s="131" t="s">
        <v>5</v>
      </c>
      <c r="Y21" s="183" t="s">
        <v>37</v>
      </c>
      <c r="Z21" s="25" t="s">
        <v>6</v>
      </c>
      <c r="AA21" s="25" t="s">
        <v>6</v>
      </c>
      <c r="AB21" s="25" t="s">
        <v>6</v>
      </c>
      <c r="AC21" s="123" t="s">
        <v>4</v>
      </c>
      <c r="AD21" s="123" t="s">
        <v>4</v>
      </c>
      <c r="AE21" s="25" t="s">
        <v>6</v>
      </c>
      <c r="AF21" s="25" t="s">
        <v>6</v>
      </c>
      <c r="AJ21" s="123" t="s">
        <v>4</v>
      </c>
      <c r="AK21" s="123" t="s">
        <v>4</v>
      </c>
    </row>
    <row r="23" spans="1:37" x14ac:dyDescent="0.35">
      <c r="A23" s="189" t="s">
        <v>156</v>
      </c>
      <c r="B23">
        <f t="shared" ref="B23:AD23" si="1">COUNTIF(B4:B21,"*MS")</f>
        <v>2</v>
      </c>
      <c r="C23">
        <f t="shared" si="1"/>
        <v>3</v>
      </c>
      <c r="D23">
        <f t="shared" si="1"/>
        <v>4</v>
      </c>
      <c r="E23">
        <f t="shared" si="1"/>
        <v>3</v>
      </c>
      <c r="F23">
        <f t="shared" si="1"/>
        <v>4</v>
      </c>
      <c r="G23">
        <f t="shared" si="1"/>
        <v>4</v>
      </c>
      <c r="H23">
        <f t="shared" si="1"/>
        <v>2</v>
      </c>
      <c r="I23">
        <f t="shared" si="1"/>
        <v>2</v>
      </c>
      <c r="J23">
        <f t="shared" si="1"/>
        <v>3</v>
      </c>
      <c r="K23">
        <f t="shared" si="1"/>
        <v>4</v>
      </c>
      <c r="L23">
        <f t="shared" si="1"/>
        <v>3</v>
      </c>
      <c r="M23">
        <f t="shared" si="1"/>
        <v>4</v>
      </c>
      <c r="N23">
        <f t="shared" si="1"/>
        <v>4</v>
      </c>
      <c r="O23">
        <f t="shared" si="1"/>
        <v>2</v>
      </c>
      <c r="P23">
        <f>COUNTIF(P4:P21,"*MS")</f>
        <v>2</v>
      </c>
      <c r="Q23">
        <f t="shared" si="1"/>
        <v>4</v>
      </c>
      <c r="R23">
        <f t="shared" si="1"/>
        <v>4</v>
      </c>
      <c r="S23">
        <f t="shared" si="1"/>
        <v>4</v>
      </c>
      <c r="T23">
        <f t="shared" si="1"/>
        <v>4</v>
      </c>
      <c r="U23">
        <f t="shared" si="1"/>
        <v>4</v>
      </c>
      <c r="V23">
        <f t="shared" si="1"/>
        <v>2</v>
      </c>
      <c r="W23">
        <f t="shared" si="1"/>
        <v>2</v>
      </c>
      <c r="X23">
        <f t="shared" si="1"/>
        <v>3</v>
      </c>
      <c r="Y23">
        <f t="shared" si="1"/>
        <v>3</v>
      </c>
      <c r="Z23">
        <f t="shared" si="1"/>
        <v>3</v>
      </c>
      <c r="AA23">
        <f t="shared" si="1"/>
        <v>4</v>
      </c>
      <c r="AB23">
        <f t="shared" si="1"/>
        <v>4</v>
      </c>
      <c r="AC23">
        <f t="shared" si="1"/>
        <v>2</v>
      </c>
      <c r="AD23">
        <f t="shared" si="1"/>
        <v>2</v>
      </c>
      <c r="AE23">
        <f t="shared" ref="AE23:AF23" si="2">COUNTIF(AE4:AE21,"*MS")</f>
        <v>4</v>
      </c>
      <c r="AF23">
        <f t="shared" si="2"/>
        <v>4</v>
      </c>
    </row>
    <row r="24" spans="1:37" x14ac:dyDescent="0.35">
      <c r="A24" s="189" t="s">
        <v>157</v>
      </c>
      <c r="B24">
        <f t="shared" ref="B24:AD24" si="3">COUNTIF(B4:B21,"*ASS1")</f>
        <v>2</v>
      </c>
      <c r="C24">
        <f t="shared" si="3"/>
        <v>3</v>
      </c>
      <c r="D24">
        <f t="shared" si="3"/>
        <v>4</v>
      </c>
      <c r="E24">
        <f t="shared" si="3"/>
        <v>4</v>
      </c>
      <c r="F24">
        <f t="shared" si="3"/>
        <v>4</v>
      </c>
      <c r="G24">
        <f t="shared" si="3"/>
        <v>4</v>
      </c>
      <c r="H24">
        <f t="shared" si="3"/>
        <v>2</v>
      </c>
      <c r="I24">
        <f t="shared" si="3"/>
        <v>2</v>
      </c>
      <c r="J24">
        <f t="shared" si="3"/>
        <v>5</v>
      </c>
      <c r="K24">
        <f t="shared" si="3"/>
        <v>4</v>
      </c>
      <c r="L24">
        <f t="shared" si="3"/>
        <v>4</v>
      </c>
      <c r="M24">
        <f t="shared" si="3"/>
        <v>4</v>
      </c>
      <c r="N24">
        <f t="shared" si="3"/>
        <v>4</v>
      </c>
      <c r="O24">
        <f t="shared" si="3"/>
        <v>2</v>
      </c>
      <c r="P24">
        <f>COUNTIF(P4:P21,"*ASS1")</f>
        <v>2</v>
      </c>
      <c r="Q24">
        <f t="shared" si="3"/>
        <v>4</v>
      </c>
      <c r="R24">
        <f t="shared" si="3"/>
        <v>4</v>
      </c>
      <c r="S24">
        <f t="shared" si="3"/>
        <v>5</v>
      </c>
      <c r="T24">
        <f t="shared" si="3"/>
        <v>5</v>
      </c>
      <c r="U24">
        <f t="shared" si="3"/>
        <v>4</v>
      </c>
      <c r="V24">
        <f t="shared" si="3"/>
        <v>2</v>
      </c>
      <c r="W24">
        <f t="shared" si="3"/>
        <v>2</v>
      </c>
      <c r="X24">
        <f t="shared" si="3"/>
        <v>4</v>
      </c>
      <c r="Y24">
        <f t="shared" si="3"/>
        <v>3</v>
      </c>
      <c r="Z24">
        <f t="shared" si="3"/>
        <v>5</v>
      </c>
      <c r="AA24">
        <f t="shared" si="3"/>
        <v>4</v>
      </c>
      <c r="AB24">
        <f t="shared" si="3"/>
        <v>4</v>
      </c>
      <c r="AC24">
        <f t="shared" si="3"/>
        <v>2</v>
      </c>
      <c r="AD24">
        <f t="shared" si="3"/>
        <v>2</v>
      </c>
      <c r="AE24">
        <f t="shared" ref="AE24:AF24" si="4">COUNTIF(AE4:AE21,"*ASS1")</f>
        <v>4</v>
      </c>
      <c r="AF24">
        <f t="shared" si="4"/>
        <v>4</v>
      </c>
    </row>
    <row r="25" spans="1:37" x14ac:dyDescent="0.35">
      <c r="A25" s="189" t="s">
        <v>158</v>
      </c>
      <c r="B25">
        <f t="shared" ref="B25:AD25" si="5">COUNTIF(B4:B21,"*NST7")</f>
        <v>3</v>
      </c>
      <c r="C25">
        <f t="shared" si="5"/>
        <v>3</v>
      </c>
      <c r="D25">
        <f t="shared" si="5"/>
        <v>4</v>
      </c>
      <c r="E25">
        <f t="shared" si="5"/>
        <v>3</v>
      </c>
      <c r="F25">
        <f t="shared" si="5"/>
        <v>3</v>
      </c>
      <c r="G25">
        <f t="shared" si="5"/>
        <v>4</v>
      </c>
      <c r="H25">
        <f t="shared" si="5"/>
        <v>3</v>
      </c>
      <c r="I25">
        <f t="shared" si="5"/>
        <v>2</v>
      </c>
      <c r="J25">
        <f t="shared" si="5"/>
        <v>4</v>
      </c>
      <c r="K25">
        <f t="shared" si="5"/>
        <v>4</v>
      </c>
      <c r="L25">
        <f t="shared" si="5"/>
        <v>4</v>
      </c>
      <c r="M25">
        <f t="shared" si="5"/>
        <v>4</v>
      </c>
      <c r="N25">
        <f t="shared" si="5"/>
        <v>3</v>
      </c>
      <c r="O25">
        <f t="shared" si="5"/>
        <v>3</v>
      </c>
      <c r="P25">
        <f>COUNTIF(P4:P21,"*NST7")</f>
        <v>2</v>
      </c>
      <c r="Q25">
        <f t="shared" si="5"/>
        <v>4</v>
      </c>
      <c r="R25">
        <f t="shared" si="5"/>
        <v>4</v>
      </c>
      <c r="S25">
        <f t="shared" si="5"/>
        <v>4</v>
      </c>
      <c r="T25">
        <f t="shared" si="5"/>
        <v>3</v>
      </c>
      <c r="U25">
        <f t="shared" si="5"/>
        <v>4</v>
      </c>
      <c r="V25">
        <f t="shared" si="5"/>
        <v>3</v>
      </c>
      <c r="W25">
        <f t="shared" si="5"/>
        <v>2</v>
      </c>
      <c r="X25">
        <f t="shared" si="5"/>
        <v>3</v>
      </c>
      <c r="Y25">
        <f t="shared" si="5"/>
        <v>3</v>
      </c>
      <c r="Z25">
        <f t="shared" si="5"/>
        <v>3</v>
      </c>
      <c r="AA25">
        <f t="shared" si="5"/>
        <v>3</v>
      </c>
      <c r="AB25">
        <f t="shared" si="5"/>
        <v>3</v>
      </c>
      <c r="AC25">
        <f t="shared" si="5"/>
        <v>3</v>
      </c>
      <c r="AD25">
        <f t="shared" si="5"/>
        <v>2</v>
      </c>
      <c r="AE25">
        <f t="shared" ref="AE25:AF25" si="6">COUNTIF(AE4:AE21,"*NST7")</f>
        <v>4</v>
      </c>
      <c r="AF25">
        <f t="shared" si="6"/>
        <v>2</v>
      </c>
    </row>
    <row r="26" spans="1:37" x14ac:dyDescent="0.35">
      <c r="A26" s="189" t="s">
        <v>159</v>
      </c>
      <c r="B26">
        <f t="shared" ref="B26:AD26" si="7">COUNTIF(B4:B21,"*GS")</f>
        <v>0</v>
      </c>
      <c r="C26">
        <f t="shared" si="7"/>
        <v>1</v>
      </c>
      <c r="D26">
        <f t="shared" si="7"/>
        <v>0</v>
      </c>
      <c r="E26">
        <f t="shared" si="7"/>
        <v>0</v>
      </c>
      <c r="F26">
        <f t="shared" si="7"/>
        <v>0</v>
      </c>
      <c r="G26">
        <f t="shared" si="7"/>
        <v>0</v>
      </c>
      <c r="H26">
        <f t="shared" si="7"/>
        <v>1</v>
      </c>
      <c r="I26">
        <f t="shared" si="7"/>
        <v>0</v>
      </c>
      <c r="J26">
        <f t="shared" si="7"/>
        <v>0</v>
      </c>
      <c r="K26">
        <f t="shared" si="7"/>
        <v>0</v>
      </c>
      <c r="L26">
        <f t="shared" si="7"/>
        <v>0</v>
      </c>
      <c r="M26">
        <f t="shared" si="7"/>
        <v>0</v>
      </c>
      <c r="N26">
        <f t="shared" si="7"/>
        <v>0</v>
      </c>
      <c r="O26">
        <f t="shared" si="7"/>
        <v>1</v>
      </c>
      <c r="P26">
        <f>COUNTIF(P4:P21,"*GS")</f>
        <v>0</v>
      </c>
      <c r="Q26">
        <f t="shared" si="7"/>
        <v>0</v>
      </c>
      <c r="R26">
        <f t="shared" si="7"/>
        <v>0</v>
      </c>
      <c r="S26">
        <f t="shared" si="7"/>
        <v>0</v>
      </c>
      <c r="T26">
        <f t="shared" si="7"/>
        <v>0</v>
      </c>
      <c r="U26">
        <f t="shared" si="7"/>
        <v>0</v>
      </c>
      <c r="V26">
        <f t="shared" si="7"/>
        <v>1</v>
      </c>
      <c r="W26">
        <f t="shared" si="7"/>
        <v>0</v>
      </c>
      <c r="X26">
        <f t="shared" si="7"/>
        <v>0</v>
      </c>
      <c r="Y26">
        <f t="shared" si="7"/>
        <v>0</v>
      </c>
      <c r="Z26">
        <f t="shared" si="7"/>
        <v>0</v>
      </c>
      <c r="AA26">
        <f t="shared" si="7"/>
        <v>0</v>
      </c>
      <c r="AB26">
        <f t="shared" si="7"/>
        <v>0</v>
      </c>
      <c r="AC26">
        <f t="shared" si="7"/>
        <v>1</v>
      </c>
      <c r="AD26">
        <f t="shared" si="7"/>
        <v>0</v>
      </c>
      <c r="AE26">
        <f t="shared" ref="AE26:AF26" si="8">COUNTIF(AE4:AE21,"*GS")</f>
        <v>0</v>
      </c>
      <c r="AF26">
        <f t="shared" si="8"/>
        <v>0</v>
      </c>
    </row>
    <row r="27" spans="1:37" x14ac:dyDescent="0.35">
      <c r="A27" s="189" t="s">
        <v>160</v>
      </c>
      <c r="B27">
        <f>COUNTIF(B4:B21,"WO")</f>
        <v>8</v>
      </c>
      <c r="C27">
        <f>COUNTIF(C4:C21,"C")</f>
        <v>0</v>
      </c>
      <c r="D27">
        <f>COUNTIF(D4:D21,"C")</f>
        <v>2</v>
      </c>
      <c r="E27">
        <f>COUNTIF(E4:E21,"C")</f>
        <v>4</v>
      </c>
      <c r="F27">
        <f>COUNTIF(F4:F21,"C")</f>
        <v>3</v>
      </c>
      <c r="G27">
        <f>COUNTIF(G4:G21,"C")</f>
        <v>3</v>
      </c>
      <c r="H27">
        <f>COUNTIF(H4:H21,"WO")</f>
        <v>8</v>
      </c>
      <c r="I27">
        <f>COUNTIF(I4:I21,"WO")</f>
        <v>10</v>
      </c>
      <c r="J27">
        <f>COUNTIF(J4:J21,"C")</f>
        <v>3</v>
      </c>
      <c r="K27">
        <f>COUNTIF(K4:K21,"C")</f>
        <v>2</v>
      </c>
      <c r="L27">
        <f>COUNTIF(L4:L21,"C")</f>
        <v>3</v>
      </c>
      <c r="M27">
        <f>COUNTIF(M4:M21,"C")</f>
        <v>1</v>
      </c>
      <c r="N27">
        <f>COUNTIF(N4:N21,"C")</f>
        <v>3</v>
      </c>
      <c r="O27">
        <f>COUNTIF(O4:O21,"WO")</f>
        <v>8</v>
      </c>
      <c r="P27">
        <f>COUNTIF(P4:P21,"WO")</f>
        <v>9</v>
      </c>
      <c r="Q27">
        <f>COUNTIF(Q4:Q21,"C")</f>
        <v>3</v>
      </c>
      <c r="R27">
        <f>COUNTIF(R4:R21,"C")</f>
        <v>3</v>
      </c>
      <c r="S27">
        <f>COUNTIF(S4:S21,"C")</f>
        <v>3</v>
      </c>
      <c r="T27">
        <f>COUNTIF(T4:T21,"C")</f>
        <v>4</v>
      </c>
      <c r="U27">
        <f>COUNTIF(U4:U21,"C")</f>
        <v>2</v>
      </c>
      <c r="V27">
        <f>COUNTIF(V4:V21,"WO")</f>
        <v>7</v>
      </c>
      <c r="W27">
        <f>COUNTIF(W4:W21,"WO")</f>
        <v>9</v>
      </c>
      <c r="X27">
        <f>COUNTIF(X4:X21,"C")</f>
        <v>2</v>
      </c>
      <c r="Y27">
        <f>COUNTIF(Y4:Y21,"C")</f>
        <v>0</v>
      </c>
      <c r="Z27">
        <f>COUNTIF(Z4:Z21,"C")</f>
        <v>2</v>
      </c>
      <c r="AA27">
        <f>COUNTIF(AA4:AA21,"C")</f>
        <v>3</v>
      </c>
      <c r="AB27">
        <f>COUNTIF(AB4:AB21,"C")</f>
        <v>1</v>
      </c>
      <c r="AC27">
        <f>COUNTIF(AC4:AC21,"WO")</f>
        <v>6</v>
      </c>
      <c r="AD27">
        <f>COUNTIF(AD4:AD21,"WO")</f>
        <v>8</v>
      </c>
      <c r="AE27">
        <f>COUNTIF(AE4:AE21,"C")</f>
        <v>3</v>
      </c>
      <c r="AF27">
        <f>COUNTIF(AF4:AF21,"C")</f>
        <v>5</v>
      </c>
    </row>
    <row r="28" spans="1:37" x14ac:dyDescent="0.35">
      <c r="A28" s="189" t="s">
        <v>161</v>
      </c>
      <c r="B28">
        <f t="shared" ref="B28:AD28" si="9">COUNTIF(B4:B21,"PL")</f>
        <v>1</v>
      </c>
      <c r="C28">
        <f t="shared" si="9"/>
        <v>0</v>
      </c>
      <c r="D28">
        <f t="shared" si="9"/>
        <v>2</v>
      </c>
      <c r="E28">
        <f t="shared" si="9"/>
        <v>2</v>
      </c>
      <c r="F28">
        <f t="shared" si="9"/>
        <v>2</v>
      </c>
      <c r="G28">
        <f t="shared" si="9"/>
        <v>1</v>
      </c>
      <c r="H28">
        <f t="shared" si="9"/>
        <v>0</v>
      </c>
      <c r="I28">
        <f t="shared" si="9"/>
        <v>0</v>
      </c>
      <c r="J28">
        <f t="shared" si="9"/>
        <v>1</v>
      </c>
      <c r="K28">
        <f t="shared" si="9"/>
        <v>2</v>
      </c>
      <c r="L28">
        <f t="shared" si="9"/>
        <v>2</v>
      </c>
      <c r="M28">
        <f t="shared" si="9"/>
        <v>3</v>
      </c>
      <c r="N28">
        <f t="shared" si="9"/>
        <v>2</v>
      </c>
      <c r="O28">
        <f t="shared" si="9"/>
        <v>0</v>
      </c>
      <c r="P28">
        <f>COUNTIF(P4:P21,"PL")</f>
        <v>1</v>
      </c>
      <c r="Q28">
        <f t="shared" si="9"/>
        <v>1</v>
      </c>
      <c r="R28">
        <f t="shared" si="9"/>
        <v>1</v>
      </c>
      <c r="S28">
        <f t="shared" si="9"/>
        <v>0</v>
      </c>
      <c r="T28">
        <f t="shared" si="9"/>
        <v>0</v>
      </c>
      <c r="U28">
        <f t="shared" si="9"/>
        <v>2</v>
      </c>
      <c r="V28">
        <f t="shared" si="9"/>
        <v>1</v>
      </c>
      <c r="W28">
        <f t="shared" si="9"/>
        <v>1</v>
      </c>
      <c r="X28">
        <f t="shared" si="9"/>
        <v>4</v>
      </c>
      <c r="Y28">
        <f t="shared" si="9"/>
        <v>3</v>
      </c>
      <c r="Z28">
        <f t="shared" si="9"/>
        <v>3</v>
      </c>
      <c r="AA28">
        <f t="shared" si="9"/>
        <v>2</v>
      </c>
      <c r="AB28">
        <f t="shared" si="9"/>
        <v>4</v>
      </c>
      <c r="AC28">
        <f t="shared" si="9"/>
        <v>2</v>
      </c>
      <c r="AD28">
        <f t="shared" si="9"/>
        <v>2</v>
      </c>
      <c r="AE28">
        <f t="shared" ref="AE28:AF28" si="10">COUNTIF(AE4:AE21,"PL")</f>
        <v>1</v>
      </c>
      <c r="AF28">
        <f t="shared" si="10"/>
        <v>1</v>
      </c>
    </row>
    <row r="29" spans="1:37" x14ac:dyDescent="0.35">
      <c r="A29" s="189" t="s">
        <v>33</v>
      </c>
      <c r="B29">
        <f t="shared" ref="B29:AD29" si="11">COUNTIF(B4:B21,"UPL")</f>
        <v>0</v>
      </c>
      <c r="C29">
        <f t="shared" si="11"/>
        <v>0</v>
      </c>
      <c r="D29">
        <f t="shared" si="11"/>
        <v>0</v>
      </c>
      <c r="E29">
        <f t="shared" si="11"/>
        <v>0</v>
      </c>
      <c r="F29">
        <f t="shared" si="11"/>
        <v>0</v>
      </c>
      <c r="G29">
        <f t="shared" si="11"/>
        <v>0</v>
      </c>
      <c r="H29">
        <f t="shared" si="11"/>
        <v>0</v>
      </c>
      <c r="I29">
        <f t="shared" si="11"/>
        <v>0</v>
      </c>
      <c r="J29">
        <f t="shared" si="11"/>
        <v>0</v>
      </c>
      <c r="K29">
        <f t="shared" si="11"/>
        <v>0</v>
      </c>
      <c r="L29">
        <f t="shared" si="11"/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>COUNTIF(P4:P21,"UPL")</f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ref="AE29:AF29" si="12">COUNTIF(AE4:AE21,"UPL")</f>
        <v>0</v>
      </c>
      <c r="AF29">
        <f t="shared" si="12"/>
        <v>0</v>
      </c>
    </row>
    <row r="30" spans="1:37" x14ac:dyDescent="0.35">
      <c r="A30" s="189" t="s">
        <v>172</v>
      </c>
      <c r="B30">
        <f t="shared" ref="B30:AD30" si="13">COUNTIF(B4:B21,"H")</f>
        <v>0</v>
      </c>
      <c r="C30">
        <f t="shared" si="13"/>
        <v>6</v>
      </c>
      <c r="D30">
        <f t="shared" si="13"/>
        <v>0</v>
      </c>
      <c r="E30">
        <f t="shared" si="13"/>
        <v>0</v>
      </c>
      <c r="F30">
        <f t="shared" si="13"/>
        <v>0</v>
      </c>
      <c r="G30">
        <f t="shared" si="13"/>
        <v>0</v>
      </c>
      <c r="H30">
        <f t="shared" si="13"/>
        <v>0</v>
      </c>
      <c r="I30">
        <f t="shared" si="13"/>
        <v>0</v>
      </c>
      <c r="J30">
        <f t="shared" si="13"/>
        <v>0</v>
      </c>
      <c r="K30">
        <f t="shared" si="13"/>
        <v>0</v>
      </c>
      <c r="L30">
        <f t="shared" si="13"/>
        <v>0</v>
      </c>
      <c r="M30">
        <f t="shared" si="13"/>
        <v>0</v>
      </c>
      <c r="N30">
        <f t="shared" si="13"/>
        <v>0</v>
      </c>
      <c r="O30">
        <f t="shared" si="13"/>
        <v>0</v>
      </c>
      <c r="P30">
        <f>COUNTIF(P4:P21,"H")</f>
        <v>0</v>
      </c>
      <c r="Q30">
        <f t="shared" si="13"/>
        <v>0</v>
      </c>
      <c r="R30">
        <f t="shared" si="13"/>
        <v>0</v>
      </c>
      <c r="S30">
        <f t="shared" si="13"/>
        <v>0</v>
      </c>
      <c r="T30">
        <f t="shared" si="13"/>
        <v>0</v>
      </c>
      <c r="U30">
        <f t="shared" si="13"/>
        <v>0</v>
      </c>
      <c r="V30">
        <f t="shared" si="13"/>
        <v>0</v>
      </c>
      <c r="W30">
        <f t="shared" si="13"/>
        <v>0</v>
      </c>
      <c r="X30">
        <f t="shared" si="13"/>
        <v>0</v>
      </c>
      <c r="Y30">
        <f t="shared" si="13"/>
        <v>4</v>
      </c>
      <c r="Z30">
        <f t="shared" si="13"/>
        <v>0</v>
      </c>
      <c r="AA30">
        <f t="shared" si="13"/>
        <v>0</v>
      </c>
      <c r="AB30">
        <f t="shared" si="13"/>
        <v>0</v>
      </c>
      <c r="AC30">
        <f t="shared" si="13"/>
        <v>0</v>
      </c>
      <c r="AD30">
        <f t="shared" si="13"/>
        <v>0</v>
      </c>
      <c r="AE30">
        <f t="shared" ref="AE30:AF30" si="14">COUNTIF(AE4:AE21,"H")</f>
        <v>0</v>
      </c>
      <c r="AF30">
        <f t="shared" si="14"/>
        <v>0</v>
      </c>
    </row>
    <row r="31" spans="1:37" x14ac:dyDescent="0.35">
      <c r="A31" s="189" t="s">
        <v>162</v>
      </c>
      <c r="B31" s="138">
        <f t="shared" ref="B31:AD31" si="15">SUM(B23:B30)</f>
        <v>16</v>
      </c>
      <c r="C31" s="138">
        <f t="shared" si="15"/>
        <v>16</v>
      </c>
      <c r="D31" s="138">
        <f t="shared" si="15"/>
        <v>16</v>
      </c>
      <c r="E31" s="138">
        <f t="shared" si="15"/>
        <v>16</v>
      </c>
      <c r="F31" s="138">
        <f t="shared" si="15"/>
        <v>16</v>
      </c>
      <c r="G31" s="138">
        <f t="shared" si="15"/>
        <v>16</v>
      </c>
      <c r="H31" s="138">
        <f t="shared" si="15"/>
        <v>16</v>
      </c>
      <c r="I31" s="138">
        <f t="shared" si="15"/>
        <v>16</v>
      </c>
      <c r="J31" s="138">
        <f t="shared" si="15"/>
        <v>16</v>
      </c>
      <c r="K31" s="138">
        <f t="shared" si="15"/>
        <v>16</v>
      </c>
      <c r="L31" s="138">
        <f t="shared" si="15"/>
        <v>16</v>
      </c>
      <c r="M31" s="138">
        <f t="shared" si="15"/>
        <v>16</v>
      </c>
      <c r="N31" s="138">
        <f t="shared" si="15"/>
        <v>16</v>
      </c>
      <c r="O31" s="138">
        <f t="shared" si="15"/>
        <v>16</v>
      </c>
      <c r="P31" s="138">
        <f t="shared" si="15"/>
        <v>16</v>
      </c>
      <c r="Q31" s="138">
        <f t="shared" si="15"/>
        <v>16</v>
      </c>
      <c r="R31" s="138">
        <f t="shared" si="15"/>
        <v>16</v>
      </c>
      <c r="S31" s="138">
        <f t="shared" si="15"/>
        <v>16</v>
      </c>
      <c r="T31" s="138">
        <f t="shared" si="15"/>
        <v>16</v>
      </c>
      <c r="U31" s="138">
        <f t="shared" si="15"/>
        <v>16</v>
      </c>
      <c r="V31" s="138">
        <f t="shared" si="15"/>
        <v>16</v>
      </c>
      <c r="W31" s="138">
        <f t="shared" si="15"/>
        <v>16</v>
      </c>
      <c r="X31" s="138">
        <f t="shared" si="15"/>
        <v>16</v>
      </c>
      <c r="Y31" s="138">
        <f t="shared" si="15"/>
        <v>16</v>
      </c>
      <c r="Z31" s="138">
        <f t="shared" si="15"/>
        <v>16</v>
      </c>
      <c r="AA31" s="138">
        <f t="shared" si="15"/>
        <v>16</v>
      </c>
      <c r="AB31" s="138">
        <f t="shared" si="15"/>
        <v>16</v>
      </c>
      <c r="AC31" s="138">
        <f t="shared" si="15"/>
        <v>16</v>
      </c>
      <c r="AD31" s="138">
        <f t="shared" si="15"/>
        <v>16</v>
      </c>
      <c r="AE31" s="138">
        <f t="shared" ref="AE31:AF31" si="16">SUM(AE23:AE30)</f>
        <v>16</v>
      </c>
      <c r="AF31" s="138">
        <f t="shared" si="16"/>
        <v>16</v>
      </c>
    </row>
  </sheetData>
  <conditionalFormatting sqref="B23:B26">
    <cfRule type="cellIs" dxfId="48" priority="11" operator="lessThan">
      <formula>3</formula>
    </cfRule>
  </conditionalFormatting>
  <conditionalFormatting sqref="C23:G26">
    <cfRule type="cellIs" dxfId="47" priority="9" operator="lessThan">
      <formula>3</formula>
    </cfRule>
  </conditionalFormatting>
  <conditionalFormatting sqref="H23:I26">
    <cfRule type="cellIs" dxfId="46" priority="8" operator="lessThan">
      <formula>3</formula>
    </cfRule>
  </conditionalFormatting>
  <conditionalFormatting sqref="J23:N26">
    <cfRule type="cellIs" dxfId="45" priority="7" operator="lessThan">
      <formula>3</formula>
    </cfRule>
  </conditionalFormatting>
  <conditionalFormatting sqref="O23:P26">
    <cfRule type="cellIs" dxfId="44" priority="6" operator="lessThan">
      <formula>3</formula>
    </cfRule>
  </conditionalFormatting>
  <conditionalFormatting sqref="Q23:U26">
    <cfRule type="cellIs" dxfId="43" priority="5" operator="lessThan">
      <formula>3</formula>
    </cfRule>
  </conditionalFormatting>
  <conditionalFormatting sqref="V23:W26">
    <cfRule type="cellIs" dxfId="42" priority="4" operator="lessThan">
      <formula>3</formula>
    </cfRule>
  </conditionalFormatting>
  <conditionalFormatting sqref="X23:AB26">
    <cfRule type="cellIs" dxfId="41" priority="3" operator="lessThan">
      <formula>3</formula>
    </cfRule>
  </conditionalFormatting>
  <conditionalFormatting sqref="AC23:AD26">
    <cfRule type="cellIs" dxfId="40" priority="2" operator="lessThan">
      <formula>3</formula>
    </cfRule>
  </conditionalFormatting>
  <conditionalFormatting sqref="AE23:AF26">
    <cfRule type="cellIs" dxfId="39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J31"/>
  <sheetViews>
    <sheetView zoomScale="60" zoomScaleNormal="60" workbookViewId="0">
      <pane xSplit="1" topLeftCell="C1" activePane="topRight" state="frozen"/>
      <selection pane="topRight" activeCell="R17" sqref="R17:W17"/>
    </sheetView>
  </sheetViews>
  <sheetFormatPr defaultRowHeight="14.5" x14ac:dyDescent="0.35"/>
  <cols>
    <col min="1" max="1" width="27" customWidth="1"/>
    <col min="2" max="20" width="8.7265625" customWidth="1"/>
    <col min="32" max="62" width="0" hidden="1" customWidth="1"/>
  </cols>
  <sheetData>
    <row r="1" spans="1:62" x14ac:dyDescent="0.35">
      <c r="A1" s="70"/>
      <c r="B1" s="2" t="str">
        <f t="shared" ref="B1:BI1" si="0">TEXT(B2,"ddd")</f>
        <v>Wed</v>
      </c>
      <c r="C1" s="2" t="str">
        <f t="shared" si="0"/>
        <v>Thu</v>
      </c>
      <c r="D1" s="2" t="str">
        <f t="shared" si="0"/>
        <v>Fri</v>
      </c>
      <c r="E1" s="2" t="str">
        <f t="shared" si="0"/>
        <v>Sat</v>
      </c>
      <c r="F1" s="2" t="str">
        <f t="shared" si="0"/>
        <v>Sun</v>
      </c>
      <c r="G1" s="2" t="str">
        <f t="shared" si="0"/>
        <v>Mon</v>
      </c>
      <c r="H1" s="2" t="str">
        <f t="shared" si="0"/>
        <v>Tue</v>
      </c>
      <c r="I1" s="2" t="str">
        <f t="shared" si="0"/>
        <v>Wed</v>
      </c>
      <c r="J1" s="2" t="str">
        <f t="shared" si="0"/>
        <v>Thu</v>
      </c>
      <c r="K1" s="2" t="str">
        <f t="shared" si="0"/>
        <v>Fri</v>
      </c>
      <c r="L1" s="2" t="str">
        <f t="shared" si="0"/>
        <v>Sat</v>
      </c>
      <c r="M1" s="2" t="str">
        <f t="shared" si="0"/>
        <v>Sun</v>
      </c>
      <c r="N1" s="2" t="str">
        <f t="shared" si="0"/>
        <v>Mon</v>
      </c>
      <c r="O1" s="2" t="str">
        <f t="shared" si="0"/>
        <v>Tue</v>
      </c>
      <c r="P1" s="2" t="str">
        <f t="shared" si="0"/>
        <v>Wed</v>
      </c>
      <c r="Q1" s="2" t="str">
        <f t="shared" si="0"/>
        <v>Thu</v>
      </c>
      <c r="R1" s="2" t="str">
        <f t="shared" si="0"/>
        <v>Fri</v>
      </c>
      <c r="S1" s="2" t="str">
        <f t="shared" si="0"/>
        <v>Sat</v>
      </c>
      <c r="T1" s="2" t="str">
        <f t="shared" si="0"/>
        <v>Sun</v>
      </c>
      <c r="U1" s="2" t="str">
        <f t="shared" si="0"/>
        <v>Mon</v>
      </c>
      <c r="V1" s="2" t="str">
        <f t="shared" si="0"/>
        <v>Tue</v>
      </c>
      <c r="W1" s="2" t="str">
        <f t="shared" si="0"/>
        <v>Wed</v>
      </c>
      <c r="X1" s="2" t="str">
        <f t="shared" si="0"/>
        <v>Thu</v>
      </c>
      <c r="Y1" s="2" t="str">
        <f t="shared" si="0"/>
        <v>Fri</v>
      </c>
      <c r="Z1" s="2" t="str">
        <f t="shared" si="0"/>
        <v>Sat</v>
      </c>
      <c r="AA1" s="2" t="str">
        <f t="shared" si="0"/>
        <v>Sun</v>
      </c>
      <c r="AB1" s="2" t="str">
        <f t="shared" si="0"/>
        <v>Mon</v>
      </c>
      <c r="AC1" s="2" t="str">
        <f t="shared" si="0"/>
        <v>Tue</v>
      </c>
      <c r="AD1" s="2" t="str">
        <f t="shared" si="0"/>
        <v>Wed</v>
      </c>
      <c r="AE1" s="2" t="str">
        <f t="shared" si="0"/>
        <v>Thu</v>
      </c>
      <c r="AF1" s="2" t="str">
        <f t="shared" si="0"/>
        <v>Fri</v>
      </c>
      <c r="AG1" s="2" t="str">
        <f t="shared" si="0"/>
        <v>Sat</v>
      </c>
      <c r="AH1" s="2" t="str">
        <f t="shared" si="0"/>
        <v>Sun</v>
      </c>
      <c r="AI1" s="2" t="str">
        <f t="shared" si="0"/>
        <v>Mon</v>
      </c>
      <c r="AJ1" s="2" t="str">
        <f t="shared" si="0"/>
        <v>Tue</v>
      </c>
      <c r="AK1" s="2" t="str">
        <f t="shared" si="0"/>
        <v>Wed</v>
      </c>
      <c r="AL1" s="2" t="str">
        <f t="shared" si="0"/>
        <v>Thu</v>
      </c>
      <c r="AM1" s="2" t="str">
        <f t="shared" si="0"/>
        <v>Fri</v>
      </c>
      <c r="AN1" s="2" t="str">
        <f t="shared" si="0"/>
        <v>Sat</v>
      </c>
      <c r="AO1" s="2" t="str">
        <f t="shared" si="0"/>
        <v>Sun</v>
      </c>
      <c r="AP1" s="2" t="str">
        <f t="shared" si="0"/>
        <v>Mon</v>
      </c>
      <c r="AQ1" s="2" t="str">
        <f t="shared" si="0"/>
        <v>Tue</v>
      </c>
      <c r="AR1" s="2" t="str">
        <f t="shared" si="0"/>
        <v>Wed</v>
      </c>
      <c r="AS1" s="2" t="str">
        <f t="shared" si="0"/>
        <v>Thu</v>
      </c>
      <c r="AT1" s="2" t="str">
        <f t="shared" si="0"/>
        <v>Fri</v>
      </c>
      <c r="AU1" s="2" t="str">
        <f t="shared" si="0"/>
        <v>Sat</v>
      </c>
      <c r="AV1" s="2" t="str">
        <f t="shared" si="0"/>
        <v>Sun</v>
      </c>
      <c r="AW1" s="2" t="str">
        <f t="shared" si="0"/>
        <v>Mon</v>
      </c>
      <c r="AX1" s="2" t="str">
        <f t="shared" si="0"/>
        <v>Tue</v>
      </c>
      <c r="AY1" s="2" t="str">
        <f t="shared" si="0"/>
        <v>Wed</v>
      </c>
      <c r="AZ1" s="2" t="str">
        <f t="shared" si="0"/>
        <v>Thu</v>
      </c>
      <c r="BA1" s="2" t="str">
        <f t="shared" si="0"/>
        <v>Fri</v>
      </c>
      <c r="BB1" s="2" t="str">
        <f t="shared" si="0"/>
        <v>Sat</v>
      </c>
      <c r="BC1" s="2" t="str">
        <f t="shared" si="0"/>
        <v>Sun</v>
      </c>
      <c r="BD1" s="2" t="str">
        <f t="shared" si="0"/>
        <v>Mon</v>
      </c>
      <c r="BE1" s="2" t="str">
        <f t="shared" si="0"/>
        <v>Tue</v>
      </c>
      <c r="BF1" s="2" t="str">
        <f t="shared" si="0"/>
        <v>Wed</v>
      </c>
      <c r="BG1" s="2" t="str">
        <f t="shared" si="0"/>
        <v>Thu</v>
      </c>
      <c r="BH1" s="2" t="str">
        <f t="shared" si="0"/>
        <v>Fri</v>
      </c>
      <c r="BI1" s="2" t="str">
        <f t="shared" si="0"/>
        <v>Sat</v>
      </c>
      <c r="BJ1" s="2" t="str">
        <f t="shared" ref="BJ1" si="1">TEXT(BJ2,"ddd")</f>
        <v>Sun</v>
      </c>
    </row>
    <row r="2" spans="1:62" x14ac:dyDescent="0.35">
      <c r="A2" s="104" t="s">
        <v>0</v>
      </c>
      <c r="B2" s="31">
        <v>45231</v>
      </c>
      <c r="C2" s="31">
        <v>45232</v>
      </c>
      <c r="D2" s="31">
        <v>45233</v>
      </c>
      <c r="E2" s="31">
        <v>45234</v>
      </c>
      <c r="F2" s="31">
        <v>45235</v>
      </c>
      <c r="G2" s="31">
        <v>45236</v>
      </c>
      <c r="H2" s="31">
        <v>45237</v>
      </c>
      <c r="I2" s="31">
        <v>45238</v>
      </c>
      <c r="J2" s="31">
        <v>45239</v>
      </c>
      <c r="K2" s="31">
        <v>45240</v>
      </c>
      <c r="L2" s="31">
        <v>45241</v>
      </c>
      <c r="M2" s="31">
        <v>45242</v>
      </c>
      <c r="N2" s="31">
        <v>45243</v>
      </c>
      <c r="O2" s="31">
        <v>45244</v>
      </c>
      <c r="P2" s="31">
        <v>45245</v>
      </c>
      <c r="Q2" s="31">
        <v>45246</v>
      </c>
      <c r="R2" s="31">
        <v>45247</v>
      </c>
      <c r="S2" s="31">
        <v>45248</v>
      </c>
      <c r="T2" s="31">
        <v>45249</v>
      </c>
      <c r="U2" s="31">
        <v>45250</v>
      </c>
      <c r="V2" s="31">
        <v>45251</v>
      </c>
      <c r="W2" s="31">
        <v>45252</v>
      </c>
      <c r="X2" s="31">
        <v>45253</v>
      </c>
      <c r="Y2" s="31">
        <v>45254</v>
      </c>
      <c r="Z2" s="31">
        <v>45255</v>
      </c>
      <c r="AA2" s="31">
        <v>45256</v>
      </c>
      <c r="AB2" s="31">
        <v>45257</v>
      </c>
      <c r="AC2" s="31">
        <v>45258</v>
      </c>
      <c r="AD2" s="31">
        <v>45259</v>
      </c>
      <c r="AE2" s="31">
        <v>45260</v>
      </c>
      <c r="AF2" s="31">
        <v>45261</v>
      </c>
      <c r="AG2" s="31">
        <v>45262</v>
      </c>
      <c r="AH2" s="31">
        <v>45263</v>
      </c>
      <c r="AI2" s="31">
        <v>45264</v>
      </c>
      <c r="AJ2" s="31">
        <v>45265</v>
      </c>
      <c r="AK2" s="31">
        <v>45266</v>
      </c>
      <c r="AL2" s="31">
        <v>45267</v>
      </c>
      <c r="AM2" s="31">
        <v>45268</v>
      </c>
      <c r="AN2" s="31">
        <v>45269</v>
      </c>
      <c r="AO2" s="31">
        <v>45270</v>
      </c>
      <c r="AP2" s="31">
        <v>45271</v>
      </c>
      <c r="AQ2" s="31">
        <v>45272</v>
      </c>
      <c r="AR2" s="31">
        <v>45273</v>
      </c>
      <c r="AS2" s="31">
        <v>45274</v>
      </c>
      <c r="AT2" s="31">
        <v>45275</v>
      </c>
      <c r="AU2" s="31">
        <v>45276</v>
      </c>
      <c r="AV2" s="31">
        <v>45277</v>
      </c>
      <c r="AW2" s="31">
        <v>45278</v>
      </c>
      <c r="AX2" s="31">
        <v>45279</v>
      </c>
      <c r="AY2" s="31">
        <v>45280</v>
      </c>
      <c r="AZ2" s="31">
        <v>45281</v>
      </c>
      <c r="BA2" s="31">
        <v>45282</v>
      </c>
      <c r="BB2" s="31">
        <v>45283</v>
      </c>
      <c r="BC2" s="31">
        <v>45284</v>
      </c>
      <c r="BD2" s="31">
        <v>45285</v>
      </c>
      <c r="BE2" s="31">
        <v>45286</v>
      </c>
      <c r="BF2" s="31">
        <v>45287</v>
      </c>
      <c r="BG2" s="31">
        <v>45288</v>
      </c>
      <c r="BH2" s="31">
        <v>45289</v>
      </c>
      <c r="BI2" s="31">
        <v>45290</v>
      </c>
      <c r="BJ2" s="31">
        <v>45291</v>
      </c>
    </row>
    <row r="3" spans="1:62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</row>
    <row r="4" spans="1:62" x14ac:dyDescent="0.35">
      <c r="A4" s="193" t="s">
        <v>1</v>
      </c>
      <c r="B4" s="131" t="s">
        <v>5</v>
      </c>
      <c r="C4" s="131" t="s">
        <v>5</v>
      </c>
      <c r="D4" s="131" t="s">
        <v>5</v>
      </c>
      <c r="E4" s="131" t="s">
        <v>4</v>
      </c>
      <c r="F4" s="131" t="s">
        <v>4</v>
      </c>
      <c r="G4" s="131" t="s">
        <v>5</v>
      </c>
      <c r="H4" s="131" t="s">
        <v>5</v>
      </c>
      <c r="I4" s="19" t="s">
        <v>41</v>
      </c>
      <c r="J4" s="19" t="s">
        <v>41</v>
      </c>
      <c r="K4" s="19" t="s">
        <v>41</v>
      </c>
      <c r="L4" s="19" t="s">
        <v>42</v>
      </c>
      <c r="M4" s="19" t="s">
        <v>42</v>
      </c>
      <c r="N4" s="184" t="s">
        <v>2</v>
      </c>
      <c r="O4" s="19" t="s">
        <v>42</v>
      </c>
      <c r="P4" s="19" t="s">
        <v>41</v>
      </c>
      <c r="Q4" s="19" t="s">
        <v>41</v>
      </c>
      <c r="R4" s="184" t="s">
        <v>2</v>
      </c>
      <c r="S4" s="19" t="s">
        <v>42</v>
      </c>
      <c r="T4" s="19" t="s">
        <v>42</v>
      </c>
      <c r="U4" s="184" t="s">
        <v>2</v>
      </c>
      <c r="V4" s="19" t="s">
        <v>41</v>
      </c>
      <c r="W4" s="19" t="s">
        <v>41</v>
      </c>
      <c r="X4" s="19" t="s">
        <v>41</v>
      </c>
      <c r="Y4" s="184" t="s">
        <v>2</v>
      </c>
      <c r="Z4" s="19" t="s">
        <v>42</v>
      </c>
      <c r="AA4" s="19" t="s">
        <v>42</v>
      </c>
      <c r="AB4" s="184" t="s">
        <v>2</v>
      </c>
      <c r="AC4" s="19" t="s">
        <v>41</v>
      </c>
      <c r="AD4" s="19" t="s">
        <v>41</v>
      </c>
      <c r="AE4" s="19" t="s">
        <v>41</v>
      </c>
      <c r="AF4" s="184" t="s">
        <v>2</v>
      </c>
      <c r="AG4" s="70"/>
    </row>
    <row r="5" spans="1:62" x14ac:dyDescent="0.35">
      <c r="A5" s="193" t="s">
        <v>75</v>
      </c>
      <c r="B5" s="184" t="s">
        <v>2</v>
      </c>
      <c r="C5" s="19" t="s">
        <v>41</v>
      </c>
      <c r="D5" s="19" t="s">
        <v>41</v>
      </c>
      <c r="E5" s="123" t="s">
        <v>4</v>
      </c>
      <c r="F5" s="19" t="s">
        <v>42</v>
      </c>
      <c r="G5" s="19" t="s">
        <v>41</v>
      </c>
      <c r="H5" s="19" t="s">
        <v>41</v>
      </c>
      <c r="I5" s="19" t="s">
        <v>41</v>
      </c>
      <c r="J5" s="19" t="s">
        <v>41</v>
      </c>
      <c r="K5" s="184" t="s">
        <v>2</v>
      </c>
      <c r="L5" s="123" t="s">
        <v>4</v>
      </c>
      <c r="M5" s="19" t="s">
        <v>42</v>
      </c>
      <c r="N5" s="19" t="s">
        <v>41</v>
      </c>
      <c r="O5" s="183" t="s">
        <v>37</v>
      </c>
      <c r="P5" s="184" t="s">
        <v>2</v>
      </c>
      <c r="Q5" s="19" t="s">
        <v>41</v>
      </c>
      <c r="R5" s="19" t="s">
        <v>41</v>
      </c>
      <c r="S5" s="19" t="s">
        <v>42</v>
      </c>
      <c r="T5" s="19" t="s">
        <v>42</v>
      </c>
      <c r="U5" s="19" t="s">
        <v>41</v>
      </c>
      <c r="V5" s="131" t="s">
        <v>5</v>
      </c>
      <c r="W5" s="131" t="s">
        <v>5</v>
      </c>
      <c r="X5" s="131" t="s">
        <v>5</v>
      </c>
      <c r="Y5" s="131" t="s">
        <v>5</v>
      </c>
      <c r="Z5" s="131" t="s">
        <v>4</v>
      </c>
      <c r="AA5" s="131" t="s">
        <v>4</v>
      </c>
      <c r="AB5" s="131" t="s">
        <v>5</v>
      </c>
      <c r="AC5" s="131" t="s">
        <v>5</v>
      </c>
      <c r="AD5" s="131" t="s">
        <v>5</v>
      </c>
      <c r="AE5" s="131" t="s">
        <v>5</v>
      </c>
      <c r="AF5" s="70"/>
      <c r="AG5" s="70"/>
      <c r="AM5" s="131" t="s">
        <v>5</v>
      </c>
      <c r="AN5" s="131" t="s">
        <v>5</v>
      </c>
      <c r="AO5" s="131" t="s">
        <v>5</v>
      </c>
      <c r="AP5" s="131" t="s">
        <v>5</v>
      </c>
      <c r="AQ5" s="131" t="s">
        <v>5</v>
      </c>
      <c r="AR5" s="131" t="s">
        <v>5</v>
      </c>
      <c r="AS5" s="131" t="s">
        <v>5</v>
      </c>
      <c r="AT5" s="131" t="s">
        <v>5</v>
      </c>
      <c r="AU5" s="131" t="s">
        <v>5</v>
      </c>
      <c r="AV5" s="131" t="s">
        <v>5</v>
      </c>
    </row>
    <row r="6" spans="1:62" x14ac:dyDescent="0.35">
      <c r="A6" s="182" t="s">
        <v>21</v>
      </c>
      <c r="B6" s="19" t="s">
        <v>41</v>
      </c>
      <c r="C6" s="19" t="s">
        <v>41</v>
      </c>
      <c r="D6" s="19" t="s">
        <v>41</v>
      </c>
      <c r="E6" s="19" t="s">
        <v>42</v>
      </c>
      <c r="F6" s="123" t="s">
        <v>4</v>
      </c>
      <c r="G6" s="184" t="s">
        <v>2</v>
      </c>
      <c r="H6" s="19" t="s">
        <v>41</v>
      </c>
      <c r="I6" s="184" t="s">
        <v>2</v>
      </c>
      <c r="J6" s="184" t="s">
        <v>2</v>
      </c>
      <c r="K6" s="19" t="s">
        <v>41</v>
      </c>
      <c r="L6" s="19" t="s">
        <v>42</v>
      </c>
      <c r="M6" s="123" t="s">
        <v>4</v>
      </c>
      <c r="N6" s="19" t="s">
        <v>41</v>
      </c>
      <c r="O6" s="19" t="s">
        <v>42</v>
      </c>
      <c r="P6" s="19" t="s">
        <v>41</v>
      </c>
      <c r="Q6" s="19" t="s">
        <v>41</v>
      </c>
      <c r="R6" s="19" t="s">
        <v>41</v>
      </c>
      <c r="S6" s="123" t="s">
        <v>4</v>
      </c>
      <c r="T6" s="123" t="s">
        <v>4</v>
      </c>
      <c r="U6" s="131" t="s">
        <v>5</v>
      </c>
      <c r="V6" s="19" t="s">
        <v>41</v>
      </c>
      <c r="W6" s="19" t="s">
        <v>41</v>
      </c>
      <c r="X6" s="19" t="s">
        <v>41</v>
      </c>
      <c r="Y6" s="19" t="s">
        <v>41</v>
      </c>
      <c r="Z6" s="19" t="s">
        <v>42</v>
      </c>
      <c r="AA6" s="123" t="s">
        <v>4</v>
      </c>
      <c r="AB6" s="19" t="s">
        <v>41</v>
      </c>
      <c r="AC6" s="184" t="s">
        <v>2</v>
      </c>
      <c r="AD6" s="19" t="s">
        <v>41</v>
      </c>
      <c r="AE6" s="19" t="s">
        <v>41</v>
      </c>
      <c r="AF6" s="70"/>
      <c r="AG6" s="70"/>
    </row>
    <row r="7" spans="1:62" x14ac:dyDescent="0.35">
      <c r="A7" s="182" t="s">
        <v>22</v>
      </c>
      <c r="B7" s="25" t="s">
        <v>6</v>
      </c>
      <c r="C7" s="25" t="s">
        <v>6</v>
      </c>
      <c r="D7" s="184" t="s">
        <v>2</v>
      </c>
      <c r="E7" s="19" t="s">
        <v>42</v>
      </c>
      <c r="F7" s="123" t="s">
        <v>4</v>
      </c>
      <c r="G7" s="19" t="s">
        <v>41</v>
      </c>
      <c r="H7" s="22" t="s">
        <v>16</v>
      </c>
      <c r="I7" s="25" t="s">
        <v>6</v>
      </c>
      <c r="J7" s="19" t="s">
        <v>41</v>
      </c>
      <c r="K7" s="131" t="s">
        <v>5</v>
      </c>
      <c r="L7" s="131" t="s">
        <v>4</v>
      </c>
      <c r="M7" s="131" t="s">
        <v>4</v>
      </c>
      <c r="N7" s="131" t="s">
        <v>5</v>
      </c>
      <c r="O7" s="131" t="s">
        <v>5</v>
      </c>
      <c r="P7" s="131" t="s">
        <v>5</v>
      </c>
      <c r="Q7" s="131" t="s">
        <v>5</v>
      </c>
      <c r="R7" s="131" t="s">
        <v>5</v>
      </c>
      <c r="S7" s="123" t="s">
        <v>4</v>
      </c>
      <c r="T7" s="123" t="s">
        <v>4</v>
      </c>
      <c r="U7" s="19" t="s">
        <v>41</v>
      </c>
      <c r="V7" s="184" t="s">
        <v>2</v>
      </c>
      <c r="W7" s="19" t="s">
        <v>41</v>
      </c>
      <c r="X7" s="184" t="s">
        <v>2</v>
      </c>
      <c r="Y7" s="19" t="s">
        <v>41</v>
      </c>
      <c r="Z7" s="123" t="s">
        <v>4</v>
      </c>
      <c r="AA7" s="19" t="s">
        <v>42</v>
      </c>
      <c r="AB7" s="19" t="s">
        <v>41</v>
      </c>
      <c r="AC7" s="19" t="s">
        <v>41</v>
      </c>
      <c r="AD7" s="19" t="s">
        <v>41</v>
      </c>
      <c r="AE7" s="131" t="s">
        <v>5</v>
      </c>
      <c r="AF7" s="70"/>
      <c r="AG7" s="70"/>
    </row>
    <row r="8" spans="1:62" x14ac:dyDescent="0.35">
      <c r="A8" s="182" t="s">
        <v>76</v>
      </c>
      <c r="B8" s="184" t="s">
        <v>2</v>
      </c>
      <c r="C8" s="19" t="s">
        <v>41</v>
      </c>
      <c r="D8" s="19" t="s">
        <v>41</v>
      </c>
      <c r="E8" s="123" t="s">
        <v>4</v>
      </c>
      <c r="F8" s="19" t="s">
        <v>42</v>
      </c>
      <c r="G8" s="19" t="s">
        <v>41</v>
      </c>
      <c r="H8" s="19" t="s">
        <v>41</v>
      </c>
      <c r="I8" s="19" t="s">
        <v>41</v>
      </c>
      <c r="J8" s="184" t="s">
        <v>2</v>
      </c>
      <c r="K8" s="19" t="s">
        <v>41</v>
      </c>
      <c r="L8" s="123" t="s">
        <v>4</v>
      </c>
      <c r="M8" s="131" t="s">
        <v>4</v>
      </c>
      <c r="N8" s="19" t="s">
        <v>41</v>
      </c>
      <c r="O8" s="19" t="s">
        <v>42</v>
      </c>
      <c r="P8" s="19" t="s">
        <v>41</v>
      </c>
      <c r="Q8" s="184" t="s">
        <v>2</v>
      </c>
      <c r="R8" s="19" t="s">
        <v>41</v>
      </c>
      <c r="S8" s="22" t="s">
        <v>30</v>
      </c>
      <c r="T8" s="123" t="s">
        <v>4</v>
      </c>
      <c r="U8" s="184" t="s">
        <v>2</v>
      </c>
      <c r="V8" s="19" t="s">
        <v>41</v>
      </c>
      <c r="W8" s="184" t="s">
        <v>2</v>
      </c>
      <c r="X8" s="19" t="s">
        <v>41</v>
      </c>
      <c r="Y8" s="19" t="s">
        <v>41</v>
      </c>
      <c r="Z8" s="123" t="s">
        <v>4</v>
      </c>
      <c r="AA8" s="123" t="s">
        <v>4</v>
      </c>
      <c r="AB8" s="19" t="s">
        <v>41</v>
      </c>
      <c r="AC8" s="19" t="s">
        <v>41</v>
      </c>
      <c r="AD8" s="19" t="s">
        <v>41</v>
      </c>
      <c r="AE8" s="19" t="s">
        <v>41</v>
      </c>
      <c r="AF8" s="70"/>
      <c r="AG8" s="70"/>
    </row>
    <row r="9" spans="1:62" x14ac:dyDescent="0.35">
      <c r="A9" s="182" t="s">
        <v>225</v>
      </c>
      <c r="B9" s="19" t="s">
        <v>41</v>
      </c>
      <c r="C9" s="184" t="s">
        <v>2</v>
      </c>
      <c r="D9" s="25" t="s">
        <v>6</v>
      </c>
      <c r="E9" s="22" t="s">
        <v>30</v>
      </c>
      <c r="F9" s="123" t="s">
        <v>4</v>
      </c>
      <c r="G9" s="19" t="s">
        <v>41</v>
      </c>
      <c r="H9" s="19" t="s">
        <v>41</v>
      </c>
      <c r="I9" s="19" t="s">
        <v>41</v>
      </c>
      <c r="J9" s="19" t="s">
        <v>41</v>
      </c>
      <c r="K9" s="19" t="s">
        <v>41</v>
      </c>
      <c r="L9" s="123" t="s">
        <v>4</v>
      </c>
      <c r="M9" s="123" t="s">
        <v>4</v>
      </c>
      <c r="N9" s="19" t="s">
        <v>41</v>
      </c>
      <c r="O9" s="183" t="s">
        <v>37</v>
      </c>
      <c r="P9" s="19" t="s">
        <v>41</v>
      </c>
      <c r="Q9" s="131" t="s">
        <v>5</v>
      </c>
      <c r="R9" s="131" t="s">
        <v>5</v>
      </c>
      <c r="S9" s="131" t="s">
        <v>4</v>
      </c>
      <c r="T9" s="131" t="s">
        <v>4</v>
      </c>
      <c r="U9" s="19" t="s">
        <v>41</v>
      </c>
      <c r="V9" s="19" t="s">
        <v>41</v>
      </c>
      <c r="W9" s="19" t="s">
        <v>41</v>
      </c>
      <c r="X9" s="19" t="s">
        <v>41</v>
      </c>
      <c r="Y9" s="19" t="s">
        <v>41</v>
      </c>
      <c r="Z9" s="22" t="s">
        <v>30</v>
      </c>
      <c r="AA9" s="123" t="s">
        <v>4</v>
      </c>
      <c r="AB9" s="19" t="s">
        <v>41</v>
      </c>
      <c r="AC9" s="19" t="s">
        <v>41</v>
      </c>
      <c r="AD9" s="19" t="s">
        <v>41</v>
      </c>
      <c r="AE9" s="19" t="s">
        <v>41</v>
      </c>
      <c r="AF9" s="70"/>
      <c r="AG9" s="70"/>
    </row>
    <row r="10" spans="1:62" x14ac:dyDescent="0.35">
      <c r="A10" s="222"/>
      <c r="B10" s="222"/>
      <c r="C10" s="222"/>
      <c r="D10" s="222"/>
      <c r="E10" s="222"/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22"/>
      <c r="AB10" s="222"/>
      <c r="AC10" s="222"/>
      <c r="AD10" s="222"/>
      <c r="AE10" s="222"/>
      <c r="AF10" s="222"/>
      <c r="AG10" s="222"/>
    </row>
    <row r="11" spans="1:62" x14ac:dyDescent="0.35">
      <c r="A11" s="193" t="s">
        <v>57</v>
      </c>
      <c r="B11" s="25" t="s">
        <v>6</v>
      </c>
      <c r="C11" s="25" t="s">
        <v>6</v>
      </c>
      <c r="D11" s="25" t="s">
        <v>6</v>
      </c>
      <c r="E11" s="25" t="s">
        <v>3</v>
      </c>
      <c r="F11" s="123" t="s">
        <v>4</v>
      </c>
      <c r="G11" s="25" t="s">
        <v>6</v>
      </c>
      <c r="H11" s="25" t="s">
        <v>6</v>
      </c>
      <c r="I11" s="25" t="s">
        <v>6</v>
      </c>
      <c r="J11" s="131" t="s">
        <v>5</v>
      </c>
      <c r="K11" s="131" t="s">
        <v>5</v>
      </c>
      <c r="L11" s="131" t="s">
        <v>4</v>
      </c>
      <c r="M11" s="131" t="s">
        <v>4</v>
      </c>
      <c r="N11" s="131" t="s">
        <v>5</v>
      </c>
      <c r="O11" s="131" t="s">
        <v>5</v>
      </c>
      <c r="P11" s="131" t="s">
        <v>5</v>
      </c>
      <c r="Q11" s="25" t="s">
        <v>6</v>
      </c>
      <c r="R11" s="25" t="s">
        <v>6</v>
      </c>
      <c r="S11" s="25" t="s">
        <v>3</v>
      </c>
      <c r="T11" s="123" t="s">
        <v>4</v>
      </c>
      <c r="U11" s="184" t="s">
        <v>2</v>
      </c>
      <c r="V11" s="25" t="s">
        <v>6</v>
      </c>
      <c r="W11" s="131" t="s">
        <v>5</v>
      </c>
      <c r="X11" s="131" t="s">
        <v>5</v>
      </c>
      <c r="Y11" s="131" t="s">
        <v>5</v>
      </c>
      <c r="Z11" s="25" t="s">
        <v>3</v>
      </c>
      <c r="AA11" s="123" t="s">
        <v>4</v>
      </c>
      <c r="AB11" s="184" t="s">
        <v>2</v>
      </c>
      <c r="AC11" s="25" t="s">
        <v>6</v>
      </c>
      <c r="AD11" s="25" t="s">
        <v>6</v>
      </c>
      <c r="AE11" s="25" t="s">
        <v>6</v>
      </c>
      <c r="AF11" s="70"/>
      <c r="AG11" s="70"/>
    </row>
    <row r="12" spans="1:62" x14ac:dyDescent="0.35">
      <c r="A12" s="182" t="s">
        <v>15</v>
      </c>
      <c r="B12" s="131" t="s">
        <v>5</v>
      </c>
      <c r="C12" s="131" t="s">
        <v>5</v>
      </c>
      <c r="D12" s="131" t="s">
        <v>5</v>
      </c>
      <c r="E12" s="123" t="s">
        <v>4</v>
      </c>
      <c r="F12" s="123" t="s">
        <v>4</v>
      </c>
      <c r="G12" s="131" t="s">
        <v>5</v>
      </c>
      <c r="H12" s="131" t="s">
        <v>5</v>
      </c>
      <c r="I12" s="131" t="s">
        <v>5</v>
      </c>
      <c r="J12" s="25" t="s">
        <v>6</v>
      </c>
      <c r="K12" s="25" t="s">
        <v>6</v>
      </c>
      <c r="L12" s="25" t="s">
        <v>3</v>
      </c>
      <c r="M12" s="25" t="s">
        <v>3</v>
      </c>
      <c r="N12" s="25" t="s">
        <v>6</v>
      </c>
      <c r="O12" s="25" t="s">
        <v>3</v>
      </c>
      <c r="P12" s="25" t="s">
        <v>6</v>
      </c>
      <c r="Q12" s="131" t="s">
        <v>5</v>
      </c>
      <c r="R12" s="131" t="s">
        <v>5</v>
      </c>
      <c r="S12" s="131" t="s">
        <v>4</v>
      </c>
      <c r="T12" s="131" t="s">
        <v>4</v>
      </c>
      <c r="U12" s="131" t="s">
        <v>5</v>
      </c>
      <c r="V12" s="131" t="s">
        <v>5</v>
      </c>
      <c r="W12" s="131" t="s">
        <v>5</v>
      </c>
      <c r="X12" s="131" t="s">
        <v>5</v>
      </c>
      <c r="Y12" s="131" t="s">
        <v>5</v>
      </c>
      <c r="Z12" s="131" t="s">
        <v>4</v>
      </c>
      <c r="AA12" s="131" t="s">
        <v>4</v>
      </c>
      <c r="AB12" s="25" t="s">
        <v>6</v>
      </c>
      <c r="AC12" s="25" t="s">
        <v>6</v>
      </c>
      <c r="AD12" s="25" t="s">
        <v>6</v>
      </c>
      <c r="AE12" s="184" t="s">
        <v>2</v>
      </c>
      <c r="AF12" s="70"/>
      <c r="AG12" s="70"/>
    </row>
    <row r="13" spans="1:62" x14ac:dyDescent="0.35">
      <c r="A13" s="193" t="s">
        <v>155</v>
      </c>
      <c r="B13" s="19" t="s">
        <v>41</v>
      </c>
      <c r="C13" s="19" t="s">
        <v>41</v>
      </c>
      <c r="D13" s="19" t="s">
        <v>41</v>
      </c>
      <c r="E13" s="123" t="s">
        <v>4</v>
      </c>
      <c r="F13" s="25" t="s">
        <v>3</v>
      </c>
      <c r="G13" s="25" t="s">
        <v>6</v>
      </c>
      <c r="H13" s="25" t="s">
        <v>6</v>
      </c>
      <c r="I13" s="19" t="s">
        <v>41</v>
      </c>
      <c r="J13" s="25" t="s">
        <v>6</v>
      </c>
      <c r="K13" s="131" t="s">
        <v>5</v>
      </c>
      <c r="L13" s="25" t="s">
        <v>3</v>
      </c>
      <c r="M13" s="131" t="s">
        <v>4</v>
      </c>
      <c r="N13" s="25" t="s">
        <v>6</v>
      </c>
      <c r="O13" s="131" t="s">
        <v>5</v>
      </c>
      <c r="P13" s="131" t="s">
        <v>5</v>
      </c>
      <c r="Q13" s="25" t="s">
        <v>6</v>
      </c>
      <c r="R13" s="25" t="s">
        <v>6</v>
      </c>
      <c r="S13" s="123" t="s">
        <v>4</v>
      </c>
      <c r="T13" s="25" t="s">
        <v>3</v>
      </c>
      <c r="U13" s="25" t="s">
        <v>6</v>
      </c>
      <c r="V13" s="184" t="s">
        <v>2</v>
      </c>
      <c r="W13" s="25" t="s">
        <v>6</v>
      </c>
      <c r="X13" s="25" t="s">
        <v>6</v>
      </c>
      <c r="Y13" s="25" t="s">
        <v>6</v>
      </c>
      <c r="Z13" s="123" t="s">
        <v>4</v>
      </c>
      <c r="AA13" s="25" t="s">
        <v>3</v>
      </c>
      <c r="AB13" s="25" t="s">
        <v>6</v>
      </c>
      <c r="AC13" s="184" t="s">
        <v>2</v>
      </c>
      <c r="AD13" s="25" t="s">
        <v>6</v>
      </c>
      <c r="AE13" s="25" t="s">
        <v>6</v>
      </c>
    </row>
    <row r="14" spans="1:62" x14ac:dyDescent="0.35">
      <c r="A14" s="182" t="s">
        <v>77</v>
      </c>
      <c r="B14" s="184" t="s">
        <v>2</v>
      </c>
      <c r="C14" s="25" t="s">
        <v>6</v>
      </c>
      <c r="D14" s="25" t="s">
        <v>6</v>
      </c>
      <c r="E14" s="123" t="s">
        <v>4</v>
      </c>
      <c r="F14" s="25" t="s">
        <v>3</v>
      </c>
      <c r="G14" s="131" t="s">
        <v>5</v>
      </c>
      <c r="H14" s="131" t="s">
        <v>5</v>
      </c>
      <c r="I14" s="131" t="s">
        <v>5</v>
      </c>
      <c r="J14" s="131" t="s">
        <v>5</v>
      </c>
      <c r="K14" s="25" t="s">
        <v>6</v>
      </c>
      <c r="L14" s="22" t="s">
        <v>30</v>
      </c>
      <c r="M14" s="131" t="s">
        <v>4</v>
      </c>
      <c r="N14" s="131" t="s">
        <v>5</v>
      </c>
      <c r="O14" s="25" t="s">
        <v>3</v>
      </c>
      <c r="P14" s="25" t="s">
        <v>6</v>
      </c>
      <c r="Q14" s="25" t="s">
        <v>6</v>
      </c>
      <c r="R14" s="25" t="s">
        <v>6</v>
      </c>
      <c r="S14" s="123" t="s">
        <v>4</v>
      </c>
      <c r="T14" s="25" t="s">
        <v>3</v>
      </c>
      <c r="U14" s="25" t="s">
        <v>6</v>
      </c>
      <c r="V14" s="25" t="s">
        <v>6</v>
      </c>
      <c r="W14" s="25" t="s">
        <v>6</v>
      </c>
      <c r="X14" s="25" t="s">
        <v>6</v>
      </c>
      <c r="Y14" s="25" t="s">
        <v>6</v>
      </c>
      <c r="Z14" s="123" t="s">
        <v>4</v>
      </c>
      <c r="AA14" s="25" t="s">
        <v>3</v>
      </c>
      <c r="AB14" s="131" t="s">
        <v>5</v>
      </c>
      <c r="AC14" s="131" t="s">
        <v>5</v>
      </c>
      <c r="AD14" s="131" t="s">
        <v>5</v>
      </c>
      <c r="AE14" s="131" t="s">
        <v>5</v>
      </c>
      <c r="AF14" s="70"/>
      <c r="AG14" s="70"/>
    </row>
    <row r="15" spans="1:62" x14ac:dyDescent="0.35">
      <c r="A15" s="182" t="s">
        <v>181</v>
      </c>
      <c r="B15" s="25" t="s">
        <v>6</v>
      </c>
      <c r="C15" s="25" t="s">
        <v>6</v>
      </c>
      <c r="D15" s="25" t="s">
        <v>6</v>
      </c>
      <c r="E15" s="25" t="s">
        <v>3</v>
      </c>
      <c r="F15" s="123" t="s">
        <v>4</v>
      </c>
      <c r="G15" s="25" t="s">
        <v>6</v>
      </c>
      <c r="H15" s="25" t="s">
        <v>6</v>
      </c>
      <c r="I15" s="25" t="s">
        <v>6</v>
      </c>
      <c r="J15" s="25" t="s">
        <v>6</v>
      </c>
      <c r="K15" s="25" t="s">
        <v>6</v>
      </c>
      <c r="L15" s="123" t="s">
        <v>4</v>
      </c>
      <c r="M15" s="25" t="s">
        <v>3</v>
      </c>
      <c r="N15" s="25" t="s">
        <v>6</v>
      </c>
      <c r="O15" s="25" t="s">
        <v>3</v>
      </c>
      <c r="P15" s="25" t="s">
        <v>6</v>
      </c>
      <c r="Q15" s="184" t="s">
        <v>2</v>
      </c>
      <c r="R15" s="184" t="s">
        <v>2</v>
      </c>
      <c r="S15" s="25" t="s">
        <v>3</v>
      </c>
      <c r="T15" s="123" t="s">
        <v>4</v>
      </c>
      <c r="U15" s="25" t="s">
        <v>6</v>
      </c>
      <c r="V15" s="25" t="s">
        <v>6</v>
      </c>
      <c r="W15" s="25" t="s">
        <v>6</v>
      </c>
      <c r="X15" s="184" t="s">
        <v>2</v>
      </c>
      <c r="Y15" s="25" t="s">
        <v>6</v>
      </c>
      <c r="Z15" s="25" t="s">
        <v>3</v>
      </c>
      <c r="AA15" s="123" t="s">
        <v>4</v>
      </c>
      <c r="AB15" s="25" t="s">
        <v>6</v>
      </c>
      <c r="AC15" s="25" t="s">
        <v>6</v>
      </c>
      <c r="AD15" s="184" t="s">
        <v>2</v>
      </c>
      <c r="AE15" s="25" t="s">
        <v>6</v>
      </c>
    </row>
    <row r="16" spans="1:62" x14ac:dyDescent="0.35">
      <c r="AF16" s="70"/>
      <c r="AG16" s="70"/>
    </row>
    <row r="17" spans="1:62" x14ac:dyDescent="0.35">
      <c r="A17" s="193" t="s">
        <v>9</v>
      </c>
      <c r="B17" s="185" t="s">
        <v>10</v>
      </c>
      <c r="C17" s="185" t="s">
        <v>10</v>
      </c>
      <c r="D17" s="185" t="s">
        <v>10</v>
      </c>
      <c r="E17" s="123" t="s">
        <v>4</v>
      </c>
      <c r="F17" s="185" t="s">
        <v>11</v>
      </c>
      <c r="G17" s="185" t="s">
        <v>10</v>
      </c>
      <c r="H17" s="185" t="s">
        <v>10</v>
      </c>
      <c r="I17" s="185" t="s">
        <v>10</v>
      </c>
      <c r="J17" s="185" t="s">
        <v>10</v>
      </c>
      <c r="K17" s="184" t="s">
        <v>2</v>
      </c>
      <c r="L17" s="123" t="s">
        <v>4</v>
      </c>
      <c r="M17" s="185" t="s">
        <v>11</v>
      </c>
      <c r="N17" s="185" t="s">
        <v>10</v>
      </c>
      <c r="O17" s="185" t="s">
        <v>11</v>
      </c>
      <c r="P17" s="185" t="s">
        <v>10</v>
      </c>
      <c r="Q17" s="184" t="s">
        <v>2</v>
      </c>
      <c r="R17" s="185" t="s">
        <v>10</v>
      </c>
      <c r="S17" s="185" t="s">
        <v>11</v>
      </c>
      <c r="T17" s="185" t="s">
        <v>11</v>
      </c>
      <c r="U17" s="185" t="s">
        <v>10</v>
      </c>
      <c r="V17" s="185" t="s">
        <v>10</v>
      </c>
      <c r="W17" s="185" t="s">
        <v>10</v>
      </c>
      <c r="X17" s="131" t="s">
        <v>5</v>
      </c>
      <c r="Y17" s="131" t="s">
        <v>5</v>
      </c>
      <c r="Z17" s="131" t="s">
        <v>4</v>
      </c>
      <c r="AA17" s="131" t="s">
        <v>4</v>
      </c>
      <c r="AB17" s="185" t="s">
        <v>11</v>
      </c>
      <c r="AC17" s="185" t="s">
        <v>10</v>
      </c>
      <c r="AD17" s="185" t="s">
        <v>10</v>
      </c>
      <c r="AE17" s="185" t="s">
        <v>10</v>
      </c>
      <c r="AF17" s="70"/>
      <c r="AG17" s="70"/>
    </row>
    <row r="18" spans="1:62" x14ac:dyDescent="0.35">
      <c r="A18" s="193" t="s">
        <v>43</v>
      </c>
      <c r="B18" s="185" t="s">
        <v>10</v>
      </c>
      <c r="C18" s="185" t="s">
        <v>10</v>
      </c>
      <c r="D18" s="185" t="s">
        <v>10</v>
      </c>
      <c r="E18" s="185" t="s">
        <v>11</v>
      </c>
      <c r="F18" s="123" t="s">
        <v>4</v>
      </c>
      <c r="G18" s="184" t="s">
        <v>2</v>
      </c>
      <c r="H18" s="185" t="s">
        <v>10</v>
      </c>
      <c r="I18" s="185" t="s">
        <v>10</v>
      </c>
      <c r="J18" s="185" t="s">
        <v>10</v>
      </c>
      <c r="K18" s="185" t="s">
        <v>10</v>
      </c>
      <c r="L18" s="185" t="s">
        <v>11</v>
      </c>
      <c r="M18" s="123" t="s">
        <v>4</v>
      </c>
      <c r="N18" s="184" t="s">
        <v>2</v>
      </c>
      <c r="O18" s="185" t="s">
        <v>11</v>
      </c>
      <c r="P18" s="185" t="s">
        <v>10</v>
      </c>
      <c r="Q18" s="185" t="s">
        <v>10</v>
      </c>
      <c r="R18" s="131" t="s">
        <v>5</v>
      </c>
      <c r="S18" s="123" t="s">
        <v>4</v>
      </c>
      <c r="T18" s="185" t="s">
        <v>11</v>
      </c>
      <c r="U18" s="184" t="s">
        <v>2</v>
      </c>
      <c r="V18" s="184" t="s">
        <v>2</v>
      </c>
      <c r="W18" s="185" t="s">
        <v>10</v>
      </c>
      <c r="X18" s="185" t="s">
        <v>10</v>
      </c>
      <c r="Y18" s="185" t="s">
        <v>10</v>
      </c>
      <c r="Z18" s="185" t="s">
        <v>11</v>
      </c>
      <c r="AA18" s="185" t="s">
        <v>11</v>
      </c>
      <c r="AB18" s="184" t="s">
        <v>2</v>
      </c>
      <c r="AC18" s="185" t="s">
        <v>10</v>
      </c>
      <c r="AD18" s="185" t="s">
        <v>10</v>
      </c>
      <c r="AE18" s="184" t="s">
        <v>2</v>
      </c>
      <c r="AF18" s="70"/>
      <c r="AG18" s="70"/>
      <c r="AO18" s="131" t="s">
        <v>5</v>
      </c>
      <c r="AP18" s="131" t="s">
        <v>5</v>
      </c>
      <c r="AQ18" s="131" t="s">
        <v>5</v>
      </c>
      <c r="AR18" s="131" t="s">
        <v>5</v>
      </c>
      <c r="AS18" s="131" t="s">
        <v>5</v>
      </c>
      <c r="AT18" s="131" t="s">
        <v>5</v>
      </c>
      <c r="AU18" s="131" t="s">
        <v>5</v>
      </c>
      <c r="AV18" s="131" t="s">
        <v>5</v>
      </c>
      <c r="AW18" s="131" t="s">
        <v>5</v>
      </c>
      <c r="AX18" s="131" t="s">
        <v>5</v>
      </c>
      <c r="AY18" s="131" t="s">
        <v>5</v>
      </c>
      <c r="AZ18" s="131" t="s">
        <v>5</v>
      </c>
      <c r="BA18" s="131" t="s">
        <v>5</v>
      </c>
      <c r="BI18" s="131" t="s">
        <v>5</v>
      </c>
      <c r="BJ18" s="131" t="s">
        <v>5</v>
      </c>
    </row>
    <row r="19" spans="1:62" x14ac:dyDescent="0.35">
      <c r="A19" s="182" t="s">
        <v>74</v>
      </c>
      <c r="B19" s="185" t="s">
        <v>10</v>
      </c>
      <c r="C19" s="185" t="s">
        <v>10</v>
      </c>
      <c r="D19" s="184" t="s">
        <v>2</v>
      </c>
      <c r="E19" s="123" t="s">
        <v>4</v>
      </c>
      <c r="F19" s="185" t="s">
        <v>11</v>
      </c>
      <c r="G19" s="185" t="s">
        <v>10</v>
      </c>
      <c r="H19" s="185" t="s">
        <v>10</v>
      </c>
      <c r="I19" s="184" t="s">
        <v>2</v>
      </c>
      <c r="J19" s="184" t="s">
        <v>2</v>
      </c>
      <c r="K19" s="185" t="s">
        <v>10</v>
      </c>
      <c r="L19" s="123" t="s">
        <v>4</v>
      </c>
      <c r="M19" s="185" t="s">
        <v>11</v>
      </c>
      <c r="N19" s="185" t="s">
        <v>10</v>
      </c>
      <c r="O19" s="185" t="s">
        <v>11</v>
      </c>
      <c r="P19" s="185" t="s">
        <v>10</v>
      </c>
      <c r="Q19" s="185" t="s">
        <v>10</v>
      </c>
      <c r="R19" s="184" t="s">
        <v>2</v>
      </c>
      <c r="S19" s="123" t="s">
        <v>4</v>
      </c>
      <c r="T19" s="185" t="s">
        <v>11</v>
      </c>
      <c r="U19" s="185" t="s">
        <v>10</v>
      </c>
      <c r="V19" s="185" t="s">
        <v>10</v>
      </c>
      <c r="W19" s="185" t="s">
        <v>10</v>
      </c>
      <c r="X19" s="185" t="s">
        <v>10</v>
      </c>
      <c r="Y19" s="131" t="s">
        <v>5</v>
      </c>
      <c r="Z19" s="131" t="s">
        <v>4</v>
      </c>
      <c r="AA19" s="131" t="s">
        <v>4</v>
      </c>
      <c r="AB19" s="131" t="s">
        <v>5</v>
      </c>
      <c r="AC19" s="131" t="s">
        <v>5</v>
      </c>
      <c r="AD19" s="185" t="s">
        <v>10</v>
      </c>
      <c r="AE19" s="184" t="s">
        <v>2</v>
      </c>
      <c r="AF19" s="70"/>
      <c r="AG19" s="131" t="s">
        <v>5</v>
      </c>
      <c r="AH19" s="131" t="s">
        <v>5</v>
      </c>
      <c r="BJ19" s="131" t="s">
        <v>5</v>
      </c>
    </row>
    <row r="20" spans="1:62" x14ac:dyDescent="0.35">
      <c r="A20" s="182" t="s">
        <v>62</v>
      </c>
      <c r="B20" s="185" t="s">
        <v>10</v>
      </c>
      <c r="C20" s="184" t="s">
        <v>2</v>
      </c>
      <c r="D20" s="185" t="s">
        <v>10</v>
      </c>
      <c r="E20" s="185" t="s">
        <v>11</v>
      </c>
      <c r="F20" s="123" t="s">
        <v>4</v>
      </c>
      <c r="G20" s="184" t="s">
        <v>2</v>
      </c>
      <c r="H20" s="185" t="s">
        <v>10</v>
      </c>
      <c r="I20" s="185" t="s">
        <v>10</v>
      </c>
      <c r="J20" s="185" t="s">
        <v>10</v>
      </c>
      <c r="K20" s="185" t="s">
        <v>10</v>
      </c>
      <c r="L20" s="185" t="s">
        <v>11</v>
      </c>
      <c r="M20" s="131" t="s">
        <v>4</v>
      </c>
      <c r="N20" s="131" t="s">
        <v>5</v>
      </c>
      <c r="O20" s="131" t="s">
        <v>5</v>
      </c>
      <c r="P20" s="185" t="s">
        <v>10</v>
      </c>
      <c r="Q20" s="185" t="s">
        <v>10</v>
      </c>
      <c r="R20" s="185" t="s">
        <v>10</v>
      </c>
      <c r="S20" s="185" t="s">
        <v>11</v>
      </c>
      <c r="T20" s="123" t="s">
        <v>4</v>
      </c>
      <c r="U20" s="184" t="s">
        <v>2</v>
      </c>
      <c r="V20" s="185" t="s">
        <v>10</v>
      </c>
      <c r="W20" s="185" t="s">
        <v>10</v>
      </c>
      <c r="X20" s="184" t="s">
        <v>2</v>
      </c>
      <c r="Y20" s="185" t="s">
        <v>10</v>
      </c>
      <c r="Z20" s="185" t="s">
        <v>11</v>
      </c>
      <c r="AA20" s="185" t="s">
        <v>11</v>
      </c>
      <c r="AB20" s="185" t="s">
        <v>10</v>
      </c>
      <c r="AC20" s="185" t="s">
        <v>10</v>
      </c>
      <c r="AD20" s="184" t="s">
        <v>2</v>
      </c>
      <c r="AE20" s="185" t="s">
        <v>10</v>
      </c>
      <c r="AF20" s="70"/>
      <c r="AG20" s="70"/>
    </row>
    <row r="21" spans="1:62" x14ac:dyDescent="0.35">
      <c r="A21" s="182" t="s">
        <v>226</v>
      </c>
      <c r="B21" s="184" t="s">
        <v>2</v>
      </c>
      <c r="C21" s="185" t="s">
        <v>10</v>
      </c>
      <c r="D21" s="185" t="s">
        <v>10</v>
      </c>
      <c r="E21" s="185" t="s">
        <v>11</v>
      </c>
      <c r="F21" s="123" t="s">
        <v>4</v>
      </c>
      <c r="G21" s="185" t="s">
        <v>10</v>
      </c>
      <c r="H21" s="184" t="s">
        <v>2</v>
      </c>
      <c r="I21" s="185" t="s">
        <v>10</v>
      </c>
      <c r="J21" s="185" t="s">
        <v>10</v>
      </c>
      <c r="K21" s="218" t="s">
        <v>34</v>
      </c>
      <c r="L21" s="185" t="s">
        <v>11</v>
      </c>
      <c r="M21" s="123" t="s">
        <v>4</v>
      </c>
      <c r="N21" s="185" t="s">
        <v>10</v>
      </c>
      <c r="O21" s="183" t="s">
        <v>37</v>
      </c>
      <c r="P21" s="184" t="s">
        <v>2</v>
      </c>
      <c r="Q21" s="185" t="s">
        <v>10</v>
      </c>
      <c r="R21" s="185" t="s">
        <v>10</v>
      </c>
      <c r="S21" s="185" t="s">
        <v>11</v>
      </c>
      <c r="T21" s="123" t="s">
        <v>4</v>
      </c>
      <c r="U21" s="185" t="s">
        <v>10</v>
      </c>
      <c r="V21" s="131" t="s">
        <v>5</v>
      </c>
      <c r="W21" s="184" t="s">
        <v>2</v>
      </c>
      <c r="X21" s="185" t="s">
        <v>10</v>
      </c>
      <c r="Y21" s="185" t="s">
        <v>10</v>
      </c>
      <c r="Z21" s="185" t="s">
        <v>11</v>
      </c>
      <c r="AA21" s="123" t="s">
        <v>4</v>
      </c>
      <c r="AB21" s="185" t="s">
        <v>10</v>
      </c>
      <c r="AC21" s="185" t="s">
        <v>10</v>
      </c>
      <c r="AD21" s="184" t="s">
        <v>2</v>
      </c>
      <c r="AE21" s="185" t="s">
        <v>10</v>
      </c>
      <c r="AF21" s="70"/>
      <c r="AG21" s="70"/>
    </row>
    <row r="23" spans="1:62" x14ac:dyDescent="0.35">
      <c r="A23" s="189" t="s">
        <v>156</v>
      </c>
      <c r="B23">
        <f t="shared" ref="B23:H23" si="2">COUNTIF(B4:B21,"*MS")</f>
        <v>3</v>
      </c>
      <c r="C23">
        <f t="shared" si="2"/>
        <v>4</v>
      </c>
      <c r="D23">
        <f t="shared" si="2"/>
        <v>4</v>
      </c>
      <c r="E23">
        <f>COUNTIF(E4:E21,"*MS")</f>
        <v>2</v>
      </c>
      <c r="F23">
        <f t="shared" si="2"/>
        <v>2</v>
      </c>
      <c r="G23">
        <f t="shared" si="2"/>
        <v>3</v>
      </c>
      <c r="H23">
        <f t="shared" si="2"/>
        <v>3</v>
      </c>
      <c r="I23">
        <f t="shared" ref="I23:AH23" si="3">COUNTIF(I4:I21,"*MS")</f>
        <v>3</v>
      </c>
      <c r="J23">
        <f t="shared" si="3"/>
        <v>3</v>
      </c>
      <c r="K23">
        <f t="shared" si="3"/>
        <v>3</v>
      </c>
      <c r="L23">
        <f>COUNTIF(L4:L21,"*MS")</f>
        <v>2</v>
      </c>
      <c r="M23">
        <f t="shared" si="3"/>
        <v>2</v>
      </c>
      <c r="N23">
        <f t="shared" si="3"/>
        <v>3</v>
      </c>
      <c r="O23">
        <f t="shared" si="3"/>
        <v>3</v>
      </c>
      <c r="P23">
        <f t="shared" si="3"/>
        <v>3</v>
      </c>
      <c r="Q23">
        <f t="shared" si="3"/>
        <v>3</v>
      </c>
      <c r="R23">
        <f t="shared" si="3"/>
        <v>3</v>
      </c>
      <c r="S23">
        <f>COUNTIF(S4:S21,"*MS")</f>
        <v>2</v>
      </c>
      <c r="T23">
        <f t="shared" si="3"/>
        <v>2</v>
      </c>
      <c r="U23">
        <f t="shared" si="3"/>
        <v>3</v>
      </c>
      <c r="V23">
        <f t="shared" si="3"/>
        <v>3</v>
      </c>
      <c r="W23">
        <f t="shared" si="3"/>
        <v>3</v>
      </c>
      <c r="X23">
        <f t="shared" si="3"/>
        <v>2</v>
      </c>
      <c r="Y23">
        <f t="shared" si="3"/>
        <v>3</v>
      </c>
      <c r="Z23">
        <f t="shared" si="3"/>
        <v>2</v>
      </c>
      <c r="AA23">
        <f t="shared" si="3"/>
        <v>2</v>
      </c>
      <c r="AB23">
        <f t="shared" si="3"/>
        <v>3</v>
      </c>
      <c r="AC23">
        <f t="shared" si="3"/>
        <v>3</v>
      </c>
      <c r="AD23">
        <f t="shared" si="3"/>
        <v>3</v>
      </c>
      <c r="AE23">
        <f t="shared" si="3"/>
        <v>3</v>
      </c>
      <c r="AF23">
        <f t="shared" si="3"/>
        <v>0</v>
      </c>
      <c r="AG23">
        <f t="shared" si="3"/>
        <v>0</v>
      </c>
      <c r="AH23">
        <f t="shared" si="3"/>
        <v>0</v>
      </c>
    </row>
    <row r="24" spans="1:62" x14ac:dyDescent="0.35">
      <c r="A24" s="189" t="s">
        <v>157</v>
      </c>
      <c r="B24">
        <f t="shared" ref="B24:H24" si="4">COUNTIF(B4:B21,"*ASS1")</f>
        <v>3</v>
      </c>
      <c r="C24">
        <f t="shared" si="4"/>
        <v>4</v>
      </c>
      <c r="D24">
        <f t="shared" si="4"/>
        <v>4</v>
      </c>
      <c r="E24">
        <f>COUNTIF(E4:E21,"*ASS1")</f>
        <v>2</v>
      </c>
      <c r="F24">
        <f t="shared" si="4"/>
        <v>2</v>
      </c>
      <c r="G24">
        <f t="shared" si="4"/>
        <v>4</v>
      </c>
      <c r="H24">
        <f t="shared" si="4"/>
        <v>4</v>
      </c>
      <c r="I24">
        <f t="shared" ref="I24:AH24" si="5">COUNTIF(I4:I21,"*ASS1")</f>
        <v>5</v>
      </c>
      <c r="J24">
        <f t="shared" si="5"/>
        <v>4</v>
      </c>
      <c r="K24">
        <f t="shared" si="5"/>
        <v>4</v>
      </c>
      <c r="L24">
        <f>COUNTIF(L4:L21,"*ASS1")</f>
        <v>2</v>
      </c>
      <c r="M24">
        <f t="shared" si="5"/>
        <v>2</v>
      </c>
      <c r="N24">
        <f t="shared" si="5"/>
        <v>4</v>
      </c>
      <c r="O24">
        <f t="shared" si="5"/>
        <v>3</v>
      </c>
      <c r="P24">
        <f t="shared" si="5"/>
        <v>4</v>
      </c>
      <c r="Q24">
        <f t="shared" si="5"/>
        <v>3</v>
      </c>
      <c r="R24">
        <f t="shared" si="5"/>
        <v>3</v>
      </c>
      <c r="S24">
        <f>COUNTIF(S4:S21,"*ASS1")</f>
        <v>2</v>
      </c>
      <c r="T24">
        <f t="shared" si="5"/>
        <v>2</v>
      </c>
      <c r="U24">
        <f t="shared" si="5"/>
        <v>3</v>
      </c>
      <c r="V24">
        <f t="shared" si="5"/>
        <v>4</v>
      </c>
      <c r="W24">
        <f t="shared" si="5"/>
        <v>4</v>
      </c>
      <c r="X24">
        <f t="shared" si="5"/>
        <v>4</v>
      </c>
      <c r="Y24">
        <f t="shared" si="5"/>
        <v>4</v>
      </c>
      <c r="Z24">
        <f t="shared" si="5"/>
        <v>2</v>
      </c>
      <c r="AA24">
        <f t="shared" si="5"/>
        <v>2</v>
      </c>
      <c r="AB24">
        <f t="shared" si="5"/>
        <v>4</v>
      </c>
      <c r="AC24">
        <f t="shared" si="5"/>
        <v>4</v>
      </c>
      <c r="AD24">
        <f t="shared" si="5"/>
        <v>5</v>
      </c>
      <c r="AE24">
        <f t="shared" si="5"/>
        <v>4</v>
      </c>
      <c r="AF24">
        <f t="shared" si="5"/>
        <v>0</v>
      </c>
      <c r="AG24">
        <f t="shared" si="5"/>
        <v>0</v>
      </c>
      <c r="AH24">
        <f t="shared" si="5"/>
        <v>0</v>
      </c>
    </row>
    <row r="25" spans="1:62" x14ac:dyDescent="0.35">
      <c r="A25" s="189" t="s">
        <v>158</v>
      </c>
      <c r="B25">
        <f t="shared" ref="B25:H25" si="6">COUNTIF(B4:B21,"*NST7")</f>
        <v>4</v>
      </c>
      <c r="C25">
        <f t="shared" si="6"/>
        <v>4</v>
      </c>
      <c r="D25">
        <f t="shared" si="6"/>
        <v>4</v>
      </c>
      <c r="E25">
        <f>COUNTIF(E4:E21,"*NST7")</f>
        <v>3</v>
      </c>
      <c r="F25">
        <f t="shared" si="6"/>
        <v>2</v>
      </c>
      <c r="G25">
        <f t="shared" si="6"/>
        <v>3</v>
      </c>
      <c r="H25">
        <f t="shared" si="6"/>
        <v>4</v>
      </c>
      <c r="I25">
        <f t="shared" ref="I25:AH25" si="7">COUNTIF(I4:I21,"*NST7")</f>
        <v>4</v>
      </c>
      <c r="J25">
        <f t="shared" si="7"/>
        <v>4</v>
      </c>
      <c r="K25">
        <f t="shared" si="7"/>
        <v>3</v>
      </c>
      <c r="L25">
        <f>COUNTIF(L4:L21,"*NST7")</f>
        <v>3</v>
      </c>
      <c r="M25">
        <f t="shared" si="7"/>
        <v>2</v>
      </c>
      <c r="N25">
        <f t="shared" si="7"/>
        <v>3</v>
      </c>
      <c r="O25">
        <f t="shared" si="7"/>
        <v>3</v>
      </c>
      <c r="P25">
        <f t="shared" si="7"/>
        <v>4</v>
      </c>
      <c r="Q25">
        <f t="shared" si="7"/>
        <v>4</v>
      </c>
      <c r="R25">
        <f t="shared" si="7"/>
        <v>3</v>
      </c>
      <c r="S25">
        <f>COUNTIF(S4:S21,"*NST7")</f>
        <v>3</v>
      </c>
      <c r="T25">
        <f t="shared" si="7"/>
        <v>3</v>
      </c>
      <c r="U25">
        <f t="shared" si="7"/>
        <v>3</v>
      </c>
      <c r="V25">
        <f t="shared" si="7"/>
        <v>3</v>
      </c>
      <c r="W25">
        <f t="shared" si="7"/>
        <v>4</v>
      </c>
      <c r="X25">
        <f t="shared" si="7"/>
        <v>3</v>
      </c>
      <c r="Y25">
        <f t="shared" si="7"/>
        <v>3</v>
      </c>
      <c r="Z25">
        <f t="shared" si="7"/>
        <v>3</v>
      </c>
      <c r="AA25">
        <f t="shared" si="7"/>
        <v>2</v>
      </c>
      <c r="AB25">
        <f t="shared" si="7"/>
        <v>3</v>
      </c>
      <c r="AC25">
        <f t="shared" si="7"/>
        <v>4</v>
      </c>
      <c r="AD25">
        <f t="shared" si="7"/>
        <v>3</v>
      </c>
      <c r="AE25">
        <f t="shared" si="7"/>
        <v>3</v>
      </c>
      <c r="AF25">
        <f t="shared" si="7"/>
        <v>0</v>
      </c>
      <c r="AG25">
        <f t="shared" si="7"/>
        <v>0</v>
      </c>
      <c r="AH25">
        <f t="shared" si="7"/>
        <v>0</v>
      </c>
    </row>
    <row r="26" spans="1:62" x14ac:dyDescent="0.35">
      <c r="A26" s="189" t="s">
        <v>159</v>
      </c>
      <c r="B26">
        <f t="shared" ref="B26:H26" si="8">COUNTIF(B4:B21,"*GS")</f>
        <v>0</v>
      </c>
      <c r="C26">
        <f t="shared" si="8"/>
        <v>0</v>
      </c>
      <c r="D26">
        <f t="shared" si="8"/>
        <v>0</v>
      </c>
      <c r="E26">
        <f>COUNTIF(E4:E21,"*GS")</f>
        <v>1</v>
      </c>
      <c r="F26">
        <f t="shared" si="8"/>
        <v>0</v>
      </c>
      <c r="G26">
        <f t="shared" si="8"/>
        <v>0</v>
      </c>
      <c r="H26">
        <f t="shared" si="8"/>
        <v>1</v>
      </c>
      <c r="I26">
        <f t="shared" ref="I26:AH26" si="9">COUNTIF(I4:I21,"*GS")</f>
        <v>0</v>
      </c>
      <c r="J26">
        <f t="shared" si="9"/>
        <v>0</v>
      </c>
      <c r="K26">
        <f t="shared" si="9"/>
        <v>0</v>
      </c>
      <c r="L26">
        <f>COUNTIF(L4:L21,"*GS")</f>
        <v>1</v>
      </c>
      <c r="M26">
        <f t="shared" si="9"/>
        <v>0</v>
      </c>
      <c r="N26">
        <f t="shared" si="9"/>
        <v>0</v>
      </c>
      <c r="O26">
        <f t="shared" si="9"/>
        <v>0</v>
      </c>
      <c r="P26">
        <f t="shared" si="9"/>
        <v>0</v>
      </c>
      <c r="Q26">
        <f t="shared" si="9"/>
        <v>0</v>
      </c>
      <c r="R26">
        <f t="shared" si="9"/>
        <v>0</v>
      </c>
      <c r="S26">
        <f>COUNTIF(S4:S21,"*GS")</f>
        <v>1</v>
      </c>
      <c r="T26">
        <f t="shared" si="9"/>
        <v>0</v>
      </c>
      <c r="U26">
        <f t="shared" si="9"/>
        <v>0</v>
      </c>
      <c r="V26">
        <f t="shared" si="9"/>
        <v>0</v>
      </c>
      <c r="W26">
        <f t="shared" si="9"/>
        <v>0</v>
      </c>
      <c r="X26">
        <f t="shared" si="9"/>
        <v>0</v>
      </c>
      <c r="Y26">
        <f t="shared" si="9"/>
        <v>0</v>
      </c>
      <c r="Z26">
        <f t="shared" si="9"/>
        <v>1</v>
      </c>
      <c r="AA26">
        <f t="shared" si="9"/>
        <v>0</v>
      </c>
      <c r="AB26">
        <f t="shared" si="9"/>
        <v>0</v>
      </c>
      <c r="AC26">
        <f t="shared" si="9"/>
        <v>0</v>
      </c>
      <c r="AD26">
        <f t="shared" si="9"/>
        <v>0</v>
      </c>
      <c r="AE26">
        <f t="shared" si="9"/>
        <v>0</v>
      </c>
      <c r="AF26">
        <f t="shared" si="9"/>
        <v>0</v>
      </c>
      <c r="AG26">
        <f t="shared" si="9"/>
        <v>0</v>
      </c>
      <c r="AH26">
        <f t="shared" si="9"/>
        <v>0</v>
      </c>
    </row>
    <row r="27" spans="1:62" x14ac:dyDescent="0.35">
      <c r="A27" s="189" t="s">
        <v>160</v>
      </c>
      <c r="B27">
        <f t="shared" ref="B27:D27" si="10">COUNTIF(B4:B21,"C")</f>
        <v>4</v>
      </c>
      <c r="C27">
        <f t="shared" si="10"/>
        <v>2</v>
      </c>
      <c r="D27">
        <f t="shared" si="10"/>
        <v>2</v>
      </c>
      <c r="E27">
        <f>COUNTIF(E4:E21,"WO")</f>
        <v>8</v>
      </c>
      <c r="F27">
        <f t="shared" ref="F27" si="11">COUNTIF(F4:F21,"WO")</f>
        <v>10</v>
      </c>
      <c r="G27">
        <f>COUNTIF(G4:G21,"C")</f>
        <v>3</v>
      </c>
      <c r="H27">
        <f>COUNTIF(H4:H21,"C")</f>
        <v>1</v>
      </c>
      <c r="I27">
        <f t="shared" ref="I27:K27" si="12">COUNTIF(I4:I21,"C")</f>
        <v>2</v>
      </c>
      <c r="J27">
        <f t="shared" si="12"/>
        <v>3</v>
      </c>
      <c r="K27">
        <f t="shared" si="12"/>
        <v>2</v>
      </c>
      <c r="L27">
        <f>COUNTIF(L4:L21,"WO")</f>
        <v>8</v>
      </c>
      <c r="M27">
        <f t="shared" ref="M27" si="13">COUNTIF(M4:M21,"WO")</f>
        <v>10</v>
      </c>
      <c r="N27">
        <f>COUNTIF(N4:N21,"C")</f>
        <v>2</v>
      </c>
      <c r="O27">
        <f>COUNTIF(O4:O21,"C")</f>
        <v>0</v>
      </c>
      <c r="P27">
        <f t="shared" ref="P27:R27" si="14">COUNTIF(P4:P21,"C")</f>
        <v>2</v>
      </c>
      <c r="Q27">
        <f t="shared" si="14"/>
        <v>3</v>
      </c>
      <c r="R27">
        <f t="shared" si="14"/>
        <v>3</v>
      </c>
      <c r="S27">
        <f>COUNTIF(S4:S21,"WO")</f>
        <v>8</v>
      </c>
      <c r="T27">
        <f t="shared" ref="T27" si="15">COUNTIF(T4:T21,"WO")</f>
        <v>9</v>
      </c>
      <c r="U27">
        <f>COUNTIF(U4:U21,"C")</f>
        <v>5</v>
      </c>
      <c r="V27">
        <f>COUNTIF(V4:V21,"C")</f>
        <v>3</v>
      </c>
      <c r="W27">
        <f t="shared" ref="W27:Y27" si="16">COUNTIF(W4:W21,"C")</f>
        <v>2</v>
      </c>
      <c r="X27">
        <f t="shared" si="16"/>
        <v>3</v>
      </c>
      <c r="Y27">
        <f t="shared" si="16"/>
        <v>1</v>
      </c>
      <c r="Z27">
        <f t="shared" ref="Z27:AA27" si="17">COUNTIF(Z4:Z21,"WO")</f>
        <v>8</v>
      </c>
      <c r="AA27">
        <f t="shared" si="17"/>
        <v>10</v>
      </c>
      <c r="AB27">
        <f>COUNTIF(AB4:AB21,"C")</f>
        <v>3</v>
      </c>
      <c r="AC27">
        <f>COUNTIF(AC4:AC21,"C")</f>
        <v>2</v>
      </c>
      <c r="AD27">
        <f t="shared" ref="AD27:AF27" si="18">COUNTIF(AD4:AD21,"C")</f>
        <v>3</v>
      </c>
      <c r="AE27">
        <f t="shared" si="18"/>
        <v>3</v>
      </c>
      <c r="AF27">
        <f t="shared" si="18"/>
        <v>1</v>
      </c>
      <c r="AG27">
        <f t="shared" ref="AG27:AH27" si="19">COUNTIF(AG4:AG21,"WO")</f>
        <v>0</v>
      </c>
      <c r="AH27">
        <f t="shared" si="19"/>
        <v>0</v>
      </c>
    </row>
    <row r="28" spans="1:62" x14ac:dyDescent="0.35">
      <c r="A28" s="189" t="s">
        <v>161</v>
      </c>
      <c r="B28">
        <f t="shared" ref="B28:H28" si="20">COUNTIF(B4:B21,"PL")</f>
        <v>2</v>
      </c>
      <c r="C28">
        <f t="shared" si="20"/>
        <v>2</v>
      </c>
      <c r="D28">
        <f t="shared" si="20"/>
        <v>2</v>
      </c>
      <c r="E28">
        <f>COUNTIF(E4:E21,"PL")</f>
        <v>0</v>
      </c>
      <c r="F28">
        <f t="shared" si="20"/>
        <v>0</v>
      </c>
      <c r="G28">
        <f t="shared" si="20"/>
        <v>3</v>
      </c>
      <c r="H28">
        <f t="shared" si="20"/>
        <v>3</v>
      </c>
      <c r="I28">
        <f t="shared" ref="I28:AH28" si="21">COUNTIF(I4:I21,"PL")</f>
        <v>2</v>
      </c>
      <c r="J28">
        <f t="shared" si="21"/>
        <v>2</v>
      </c>
      <c r="K28">
        <f t="shared" si="21"/>
        <v>3</v>
      </c>
      <c r="L28">
        <f>COUNTIF(L4:L21,"PL")</f>
        <v>0</v>
      </c>
      <c r="M28">
        <f t="shared" si="21"/>
        <v>0</v>
      </c>
      <c r="N28">
        <f t="shared" si="21"/>
        <v>4</v>
      </c>
      <c r="O28">
        <f t="shared" si="21"/>
        <v>4</v>
      </c>
      <c r="P28">
        <f t="shared" si="21"/>
        <v>3</v>
      </c>
      <c r="Q28">
        <f t="shared" si="21"/>
        <v>3</v>
      </c>
      <c r="R28">
        <f t="shared" si="21"/>
        <v>4</v>
      </c>
      <c r="S28">
        <f>COUNTIF(S4:S21,"PL")</f>
        <v>0</v>
      </c>
      <c r="T28">
        <f t="shared" si="21"/>
        <v>0</v>
      </c>
      <c r="U28">
        <f t="shared" si="21"/>
        <v>2</v>
      </c>
      <c r="V28">
        <f t="shared" si="21"/>
        <v>3</v>
      </c>
      <c r="W28">
        <f t="shared" si="21"/>
        <v>3</v>
      </c>
      <c r="X28">
        <f t="shared" si="21"/>
        <v>4</v>
      </c>
      <c r="Y28">
        <f t="shared" si="21"/>
        <v>5</v>
      </c>
      <c r="Z28">
        <f t="shared" si="21"/>
        <v>0</v>
      </c>
      <c r="AA28">
        <f t="shared" si="21"/>
        <v>0</v>
      </c>
      <c r="AB28">
        <f t="shared" si="21"/>
        <v>3</v>
      </c>
      <c r="AC28">
        <f t="shared" si="21"/>
        <v>3</v>
      </c>
      <c r="AD28">
        <f t="shared" si="21"/>
        <v>2</v>
      </c>
      <c r="AE28">
        <f t="shared" si="21"/>
        <v>3</v>
      </c>
      <c r="AF28">
        <f t="shared" si="21"/>
        <v>0</v>
      </c>
      <c r="AG28">
        <f t="shared" si="21"/>
        <v>1</v>
      </c>
      <c r="AH28">
        <f t="shared" si="21"/>
        <v>1</v>
      </c>
    </row>
    <row r="29" spans="1:62" x14ac:dyDescent="0.35">
      <c r="A29" s="189" t="s">
        <v>33</v>
      </c>
      <c r="B29">
        <f t="shared" ref="B29:H29" si="22">COUNTIF(B4:B21,"UPL")</f>
        <v>0</v>
      </c>
      <c r="C29">
        <f t="shared" si="22"/>
        <v>0</v>
      </c>
      <c r="D29">
        <f t="shared" si="22"/>
        <v>0</v>
      </c>
      <c r="E29">
        <f>COUNTIF(E4:E21,"UPL")</f>
        <v>0</v>
      </c>
      <c r="F29">
        <f t="shared" si="22"/>
        <v>0</v>
      </c>
      <c r="G29">
        <f t="shared" si="22"/>
        <v>0</v>
      </c>
      <c r="H29">
        <f t="shared" si="22"/>
        <v>0</v>
      </c>
      <c r="I29">
        <f t="shared" ref="I29:AH29" si="23">COUNTIF(I4:I21,"UPL")</f>
        <v>0</v>
      </c>
      <c r="J29">
        <f t="shared" si="23"/>
        <v>0</v>
      </c>
      <c r="K29">
        <f t="shared" si="23"/>
        <v>1</v>
      </c>
      <c r="L29">
        <f>COUNTIF(L4:L21,"UPL")</f>
        <v>0</v>
      </c>
      <c r="M29">
        <f t="shared" si="23"/>
        <v>0</v>
      </c>
      <c r="N29">
        <f t="shared" si="23"/>
        <v>0</v>
      </c>
      <c r="O29">
        <f t="shared" si="23"/>
        <v>0</v>
      </c>
      <c r="P29">
        <f t="shared" si="23"/>
        <v>0</v>
      </c>
      <c r="Q29">
        <f t="shared" si="23"/>
        <v>0</v>
      </c>
      <c r="R29">
        <f t="shared" si="23"/>
        <v>0</v>
      </c>
      <c r="S29">
        <f>COUNTIF(S4:S21,"UPL")</f>
        <v>0</v>
      </c>
      <c r="T29">
        <f t="shared" si="23"/>
        <v>0</v>
      </c>
      <c r="U29">
        <f t="shared" si="23"/>
        <v>0</v>
      </c>
      <c r="V29">
        <f t="shared" si="23"/>
        <v>0</v>
      </c>
      <c r="W29">
        <f t="shared" si="23"/>
        <v>0</v>
      </c>
      <c r="X29">
        <f t="shared" si="23"/>
        <v>0</v>
      </c>
      <c r="Y29">
        <f t="shared" si="23"/>
        <v>0</v>
      </c>
      <c r="Z29">
        <f t="shared" si="23"/>
        <v>0</v>
      </c>
      <c r="AA29">
        <f t="shared" si="23"/>
        <v>0</v>
      </c>
      <c r="AB29">
        <f t="shared" si="23"/>
        <v>0</v>
      </c>
      <c r="AC29">
        <f t="shared" si="23"/>
        <v>0</v>
      </c>
      <c r="AD29">
        <f t="shared" si="23"/>
        <v>0</v>
      </c>
      <c r="AE29">
        <f t="shared" si="23"/>
        <v>0</v>
      </c>
      <c r="AF29">
        <f t="shared" si="23"/>
        <v>0</v>
      </c>
      <c r="AG29">
        <f t="shared" si="23"/>
        <v>0</v>
      </c>
      <c r="AH29">
        <f t="shared" si="23"/>
        <v>0</v>
      </c>
    </row>
    <row r="30" spans="1:62" x14ac:dyDescent="0.35">
      <c r="A30" s="189" t="s">
        <v>172</v>
      </c>
      <c r="B30">
        <f t="shared" ref="B30:H30" si="24">COUNTIF(B4:B21,"H")</f>
        <v>0</v>
      </c>
      <c r="C30">
        <f t="shared" si="24"/>
        <v>0</v>
      </c>
      <c r="D30">
        <f t="shared" si="24"/>
        <v>0</v>
      </c>
      <c r="E30">
        <f>COUNTIF(E4:E21,"H")</f>
        <v>0</v>
      </c>
      <c r="F30">
        <f t="shared" si="24"/>
        <v>0</v>
      </c>
      <c r="G30">
        <f t="shared" si="24"/>
        <v>0</v>
      </c>
      <c r="H30">
        <f t="shared" si="24"/>
        <v>0</v>
      </c>
      <c r="I30">
        <f t="shared" ref="I30:AH30" si="25">COUNTIF(I4:I21,"H")</f>
        <v>0</v>
      </c>
      <c r="J30">
        <f t="shared" si="25"/>
        <v>0</v>
      </c>
      <c r="K30">
        <f t="shared" si="25"/>
        <v>0</v>
      </c>
      <c r="L30">
        <f>COUNTIF(L4:L21,"H")</f>
        <v>0</v>
      </c>
      <c r="M30">
        <f t="shared" si="25"/>
        <v>0</v>
      </c>
      <c r="N30">
        <f t="shared" si="25"/>
        <v>0</v>
      </c>
      <c r="O30">
        <f t="shared" si="25"/>
        <v>3</v>
      </c>
      <c r="P30">
        <f t="shared" si="25"/>
        <v>0</v>
      </c>
      <c r="Q30">
        <f t="shared" si="25"/>
        <v>0</v>
      </c>
      <c r="R30">
        <f t="shared" si="25"/>
        <v>0</v>
      </c>
      <c r="S30">
        <f>COUNTIF(S4:S21,"H")</f>
        <v>0</v>
      </c>
      <c r="T30">
        <f t="shared" si="25"/>
        <v>0</v>
      </c>
      <c r="U30">
        <f t="shared" si="25"/>
        <v>0</v>
      </c>
      <c r="V30">
        <f t="shared" si="25"/>
        <v>0</v>
      </c>
      <c r="W30">
        <f t="shared" si="25"/>
        <v>0</v>
      </c>
      <c r="X30">
        <f t="shared" si="25"/>
        <v>0</v>
      </c>
      <c r="Y30">
        <f t="shared" si="25"/>
        <v>0</v>
      </c>
      <c r="Z30">
        <f t="shared" si="25"/>
        <v>0</v>
      </c>
      <c r="AA30">
        <f t="shared" si="25"/>
        <v>0</v>
      </c>
      <c r="AB30">
        <f t="shared" si="25"/>
        <v>0</v>
      </c>
      <c r="AC30">
        <f t="shared" si="25"/>
        <v>0</v>
      </c>
      <c r="AD30">
        <f t="shared" si="25"/>
        <v>0</v>
      </c>
      <c r="AE30">
        <f t="shared" si="25"/>
        <v>0</v>
      </c>
      <c r="AF30">
        <f t="shared" si="25"/>
        <v>0</v>
      </c>
      <c r="AG30">
        <f t="shared" si="25"/>
        <v>0</v>
      </c>
      <c r="AH30">
        <f t="shared" si="25"/>
        <v>0</v>
      </c>
    </row>
    <row r="31" spans="1:62" x14ac:dyDescent="0.35">
      <c r="A31" s="189" t="s">
        <v>162</v>
      </c>
      <c r="B31" s="138">
        <f t="shared" ref="B31:D31" si="26">SUM(B23:B30)</f>
        <v>16</v>
      </c>
      <c r="C31" s="138">
        <f t="shared" si="26"/>
        <v>16</v>
      </c>
      <c r="D31" s="138">
        <f t="shared" si="26"/>
        <v>16</v>
      </c>
      <c r="E31" s="138">
        <f t="shared" ref="E31:F31" si="27">SUM(E23:E30)</f>
        <v>16</v>
      </c>
      <c r="F31" s="138">
        <f t="shared" si="27"/>
        <v>16</v>
      </c>
      <c r="G31" s="138">
        <f t="shared" ref="G31:K31" si="28">SUM(G23:G30)</f>
        <v>16</v>
      </c>
      <c r="H31" s="138">
        <f t="shared" si="28"/>
        <v>16</v>
      </c>
      <c r="I31" s="138">
        <f t="shared" si="28"/>
        <v>16</v>
      </c>
      <c r="J31" s="138">
        <f t="shared" si="28"/>
        <v>16</v>
      </c>
      <c r="K31" s="138">
        <f t="shared" si="28"/>
        <v>16</v>
      </c>
      <c r="L31" s="138">
        <f t="shared" ref="L31:M31" si="29">SUM(L23:L30)</f>
        <v>16</v>
      </c>
      <c r="M31" s="138">
        <f t="shared" si="29"/>
        <v>16</v>
      </c>
      <c r="N31" s="138">
        <f t="shared" ref="N31:R31" si="30">SUM(N23:N30)</f>
        <v>16</v>
      </c>
      <c r="O31" s="138">
        <f t="shared" si="30"/>
        <v>16</v>
      </c>
      <c r="P31" s="138">
        <f t="shared" si="30"/>
        <v>16</v>
      </c>
      <c r="Q31" s="138">
        <f t="shared" si="30"/>
        <v>16</v>
      </c>
      <c r="R31" s="138">
        <f t="shared" si="30"/>
        <v>16</v>
      </c>
      <c r="S31" s="138">
        <f t="shared" ref="S31:T31" si="31">SUM(S23:S30)</f>
        <v>16</v>
      </c>
      <c r="T31" s="138">
        <f t="shared" si="31"/>
        <v>16</v>
      </c>
      <c r="U31" s="138">
        <f t="shared" ref="U31:Y31" si="32">SUM(U23:U30)</f>
        <v>16</v>
      </c>
      <c r="V31" s="138">
        <f t="shared" si="32"/>
        <v>16</v>
      </c>
      <c r="W31" s="138">
        <f t="shared" si="32"/>
        <v>16</v>
      </c>
      <c r="X31" s="138">
        <f t="shared" si="32"/>
        <v>16</v>
      </c>
      <c r="Y31" s="138">
        <f t="shared" si="32"/>
        <v>16</v>
      </c>
      <c r="Z31" s="138">
        <f t="shared" ref="Z31:AA31" si="33">SUM(Z23:Z30)</f>
        <v>16</v>
      </c>
      <c r="AA31" s="138">
        <f t="shared" si="33"/>
        <v>16</v>
      </c>
      <c r="AB31" s="138">
        <f t="shared" ref="AB31:AF31" si="34">SUM(AB23:AB30)</f>
        <v>16</v>
      </c>
      <c r="AC31" s="138">
        <f t="shared" si="34"/>
        <v>16</v>
      </c>
      <c r="AD31" s="138">
        <f t="shared" si="34"/>
        <v>16</v>
      </c>
      <c r="AE31" s="138">
        <f t="shared" si="34"/>
        <v>16</v>
      </c>
      <c r="AF31" s="138">
        <f t="shared" si="34"/>
        <v>1</v>
      </c>
      <c r="AG31" s="138">
        <f t="shared" ref="AG31:AH31" si="35">SUM(AG23:AG30)</f>
        <v>1</v>
      </c>
      <c r="AH31" s="138">
        <f t="shared" si="35"/>
        <v>1</v>
      </c>
    </row>
  </sheetData>
  <conditionalFormatting sqref="B23:D26">
    <cfRule type="cellIs" dxfId="38" priority="14" operator="lessThan">
      <formula>3</formula>
    </cfRule>
  </conditionalFormatting>
  <conditionalFormatting sqref="E23:F26">
    <cfRule type="cellIs" dxfId="37" priority="13" operator="lessThan">
      <formula>3</formula>
    </cfRule>
  </conditionalFormatting>
  <conditionalFormatting sqref="G23:H26">
    <cfRule type="cellIs" dxfId="36" priority="12" operator="lessThan">
      <formula>3</formula>
    </cfRule>
  </conditionalFormatting>
  <conditionalFormatting sqref="I23:K26">
    <cfRule type="cellIs" dxfId="35" priority="11" operator="lessThan">
      <formula>3</formula>
    </cfRule>
  </conditionalFormatting>
  <conditionalFormatting sqref="L23:M26">
    <cfRule type="cellIs" dxfId="34" priority="10" operator="lessThan">
      <formula>3</formula>
    </cfRule>
  </conditionalFormatting>
  <conditionalFormatting sqref="N23:O26">
    <cfRule type="cellIs" dxfId="33" priority="9" operator="lessThan">
      <formula>3</formula>
    </cfRule>
  </conditionalFormatting>
  <conditionalFormatting sqref="P23:R26">
    <cfRule type="cellIs" dxfId="32" priority="8" operator="lessThan">
      <formula>3</formula>
    </cfRule>
  </conditionalFormatting>
  <conditionalFormatting sqref="S23:T26">
    <cfRule type="cellIs" dxfId="31" priority="7" operator="lessThan">
      <formula>3</formula>
    </cfRule>
  </conditionalFormatting>
  <conditionalFormatting sqref="U23:V26">
    <cfRule type="cellIs" dxfId="30" priority="6" operator="lessThan">
      <formula>3</formula>
    </cfRule>
  </conditionalFormatting>
  <conditionalFormatting sqref="W23:Y26">
    <cfRule type="cellIs" dxfId="29" priority="5" operator="lessThan">
      <formula>3</formula>
    </cfRule>
  </conditionalFormatting>
  <conditionalFormatting sqref="Z23:AA26">
    <cfRule type="cellIs" dxfId="28" priority="4" operator="lessThan">
      <formula>3</formula>
    </cfRule>
  </conditionalFormatting>
  <conditionalFormatting sqref="AB23:AC26">
    <cfRule type="cellIs" dxfId="27" priority="3" operator="lessThan">
      <formula>3</formula>
    </cfRule>
  </conditionalFormatting>
  <conditionalFormatting sqref="AD23:AF26">
    <cfRule type="cellIs" dxfId="26" priority="2" operator="lessThan">
      <formula>3</formula>
    </cfRule>
  </conditionalFormatting>
  <conditionalFormatting sqref="AG23:AH26">
    <cfRule type="cellIs" dxfId="25" priority="1" operator="lessThan">
      <formula>3</formula>
    </cfRule>
  </conditionalFormatting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1"/>
  <dimension ref="A1:AI31"/>
  <sheetViews>
    <sheetView zoomScale="56" zoomScaleNormal="56" workbookViewId="0">
      <pane xSplit="1" topLeftCell="L1" activePane="topRight" state="frozen"/>
      <selection pane="topRight" activeCell="Y18" sqref="Y18"/>
    </sheetView>
  </sheetViews>
  <sheetFormatPr defaultRowHeight="14.5" x14ac:dyDescent="0.35"/>
  <cols>
    <col min="1" max="1" width="26.453125" bestFit="1" customWidth="1"/>
    <col min="2" max="11" width="8.7265625" hidden="1" customWidth="1"/>
    <col min="12" max="33" width="8.7265625" customWidth="1"/>
  </cols>
  <sheetData>
    <row r="1" spans="1:35" x14ac:dyDescent="0.35">
      <c r="A1" s="70"/>
      <c r="B1" s="2" t="str">
        <f t="shared" ref="B1:AF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si="0"/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>TEXT(L2,"ddd")</f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Sun</v>
      </c>
    </row>
    <row r="2" spans="1:35" x14ac:dyDescent="0.35">
      <c r="A2" s="104" t="s">
        <v>0</v>
      </c>
      <c r="B2" s="31">
        <v>45261</v>
      </c>
      <c r="C2" s="31">
        <v>45262</v>
      </c>
      <c r="D2" s="31">
        <v>45263</v>
      </c>
      <c r="E2" s="31">
        <v>45264</v>
      </c>
      <c r="F2" s="31">
        <v>45265</v>
      </c>
      <c r="G2" s="31">
        <v>45266</v>
      </c>
      <c r="H2" s="31">
        <v>45267</v>
      </c>
      <c r="I2" s="31">
        <v>45268</v>
      </c>
      <c r="J2" s="31">
        <v>45269</v>
      </c>
      <c r="K2" s="31">
        <v>45270</v>
      </c>
      <c r="L2" s="31">
        <v>45271</v>
      </c>
      <c r="M2" s="31">
        <v>45272</v>
      </c>
      <c r="N2" s="31">
        <v>45273</v>
      </c>
      <c r="O2" s="31">
        <v>45274</v>
      </c>
      <c r="P2" s="31">
        <v>45275</v>
      </c>
      <c r="Q2" s="31">
        <v>45276</v>
      </c>
      <c r="R2" s="31">
        <v>45277</v>
      </c>
      <c r="S2" s="31">
        <v>45278</v>
      </c>
      <c r="T2" s="31">
        <v>45279</v>
      </c>
      <c r="U2" s="31">
        <v>45280</v>
      </c>
      <c r="V2" s="31">
        <v>45281</v>
      </c>
      <c r="W2" s="31">
        <v>45282</v>
      </c>
      <c r="X2" s="31">
        <v>45283</v>
      </c>
      <c r="Y2" s="31">
        <v>45284</v>
      </c>
      <c r="Z2" s="31">
        <v>45285</v>
      </c>
      <c r="AA2" s="31">
        <v>45286</v>
      </c>
      <c r="AB2" s="31">
        <v>45287</v>
      </c>
      <c r="AC2" s="31">
        <v>45288</v>
      </c>
      <c r="AD2" s="31">
        <v>45289</v>
      </c>
      <c r="AE2" s="31">
        <v>45290</v>
      </c>
      <c r="AF2" s="31">
        <v>45291</v>
      </c>
    </row>
    <row r="3" spans="1:35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5" x14ac:dyDescent="0.35">
      <c r="A4" s="193" t="s">
        <v>9</v>
      </c>
      <c r="B4" s="184" t="s">
        <v>2</v>
      </c>
      <c r="C4" s="25" t="s">
        <v>3</v>
      </c>
      <c r="D4" s="25" t="s">
        <v>3</v>
      </c>
      <c r="E4" s="25" t="s">
        <v>6</v>
      </c>
      <c r="F4" s="25" t="s">
        <v>6</v>
      </c>
      <c r="G4" s="184" t="s">
        <v>2</v>
      </c>
      <c r="H4" s="184" t="s">
        <v>2</v>
      </c>
      <c r="I4" s="184" t="s">
        <v>2</v>
      </c>
      <c r="J4" s="25" t="s">
        <v>3</v>
      </c>
      <c r="K4" s="25" t="s">
        <v>3</v>
      </c>
      <c r="L4" s="25" t="s">
        <v>6</v>
      </c>
      <c r="M4" s="25" t="s">
        <v>6</v>
      </c>
      <c r="N4" s="184" t="s">
        <v>2</v>
      </c>
      <c r="O4" s="184" t="s">
        <v>2</v>
      </c>
      <c r="P4" s="184" t="s">
        <v>2</v>
      </c>
      <c r="Q4" s="25" t="s">
        <v>3</v>
      </c>
      <c r="R4" s="25" t="s">
        <v>3</v>
      </c>
      <c r="S4" s="25" t="s">
        <v>6</v>
      </c>
      <c r="T4" s="184" t="s">
        <v>2</v>
      </c>
      <c r="U4" s="184" t="s">
        <v>2</v>
      </c>
      <c r="V4" s="25" t="s">
        <v>6</v>
      </c>
      <c r="W4" s="25" t="s">
        <v>6</v>
      </c>
      <c r="X4" s="131" t="s">
        <v>5</v>
      </c>
      <c r="Y4" s="131" t="s">
        <v>5</v>
      </c>
      <c r="Z4" s="131" t="s">
        <v>5</v>
      </c>
      <c r="AA4" s="131" t="s">
        <v>5</v>
      </c>
      <c r="AB4" s="131" t="s">
        <v>5</v>
      </c>
      <c r="AC4" s="131" t="s">
        <v>5</v>
      </c>
      <c r="AD4" s="131" t="s">
        <v>5</v>
      </c>
      <c r="AE4" s="25" t="s">
        <v>3</v>
      </c>
      <c r="AF4" s="25" t="s">
        <v>3</v>
      </c>
      <c r="AH4">
        <f>COUNTIF(B4:AF4,"W*S*")</f>
        <v>8</v>
      </c>
      <c r="AI4">
        <f>COUNTIF(B4:AF4,"")</f>
        <v>0</v>
      </c>
    </row>
    <row r="5" spans="1:35" x14ac:dyDescent="0.35">
      <c r="A5" s="193" t="s">
        <v>75</v>
      </c>
      <c r="B5" s="25" t="s">
        <v>6</v>
      </c>
      <c r="C5" s="123" t="s">
        <v>4</v>
      </c>
      <c r="D5" s="25" t="s">
        <v>3</v>
      </c>
      <c r="E5" s="25" t="s">
        <v>6</v>
      </c>
      <c r="F5" s="184" t="s">
        <v>2</v>
      </c>
      <c r="G5" s="25" t="s">
        <v>6</v>
      </c>
      <c r="H5" s="25" t="s">
        <v>6</v>
      </c>
      <c r="I5" s="131" t="s">
        <v>5</v>
      </c>
      <c r="J5" s="131" t="s">
        <v>5</v>
      </c>
      <c r="K5" s="131" t="s">
        <v>5</v>
      </c>
      <c r="L5" s="131" t="s">
        <v>5</v>
      </c>
      <c r="M5" s="131" t="s">
        <v>5</v>
      </c>
      <c r="N5" s="131" t="s">
        <v>5</v>
      </c>
      <c r="O5" s="131" t="s">
        <v>5</v>
      </c>
      <c r="P5" s="131" t="s">
        <v>5</v>
      </c>
      <c r="Q5" s="131" t="s">
        <v>5</v>
      </c>
      <c r="R5" s="131" t="s">
        <v>5</v>
      </c>
      <c r="S5" s="184" t="s">
        <v>2</v>
      </c>
      <c r="T5" s="25" t="s">
        <v>6</v>
      </c>
      <c r="U5" s="25" t="s">
        <v>6</v>
      </c>
      <c r="V5" s="184" t="s">
        <v>2</v>
      </c>
      <c r="W5" s="184" t="s">
        <v>2</v>
      </c>
      <c r="X5" s="25" t="s">
        <v>3</v>
      </c>
      <c r="Y5" s="123" t="s">
        <v>4</v>
      </c>
      <c r="Z5" s="184" t="s">
        <v>2</v>
      </c>
      <c r="AA5" s="25" t="s">
        <v>6</v>
      </c>
      <c r="AB5" s="25" t="s">
        <v>6</v>
      </c>
      <c r="AC5" s="25" t="s">
        <v>6</v>
      </c>
      <c r="AD5" s="25" t="s">
        <v>6</v>
      </c>
      <c r="AE5" s="123" t="s">
        <v>4</v>
      </c>
      <c r="AF5" s="25" t="s">
        <v>3</v>
      </c>
      <c r="AH5">
        <f>COUNTIF(B5:AF5,"W*S*")</f>
        <v>3</v>
      </c>
    </row>
    <row r="6" spans="1:35" x14ac:dyDescent="0.35">
      <c r="A6" s="182" t="s">
        <v>21</v>
      </c>
      <c r="B6" s="131" t="s">
        <v>5</v>
      </c>
      <c r="C6" s="131" t="s">
        <v>4</v>
      </c>
      <c r="D6" s="131" t="s">
        <v>4</v>
      </c>
      <c r="E6" s="131" t="s">
        <v>5</v>
      </c>
      <c r="F6" s="131" t="s">
        <v>5</v>
      </c>
      <c r="G6" s="131" t="s">
        <v>5</v>
      </c>
      <c r="H6" s="131" t="s">
        <v>5</v>
      </c>
      <c r="I6" s="19" t="s">
        <v>41</v>
      </c>
      <c r="J6" s="25" t="s">
        <v>3</v>
      </c>
      <c r="K6" s="123" t="s">
        <v>4</v>
      </c>
      <c r="L6" s="25" t="s">
        <v>6</v>
      </c>
      <c r="M6" s="25" t="s">
        <v>6</v>
      </c>
      <c r="N6" s="25" t="s">
        <v>6</v>
      </c>
      <c r="O6" s="25" t="s">
        <v>6</v>
      </c>
      <c r="P6" s="25" t="s">
        <v>6</v>
      </c>
      <c r="Q6" s="25" t="s">
        <v>3</v>
      </c>
      <c r="R6" s="123" t="s">
        <v>4</v>
      </c>
      <c r="S6" s="131" t="s">
        <v>5</v>
      </c>
      <c r="T6" s="131" t="s">
        <v>5</v>
      </c>
      <c r="U6" s="131" t="s">
        <v>5</v>
      </c>
      <c r="V6" s="131" t="s">
        <v>5</v>
      </c>
      <c r="W6" s="131" t="s">
        <v>5</v>
      </c>
      <c r="X6" s="123" t="s">
        <v>4</v>
      </c>
      <c r="Y6" s="25" t="s">
        <v>3</v>
      </c>
      <c r="Z6" s="25" t="s">
        <v>6</v>
      </c>
      <c r="AA6" s="184" t="s">
        <v>2</v>
      </c>
      <c r="AB6" s="25" t="s">
        <v>6</v>
      </c>
      <c r="AC6" s="25" t="s">
        <v>6</v>
      </c>
      <c r="AD6" s="25" t="s">
        <v>6</v>
      </c>
      <c r="AE6" s="123" t="s">
        <v>4</v>
      </c>
      <c r="AF6" s="123" t="s">
        <v>4</v>
      </c>
      <c r="AH6">
        <f t="shared" ref="AH6:AH21" si="1">COUNTIF(B6:AF6,"W*S*")</f>
        <v>3</v>
      </c>
    </row>
    <row r="7" spans="1:35" x14ac:dyDescent="0.35">
      <c r="A7" s="182" t="s">
        <v>22</v>
      </c>
      <c r="B7" s="25" t="s">
        <v>6</v>
      </c>
      <c r="C7" s="25" t="s">
        <v>3</v>
      </c>
      <c r="D7" s="123" t="s">
        <v>4</v>
      </c>
      <c r="E7" s="184" t="s">
        <v>2</v>
      </c>
      <c r="F7" s="25" t="s">
        <v>6</v>
      </c>
      <c r="G7" s="25" t="s">
        <v>6</v>
      </c>
      <c r="H7" s="25" t="s">
        <v>6</v>
      </c>
      <c r="I7" s="25" t="s">
        <v>6</v>
      </c>
      <c r="J7" s="123" t="s">
        <v>4</v>
      </c>
      <c r="K7" s="25" t="s">
        <v>3</v>
      </c>
      <c r="L7" s="184" t="s">
        <v>2</v>
      </c>
      <c r="M7" s="25" t="s">
        <v>6</v>
      </c>
      <c r="N7" s="25" t="s">
        <v>6</v>
      </c>
      <c r="O7" s="25" t="s">
        <v>6</v>
      </c>
      <c r="P7" s="25" t="s">
        <v>6</v>
      </c>
      <c r="Q7" s="123" t="s">
        <v>4</v>
      </c>
      <c r="R7" s="25" t="s">
        <v>3</v>
      </c>
      <c r="S7" s="184" t="s">
        <v>2</v>
      </c>
      <c r="T7" s="25" t="s">
        <v>6</v>
      </c>
      <c r="U7" s="25" t="s">
        <v>6</v>
      </c>
      <c r="V7" s="25" t="s">
        <v>6</v>
      </c>
      <c r="W7" s="184" t="s">
        <v>2</v>
      </c>
      <c r="X7" s="25" t="s">
        <v>3</v>
      </c>
      <c r="Y7" s="25" t="s">
        <v>3</v>
      </c>
      <c r="Z7" s="25" t="s">
        <v>6</v>
      </c>
      <c r="AA7" s="25" t="s">
        <v>6</v>
      </c>
      <c r="AB7" s="131" t="s">
        <v>5</v>
      </c>
      <c r="AC7" s="131" t="s">
        <v>5</v>
      </c>
      <c r="AD7" s="131" t="s">
        <v>5</v>
      </c>
      <c r="AE7" s="25" t="s">
        <v>3</v>
      </c>
      <c r="AF7" s="123" t="s">
        <v>4</v>
      </c>
      <c r="AH7">
        <f t="shared" si="1"/>
        <v>6</v>
      </c>
    </row>
    <row r="8" spans="1:35" x14ac:dyDescent="0.35">
      <c r="A8" s="182" t="s">
        <v>76</v>
      </c>
      <c r="B8" s="25" t="s">
        <v>6</v>
      </c>
      <c r="C8" s="123" t="s">
        <v>4</v>
      </c>
      <c r="D8" s="123" t="s">
        <v>4</v>
      </c>
      <c r="E8" s="25" t="s">
        <v>6</v>
      </c>
      <c r="F8" s="25" t="s">
        <v>6</v>
      </c>
      <c r="G8" s="25" t="s">
        <v>6</v>
      </c>
      <c r="H8" s="25" t="s">
        <v>6</v>
      </c>
      <c r="I8" s="25" t="s">
        <v>6</v>
      </c>
      <c r="J8" s="22" t="s">
        <v>30</v>
      </c>
      <c r="K8" s="123" t="s">
        <v>4</v>
      </c>
      <c r="L8" s="22" t="s">
        <v>16</v>
      </c>
      <c r="M8" s="184" t="s">
        <v>2</v>
      </c>
      <c r="N8" s="25" t="s">
        <v>6</v>
      </c>
      <c r="O8" s="25" t="s">
        <v>6</v>
      </c>
      <c r="P8" s="25" t="s">
        <v>6</v>
      </c>
      <c r="Q8" s="22" t="s">
        <v>30</v>
      </c>
      <c r="R8" s="123" t="s">
        <v>4</v>
      </c>
      <c r="S8" s="25" t="s">
        <v>6</v>
      </c>
      <c r="T8" s="184" t="s">
        <v>2</v>
      </c>
      <c r="U8" s="25" t="s">
        <v>6</v>
      </c>
      <c r="V8" s="25" t="s">
        <v>6</v>
      </c>
      <c r="W8" s="19" t="s">
        <v>41</v>
      </c>
      <c r="X8" s="22" t="s">
        <v>30</v>
      </c>
      <c r="Y8" s="123" t="s">
        <v>4</v>
      </c>
      <c r="Z8" s="25" t="s">
        <v>6</v>
      </c>
      <c r="AA8" s="184" t="s">
        <v>2</v>
      </c>
      <c r="AB8" s="25" t="s">
        <v>6</v>
      </c>
      <c r="AC8" s="25" t="s">
        <v>6</v>
      </c>
      <c r="AD8" s="25" t="s">
        <v>6</v>
      </c>
      <c r="AE8" s="22" t="s">
        <v>30</v>
      </c>
      <c r="AF8" s="123" t="s">
        <v>4</v>
      </c>
      <c r="AH8">
        <f t="shared" si="1"/>
        <v>4</v>
      </c>
    </row>
    <row r="9" spans="1:35" x14ac:dyDescent="0.35">
      <c r="A9" s="182" t="s">
        <v>225</v>
      </c>
      <c r="B9" s="25" t="s">
        <v>6</v>
      </c>
      <c r="C9" s="123" t="s">
        <v>4</v>
      </c>
      <c r="D9" s="123" t="s">
        <v>4</v>
      </c>
      <c r="E9" s="25" t="s">
        <v>6</v>
      </c>
      <c r="F9" s="25" t="s">
        <v>6</v>
      </c>
      <c r="G9" s="25" t="s">
        <v>6</v>
      </c>
      <c r="H9" s="25" t="s">
        <v>6</v>
      </c>
      <c r="I9" s="25" t="s">
        <v>6</v>
      </c>
      <c r="J9" s="123" t="s">
        <v>4</v>
      </c>
      <c r="K9" s="123" t="s">
        <v>4</v>
      </c>
      <c r="L9" s="25" t="s">
        <v>6</v>
      </c>
      <c r="M9" s="25" t="s">
        <v>6</v>
      </c>
      <c r="N9" s="22" t="s">
        <v>16</v>
      </c>
      <c r="O9" s="25" t="s">
        <v>6</v>
      </c>
      <c r="P9" s="22" t="s">
        <v>16</v>
      </c>
      <c r="Q9" s="123" t="s">
        <v>4</v>
      </c>
      <c r="R9" s="123" t="s">
        <v>4</v>
      </c>
      <c r="S9" s="19" t="s">
        <v>41</v>
      </c>
      <c r="T9" s="25" t="s">
        <v>6</v>
      </c>
      <c r="U9" s="25" t="s">
        <v>6</v>
      </c>
      <c r="V9" s="25" t="s">
        <v>6</v>
      </c>
      <c r="W9" s="25" t="s">
        <v>6</v>
      </c>
      <c r="X9" s="123" t="s">
        <v>4</v>
      </c>
      <c r="Y9" s="123" t="s">
        <v>4</v>
      </c>
      <c r="Z9" s="22" t="s">
        <v>30</v>
      </c>
      <c r="AA9" s="25" t="s">
        <v>6</v>
      </c>
      <c r="AB9" s="184" t="s">
        <v>2</v>
      </c>
      <c r="AC9" s="184" t="s">
        <v>2</v>
      </c>
      <c r="AD9" s="184" t="s">
        <v>2</v>
      </c>
      <c r="AE9" s="123" t="s">
        <v>4</v>
      </c>
      <c r="AF9" s="123" t="s">
        <v>4</v>
      </c>
      <c r="AH9">
        <f t="shared" si="1"/>
        <v>1</v>
      </c>
    </row>
    <row r="10" spans="1:35" x14ac:dyDescent="0.35">
      <c r="A10" s="70"/>
    </row>
    <row r="11" spans="1:35" x14ac:dyDescent="0.35">
      <c r="A11" s="193" t="s">
        <v>1</v>
      </c>
      <c r="B11" s="185" t="s">
        <v>10</v>
      </c>
      <c r="C11" s="185" t="s">
        <v>11</v>
      </c>
      <c r="D11" s="185" t="s">
        <v>11</v>
      </c>
      <c r="E11" s="131" t="s">
        <v>5</v>
      </c>
      <c r="F11" s="185" t="s">
        <v>10</v>
      </c>
      <c r="G11" s="185" t="s">
        <v>10</v>
      </c>
      <c r="H11" s="184" t="s">
        <v>2</v>
      </c>
      <c r="I11" s="185" t="s">
        <v>10</v>
      </c>
      <c r="J11" s="185" t="s">
        <v>11</v>
      </c>
      <c r="K11" s="131" t="s">
        <v>5</v>
      </c>
      <c r="L11" s="185" t="s">
        <v>10</v>
      </c>
      <c r="M11" s="185" t="s">
        <v>10</v>
      </c>
      <c r="N11" s="185" t="s">
        <v>10</v>
      </c>
      <c r="O11" s="184" t="s">
        <v>2</v>
      </c>
      <c r="P11" s="185" t="s">
        <v>10</v>
      </c>
      <c r="Q11" s="185" t="s">
        <v>11</v>
      </c>
      <c r="R11" s="123" t="s">
        <v>4</v>
      </c>
      <c r="S11" s="185" t="s">
        <v>10</v>
      </c>
      <c r="T11" s="185" t="s">
        <v>10</v>
      </c>
      <c r="U11" s="185" t="s">
        <v>10</v>
      </c>
      <c r="V11" s="184" t="s">
        <v>2</v>
      </c>
      <c r="W11" s="185" t="s">
        <v>10</v>
      </c>
      <c r="X11" s="185" t="s">
        <v>11</v>
      </c>
      <c r="Y11" s="123" t="s">
        <v>4</v>
      </c>
      <c r="Z11" s="185" t="s">
        <v>10</v>
      </c>
      <c r="AA11" s="185" t="s">
        <v>10</v>
      </c>
      <c r="AB11" s="185" t="s">
        <v>10</v>
      </c>
      <c r="AC11" s="184" t="s">
        <v>2</v>
      </c>
      <c r="AD11" s="185" t="s">
        <v>10</v>
      </c>
      <c r="AE11" s="185" t="s">
        <v>11</v>
      </c>
      <c r="AF11" s="185" t="s">
        <v>11</v>
      </c>
      <c r="AH11">
        <f t="shared" si="1"/>
        <v>7</v>
      </c>
    </row>
    <row r="12" spans="1:35" x14ac:dyDescent="0.35">
      <c r="A12" s="182" t="s">
        <v>15</v>
      </c>
      <c r="B12" s="131" t="s">
        <v>5</v>
      </c>
      <c r="C12" s="185" t="s">
        <v>11</v>
      </c>
      <c r="D12" s="185" t="s">
        <v>11</v>
      </c>
      <c r="E12" s="185" t="s">
        <v>10</v>
      </c>
      <c r="F12" s="184" t="s">
        <v>2</v>
      </c>
      <c r="G12" s="184" t="s">
        <v>2</v>
      </c>
      <c r="H12" s="185" t="s">
        <v>10</v>
      </c>
      <c r="I12" s="185" t="s">
        <v>10</v>
      </c>
      <c r="J12" s="185" t="s">
        <v>11</v>
      </c>
      <c r="K12" s="185" t="s">
        <v>11</v>
      </c>
      <c r="L12" s="184" t="s">
        <v>2</v>
      </c>
      <c r="M12" s="184" t="s">
        <v>2</v>
      </c>
      <c r="N12" s="184" t="s">
        <v>2</v>
      </c>
      <c r="O12" s="185" t="s">
        <v>10</v>
      </c>
      <c r="P12" s="185" t="s">
        <v>10</v>
      </c>
      <c r="Q12" s="185" t="s">
        <v>11</v>
      </c>
      <c r="R12" s="185" t="s">
        <v>11</v>
      </c>
      <c r="S12" s="184" t="s">
        <v>2</v>
      </c>
      <c r="T12" s="184" t="s">
        <v>2</v>
      </c>
      <c r="U12" s="184" t="s">
        <v>2</v>
      </c>
      <c r="V12" s="185" t="s">
        <v>10</v>
      </c>
      <c r="W12" s="185" t="s">
        <v>10</v>
      </c>
      <c r="X12" s="185" t="s">
        <v>11</v>
      </c>
      <c r="Y12" s="185" t="s">
        <v>11</v>
      </c>
      <c r="Z12" s="184" t="s">
        <v>2</v>
      </c>
      <c r="AA12" s="184" t="s">
        <v>2</v>
      </c>
      <c r="AB12" s="184" t="s">
        <v>2</v>
      </c>
      <c r="AC12" s="185" t="s">
        <v>10</v>
      </c>
      <c r="AD12" s="185" t="s">
        <v>10</v>
      </c>
      <c r="AE12" s="185" t="s">
        <v>11</v>
      </c>
      <c r="AF12" s="131" t="s">
        <v>5</v>
      </c>
      <c r="AH12">
        <f t="shared" si="1"/>
        <v>9</v>
      </c>
    </row>
    <row r="13" spans="1:35" x14ac:dyDescent="0.35">
      <c r="A13" s="193" t="s">
        <v>155</v>
      </c>
      <c r="B13" s="185" t="s">
        <v>10</v>
      </c>
      <c r="C13" s="123" t="s">
        <v>4</v>
      </c>
      <c r="D13" s="123" t="s">
        <v>4</v>
      </c>
      <c r="E13" s="185" t="s">
        <v>10</v>
      </c>
      <c r="F13" s="185" t="s">
        <v>10</v>
      </c>
      <c r="G13" s="185" t="s">
        <v>10</v>
      </c>
      <c r="H13" s="185" t="s">
        <v>10</v>
      </c>
      <c r="I13" s="185" t="s">
        <v>10</v>
      </c>
      <c r="J13" s="185" t="s">
        <v>11</v>
      </c>
      <c r="K13" s="123" t="s">
        <v>4</v>
      </c>
      <c r="L13" s="185" t="s">
        <v>10</v>
      </c>
      <c r="M13" s="185" t="s">
        <v>10</v>
      </c>
      <c r="N13" s="185" t="s">
        <v>10</v>
      </c>
      <c r="O13" s="131" t="s">
        <v>5</v>
      </c>
      <c r="P13" s="131" t="s">
        <v>5</v>
      </c>
      <c r="Q13" s="131" t="s">
        <v>5</v>
      </c>
      <c r="R13" s="123" t="s">
        <v>4</v>
      </c>
      <c r="S13" s="185" t="s">
        <v>10</v>
      </c>
      <c r="T13" s="185" t="s">
        <v>10</v>
      </c>
      <c r="U13" s="185" t="s">
        <v>10</v>
      </c>
      <c r="V13" s="185" t="s">
        <v>10</v>
      </c>
      <c r="W13" s="185" t="s">
        <v>10</v>
      </c>
      <c r="X13" s="185" t="s">
        <v>11</v>
      </c>
      <c r="Y13" s="123" t="s">
        <v>4</v>
      </c>
      <c r="Z13" s="184" t="s">
        <v>2</v>
      </c>
      <c r="AA13" s="185" t="s">
        <v>10</v>
      </c>
      <c r="AB13" s="185" t="s">
        <v>10</v>
      </c>
      <c r="AC13" s="185" t="s">
        <v>10</v>
      </c>
      <c r="AD13" s="185" t="s">
        <v>10</v>
      </c>
      <c r="AE13" s="123" t="s">
        <v>4</v>
      </c>
      <c r="AF13" s="185" t="s">
        <v>11</v>
      </c>
      <c r="AH13">
        <f t="shared" si="1"/>
        <v>3</v>
      </c>
    </row>
    <row r="14" spans="1:35" x14ac:dyDescent="0.35">
      <c r="A14" s="182" t="s">
        <v>77</v>
      </c>
      <c r="B14" s="185" t="s">
        <v>10</v>
      </c>
      <c r="C14" s="131" t="s">
        <v>4</v>
      </c>
      <c r="D14" s="131" t="s">
        <v>4</v>
      </c>
      <c r="E14" s="131" t="s">
        <v>5</v>
      </c>
      <c r="F14" s="131" t="s">
        <v>5</v>
      </c>
      <c r="G14" s="131" t="s">
        <v>5</v>
      </c>
      <c r="H14" s="131" t="s">
        <v>5</v>
      </c>
      <c r="I14" s="131" t="s">
        <v>5</v>
      </c>
      <c r="J14" s="123" t="s">
        <v>4</v>
      </c>
      <c r="K14" s="185" t="s">
        <v>11</v>
      </c>
      <c r="L14" s="185" t="s">
        <v>10</v>
      </c>
      <c r="M14" s="185" t="s">
        <v>10</v>
      </c>
      <c r="N14" s="185" t="s">
        <v>10</v>
      </c>
      <c r="O14" s="185" t="s">
        <v>10</v>
      </c>
      <c r="P14" s="185" t="s">
        <v>10</v>
      </c>
      <c r="Q14" s="123" t="s">
        <v>4</v>
      </c>
      <c r="R14" s="185" t="s">
        <v>11</v>
      </c>
      <c r="S14" s="185" t="s">
        <v>10</v>
      </c>
      <c r="T14" s="185" t="s">
        <v>10</v>
      </c>
      <c r="U14" s="131" t="s">
        <v>5</v>
      </c>
      <c r="V14" s="131" t="s">
        <v>5</v>
      </c>
      <c r="W14" s="131" t="s">
        <v>5</v>
      </c>
      <c r="X14" s="123" t="s">
        <v>4</v>
      </c>
      <c r="Y14" s="185" t="s">
        <v>11</v>
      </c>
      <c r="Z14" s="185" t="s">
        <v>10</v>
      </c>
      <c r="AA14" s="185" t="s">
        <v>10</v>
      </c>
      <c r="AB14" s="131" t="s">
        <v>5</v>
      </c>
      <c r="AC14" s="131" t="s">
        <v>5</v>
      </c>
      <c r="AD14" s="131" t="s">
        <v>5</v>
      </c>
      <c r="AE14" s="123" t="s">
        <v>4</v>
      </c>
      <c r="AF14" s="123" t="s">
        <v>4</v>
      </c>
      <c r="AH14">
        <f t="shared" si="1"/>
        <v>3</v>
      </c>
    </row>
    <row r="15" spans="1:35" x14ac:dyDescent="0.35">
      <c r="A15" s="182" t="s">
        <v>181</v>
      </c>
      <c r="B15" s="19" t="s">
        <v>41</v>
      </c>
      <c r="C15" s="185" t="s">
        <v>11</v>
      </c>
      <c r="D15" s="123" t="s">
        <v>4</v>
      </c>
      <c r="E15" s="185" t="s">
        <v>10</v>
      </c>
      <c r="F15" s="185" t="s">
        <v>10</v>
      </c>
      <c r="G15" s="185" t="s">
        <v>10</v>
      </c>
      <c r="H15" s="185" t="s">
        <v>10</v>
      </c>
      <c r="I15" s="184" t="s">
        <v>2</v>
      </c>
      <c r="J15" s="123" t="s">
        <v>4</v>
      </c>
      <c r="K15" s="123" t="s">
        <v>4</v>
      </c>
      <c r="L15" s="185" t="s">
        <v>10</v>
      </c>
      <c r="M15" s="185" t="s">
        <v>10</v>
      </c>
      <c r="N15" s="185" t="s">
        <v>10</v>
      </c>
      <c r="O15" s="185" t="s">
        <v>10</v>
      </c>
      <c r="P15" s="185" t="s">
        <v>10</v>
      </c>
      <c r="Q15" s="185" t="s">
        <v>11</v>
      </c>
      <c r="R15" s="123" t="s">
        <v>4</v>
      </c>
      <c r="S15" s="184" t="s">
        <v>2</v>
      </c>
      <c r="T15" s="185" t="s">
        <v>10</v>
      </c>
      <c r="U15" s="185" t="s">
        <v>10</v>
      </c>
      <c r="V15" s="185" t="s">
        <v>10</v>
      </c>
      <c r="W15" s="185" t="s">
        <v>10</v>
      </c>
      <c r="X15" s="123" t="s">
        <v>4</v>
      </c>
      <c r="Y15" s="123" t="s">
        <v>4</v>
      </c>
      <c r="Z15" s="185" t="s">
        <v>10</v>
      </c>
      <c r="AA15" s="185" t="s">
        <v>10</v>
      </c>
      <c r="AB15" s="185" t="s">
        <v>10</v>
      </c>
      <c r="AC15" s="185" t="s">
        <v>10</v>
      </c>
      <c r="AD15" s="185" t="s">
        <v>10</v>
      </c>
      <c r="AE15" s="123" t="s">
        <v>4</v>
      </c>
      <c r="AF15" s="123" t="s">
        <v>4</v>
      </c>
      <c r="AH15">
        <f t="shared" si="1"/>
        <v>2</v>
      </c>
    </row>
    <row r="16" spans="1:35" x14ac:dyDescent="0.35">
      <c r="A16" s="70"/>
    </row>
    <row r="17" spans="1:34" x14ac:dyDescent="0.35">
      <c r="A17" s="193" t="s">
        <v>57</v>
      </c>
      <c r="B17" s="131" t="s">
        <v>5</v>
      </c>
      <c r="C17" s="131" t="s">
        <v>4</v>
      </c>
      <c r="D17" s="131" t="s">
        <v>4</v>
      </c>
      <c r="E17" s="131" t="s">
        <v>5</v>
      </c>
      <c r="F17" s="131" t="s">
        <v>5</v>
      </c>
      <c r="G17" s="19" t="s">
        <v>41</v>
      </c>
      <c r="H17" s="19" t="s">
        <v>41</v>
      </c>
      <c r="I17" s="19" t="s">
        <v>41</v>
      </c>
      <c r="J17" s="19" t="s">
        <v>42</v>
      </c>
      <c r="K17" s="19" t="s">
        <v>42</v>
      </c>
      <c r="L17" s="184" t="s">
        <v>2</v>
      </c>
      <c r="M17" s="19" t="s">
        <v>41</v>
      </c>
      <c r="N17" s="19" t="s">
        <v>41</v>
      </c>
      <c r="O17" s="19" t="s">
        <v>41</v>
      </c>
      <c r="P17" s="184" t="s">
        <v>2</v>
      </c>
      <c r="Q17" s="19" t="s">
        <v>42</v>
      </c>
      <c r="R17" s="19" t="s">
        <v>42</v>
      </c>
      <c r="S17" s="19" t="s">
        <v>41</v>
      </c>
      <c r="T17" s="19" t="s">
        <v>41</v>
      </c>
      <c r="U17" s="19" t="s">
        <v>41</v>
      </c>
      <c r="V17" s="184" t="s">
        <v>2</v>
      </c>
      <c r="W17" s="184" t="s">
        <v>2</v>
      </c>
      <c r="X17" s="123" t="s">
        <v>4</v>
      </c>
      <c r="Y17" s="19" t="s">
        <v>42</v>
      </c>
      <c r="Z17" s="19" t="s">
        <v>41</v>
      </c>
      <c r="AA17" s="19" t="s">
        <v>41</v>
      </c>
      <c r="AB17" s="19" t="s">
        <v>41</v>
      </c>
      <c r="AC17" s="19" t="s">
        <v>41</v>
      </c>
      <c r="AD17" s="184" t="s">
        <v>2</v>
      </c>
      <c r="AE17" s="19" t="s">
        <v>42</v>
      </c>
      <c r="AF17" s="19" t="s">
        <v>42</v>
      </c>
      <c r="AH17">
        <f t="shared" si="1"/>
        <v>7</v>
      </c>
    </row>
    <row r="18" spans="1:34" x14ac:dyDescent="0.35">
      <c r="A18" s="193" t="s">
        <v>43</v>
      </c>
      <c r="B18" s="19" t="s">
        <v>41</v>
      </c>
      <c r="C18" s="19" t="s">
        <v>42</v>
      </c>
      <c r="D18" s="19" t="s">
        <v>42</v>
      </c>
      <c r="E18" s="19" t="s">
        <v>41</v>
      </c>
      <c r="F18" s="19" t="s">
        <v>41</v>
      </c>
      <c r="G18" s="19" t="s">
        <v>41</v>
      </c>
      <c r="H18" s="19" t="s">
        <v>41</v>
      </c>
      <c r="I18" s="25" t="s">
        <v>6</v>
      </c>
      <c r="J18" s="123" t="s">
        <v>4</v>
      </c>
      <c r="K18" s="123" t="s">
        <v>4</v>
      </c>
      <c r="L18" s="19" t="s">
        <v>41</v>
      </c>
      <c r="M18" s="184" t="s">
        <v>2</v>
      </c>
      <c r="N18" s="131" t="s">
        <v>5</v>
      </c>
      <c r="O18" s="131" t="s">
        <v>5</v>
      </c>
      <c r="P18" s="131" t="s">
        <v>5</v>
      </c>
      <c r="Q18" s="131" t="s">
        <v>5</v>
      </c>
      <c r="R18" s="131" t="s">
        <v>5</v>
      </c>
      <c r="S18" s="131" t="s">
        <v>5</v>
      </c>
      <c r="T18" s="131" t="s">
        <v>5</v>
      </c>
      <c r="U18" s="131" t="s">
        <v>5</v>
      </c>
      <c r="V18" s="19" t="s">
        <v>41</v>
      </c>
      <c r="W18" s="19" t="s">
        <v>41</v>
      </c>
      <c r="X18" s="19" t="s">
        <v>42</v>
      </c>
      <c r="Y18" s="123" t="s">
        <v>4</v>
      </c>
      <c r="Z18" s="19" t="s">
        <v>41</v>
      </c>
      <c r="AA18" s="19" t="s">
        <v>41</v>
      </c>
      <c r="AB18" s="19" t="s">
        <v>41</v>
      </c>
      <c r="AC18" s="19" t="s">
        <v>41</v>
      </c>
      <c r="AD18" s="19" t="s">
        <v>41</v>
      </c>
      <c r="AE18" s="131" t="s">
        <v>5</v>
      </c>
      <c r="AF18" s="131" t="s">
        <v>5</v>
      </c>
      <c r="AH18">
        <f t="shared" si="1"/>
        <v>3</v>
      </c>
    </row>
    <row r="19" spans="1:34" x14ac:dyDescent="0.35">
      <c r="A19" s="182" t="s">
        <v>74</v>
      </c>
      <c r="B19" s="19" t="s">
        <v>41</v>
      </c>
      <c r="C19" s="131" t="s">
        <v>4</v>
      </c>
      <c r="D19" s="131" t="s">
        <v>4</v>
      </c>
      <c r="E19" s="19" t="s">
        <v>41</v>
      </c>
      <c r="F19" s="19" t="s">
        <v>41</v>
      </c>
      <c r="G19" s="19" t="s">
        <v>41</v>
      </c>
      <c r="H19" s="19" t="s">
        <v>41</v>
      </c>
      <c r="I19" s="131" t="s">
        <v>5</v>
      </c>
      <c r="J19" s="19" t="s">
        <v>42</v>
      </c>
      <c r="K19" s="123" t="s">
        <v>4</v>
      </c>
      <c r="L19" s="19" t="s">
        <v>41</v>
      </c>
      <c r="M19" s="19" t="s">
        <v>41</v>
      </c>
      <c r="N19" s="184" t="s">
        <v>2</v>
      </c>
      <c r="O19" s="19" t="s">
        <v>41</v>
      </c>
      <c r="P19" s="19" t="s">
        <v>41</v>
      </c>
      <c r="Q19" s="19" t="s">
        <v>42</v>
      </c>
      <c r="R19" s="123" t="s">
        <v>4</v>
      </c>
      <c r="S19" s="19" t="s">
        <v>41</v>
      </c>
      <c r="T19" s="19" t="s">
        <v>41</v>
      </c>
      <c r="U19" s="19" t="s">
        <v>41</v>
      </c>
      <c r="V19" s="19" t="s">
        <v>41</v>
      </c>
      <c r="W19" s="19" t="s">
        <v>41</v>
      </c>
      <c r="X19" s="131" t="s">
        <v>5</v>
      </c>
      <c r="Y19" s="131" t="s">
        <v>5</v>
      </c>
      <c r="Z19" s="19" t="s">
        <v>41</v>
      </c>
      <c r="AA19" s="131" t="s">
        <v>5</v>
      </c>
      <c r="AB19" s="131" t="s">
        <v>5</v>
      </c>
      <c r="AC19" s="131" t="s">
        <v>5</v>
      </c>
      <c r="AD19" s="19" t="s">
        <v>41</v>
      </c>
      <c r="AE19" s="19" t="s">
        <v>42</v>
      </c>
      <c r="AF19" s="131" t="s">
        <v>5</v>
      </c>
      <c r="AH19">
        <f t="shared" si="1"/>
        <v>3</v>
      </c>
    </row>
    <row r="20" spans="1:34" x14ac:dyDescent="0.35">
      <c r="A20" s="182" t="s">
        <v>62</v>
      </c>
      <c r="B20" s="184" t="s">
        <v>2</v>
      </c>
      <c r="C20" s="19" t="s">
        <v>42</v>
      </c>
      <c r="D20" s="19" t="s">
        <v>42</v>
      </c>
      <c r="E20" s="184" t="s">
        <v>2</v>
      </c>
      <c r="F20" s="19" t="s">
        <v>41</v>
      </c>
      <c r="G20" s="19" t="s">
        <v>41</v>
      </c>
      <c r="H20" s="184" t="s">
        <v>2</v>
      </c>
      <c r="I20" s="19" t="s">
        <v>41</v>
      </c>
      <c r="J20" s="123" t="s">
        <v>4</v>
      </c>
      <c r="K20" s="19" t="s">
        <v>42</v>
      </c>
      <c r="L20" s="184" t="s">
        <v>2</v>
      </c>
      <c r="M20" s="19" t="s">
        <v>41</v>
      </c>
      <c r="N20" s="19" t="s">
        <v>41</v>
      </c>
      <c r="O20" s="19" t="s">
        <v>41</v>
      </c>
      <c r="P20" s="19" t="s">
        <v>41</v>
      </c>
      <c r="Q20" s="123" t="s">
        <v>4</v>
      </c>
      <c r="R20" s="19" t="s">
        <v>42</v>
      </c>
      <c r="S20" s="25" t="s">
        <v>6</v>
      </c>
      <c r="T20" s="19" t="s">
        <v>41</v>
      </c>
      <c r="U20" s="184" t="s">
        <v>2</v>
      </c>
      <c r="V20" s="19" t="s">
        <v>41</v>
      </c>
      <c r="W20" s="25" t="s">
        <v>6</v>
      </c>
      <c r="X20" s="19" t="s">
        <v>42</v>
      </c>
      <c r="Y20" s="123" t="s">
        <v>4</v>
      </c>
      <c r="Z20" s="184" t="s">
        <v>2</v>
      </c>
      <c r="AA20" s="19" t="s">
        <v>41</v>
      </c>
      <c r="AB20" s="19" t="s">
        <v>41</v>
      </c>
      <c r="AC20" s="19" t="s">
        <v>41</v>
      </c>
      <c r="AD20" s="19" t="s">
        <v>41</v>
      </c>
      <c r="AE20" s="123" t="s">
        <v>4</v>
      </c>
      <c r="AF20" s="19" t="s">
        <v>42</v>
      </c>
      <c r="AH20">
        <f t="shared" si="1"/>
        <v>6</v>
      </c>
    </row>
    <row r="21" spans="1:34" x14ac:dyDescent="0.35">
      <c r="A21" s="182" t="s">
        <v>226</v>
      </c>
      <c r="B21" s="184" t="s">
        <v>2</v>
      </c>
      <c r="C21" s="123" t="s">
        <v>4</v>
      </c>
      <c r="D21" s="123" t="s">
        <v>4</v>
      </c>
      <c r="E21" s="19" t="s">
        <v>41</v>
      </c>
      <c r="F21" s="19" t="s">
        <v>41</v>
      </c>
      <c r="G21" s="22" t="s">
        <v>16</v>
      </c>
      <c r="H21" s="19" t="s">
        <v>41</v>
      </c>
      <c r="I21" s="19" t="s">
        <v>41</v>
      </c>
      <c r="J21" s="123" t="s">
        <v>4</v>
      </c>
      <c r="K21" s="123" t="s">
        <v>4</v>
      </c>
      <c r="L21" s="19" t="s">
        <v>41</v>
      </c>
      <c r="M21" s="19" t="s">
        <v>41</v>
      </c>
      <c r="N21" s="19" t="s">
        <v>41</v>
      </c>
      <c r="O21" s="19" t="s">
        <v>41</v>
      </c>
      <c r="P21" s="19" t="s">
        <v>41</v>
      </c>
      <c r="Q21" s="123" t="s">
        <v>4</v>
      </c>
      <c r="R21" s="123" t="s">
        <v>4</v>
      </c>
      <c r="S21" s="19" t="s">
        <v>41</v>
      </c>
      <c r="T21" s="19" t="s">
        <v>41</v>
      </c>
      <c r="U21" s="19" t="s">
        <v>41</v>
      </c>
      <c r="V21" s="19" t="s">
        <v>41</v>
      </c>
      <c r="W21" s="19" t="s">
        <v>41</v>
      </c>
      <c r="X21" s="123" t="s">
        <v>4</v>
      </c>
      <c r="Y21" s="19" t="s">
        <v>42</v>
      </c>
      <c r="Z21" s="131" t="s">
        <v>5</v>
      </c>
      <c r="AA21" s="131" t="s">
        <v>5</v>
      </c>
      <c r="AB21" s="131" t="s">
        <v>5</v>
      </c>
      <c r="AC21" s="131" t="s">
        <v>5</v>
      </c>
      <c r="AD21" s="131" t="s">
        <v>5</v>
      </c>
      <c r="AE21" s="131" t="s">
        <v>5</v>
      </c>
      <c r="AF21" s="131" t="s">
        <v>5</v>
      </c>
      <c r="AH21">
        <f t="shared" si="1"/>
        <v>1</v>
      </c>
    </row>
    <row r="23" spans="1:34" x14ac:dyDescent="0.35">
      <c r="A23" s="189" t="s">
        <v>156</v>
      </c>
      <c r="B23">
        <f t="shared" ref="B23:D23" si="2">COUNTIF(B4:B21,"*MS")</f>
        <v>4</v>
      </c>
      <c r="C23">
        <f t="shared" si="2"/>
        <v>2</v>
      </c>
      <c r="D23">
        <f t="shared" si="2"/>
        <v>2</v>
      </c>
      <c r="E23">
        <f t="shared" ref="E23:K23" si="3">COUNTIF(E4:E21,"*MS")</f>
        <v>4</v>
      </c>
      <c r="F23">
        <f t="shared" si="3"/>
        <v>4</v>
      </c>
      <c r="G23">
        <f t="shared" si="3"/>
        <v>4</v>
      </c>
      <c r="H23">
        <f t="shared" si="3"/>
        <v>4</v>
      </c>
      <c r="I23">
        <f t="shared" si="3"/>
        <v>4</v>
      </c>
      <c r="J23">
        <f t="shared" si="3"/>
        <v>2</v>
      </c>
      <c r="K23">
        <f t="shared" si="3"/>
        <v>2</v>
      </c>
      <c r="L23">
        <f t="shared" ref="L23:AF23" si="4">COUNTIF(L4:L21,"*MS")</f>
        <v>3</v>
      </c>
      <c r="M23">
        <f t="shared" si="4"/>
        <v>4</v>
      </c>
      <c r="N23">
        <f t="shared" si="4"/>
        <v>3</v>
      </c>
      <c r="O23">
        <f t="shared" si="4"/>
        <v>4</v>
      </c>
      <c r="P23">
        <f t="shared" si="4"/>
        <v>3</v>
      </c>
      <c r="Q23">
        <f t="shared" si="4"/>
        <v>2</v>
      </c>
      <c r="R23">
        <f t="shared" si="4"/>
        <v>2</v>
      </c>
      <c r="S23">
        <f t="shared" si="4"/>
        <v>3</v>
      </c>
      <c r="T23">
        <f t="shared" si="4"/>
        <v>3</v>
      </c>
      <c r="U23">
        <f t="shared" si="4"/>
        <v>4</v>
      </c>
      <c r="V23">
        <f t="shared" si="4"/>
        <v>4</v>
      </c>
      <c r="W23">
        <f t="shared" si="4"/>
        <v>3</v>
      </c>
      <c r="X23">
        <f t="shared" si="4"/>
        <v>2</v>
      </c>
      <c r="Y23">
        <f t="shared" si="4"/>
        <v>2</v>
      </c>
      <c r="Z23">
        <f t="shared" si="4"/>
        <v>3</v>
      </c>
      <c r="AA23">
        <f t="shared" si="4"/>
        <v>3</v>
      </c>
      <c r="AB23">
        <f t="shared" si="4"/>
        <v>3</v>
      </c>
      <c r="AC23">
        <f t="shared" si="4"/>
        <v>3</v>
      </c>
      <c r="AD23">
        <f t="shared" si="4"/>
        <v>3</v>
      </c>
      <c r="AE23">
        <f>COUNTIF(AE4:AE21,"*MS")</f>
        <v>2</v>
      </c>
      <c r="AF23">
        <f t="shared" si="4"/>
        <v>2</v>
      </c>
    </row>
    <row r="24" spans="1:34" x14ac:dyDescent="0.35">
      <c r="A24" s="189" t="s">
        <v>157</v>
      </c>
      <c r="B24">
        <f t="shared" ref="B24:D24" si="5">COUNTIF(B4:B21,"*ASS1")</f>
        <v>3</v>
      </c>
      <c r="C24">
        <f t="shared" si="5"/>
        <v>2</v>
      </c>
      <c r="D24">
        <f t="shared" si="5"/>
        <v>2</v>
      </c>
      <c r="E24">
        <f t="shared" ref="E24:K24" si="6">COUNTIF(E4:E21,"*ASS1")</f>
        <v>3</v>
      </c>
      <c r="F24">
        <f t="shared" si="6"/>
        <v>4</v>
      </c>
      <c r="G24">
        <f t="shared" si="6"/>
        <v>4</v>
      </c>
      <c r="H24">
        <f t="shared" si="6"/>
        <v>4</v>
      </c>
      <c r="I24">
        <f t="shared" si="6"/>
        <v>4</v>
      </c>
      <c r="J24">
        <f t="shared" si="6"/>
        <v>2</v>
      </c>
      <c r="K24">
        <f t="shared" si="6"/>
        <v>2</v>
      </c>
      <c r="L24">
        <f t="shared" ref="L24:AF24" si="7">COUNTIF(L4:L21,"*ASS1")</f>
        <v>3</v>
      </c>
      <c r="M24">
        <f t="shared" si="7"/>
        <v>4</v>
      </c>
      <c r="N24">
        <f t="shared" si="7"/>
        <v>3</v>
      </c>
      <c r="O24">
        <f t="shared" si="7"/>
        <v>4</v>
      </c>
      <c r="P24">
        <f t="shared" si="7"/>
        <v>3</v>
      </c>
      <c r="Q24">
        <f t="shared" si="7"/>
        <v>2</v>
      </c>
      <c r="R24">
        <f t="shared" si="7"/>
        <v>2</v>
      </c>
      <c r="S24">
        <f t="shared" si="7"/>
        <v>4</v>
      </c>
      <c r="T24">
        <f t="shared" si="7"/>
        <v>4</v>
      </c>
      <c r="U24">
        <f t="shared" si="7"/>
        <v>3</v>
      </c>
      <c r="V24">
        <f t="shared" si="7"/>
        <v>4</v>
      </c>
      <c r="W24">
        <f t="shared" si="7"/>
        <v>4</v>
      </c>
      <c r="X24">
        <f t="shared" si="7"/>
        <v>2</v>
      </c>
      <c r="Y24">
        <f t="shared" si="7"/>
        <v>2</v>
      </c>
      <c r="Z24">
        <f t="shared" si="7"/>
        <v>3</v>
      </c>
      <c r="AA24">
        <f t="shared" si="7"/>
        <v>3</v>
      </c>
      <c r="AB24">
        <f t="shared" si="7"/>
        <v>3</v>
      </c>
      <c r="AC24">
        <f t="shared" si="7"/>
        <v>3</v>
      </c>
      <c r="AD24">
        <f t="shared" si="7"/>
        <v>3</v>
      </c>
      <c r="AE24">
        <f>COUNTIF(AE4:AE21,"*ASS1")</f>
        <v>2</v>
      </c>
      <c r="AF24">
        <f t="shared" si="7"/>
        <v>2</v>
      </c>
    </row>
    <row r="25" spans="1:34" x14ac:dyDescent="0.35">
      <c r="A25" s="189" t="s">
        <v>158</v>
      </c>
      <c r="B25">
        <f t="shared" ref="B25:D25" si="8">COUNTIF(B4:B21,"*NST7")</f>
        <v>3</v>
      </c>
      <c r="C25">
        <f t="shared" si="8"/>
        <v>3</v>
      </c>
      <c r="D25">
        <f t="shared" si="8"/>
        <v>2</v>
      </c>
      <c r="E25">
        <f t="shared" ref="E25:K25" si="9">COUNTIF(E4:E21,"*NST7")</f>
        <v>3</v>
      </c>
      <c r="F25">
        <f t="shared" si="9"/>
        <v>3</v>
      </c>
      <c r="G25">
        <f t="shared" si="9"/>
        <v>3</v>
      </c>
      <c r="H25">
        <f t="shared" si="9"/>
        <v>3</v>
      </c>
      <c r="I25">
        <f t="shared" si="9"/>
        <v>3</v>
      </c>
      <c r="J25">
        <f t="shared" si="9"/>
        <v>3</v>
      </c>
      <c r="K25">
        <f t="shared" si="9"/>
        <v>2</v>
      </c>
      <c r="L25">
        <f t="shared" ref="L25:AF25" si="10">COUNTIF(L4:L21,"*NST7")</f>
        <v>4</v>
      </c>
      <c r="M25">
        <f t="shared" si="10"/>
        <v>4</v>
      </c>
      <c r="N25">
        <f t="shared" si="10"/>
        <v>4</v>
      </c>
      <c r="O25">
        <f t="shared" si="10"/>
        <v>3</v>
      </c>
      <c r="P25">
        <f t="shared" si="10"/>
        <v>4</v>
      </c>
      <c r="Q25">
        <f t="shared" si="10"/>
        <v>3</v>
      </c>
      <c r="R25">
        <f t="shared" si="10"/>
        <v>2</v>
      </c>
      <c r="S25">
        <f t="shared" si="10"/>
        <v>3</v>
      </c>
      <c r="T25">
        <f t="shared" si="10"/>
        <v>4</v>
      </c>
      <c r="U25">
        <f t="shared" si="10"/>
        <v>3</v>
      </c>
      <c r="V25">
        <f t="shared" si="10"/>
        <v>3</v>
      </c>
      <c r="W25">
        <f t="shared" si="10"/>
        <v>4</v>
      </c>
      <c r="X25">
        <f t="shared" si="10"/>
        <v>3</v>
      </c>
      <c r="Y25">
        <f t="shared" si="10"/>
        <v>2</v>
      </c>
      <c r="Z25">
        <f t="shared" si="10"/>
        <v>3</v>
      </c>
      <c r="AA25">
        <f t="shared" si="10"/>
        <v>4</v>
      </c>
      <c r="AB25">
        <f t="shared" si="10"/>
        <v>3</v>
      </c>
      <c r="AC25">
        <f t="shared" si="10"/>
        <v>3</v>
      </c>
      <c r="AD25">
        <f t="shared" si="10"/>
        <v>4</v>
      </c>
      <c r="AE25">
        <f>COUNTIF(AE4:AE21,"*NST7")</f>
        <v>2</v>
      </c>
      <c r="AF25">
        <f t="shared" si="10"/>
        <v>2</v>
      </c>
    </row>
    <row r="26" spans="1:34" x14ac:dyDescent="0.35">
      <c r="A26" s="189" t="s">
        <v>159</v>
      </c>
      <c r="B26">
        <f t="shared" ref="B26:D26" si="11">COUNTIF(B4:B21,"*GS")</f>
        <v>0</v>
      </c>
      <c r="C26">
        <f t="shared" si="11"/>
        <v>0</v>
      </c>
      <c r="D26">
        <f t="shared" si="11"/>
        <v>0</v>
      </c>
      <c r="E26">
        <f t="shared" ref="E26:K26" si="12">COUNTIF(E4:E21,"*GS")</f>
        <v>0</v>
      </c>
      <c r="F26">
        <f t="shared" si="12"/>
        <v>0</v>
      </c>
      <c r="G26">
        <f t="shared" si="12"/>
        <v>1</v>
      </c>
      <c r="H26">
        <f t="shared" si="12"/>
        <v>0</v>
      </c>
      <c r="I26">
        <f t="shared" si="12"/>
        <v>0</v>
      </c>
      <c r="J26">
        <f t="shared" si="12"/>
        <v>1</v>
      </c>
      <c r="K26">
        <f t="shared" si="12"/>
        <v>0</v>
      </c>
      <c r="L26">
        <f t="shared" ref="L26:AF26" si="13">COUNTIF(L4:L21,"*GS")</f>
        <v>1</v>
      </c>
      <c r="M26">
        <f t="shared" si="13"/>
        <v>0</v>
      </c>
      <c r="N26">
        <f t="shared" si="13"/>
        <v>1</v>
      </c>
      <c r="O26">
        <f t="shared" si="13"/>
        <v>0</v>
      </c>
      <c r="P26">
        <f t="shared" si="13"/>
        <v>1</v>
      </c>
      <c r="Q26">
        <f t="shared" si="13"/>
        <v>1</v>
      </c>
      <c r="R26">
        <f t="shared" si="13"/>
        <v>0</v>
      </c>
      <c r="S26">
        <f t="shared" si="13"/>
        <v>0</v>
      </c>
      <c r="T26">
        <f t="shared" si="13"/>
        <v>0</v>
      </c>
      <c r="U26">
        <f t="shared" si="13"/>
        <v>0</v>
      </c>
      <c r="V26">
        <f t="shared" si="13"/>
        <v>0</v>
      </c>
      <c r="W26">
        <f t="shared" si="13"/>
        <v>0</v>
      </c>
      <c r="X26">
        <f t="shared" si="13"/>
        <v>1</v>
      </c>
      <c r="Y26">
        <f t="shared" si="13"/>
        <v>0</v>
      </c>
      <c r="Z26">
        <f t="shared" si="13"/>
        <v>1</v>
      </c>
      <c r="AA26">
        <f t="shared" si="13"/>
        <v>0</v>
      </c>
      <c r="AB26">
        <f t="shared" si="13"/>
        <v>0</v>
      </c>
      <c r="AC26">
        <f t="shared" si="13"/>
        <v>0</v>
      </c>
      <c r="AD26">
        <f t="shared" si="13"/>
        <v>0</v>
      </c>
      <c r="AE26">
        <f>COUNTIF(AE4:AE21,"*GS")</f>
        <v>1</v>
      </c>
      <c r="AF26">
        <f t="shared" si="13"/>
        <v>0</v>
      </c>
    </row>
    <row r="27" spans="1:34" x14ac:dyDescent="0.35">
      <c r="A27" s="189" t="s">
        <v>160</v>
      </c>
      <c r="B27">
        <f t="shared" ref="B27" si="14">COUNTIF(B4:B21,"C")</f>
        <v>3</v>
      </c>
      <c r="C27">
        <f t="shared" ref="C27:D27" si="15">COUNTIF(C4:C21,"WO")</f>
        <v>9</v>
      </c>
      <c r="D27">
        <f t="shared" si="15"/>
        <v>10</v>
      </c>
      <c r="E27">
        <f t="shared" ref="E27:I27" si="16">COUNTIF(E4:E21,"C")</f>
        <v>2</v>
      </c>
      <c r="F27">
        <f t="shared" si="16"/>
        <v>2</v>
      </c>
      <c r="G27">
        <f t="shared" si="16"/>
        <v>2</v>
      </c>
      <c r="H27">
        <f t="shared" si="16"/>
        <v>3</v>
      </c>
      <c r="I27">
        <f t="shared" si="16"/>
        <v>2</v>
      </c>
      <c r="J27">
        <f t="shared" ref="J27:K27" si="17">COUNTIF(J4:J21,"WO")</f>
        <v>7</v>
      </c>
      <c r="K27">
        <f t="shared" si="17"/>
        <v>8</v>
      </c>
      <c r="L27">
        <f t="shared" ref="L27:P27" si="18">COUNTIF(L4:L21,"C")</f>
        <v>4</v>
      </c>
      <c r="M27">
        <f t="shared" si="18"/>
        <v>3</v>
      </c>
      <c r="N27">
        <f t="shared" si="18"/>
        <v>3</v>
      </c>
      <c r="O27">
        <f t="shared" si="18"/>
        <v>2</v>
      </c>
      <c r="P27">
        <f t="shared" si="18"/>
        <v>2</v>
      </c>
      <c r="Q27">
        <f t="shared" ref="Q27:R27" si="19">COUNTIF(Q4:Q21,"WO")</f>
        <v>5</v>
      </c>
      <c r="R27">
        <f t="shared" si="19"/>
        <v>8</v>
      </c>
      <c r="S27">
        <f t="shared" ref="S27:W27" si="20">COUNTIF(S4:S21,"C")</f>
        <v>4</v>
      </c>
      <c r="T27">
        <f t="shared" si="20"/>
        <v>3</v>
      </c>
      <c r="U27">
        <f t="shared" si="20"/>
        <v>3</v>
      </c>
      <c r="V27">
        <f t="shared" si="20"/>
        <v>3</v>
      </c>
      <c r="W27">
        <f t="shared" si="20"/>
        <v>3</v>
      </c>
      <c r="X27">
        <f t="shared" ref="X27:Y27" si="21">COUNTIF(X4:X21,"WO")</f>
        <v>6</v>
      </c>
      <c r="Y27">
        <f t="shared" si="21"/>
        <v>8</v>
      </c>
      <c r="Z27">
        <f t="shared" ref="Z27:AD27" si="22">COUNTIF(Z4:Z21,"C")</f>
        <v>4</v>
      </c>
      <c r="AA27">
        <f t="shared" si="22"/>
        <v>3</v>
      </c>
      <c r="AB27">
        <f t="shared" si="22"/>
        <v>2</v>
      </c>
      <c r="AC27">
        <f t="shared" si="22"/>
        <v>2</v>
      </c>
      <c r="AD27">
        <f t="shared" si="22"/>
        <v>2</v>
      </c>
      <c r="AE27">
        <f>COUNTIF(AE4:AE21,"WO")</f>
        <v>7</v>
      </c>
      <c r="AF27">
        <f t="shared" ref="AF27" si="23">COUNTIF(AF4:AF21,"WO")</f>
        <v>6</v>
      </c>
    </row>
    <row r="28" spans="1:34" x14ac:dyDescent="0.35">
      <c r="A28" s="189" t="s">
        <v>161</v>
      </c>
      <c r="B28">
        <f t="shared" ref="B28:D28" si="24">COUNTIF(B4:B21,"PL")</f>
        <v>3</v>
      </c>
      <c r="C28">
        <f t="shared" si="24"/>
        <v>0</v>
      </c>
      <c r="D28">
        <f t="shared" si="24"/>
        <v>0</v>
      </c>
      <c r="E28">
        <f t="shared" ref="E28:K28" si="25">COUNTIF(E4:E21,"PL")</f>
        <v>4</v>
      </c>
      <c r="F28">
        <f t="shared" si="25"/>
        <v>3</v>
      </c>
      <c r="G28">
        <f t="shared" si="25"/>
        <v>2</v>
      </c>
      <c r="H28">
        <f t="shared" si="25"/>
        <v>2</v>
      </c>
      <c r="I28">
        <f t="shared" si="25"/>
        <v>3</v>
      </c>
      <c r="J28">
        <f t="shared" si="25"/>
        <v>1</v>
      </c>
      <c r="K28">
        <f t="shared" si="25"/>
        <v>2</v>
      </c>
      <c r="L28">
        <f t="shared" ref="L28:AF28" si="26">COUNTIF(L4:L21,"PL")</f>
        <v>1</v>
      </c>
      <c r="M28">
        <f t="shared" si="26"/>
        <v>1</v>
      </c>
      <c r="N28">
        <f t="shared" si="26"/>
        <v>2</v>
      </c>
      <c r="O28">
        <f t="shared" si="26"/>
        <v>3</v>
      </c>
      <c r="P28">
        <f t="shared" si="26"/>
        <v>3</v>
      </c>
      <c r="Q28">
        <f t="shared" si="26"/>
        <v>3</v>
      </c>
      <c r="R28">
        <f t="shared" si="26"/>
        <v>2</v>
      </c>
      <c r="S28">
        <f t="shared" si="26"/>
        <v>2</v>
      </c>
      <c r="T28">
        <f t="shared" si="26"/>
        <v>2</v>
      </c>
      <c r="U28">
        <f t="shared" si="26"/>
        <v>3</v>
      </c>
      <c r="V28">
        <f t="shared" si="26"/>
        <v>2</v>
      </c>
      <c r="W28">
        <f t="shared" si="26"/>
        <v>2</v>
      </c>
      <c r="X28">
        <f t="shared" si="26"/>
        <v>2</v>
      </c>
      <c r="Y28">
        <f t="shared" si="26"/>
        <v>2</v>
      </c>
      <c r="Z28">
        <f t="shared" si="26"/>
        <v>2</v>
      </c>
      <c r="AA28">
        <f t="shared" si="26"/>
        <v>3</v>
      </c>
      <c r="AB28">
        <f t="shared" si="26"/>
        <v>5</v>
      </c>
      <c r="AC28">
        <f t="shared" si="26"/>
        <v>5</v>
      </c>
      <c r="AD28">
        <f t="shared" si="26"/>
        <v>4</v>
      </c>
      <c r="AE28">
        <f>COUNTIF(AE4:AE21,"PL")</f>
        <v>2</v>
      </c>
      <c r="AF28">
        <f t="shared" si="26"/>
        <v>4</v>
      </c>
    </row>
    <row r="29" spans="1:34" x14ac:dyDescent="0.35">
      <c r="A29" s="189" t="s">
        <v>33</v>
      </c>
      <c r="B29">
        <f t="shared" ref="B29:D29" si="27">COUNTIF(B4:B21,"UPL")</f>
        <v>0</v>
      </c>
      <c r="C29">
        <f t="shared" si="27"/>
        <v>0</v>
      </c>
      <c r="D29">
        <f t="shared" si="27"/>
        <v>0</v>
      </c>
      <c r="E29">
        <f t="shared" ref="E29:K29" si="28">COUNTIF(E4:E21,"UPL")</f>
        <v>0</v>
      </c>
      <c r="F29">
        <f t="shared" si="28"/>
        <v>0</v>
      </c>
      <c r="G29">
        <f t="shared" si="28"/>
        <v>0</v>
      </c>
      <c r="H29">
        <f t="shared" si="28"/>
        <v>0</v>
      </c>
      <c r="I29">
        <f t="shared" si="28"/>
        <v>0</v>
      </c>
      <c r="J29">
        <f t="shared" si="28"/>
        <v>0</v>
      </c>
      <c r="K29">
        <f t="shared" si="28"/>
        <v>0</v>
      </c>
      <c r="L29">
        <f t="shared" ref="L29:AF29" si="29">COUNTIF(L4:L21,"UPL")</f>
        <v>0</v>
      </c>
      <c r="M29">
        <f t="shared" si="29"/>
        <v>0</v>
      </c>
      <c r="N29">
        <f t="shared" si="29"/>
        <v>0</v>
      </c>
      <c r="O29">
        <f t="shared" si="29"/>
        <v>0</v>
      </c>
      <c r="P29">
        <f t="shared" si="29"/>
        <v>0</v>
      </c>
      <c r="Q29">
        <f t="shared" si="29"/>
        <v>0</v>
      </c>
      <c r="R29">
        <f t="shared" si="29"/>
        <v>0</v>
      </c>
      <c r="S29">
        <f t="shared" si="29"/>
        <v>0</v>
      </c>
      <c r="T29">
        <f t="shared" si="29"/>
        <v>0</v>
      </c>
      <c r="U29">
        <f t="shared" si="29"/>
        <v>0</v>
      </c>
      <c r="V29">
        <f t="shared" si="29"/>
        <v>0</v>
      </c>
      <c r="W29">
        <f t="shared" si="29"/>
        <v>0</v>
      </c>
      <c r="X29">
        <f t="shared" si="29"/>
        <v>0</v>
      </c>
      <c r="Y29">
        <f t="shared" si="29"/>
        <v>0</v>
      </c>
      <c r="Z29">
        <f t="shared" si="29"/>
        <v>0</v>
      </c>
      <c r="AA29">
        <f t="shared" si="29"/>
        <v>0</v>
      </c>
      <c r="AB29">
        <f t="shared" si="29"/>
        <v>0</v>
      </c>
      <c r="AC29">
        <f t="shared" si="29"/>
        <v>0</v>
      </c>
      <c r="AD29">
        <f t="shared" si="29"/>
        <v>0</v>
      </c>
      <c r="AE29">
        <f>COUNTIF(AE4:AE21,"UPL")</f>
        <v>0</v>
      </c>
      <c r="AF29">
        <f t="shared" si="29"/>
        <v>0</v>
      </c>
    </row>
    <row r="30" spans="1:34" x14ac:dyDescent="0.35">
      <c r="A30" s="189" t="s">
        <v>172</v>
      </c>
      <c r="B30">
        <f t="shared" ref="B30:D30" si="30">COUNTIF(B4:B21,"H")</f>
        <v>0</v>
      </c>
      <c r="C30">
        <f t="shared" si="30"/>
        <v>0</v>
      </c>
      <c r="D30">
        <f t="shared" si="30"/>
        <v>0</v>
      </c>
      <c r="E30">
        <f t="shared" ref="E30:K30" si="31">COUNTIF(E4:E21,"H")</f>
        <v>0</v>
      </c>
      <c r="F30">
        <f t="shared" si="31"/>
        <v>0</v>
      </c>
      <c r="G30">
        <f t="shared" si="31"/>
        <v>0</v>
      </c>
      <c r="H30">
        <f t="shared" si="31"/>
        <v>0</v>
      </c>
      <c r="I30">
        <f t="shared" si="31"/>
        <v>0</v>
      </c>
      <c r="J30">
        <f t="shared" si="31"/>
        <v>0</v>
      </c>
      <c r="K30">
        <f t="shared" si="31"/>
        <v>0</v>
      </c>
      <c r="L30">
        <f t="shared" ref="L30:AF30" si="32">COUNTIF(L4:L21,"H")</f>
        <v>0</v>
      </c>
      <c r="M30">
        <f t="shared" si="32"/>
        <v>0</v>
      </c>
      <c r="N30">
        <f t="shared" si="32"/>
        <v>0</v>
      </c>
      <c r="O30">
        <f t="shared" si="32"/>
        <v>0</v>
      </c>
      <c r="P30">
        <f t="shared" si="32"/>
        <v>0</v>
      </c>
      <c r="Q30">
        <f t="shared" si="32"/>
        <v>0</v>
      </c>
      <c r="R30">
        <f t="shared" si="32"/>
        <v>0</v>
      </c>
      <c r="S30">
        <f t="shared" si="32"/>
        <v>0</v>
      </c>
      <c r="T30">
        <f t="shared" si="32"/>
        <v>0</v>
      </c>
      <c r="U30">
        <f t="shared" si="32"/>
        <v>0</v>
      </c>
      <c r="V30">
        <f t="shared" si="32"/>
        <v>0</v>
      </c>
      <c r="W30">
        <f t="shared" si="32"/>
        <v>0</v>
      </c>
      <c r="X30">
        <f t="shared" si="32"/>
        <v>0</v>
      </c>
      <c r="Y30">
        <f t="shared" si="32"/>
        <v>0</v>
      </c>
      <c r="Z30">
        <f t="shared" si="32"/>
        <v>0</v>
      </c>
      <c r="AA30">
        <f t="shared" si="32"/>
        <v>0</v>
      </c>
      <c r="AB30">
        <f t="shared" si="32"/>
        <v>0</v>
      </c>
      <c r="AC30">
        <f t="shared" si="32"/>
        <v>0</v>
      </c>
      <c r="AD30">
        <f t="shared" si="32"/>
        <v>0</v>
      </c>
      <c r="AE30">
        <f>COUNTIF(AE4:AE21,"H")</f>
        <v>0</v>
      </c>
      <c r="AF30">
        <f t="shared" si="32"/>
        <v>0</v>
      </c>
    </row>
    <row r="31" spans="1:34" x14ac:dyDescent="0.35">
      <c r="A31" s="189" t="s">
        <v>162</v>
      </c>
      <c r="B31" s="138">
        <f t="shared" ref="B31:D31" si="33">SUM(B23:B30)</f>
        <v>16</v>
      </c>
      <c r="C31" s="138">
        <f t="shared" si="33"/>
        <v>16</v>
      </c>
      <c r="D31" s="138">
        <f t="shared" si="33"/>
        <v>16</v>
      </c>
      <c r="E31" s="138">
        <f t="shared" ref="E31:K31" si="34">SUM(E23:E30)</f>
        <v>16</v>
      </c>
      <c r="F31" s="138">
        <f t="shared" si="34"/>
        <v>16</v>
      </c>
      <c r="G31" s="138">
        <f t="shared" si="34"/>
        <v>16</v>
      </c>
      <c r="H31" s="138">
        <f t="shared" si="34"/>
        <v>16</v>
      </c>
      <c r="I31" s="138">
        <f t="shared" si="34"/>
        <v>16</v>
      </c>
      <c r="J31" s="138">
        <f t="shared" si="34"/>
        <v>16</v>
      </c>
      <c r="K31" s="138">
        <f t="shared" si="34"/>
        <v>16</v>
      </c>
      <c r="L31" s="138">
        <f t="shared" ref="L31:AF31" si="35">SUM(L23:L30)</f>
        <v>16</v>
      </c>
      <c r="M31" s="138">
        <f t="shared" si="35"/>
        <v>16</v>
      </c>
      <c r="N31" s="138">
        <f t="shared" si="35"/>
        <v>16</v>
      </c>
      <c r="O31" s="138">
        <f t="shared" si="35"/>
        <v>16</v>
      </c>
      <c r="P31" s="138">
        <f t="shared" si="35"/>
        <v>16</v>
      </c>
      <c r="Q31" s="138">
        <f t="shared" si="35"/>
        <v>16</v>
      </c>
      <c r="R31" s="138">
        <f t="shared" si="35"/>
        <v>16</v>
      </c>
      <c r="S31" s="138">
        <f t="shared" si="35"/>
        <v>16</v>
      </c>
      <c r="T31" s="138">
        <f t="shared" si="35"/>
        <v>16</v>
      </c>
      <c r="U31" s="138">
        <f t="shared" si="35"/>
        <v>16</v>
      </c>
      <c r="V31" s="138">
        <f t="shared" si="35"/>
        <v>16</v>
      </c>
      <c r="W31" s="138">
        <f t="shared" si="35"/>
        <v>16</v>
      </c>
      <c r="X31" s="138">
        <f t="shared" si="35"/>
        <v>16</v>
      </c>
      <c r="Y31" s="138">
        <f t="shared" si="35"/>
        <v>16</v>
      </c>
      <c r="Z31" s="138">
        <f t="shared" si="35"/>
        <v>16</v>
      </c>
      <c r="AA31" s="138">
        <f t="shared" si="35"/>
        <v>16</v>
      </c>
      <c r="AB31" s="138">
        <f t="shared" si="35"/>
        <v>16</v>
      </c>
      <c r="AC31" s="138">
        <f t="shared" si="35"/>
        <v>16</v>
      </c>
      <c r="AD31" s="138">
        <f t="shared" si="35"/>
        <v>16</v>
      </c>
      <c r="AE31" s="138">
        <f t="shared" si="35"/>
        <v>16</v>
      </c>
      <c r="AF31" s="138">
        <f t="shared" si="35"/>
        <v>16</v>
      </c>
    </row>
  </sheetData>
  <conditionalFormatting sqref="B23:B26">
    <cfRule type="cellIs" dxfId="24" priority="12" operator="lessThan">
      <formula>3</formula>
    </cfRule>
  </conditionalFormatting>
  <conditionalFormatting sqref="C23:D26">
    <cfRule type="cellIs" dxfId="23" priority="10" operator="lessThan">
      <formula>3</formula>
    </cfRule>
  </conditionalFormatting>
  <conditionalFormatting sqref="E23:I26">
    <cfRule type="cellIs" dxfId="22" priority="9" operator="lessThan">
      <formula>3</formula>
    </cfRule>
  </conditionalFormatting>
  <conditionalFormatting sqref="J23:K26">
    <cfRule type="cellIs" dxfId="21" priority="8" operator="lessThan">
      <formula>3</formula>
    </cfRule>
  </conditionalFormatting>
  <conditionalFormatting sqref="L23:P26">
    <cfRule type="cellIs" dxfId="20" priority="7" operator="lessThan">
      <formula>3</formula>
    </cfRule>
  </conditionalFormatting>
  <conditionalFormatting sqref="Q23:R26">
    <cfRule type="cellIs" dxfId="19" priority="6" operator="lessThan">
      <formula>3</formula>
    </cfRule>
  </conditionalFormatting>
  <conditionalFormatting sqref="S23:W26">
    <cfRule type="cellIs" dxfId="18" priority="5" operator="lessThan">
      <formula>3</formula>
    </cfRule>
  </conditionalFormatting>
  <conditionalFormatting sqref="X23:Y26">
    <cfRule type="cellIs" dxfId="17" priority="4" operator="lessThan">
      <formula>3</formula>
    </cfRule>
  </conditionalFormatting>
  <conditionalFormatting sqref="Z23:AD26">
    <cfRule type="cellIs" dxfId="16" priority="3" operator="lessThan">
      <formula>3</formula>
    </cfRule>
  </conditionalFormatting>
  <conditionalFormatting sqref="AE23:AF26">
    <cfRule type="cellIs" dxfId="15" priority="2" operator="lessThan">
      <formula>3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235F5-B32C-4D6E-80A0-E3C02E39BB2D}">
  <dimension ref="A1:AM31"/>
  <sheetViews>
    <sheetView zoomScale="56" zoomScaleNormal="56" workbookViewId="0">
      <pane xSplit="1" topLeftCell="B1" activePane="topRight" state="frozen"/>
      <selection pane="topRight" activeCell="J21" sqref="J21"/>
    </sheetView>
  </sheetViews>
  <sheetFormatPr defaultRowHeight="14.5" x14ac:dyDescent="0.35"/>
  <cols>
    <col min="1" max="1" width="26.453125" bestFit="1" customWidth="1"/>
    <col min="2" max="5" width="8.7265625" customWidth="1"/>
  </cols>
  <sheetData>
    <row r="1" spans="1:39" x14ac:dyDescent="0.35">
      <c r="A1" s="70"/>
      <c r="B1" s="2" t="str">
        <f t="shared" ref="B1:AJ1" si="0">TEXT(B2,"ddd")</f>
        <v>Thu</v>
      </c>
      <c r="C1" s="2" t="str">
        <f t="shared" si="0"/>
        <v>Fri</v>
      </c>
      <c r="D1" s="2" t="str">
        <f t="shared" si="0"/>
        <v>Sat</v>
      </c>
      <c r="E1" s="2" t="str">
        <f t="shared" si="0"/>
        <v>Sun</v>
      </c>
      <c r="F1" s="2" t="str">
        <f t="shared" si="0"/>
        <v>Mon</v>
      </c>
      <c r="G1" s="2" t="str">
        <f t="shared" si="0"/>
        <v>Tue</v>
      </c>
      <c r="H1" s="2" t="str">
        <f t="shared" si="0"/>
        <v>Wed</v>
      </c>
      <c r="I1" s="2" t="str">
        <f t="shared" si="0"/>
        <v>Thu</v>
      </c>
      <c r="J1" s="2" t="str">
        <f t="shared" si="0"/>
        <v>Fri</v>
      </c>
      <c r="K1" s="2" t="str">
        <f t="shared" si="0"/>
        <v>Sat</v>
      </c>
      <c r="L1" s="2" t="str">
        <f t="shared" si="0"/>
        <v>Sun</v>
      </c>
      <c r="M1" s="2" t="str">
        <f t="shared" si="0"/>
        <v>Mon</v>
      </c>
      <c r="N1" s="2" t="str">
        <f t="shared" si="0"/>
        <v>Tue</v>
      </c>
      <c r="O1" s="2" t="str">
        <f t="shared" si="0"/>
        <v>Wed</v>
      </c>
      <c r="P1" s="2" t="str">
        <f t="shared" si="0"/>
        <v>Thu</v>
      </c>
      <c r="Q1" s="2" t="str">
        <f t="shared" si="0"/>
        <v>Fri</v>
      </c>
      <c r="R1" s="2" t="str">
        <f t="shared" si="0"/>
        <v>Sat</v>
      </c>
      <c r="S1" s="2" t="str">
        <f t="shared" si="0"/>
        <v>Sun</v>
      </c>
      <c r="T1" s="2" t="str">
        <f t="shared" si="0"/>
        <v>Mon</v>
      </c>
      <c r="U1" s="2" t="str">
        <f t="shared" si="0"/>
        <v>Tue</v>
      </c>
      <c r="V1" s="2" t="str">
        <f t="shared" si="0"/>
        <v>Wed</v>
      </c>
      <c r="W1" s="2" t="str">
        <f t="shared" si="0"/>
        <v>Thu</v>
      </c>
      <c r="X1" s="2" t="str">
        <f t="shared" si="0"/>
        <v>Fri</v>
      </c>
      <c r="Y1" s="2" t="str">
        <f t="shared" si="0"/>
        <v>Sat</v>
      </c>
      <c r="Z1" s="2" t="str">
        <f t="shared" si="0"/>
        <v>Sun</v>
      </c>
      <c r="AA1" s="2" t="str">
        <f t="shared" si="0"/>
        <v>Mon</v>
      </c>
      <c r="AB1" s="2" t="str">
        <f t="shared" si="0"/>
        <v>Tue</v>
      </c>
      <c r="AC1" s="2" t="str">
        <f t="shared" si="0"/>
        <v>Wed</v>
      </c>
      <c r="AD1" s="2" t="str">
        <f t="shared" si="0"/>
        <v>Thu</v>
      </c>
      <c r="AE1" s="2" t="str">
        <f t="shared" si="0"/>
        <v>Fri</v>
      </c>
      <c r="AF1" s="2" t="str">
        <f t="shared" si="0"/>
        <v>Sat</v>
      </c>
      <c r="AG1" s="2" t="str">
        <f t="shared" si="0"/>
        <v>Sun</v>
      </c>
      <c r="AH1" s="2" t="str">
        <f t="shared" si="0"/>
        <v>Mon</v>
      </c>
      <c r="AI1" s="2" t="str">
        <f t="shared" si="0"/>
        <v>Tue</v>
      </c>
      <c r="AJ1" s="2" t="str">
        <f t="shared" si="0"/>
        <v>Wed</v>
      </c>
      <c r="AL1" s="259" t="s">
        <v>381</v>
      </c>
      <c r="AM1" s="253" t="s">
        <v>382</v>
      </c>
    </row>
    <row r="2" spans="1:39" x14ac:dyDescent="0.35">
      <c r="A2" s="104" t="s">
        <v>0</v>
      </c>
      <c r="B2" s="31">
        <v>45288</v>
      </c>
      <c r="C2" s="31">
        <v>45289</v>
      </c>
      <c r="D2" s="31">
        <v>45290</v>
      </c>
      <c r="E2" s="31">
        <v>45291</v>
      </c>
      <c r="F2" s="31">
        <v>45292</v>
      </c>
      <c r="G2" s="31">
        <v>45293</v>
      </c>
      <c r="H2" s="31">
        <v>45294</v>
      </c>
      <c r="I2" s="31">
        <v>45295</v>
      </c>
      <c r="J2" s="31">
        <v>45296</v>
      </c>
      <c r="K2" s="31">
        <v>45297</v>
      </c>
      <c r="L2" s="31">
        <v>45298</v>
      </c>
      <c r="M2" s="31">
        <v>45299</v>
      </c>
      <c r="N2" s="31">
        <v>45300</v>
      </c>
      <c r="O2" s="31">
        <v>45301</v>
      </c>
      <c r="P2" s="31">
        <v>45302</v>
      </c>
      <c r="Q2" s="31">
        <v>45303</v>
      </c>
      <c r="R2" s="31">
        <v>45304</v>
      </c>
      <c r="S2" s="31">
        <v>45305</v>
      </c>
      <c r="T2" s="31">
        <v>45306</v>
      </c>
      <c r="U2" s="31">
        <v>45307</v>
      </c>
      <c r="V2" s="31">
        <v>45308</v>
      </c>
      <c r="W2" s="31">
        <v>45309</v>
      </c>
      <c r="X2" s="31">
        <v>45310</v>
      </c>
      <c r="Y2" s="31">
        <v>45311</v>
      </c>
      <c r="Z2" s="31">
        <v>45312</v>
      </c>
      <c r="AA2" s="31">
        <v>45313</v>
      </c>
      <c r="AB2" s="31">
        <v>45314</v>
      </c>
      <c r="AC2" s="31">
        <v>45315</v>
      </c>
      <c r="AD2" s="31">
        <v>45316</v>
      </c>
      <c r="AE2" s="31">
        <v>45317</v>
      </c>
      <c r="AF2" s="31">
        <v>45318</v>
      </c>
      <c r="AG2" s="31">
        <v>45319</v>
      </c>
      <c r="AH2" s="31">
        <v>45320</v>
      </c>
      <c r="AI2" s="31">
        <v>45321</v>
      </c>
      <c r="AJ2" s="31">
        <v>45322</v>
      </c>
    </row>
    <row r="3" spans="1:39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39" x14ac:dyDescent="0.35">
      <c r="A4" s="193" t="s">
        <v>57</v>
      </c>
      <c r="B4" s="19" t="s">
        <v>41</v>
      </c>
      <c r="C4" s="184" t="s">
        <v>2</v>
      </c>
      <c r="D4" s="19" t="s">
        <v>42</v>
      </c>
      <c r="E4" s="19" t="s">
        <v>42</v>
      </c>
      <c r="F4" s="183" t="s">
        <v>37</v>
      </c>
      <c r="G4" s="185" t="s">
        <v>10</v>
      </c>
      <c r="H4" s="185" t="s">
        <v>10</v>
      </c>
      <c r="I4" s="185" t="s">
        <v>10</v>
      </c>
      <c r="J4" s="185" t="s">
        <v>10</v>
      </c>
      <c r="K4" s="185" t="s">
        <v>11</v>
      </c>
      <c r="L4" s="123" t="s">
        <v>4</v>
      </c>
      <c r="M4" s="184" t="s">
        <v>2</v>
      </c>
      <c r="N4" s="185" t="s">
        <v>10</v>
      </c>
      <c r="O4" s="185" t="s">
        <v>10</v>
      </c>
      <c r="P4" s="185" t="s">
        <v>10</v>
      </c>
      <c r="Q4" s="184" t="s">
        <v>2</v>
      </c>
      <c r="R4" s="185" t="s">
        <v>11</v>
      </c>
      <c r="S4" s="185" t="s">
        <v>11</v>
      </c>
      <c r="T4" s="184" t="s">
        <v>2</v>
      </c>
      <c r="U4" s="185" t="s">
        <v>10</v>
      </c>
      <c r="V4" s="185" t="s">
        <v>10</v>
      </c>
      <c r="W4" s="185" t="s">
        <v>10</v>
      </c>
      <c r="X4" s="185" t="s">
        <v>10</v>
      </c>
      <c r="Y4" s="185" t="s">
        <v>11</v>
      </c>
      <c r="Z4" s="123" t="s">
        <v>4</v>
      </c>
      <c r="AA4" s="184" t="s">
        <v>2</v>
      </c>
      <c r="AB4" s="185" t="s">
        <v>10</v>
      </c>
      <c r="AC4" s="185" t="s">
        <v>10</v>
      </c>
      <c r="AD4" s="185" t="s">
        <v>10</v>
      </c>
      <c r="AE4" s="185" t="s">
        <v>11</v>
      </c>
      <c r="AF4" s="185" t="s">
        <v>11</v>
      </c>
      <c r="AG4" s="123" t="s">
        <v>4</v>
      </c>
      <c r="AH4" s="184" t="s">
        <v>2</v>
      </c>
      <c r="AI4" s="185" t="s">
        <v>10</v>
      </c>
      <c r="AJ4" s="185" t="s">
        <v>10</v>
      </c>
      <c r="AL4">
        <f>COUNTIF(F4:AJ4,"C")</f>
        <v>5</v>
      </c>
      <c r="AM4">
        <f>COUNTIF(F4:AJ4,"W*S*")</f>
        <v>6</v>
      </c>
    </row>
    <row r="5" spans="1:39" x14ac:dyDescent="0.35">
      <c r="A5" s="193" t="s">
        <v>75</v>
      </c>
      <c r="B5" s="25" t="s">
        <v>6</v>
      </c>
      <c r="C5" s="25" t="s">
        <v>6</v>
      </c>
      <c r="D5" s="123" t="s">
        <v>4</v>
      </c>
      <c r="E5" s="25" t="s">
        <v>3</v>
      </c>
      <c r="F5" s="185" t="s">
        <v>11</v>
      </c>
      <c r="G5" s="185" t="s">
        <v>10</v>
      </c>
      <c r="H5" s="184" t="s">
        <v>2</v>
      </c>
      <c r="I5" s="184" t="s">
        <v>2</v>
      </c>
      <c r="J5" s="185" t="s">
        <v>10</v>
      </c>
      <c r="K5" s="185" t="s">
        <v>11</v>
      </c>
      <c r="L5" s="185" t="s">
        <v>11</v>
      </c>
      <c r="M5" s="185" t="s">
        <v>10</v>
      </c>
      <c r="N5" s="185" t="s">
        <v>10</v>
      </c>
      <c r="O5" s="184" t="s">
        <v>2</v>
      </c>
      <c r="P5" s="184" t="s">
        <v>2</v>
      </c>
      <c r="Q5" s="185" t="s">
        <v>10</v>
      </c>
      <c r="R5" s="123" t="s">
        <v>4</v>
      </c>
      <c r="S5" s="185" t="s">
        <v>11</v>
      </c>
      <c r="T5" s="185" t="s">
        <v>10</v>
      </c>
      <c r="U5" s="185" t="s">
        <v>10</v>
      </c>
      <c r="V5" s="184" t="s">
        <v>2</v>
      </c>
      <c r="W5" s="184" t="s">
        <v>2</v>
      </c>
      <c r="X5" s="185" t="s">
        <v>10</v>
      </c>
      <c r="Y5" s="123" t="s">
        <v>4</v>
      </c>
      <c r="Z5" s="185" t="s">
        <v>11</v>
      </c>
      <c r="AA5" s="185" t="s">
        <v>10</v>
      </c>
      <c r="AB5" s="185" t="s">
        <v>10</v>
      </c>
      <c r="AC5" s="184" t="s">
        <v>2</v>
      </c>
      <c r="AD5" s="184" t="s">
        <v>2</v>
      </c>
      <c r="AE5" s="183" t="s">
        <v>37</v>
      </c>
      <c r="AF5" s="123" t="s">
        <v>4</v>
      </c>
      <c r="AG5" s="185" t="s">
        <v>11</v>
      </c>
      <c r="AH5" s="185" t="s">
        <v>10</v>
      </c>
      <c r="AI5" s="185" t="s">
        <v>10</v>
      </c>
      <c r="AJ5" s="184" t="s">
        <v>2</v>
      </c>
      <c r="AL5">
        <f t="shared" ref="AL5:AL21" si="1">COUNTIF(F5:AJ5,"C")</f>
        <v>9</v>
      </c>
      <c r="AM5">
        <f t="shared" ref="AM5:AM22" si="2">COUNTIF(F5:AJ5,"W*S*")</f>
        <v>6</v>
      </c>
    </row>
    <row r="6" spans="1:39" x14ac:dyDescent="0.35">
      <c r="A6" s="182" t="s">
        <v>21</v>
      </c>
      <c r="B6" s="25" t="s">
        <v>6</v>
      </c>
      <c r="C6" s="25" t="s">
        <v>6</v>
      </c>
      <c r="D6" s="123" t="s">
        <v>4</v>
      </c>
      <c r="E6" s="123" t="s">
        <v>4</v>
      </c>
      <c r="F6" s="185" t="s">
        <v>11</v>
      </c>
      <c r="G6" s="184" t="s">
        <v>2</v>
      </c>
      <c r="H6" s="185" t="s">
        <v>10</v>
      </c>
      <c r="I6" s="185" t="s">
        <v>10</v>
      </c>
      <c r="J6" s="185" t="s">
        <v>10</v>
      </c>
      <c r="K6" s="123" t="s">
        <v>4</v>
      </c>
      <c r="L6" s="185" t="s">
        <v>11</v>
      </c>
      <c r="M6" s="185" t="s">
        <v>10</v>
      </c>
      <c r="N6" s="184" t="s">
        <v>2</v>
      </c>
      <c r="O6" s="185" t="s">
        <v>10</v>
      </c>
      <c r="P6" s="185" t="s">
        <v>10</v>
      </c>
      <c r="Q6" s="185" t="s">
        <v>10</v>
      </c>
      <c r="R6" s="185" t="s">
        <v>11</v>
      </c>
      <c r="S6" s="131" t="s">
        <v>5</v>
      </c>
      <c r="T6" s="131" t="s">
        <v>5</v>
      </c>
      <c r="U6" s="131" t="s">
        <v>5</v>
      </c>
      <c r="V6" s="131" t="s">
        <v>5</v>
      </c>
      <c r="W6" s="185" t="s">
        <v>10</v>
      </c>
      <c r="X6" s="185" t="s">
        <v>10</v>
      </c>
      <c r="Y6" s="123" t="s">
        <v>4</v>
      </c>
      <c r="Z6" s="185" t="s">
        <v>11</v>
      </c>
      <c r="AA6" s="185" t="s">
        <v>10</v>
      </c>
      <c r="AB6" s="184" t="s">
        <v>2</v>
      </c>
      <c r="AC6" s="185" t="s">
        <v>10</v>
      </c>
      <c r="AD6" s="185" t="s">
        <v>10</v>
      </c>
      <c r="AE6" s="185" t="s">
        <v>11</v>
      </c>
      <c r="AF6" s="123" t="s">
        <v>4</v>
      </c>
      <c r="AG6" s="185" t="s">
        <v>11</v>
      </c>
      <c r="AH6" s="185" t="s">
        <v>10</v>
      </c>
      <c r="AI6" s="184" t="s">
        <v>2</v>
      </c>
      <c r="AJ6" s="184" t="s">
        <v>2</v>
      </c>
      <c r="AL6">
        <f t="shared" si="1"/>
        <v>5</v>
      </c>
      <c r="AM6">
        <f t="shared" si="2"/>
        <v>6</v>
      </c>
    </row>
    <row r="7" spans="1:39" x14ac:dyDescent="0.35">
      <c r="A7" s="182" t="s">
        <v>76</v>
      </c>
      <c r="B7" s="25" t="s">
        <v>6</v>
      </c>
      <c r="C7" s="25" t="s">
        <v>6</v>
      </c>
      <c r="D7" s="22" t="s">
        <v>30</v>
      </c>
      <c r="E7" s="123" t="s">
        <v>4</v>
      </c>
      <c r="F7" s="185" t="s">
        <v>11</v>
      </c>
      <c r="G7" s="131" t="s">
        <v>5</v>
      </c>
      <c r="H7" s="131" t="s">
        <v>5</v>
      </c>
      <c r="I7" s="131" t="s">
        <v>5</v>
      </c>
      <c r="J7" s="131" t="s">
        <v>5</v>
      </c>
      <c r="K7" s="131" t="s">
        <v>5</v>
      </c>
      <c r="L7" s="131" t="s">
        <v>5</v>
      </c>
      <c r="M7" s="131" t="s">
        <v>5</v>
      </c>
      <c r="N7" s="131" t="s">
        <v>5</v>
      </c>
      <c r="O7" s="185" t="s">
        <v>10</v>
      </c>
      <c r="P7" s="185" t="s">
        <v>10</v>
      </c>
      <c r="Q7" s="131" t="s">
        <v>5</v>
      </c>
      <c r="R7" s="131" t="s">
        <v>5</v>
      </c>
      <c r="S7" s="131" t="s">
        <v>5</v>
      </c>
      <c r="T7" s="185" t="s">
        <v>10</v>
      </c>
      <c r="U7" s="185" t="s">
        <v>10</v>
      </c>
      <c r="V7" s="185" t="s">
        <v>10</v>
      </c>
      <c r="W7" s="185" t="s">
        <v>10</v>
      </c>
      <c r="X7" s="184" t="s">
        <v>2</v>
      </c>
      <c r="Y7" s="185" t="s">
        <v>11</v>
      </c>
      <c r="Z7" s="123" t="s">
        <v>4</v>
      </c>
      <c r="AA7" s="185" t="s">
        <v>10</v>
      </c>
      <c r="AB7" s="185" t="s">
        <v>10</v>
      </c>
      <c r="AC7" s="185" t="s">
        <v>10</v>
      </c>
      <c r="AD7" s="185" t="s">
        <v>10</v>
      </c>
      <c r="AE7" s="183" t="s">
        <v>37</v>
      </c>
      <c r="AF7" s="185" t="s">
        <v>11</v>
      </c>
      <c r="AG7" s="123" t="s">
        <v>4</v>
      </c>
      <c r="AH7" s="184" t="s">
        <v>2</v>
      </c>
      <c r="AI7" s="185" t="s">
        <v>10</v>
      </c>
      <c r="AJ7" s="185" t="s">
        <v>10</v>
      </c>
      <c r="AL7">
        <f t="shared" si="1"/>
        <v>2</v>
      </c>
      <c r="AM7">
        <f t="shared" si="2"/>
        <v>3</v>
      </c>
    </row>
    <row r="8" spans="1:39" x14ac:dyDescent="0.35">
      <c r="A8" s="182" t="s">
        <v>225</v>
      </c>
      <c r="B8" s="25" t="s">
        <v>6</v>
      </c>
      <c r="C8" s="19" t="s">
        <v>41</v>
      </c>
      <c r="D8" s="123" t="s">
        <v>4</v>
      </c>
      <c r="E8" s="123" t="s">
        <v>4</v>
      </c>
      <c r="F8" s="183" t="s">
        <v>37</v>
      </c>
      <c r="G8" s="185" t="s">
        <v>10</v>
      </c>
      <c r="H8" s="185" t="s">
        <v>10</v>
      </c>
      <c r="I8" s="185" t="s">
        <v>10</v>
      </c>
      <c r="J8" s="184" t="s">
        <v>2</v>
      </c>
      <c r="K8" s="185" t="s">
        <v>11</v>
      </c>
      <c r="L8" s="123" t="s">
        <v>4</v>
      </c>
      <c r="M8" s="185" t="s">
        <v>10</v>
      </c>
      <c r="N8" s="185" t="s">
        <v>10</v>
      </c>
      <c r="O8" s="185" t="s">
        <v>10</v>
      </c>
      <c r="P8" s="184" t="s">
        <v>2</v>
      </c>
      <c r="Q8" s="185" t="s">
        <v>10</v>
      </c>
      <c r="R8" s="185" t="s">
        <v>11</v>
      </c>
      <c r="S8" s="123" t="s">
        <v>4</v>
      </c>
      <c r="T8" s="185" t="s">
        <v>10</v>
      </c>
      <c r="U8" s="185" t="s">
        <v>10</v>
      </c>
      <c r="V8" s="185" t="s">
        <v>10</v>
      </c>
      <c r="W8" s="185" t="s">
        <v>10</v>
      </c>
      <c r="X8" s="184" t="s">
        <v>2</v>
      </c>
      <c r="Y8" s="185" t="s">
        <v>11</v>
      </c>
      <c r="Z8" s="123" t="s">
        <v>4</v>
      </c>
      <c r="AA8" s="185" t="s">
        <v>10</v>
      </c>
      <c r="AB8" s="185" t="s">
        <v>10</v>
      </c>
      <c r="AC8" s="185" t="s">
        <v>10</v>
      </c>
      <c r="AD8" s="184" t="s">
        <v>2</v>
      </c>
      <c r="AE8" s="185" t="s">
        <v>11</v>
      </c>
      <c r="AF8" s="185" t="s">
        <v>11</v>
      </c>
      <c r="AG8" s="123" t="s">
        <v>4</v>
      </c>
      <c r="AH8" s="185" t="s">
        <v>10</v>
      </c>
      <c r="AI8" s="185" t="s">
        <v>10</v>
      </c>
      <c r="AJ8" s="184" t="s">
        <v>2</v>
      </c>
      <c r="AL8">
        <f t="shared" si="1"/>
        <v>5</v>
      </c>
      <c r="AM8">
        <f t="shared" si="2"/>
        <v>5</v>
      </c>
    </row>
    <row r="9" spans="1:39" x14ac:dyDescent="0.35">
      <c r="A9" s="70"/>
    </row>
    <row r="10" spans="1:39" x14ac:dyDescent="0.35">
      <c r="A10" s="193" t="s">
        <v>1</v>
      </c>
      <c r="B10" s="184" t="s">
        <v>2</v>
      </c>
      <c r="C10" s="185" t="s">
        <v>10</v>
      </c>
      <c r="D10" s="185" t="s">
        <v>11</v>
      </c>
      <c r="E10" s="185" t="s">
        <v>11</v>
      </c>
      <c r="F10" s="183" t="s">
        <v>37</v>
      </c>
      <c r="G10" s="19" t="s">
        <v>41</v>
      </c>
      <c r="H10" s="19" t="s">
        <v>41</v>
      </c>
      <c r="I10" s="19" t="s">
        <v>41</v>
      </c>
      <c r="J10" s="184" t="s">
        <v>2</v>
      </c>
      <c r="K10" s="19" t="s">
        <v>42</v>
      </c>
      <c r="L10" s="19" t="s">
        <v>42</v>
      </c>
      <c r="M10" s="184" t="s">
        <v>2</v>
      </c>
      <c r="N10" s="19" t="s">
        <v>41</v>
      </c>
      <c r="O10" s="19" t="s">
        <v>41</v>
      </c>
      <c r="P10" s="19" t="s">
        <v>41</v>
      </c>
      <c r="Q10" s="184" t="s">
        <v>2</v>
      </c>
      <c r="R10" s="19" t="s">
        <v>42</v>
      </c>
      <c r="S10" s="19" t="s">
        <v>42</v>
      </c>
      <c r="T10" s="184" t="s">
        <v>2</v>
      </c>
      <c r="U10" s="19" t="s">
        <v>41</v>
      </c>
      <c r="V10" s="19" t="s">
        <v>41</v>
      </c>
      <c r="W10" s="19" t="s">
        <v>41</v>
      </c>
      <c r="X10" s="184" t="s">
        <v>2</v>
      </c>
      <c r="Y10" s="19" t="s">
        <v>42</v>
      </c>
      <c r="Z10" s="19" t="s">
        <v>42</v>
      </c>
      <c r="AA10" s="184" t="s">
        <v>2</v>
      </c>
      <c r="AB10" s="184" t="s">
        <v>2</v>
      </c>
      <c r="AC10" s="19" t="s">
        <v>41</v>
      </c>
      <c r="AD10" s="19" t="s">
        <v>41</v>
      </c>
      <c r="AE10" s="19" t="s">
        <v>42</v>
      </c>
      <c r="AF10" s="19" t="s">
        <v>42</v>
      </c>
      <c r="AG10" s="19" t="s">
        <v>42</v>
      </c>
      <c r="AH10" s="184" t="s">
        <v>2</v>
      </c>
      <c r="AI10" s="19" t="s">
        <v>41</v>
      </c>
      <c r="AJ10" s="19" t="s">
        <v>41</v>
      </c>
      <c r="AL10">
        <f t="shared" si="1"/>
        <v>8</v>
      </c>
      <c r="AM10">
        <f t="shared" si="2"/>
        <v>9</v>
      </c>
    </row>
    <row r="11" spans="1:39" x14ac:dyDescent="0.35">
      <c r="A11" s="182" t="s">
        <v>15</v>
      </c>
      <c r="B11" s="185" t="s">
        <v>10</v>
      </c>
      <c r="C11" s="185" t="s">
        <v>10</v>
      </c>
      <c r="D11" s="185" t="s">
        <v>11</v>
      </c>
      <c r="E11" s="131" t="s">
        <v>5</v>
      </c>
      <c r="F11" s="19" t="s">
        <v>42</v>
      </c>
      <c r="G11" s="19" t="s">
        <v>41</v>
      </c>
      <c r="H11" s="184" t="s">
        <v>2</v>
      </c>
      <c r="I11" s="184" t="s">
        <v>2</v>
      </c>
      <c r="J11" s="19" t="s">
        <v>41</v>
      </c>
      <c r="K11" s="123" t="s">
        <v>4</v>
      </c>
      <c r="L11" s="19" t="s">
        <v>42</v>
      </c>
      <c r="M11" s="19" t="s">
        <v>41</v>
      </c>
      <c r="N11" s="19" t="s">
        <v>41</v>
      </c>
      <c r="O11" s="184" t="s">
        <v>2</v>
      </c>
      <c r="P11" s="184" t="s">
        <v>2</v>
      </c>
      <c r="Q11" s="19" t="s">
        <v>41</v>
      </c>
      <c r="R11" s="123" t="s">
        <v>4</v>
      </c>
      <c r="S11" s="19" t="s">
        <v>42</v>
      </c>
      <c r="T11" s="19" t="s">
        <v>41</v>
      </c>
      <c r="U11" s="19" t="s">
        <v>41</v>
      </c>
      <c r="V11" s="184" t="s">
        <v>2</v>
      </c>
      <c r="W11" s="184" t="s">
        <v>2</v>
      </c>
      <c r="X11" s="19" t="s">
        <v>41</v>
      </c>
      <c r="Y11" s="123" t="s">
        <v>4</v>
      </c>
      <c r="Z11" s="19" t="s">
        <v>42</v>
      </c>
      <c r="AA11" s="19" t="s">
        <v>41</v>
      </c>
      <c r="AB11" s="19" t="s">
        <v>41</v>
      </c>
      <c r="AC11" s="184" t="s">
        <v>2</v>
      </c>
      <c r="AD11" s="184" t="s">
        <v>2</v>
      </c>
      <c r="AE11" s="183" t="s">
        <v>37</v>
      </c>
      <c r="AF11" s="123" t="s">
        <v>4</v>
      </c>
      <c r="AG11" s="19" t="s">
        <v>42</v>
      </c>
      <c r="AH11" s="19" t="s">
        <v>41</v>
      </c>
      <c r="AI11" s="19" t="s">
        <v>41</v>
      </c>
      <c r="AJ11" s="184" t="s">
        <v>2</v>
      </c>
      <c r="AL11">
        <f t="shared" si="1"/>
        <v>9</v>
      </c>
      <c r="AM11">
        <f t="shared" si="2"/>
        <v>5</v>
      </c>
    </row>
    <row r="12" spans="1:39" x14ac:dyDescent="0.35">
      <c r="A12" s="193" t="s">
        <v>155</v>
      </c>
      <c r="B12" s="185" t="s">
        <v>10</v>
      </c>
      <c r="C12" s="185" t="s">
        <v>10</v>
      </c>
      <c r="D12" s="123" t="s">
        <v>4</v>
      </c>
      <c r="E12" s="185" t="s">
        <v>11</v>
      </c>
      <c r="F12" s="183" t="s">
        <v>37</v>
      </c>
      <c r="G12" s="184" t="s">
        <v>2</v>
      </c>
      <c r="H12" s="19" t="s">
        <v>41</v>
      </c>
      <c r="I12" s="19" t="s">
        <v>41</v>
      </c>
      <c r="J12" s="19" t="s">
        <v>41</v>
      </c>
      <c r="K12" s="123" t="s">
        <v>4</v>
      </c>
      <c r="L12" s="123" t="s">
        <v>4</v>
      </c>
      <c r="M12" s="19" t="s">
        <v>41</v>
      </c>
      <c r="N12" s="19" t="s">
        <v>41</v>
      </c>
      <c r="O12" s="19" t="s">
        <v>41</v>
      </c>
      <c r="P12" s="19" t="s">
        <v>41</v>
      </c>
      <c r="Q12" s="19" t="s">
        <v>41</v>
      </c>
      <c r="R12" s="19" t="s">
        <v>42</v>
      </c>
      <c r="S12" s="123" t="s">
        <v>4</v>
      </c>
      <c r="T12" s="19" t="s">
        <v>41</v>
      </c>
      <c r="U12" s="19" t="s">
        <v>41</v>
      </c>
      <c r="V12" s="19" t="s">
        <v>41</v>
      </c>
      <c r="W12" s="19" t="s">
        <v>41</v>
      </c>
      <c r="X12" s="184" t="s">
        <v>2</v>
      </c>
      <c r="Y12" s="123" t="s">
        <v>4</v>
      </c>
      <c r="Z12" s="123" t="s">
        <v>4</v>
      </c>
      <c r="AA12" s="19" t="s">
        <v>41</v>
      </c>
      <c r="AB12" s="19" t="s">
        <v>41</v>
      </c>
      <c r="AC12" s="19" t="s">
        <v>41</v>
      </c>
      <c r="AD12" s="19" t="s">
        <v>41</v>
      </c>
      <c r="AE12" s="19" t="s">
        <v>42</v>
      </c>
      <c r="AF12" s="22" t="s">
        <v>30</v>
      </c>
      <c r="AG12" s="123" t="s">
        <v>4</v>
      </c>
      <c r="AH12" s="19" t="s">
        <v>41</v>
      </c>
      <c r="AI12" s="184" t="s">
        <v>2</v>
      </c>
      <c r="AJ12" s="19" t="s">
        <v>41</v>
      </c>
      <c r="AL12">
        <f t="shared" si="1"/>
        <v>3</v>
      </c>
      <c r="AM12">
        <f t="shared" si="2"/>
        <v>3</v>
      </c>
    </row>
    <row r="13" spans="1:39" x14ac:dyDescent="0.35">
      <c r="A13" s="182" t="s">
        <v>22</v>
      </c>
      <c r="B13" s="131" t="s">
        <v>5</v>
      </c>
      <c r="C13" s="131" t="s">
        <v>5</v>
      </c>
      <c r="D13" s="25" t="s">
        <v>3</v>
      </c>
      <c r="E13" s="123" t="s">
        <v>4</v>
      </c>
      <c r="F13" s="19" t="s">
        <v>42</v>
      </c>
      <c r="G13" s="19" t="s">
        <v>41</v>
      </c>
      <c r="H13" s="184" t="s">
        <v>2</v>
      </c>
      <c r="I13" s="19" t="s">
        <v>41</v>
      </c>
      <c r="J13" s="19" t="s">
        <v>41</v>
      </c>
      <c r="K13" s="19" t="s">
        <v>42</v>
      </c>
      <c r="L13" s="123" t="s">
        <v>4</v>
      </c>
      <c r="M13" s="19" t="s">
        <v>41</v>
      </c>
      <c r="N13" s="19" t="s">
        <v>41</v>
      </c>
      <c r="O13" s="184" t="s">
        <v>2</v>
      </c>
      <c r="P13" s="19" t="s">
        <v>41</v>
      </c>
      <c r="Q13" s="19" t="s">
        <v>41</v>
      </c>
      <c r="R13" s="131" t="s">
        <v>5</v>
      </c>
      <c r="S13" s="131" t="s">
        <v>5</v>
      </c>
      <c r="T13" s="131" t="s">
        <v>5</v>
      </c>
      <c r="U13" s="131" t="s">
        <v>5</v>
      </c>
      <c r="V13" s="131" t="s">
        <v>5</v>
      </c>
      <c r="W13" s="19" t="s">
        <v>41</v>
      </c>
      <c r="X13" s="19" t="s">
        <v>41</v>
      </c>
      <c r="Y13" s="19" t="s">
        <v>42</v>
      </c>
      <c r="Z13" s="123" t="s">
        <v>4</v>
      </c>
      <c r="AA13" s="19" t="s">
        <v>41</v>
      </c>
      <c r="AB13" s="19" t="s">
        <v>41</v>
      </c>
      <c r="AC13" s="184" t="s">
        <v>2</v>
      </c>
      <c r="AD13" s="19" t="s">
        <v>41</v>
      </c>
      <c r="AE13" s="22" t="s">
        <v>30</v>
      </c>
      <c r="AF13" s="19" t="s">
        <v>42</v>
      </c>
      <c r="AG13" s="123" t="s">
        <v>4</v>
      </c>
      <c r="AH13" s="19" t="s">
        <v>41</v>
      </c>
      <c r="AI13" s="19" t="s">
        <v>41</v>
      </c>
      <c r="AJ13" s="184" t="s">
        <v>2</v>
      </c>
      <c r="AL13">
        <f t="shared" si="1"/>
        <v>4</v>
      </c>
      <c r="AM13">
        <f t="shared" si="2"/>
        <v>5</v>
      </c>
    </row>
    <row r="14" spans="1:39" x14ac:dyDescent="0.35">
      <c r="A14" s="182" t="s">
        <v>77</v>
      </c>
      <c r="B14" s="131" t="s">
        <v>5</v>
      </c>
      <c r="C14" s="131" t="s">
        <v>5</v>
      </c>
      <c r="D14" s="123" t="s">
        <v>4</v>
      </c>
      <c r="E14" s="123" t="s">
        <v>4</v>
      </c>
      <c r="F14" s="19" t="s">
        <v>42</v>
      </c>
      <c r="G14" s="184" t="s">
        <v>2</v>
      </c>
      <c r="H14" s="19" t="s">
        <v>41</v>
      </c>
      <c r="I14" s="19" t="s">
        <v>41</v>
      </c>
      <c r="J14" s="19" t="s">
        <v>41</v>
      </c>
      <c r="K14" s="22" t="s">
        <v>30</v>
      </c>
      <c r="L14" s="123" t="s">
        <v>4</v>
      </c>
      <c r="M14" s="19" t="s">
        <v>41</v>
      </c>
      <c r="N14" s="184" t="s">
        <v>2</v>
      </c>
      <c r="O14" s="19" t="s">
        <v>41</v>
      </c>
      <c r="P14" s="19" t="s">
        <v>41</v>
      </c>
      <c r="Q14" s="184" t="s">
        <v>2</v>
      </c>
      <c r="R14" s="22" t="s">
        <v>30</v>
      </c>
      <c r="S14" s="123" t="s">
        <v>4</v>
      </c>
      <c r="T14" s="19" t="s">
        <v>41</v>
      </c>
      <c r="U14" s="184" t="s">
        <v>2</v>
      </c>
      <c r="V14" s="19" t="s">
        <v>41</v>
      </c>
      <c r="W14" s="131" t="s">
        <v>5</v>
      </c>
      <c r="X14" s="19" t="s">
        <v>41</v>
      </c>
      <c r="Y14" s="22" t="s">
        <v>30</v>
      </c>
      <c r="Z14" s="123" t="s">
        <v>4</v>
      </c>
      <c r="AA14" s="19" t="s">
        <v>41</v>
      </c>
      <c r="AB14" s="184" t="s">
        <v>2</v>
      </c>
      <c r="AC14" s="19" t="s">
        <v>41</v>
      </c>
      <c r="AD14" s="19" t="s">
        <v>41</v>
      </c>
      <c r="AE14" s="19" t="s">
        <v>42</v>
      </c>
      <c r="AF14" s="131" t="s">
        <v>5</v>
      </c>
      <c r="AG14" s="131" t="s">
        <v>5</v>
      </c>
      <c r="AH14" s="131" t="s">
        <v>5</v>
      </c>
      <c r="AI14" s="131" t="s">
        <v>5</v>
      </c>
      <c r="AJ14" s="19" t="s">
        <v>41</v>
      </c>
      <c r="AL14">
        <f t="shared" si="1"/>
        <v>5</v>
      </c>
      <c r="AM14">
        <f t="shared" si="2"/>
        <v>5</v>
      </c>
    </row>
    <row r="15" spans="1:39" x14ac:dyDescent="0.35">
      <c r="A15" s="182" t="s">
        <v>181</v>
      </c>
      <c r="B15" s="185" t="s">
        <v>10</v>
      </c>
      <c r="C15" s="185" t="s">
        <v>10</v>
      </c>
      <c r="D15" s="123" t="s">
        <v>4</v>
      </c>
      <c r="E15" s="123" t="s">
        <v>4</v>
      </c>
      <c r="F15" s="183" t="s">
        <v>37</v>
      </c>
      <c r="G15" s="19" t="s">
        <v>41</v>
      </c>
      <c r="H15" s="19" t="s">
        <v>41</v>
      </c>
      <c r="I15" s="19" t="s">
        <v>41</v>
      </c>
      <c r="J15" s="19" t="s">
        <v>41</v>
      </c>
      <c r="K15" s="123" t="s">
        <v>4</v>
      </c>
      <c r="L15" s="123" t="s">
        <v>4</v>
      </c>
      <c r="M15" s="19" t="s">
        <v>41</v>
      </c>
      <c r="N15" s="19" t="s">
        <v>41</v>
      </c>
      <c r="O15" s="19" t="s">
        <v>41</v>
      </c>
      <c r="P15" s="19" t="s">
        <v>41</v>
      </c>
      <c r="Q15" s="19" t="s">
        <v>41</v>
      </c>
      <c r="R15" s="123" t="s">
        <v>4</v>
      </c>
      <c r="S15" s="123" t="s">
        <v>4</v>
      </c>
      <c r="T15" s="19" t="s">
        <v>41</v>
      </c>
      <c r="U15" s="19" t="s">
        <v>41</v>
      </c>
      <c r="V15" s="19" t="s">
        <v>41</v>
      </c>
      <c r="W15" s="19" t="s">
        <v>41</v>
      </c>
      <c r="X15" s="19" t="s">
        <v>41</v>
      </c>
      <c r="Y15" s="131" t="s">
        <v>5</v>
      </c>
      <c r="Z15" s="131" t="s">
        <v>5</v>
      </c>
      <c r="AA15" s="131" t="s">
        <v>5</v>
      </c>
      <c r="AB15" s="131" t="s">
        <v>5</v>
      </c>
      <c r="AC15" s="131" t="s">
        <v>5</v>
      </c>
      <c r="AD15" s="19" t="s">
        <v>41</v>
      </c>
      <c r="AE15" s="183" t="s">
        <v>37</v>
      </c>
      <c r="AF15" s="123" t="s">
        <v>4</v>
      </c>
      <c r="AG15" s="123" t="s">
        <v>4</v>
      </c>
      <c r="AH15" s="19" t="s">
        <v>41</v>
      </c>
      <c r="AI15" s="19" t="s">
        <v>41</v>
      </c>
      <c r="AJ15" s="19" t="s">
        <v>41</v>
      </c>
      <c r="AL15">
        <f t="shared" si="1"/>
        <v>0</v>
      </c>
      <c r="AM15">
        <f t="shared" si="2"/>
        <v>0</v>
      </c>
    </row>
    <row r="17" spans="1:39" x14ac:dyDescent="0.35">
      <c r="A17" s="193" t="s">
        <v>9</v>
      </c>
      <c r="B17" s="131" t="s">
        <v>5</v>
      </c>
      <c r="C17" s="131" t="s">
        <v>5</v>
      </c>
      <c r="D17" s="25" t="s">
        <v>3</v>
      </c>
      <c r="E17" s="25" t="s">
        <v>3</v>
      </c>
      <c r="F17" s="25" t="s">
        <v>3</v>
      </c>
      <c r="G17" s="25" t="s">
        <v>6</v>
      </c>
      <c r="H17" s="25" t="s">
        <v>6</v>
      </c>
      <c r="I17" s="184" t="s">
        <v>2</v>
      </c>
      <c r="J17" s="184" t="s">
        <v>2</v>
      </c>
      <c r="K17" s="25" t="s">
        <v>3</v>
      </c>
      <c r="L17" s="25" t="s">
        <v>3</v>
      </c>
      <c r="M17" s="25" t="s">
        <v>6</v>
      </c>
      <c r="N17" s="25" t="s">
        <v>6</v>
      </c>
      <c r="O17" s="25" t="s">
        <v>6</v>
      </c>
      <c r="P17" s="184" t="s">
        <v>2</v>
      </c>
      <c r="Q17" s="184" t="s">
        <v>2</v>
      </c>
      <c r="R17" s="131" t="s">
        <v>5</v>
      </c>
      <c r="S17" s="25" t="s">
        <v>3</v>
      </c>
      <c r="T17" s="25" t="s">
        <v>6</v>
      </c>
      <c r="U17" s="25" t="s">
        <v>6</v>
      </c>
      <c r="V17" s="25" t="s">
        <v>6</v>
      </c>
      <c r="W17" s="184" t="s">
        <v>2</v>
      </c>
      <c r="X17" s="184" t="s">
        <v>2</v>
      </c>
      <c r="Y17" s="25" t="s">
        <v>3</v>
      </c>
      <c r="Z17" s="25" t="s">
        <v>3</v>
      </c>
      <c r="AA17" s="25" t="s">
        <v>6</v>
      </c>
      <c r="AB17" s="184" t="s">
        <v>2</v>
      </c>
      <c r="AC17" s="184" t="s">
        <v>2</v>
      </c>
      <c r="AD17" s="25" t="s">
        <v>6</v>
      </c>
      <c r="AE17" s="25" t="s">
        <v>3</v>
      </c>
      <c r="AF17" s="131" t="s">
        <v>5</v>
      </c>
      <c r="AG17" s="25" t="s">
        <v>3</v>
      </c>
      <c r="AH17" s="25" t="s">
        <v>6</v>
      </c>
      <c r="AI17" s="25" t="s">
        <v>6</v>
      </c>
      <c r="AJ17" s="184" t="s">
        <v>2</v>
      </c>
      <c r="AL17">
        <f t="shared" si="1"/>
        <v>9</v>
      </c>
      <c r="AM17">
        <f t="shared" si="2"/>
        <v>8</v>
      </c>
    </row>
    <row r="18" spans="1:39" x14ac:dyDescent="0.35">
      <c r="A18" s="193" t="s">
        <v>43</v>
      </c>
      <c r="B18" s="19" t="s">
        <v>41</v>
      </c>
      <c r="C18" s="19" t="s">
        <v>41</v>
      </c>
      <c r="D18" s="131" t="s">
        <v>5</v>
      </c>
      <c r="E18" s="131" t="s">
        <v>5</v>
      </c>
      <c r="F18" s="25" t="s">
        <v>3</v>
      </c>
      <c r="G18" s="25" t="s">
        <v>6</v>
      </c>
      <c r="H18" s="25" t="s">
        <v>6</v>
      </c>
      <c r="I18" s="25" t="s">
        <v>6</v>
      </c>
      <c r="J18" s="25" t="s">
        <v>6</v>
      </c>
      <c r="K18" s="123" t="s">
        <v>4</v>
      </c>
      <c r="L18" s="123" t="s">
        <v>4</v>
      </c>
      <c r="M18" s="184" t="s">
        <v>2</v>
      </c>
      <c r="N18" s="25" t="s">
        <v>6</v>
      </c>
      <c r="O18" s="25" t="s">
        <v>6</v>
      </c>
      <c r="P18" s="25" t="s">
        <v>6</v>
      </c>
      <c r="Q18" s="25" t="s">
        <v>6</v>
      </c>
      <c r="R18" s="25" t="s">
        <v>3</v>
      </c>
      <c r="S18" s="123" t="s">
        <v>4</v>
      </c>
      <c r="T18" s="25" t="s">
        <v>6</v>
      </c>
      <c r="U18" s="184" t="s">
        <v>2</v>
      </c>
      <c r="V18" s="25" t="s">
        <v>6</v>
      </c>
      <c r="W18" s="25" t="s">
        <v>6</v>
      </c>
      <c r="X18" s="25" t="s">
        <v>6</v>
      </c>
      <c r="Y18" s="123" t="s">
        <v>4</v>
      </c>
      <c r="Z18" s="123" t="s">
        <v>4</v>
      </c>
      <c r="AA18" s="25" t="s">
        <v>6</v>
      </c>
      <c r="AB18" s="25" t="s">
        <v>6</v>
      </c>
      <c r="AC18" s="25" t="s">
        <v>6</v>
      </c>
      <c r="AD18" s="184" t="s">
        <v>2</v>
      </c>
      <c r="AE18" s="25" t="s">
        <v>3</v>
      </c>
      <c r="AF18" s="25" t="s">
        <v>3</v>
      </c>
      <c r="AG18" s="123" t="s">
        <v>4</v>
      </c>
      <c r="AH18" s="25" t="s">
        <v>6</v>
      </c>
      <c r="AI18" s="25" t="s">
        <v>6</v>
      </c>
      <c r="AJ18" s="25" t="s">
        <v>6</v>
      </c>
      <c r="AL18">
        <f t="shared" si="1"/>
        <v>3</v>
      </c>
      <c r="AM18">
        <f t="shared" si="2"/>
        <v>4</v>
      </c>
    </row>
    <row r="19" spans="1:39" x14ac:dyDescent="0.35">
      <c r="A19" s="182" t="s">
        <v>74</v>
      </c>
      <c r="B19" s="131" t="s">
        <v>5</v>
      </c>
      <c r="C19" s="19" t="s">
        <v>41</v>
      </c>
      <c r="D19" s="19" t="s">
        <v>42</v>
      </c>
      <c r="E19" s="131" t="s">
        <v>5</v>
      </c>
      <c r="F19" s="25" t="s">
        <v>3</v>
      </c>
      <c r="G19" s="184" t="s">
        <v>2</v>
      </c>
      <c r="H19" s="184" t="s">
        <v>2</v>
      </c>
      <c r="I19" s="25" t="s">
        <v>6</v>
      </c>
      <c r="J19" s="25" t="s">
        <v>6</v>
      </c>
      <c r="K19" s="123" t="s">
        <v>4</v>
      </c>
      <c r="L19" s="25" t="s">
        <v>3</v>
      </c>
      <c r="M19" s="25" t="s">
        <v>6</v>
      </c>
      <c r="N19" s="25" t="s">
        <v>6</v>
      </c>
      <c r="O19" s="184" t="s">
        <v>2</v>
      </c>
      <c r="P19" s="25" t="s">
        <v>6</v>
      </c>
      <c r="Q19" s="25" t="s">
        <v>6</v>
      </c>
      <c r="R19" s="123" t="s">
        <v>4</v>
      </c>
      <c r="S19" s="25" t="s">
        <v>3</v>
      </c>
      <c r="T19" s="25" t="s">
        <v>6</v>
      </c>
      <c r="U19" s="25" t="s">
        <v>6</v>
      </c>
      <c r="V19" s="184" t="s">
        <v>2</v>
      </c>
      <c r="W19" s="25" t="s">
        <v>6</v>
      </c>
      <c r="X19" s="25" t="s">
        <v>6</v>
      </c>
      <c r="Y19" s="123" t="s">
        <v>4</v>
      </c>
      <c r="Z19" s="25" t="s">
        <v>3</v>
      </c>
      <c r="AA19" s="25" t="s">
        <v>6</v>
      </c>
      <c r="AB19" s="25" t="s">
        <v>6</v>
      </c>
      <c r="AC19" s="25" t="s">
        <v>6</v>
      </c>
      <c r="AD19" s="25" t="s">
        <v>6</v>
      </c>
      <c r="AE19" s="183" t="s">
        <v>37</v>
      </c>
      <c r="AF19" s="123" t="s">
        <v>4</v>
      </c>
      <c r="AG19" s="25" t="s">
        <v>3</v>
      </c>
      <c r="AH19" s="25" t="s">
        <v>6</v>
      </c>
      <c r="AI19" s="184" t="s">
        <v>2</v>
      </c>
      <c r="AJ19" s="25" t="s">
        <v>6</v>
      </c>
      <c r="AL19">
        <f t="shared" si="1"/>
        <v>5</v>
      </c>
      <c r="AM19">
        <f t="shared" si="2"/>
        <v>5</v>
      </c>
    </row>
    <row r="20" spans="1:39" x14ac:dyDescent="0.35">
      <c r="A20" s="182" t="s">
        <v>62</v>
      </c>
      <c r="B20" s="19" t="s">
        <v>41</v>
      </c>
      <c r="C20" s="19" t="s">
        <v>41</v>
      </c>
      <c r="D20" s="123" t="s">
        <v>4</v>
      </c>
      <c r="E20" s="19" t="s">
        <v>42</v>
      </c>
      <c r="F20" s="183" t="s">
        <v>37</v>
      </c>
      <c r="G20" s="25" t="s">
        <v>6</v>
      </c>
      <c r="H20" s="25" t="s">
        <v>6</v>
      </c>
      <c r="I20" s="25" t="s">
        <v>6</v>
      </c>
      <c r="J20" s="25" t="s">
        <v>6</v>
      </c>
      <c r="K20" s="25" t="s">
        <v>3</v>
      </c>
      <c r="L20" s="123" t="s">
        <v>4</v>
      </c>
      <c r="M20" s="184" t="s">
        <v>2</v>
      </c>
      <c r="N20" s="184" t="s">
        <v>2</v>
      </c>
      <c r="O20" s="25" t="s">
        <v>6</v>
      </c>
      <c r="P20" s="25" t="s">
        <v>6</v>
      </c>
      <c r="Q20" s="25" t="s">
        <v>6</v>
      </c>
      <c r="R20" s="25" t="s">
        <v>3</v>
      </c>
      <c r="S20" s="123" t="s">
        <v>4</v>
      </c>
      <c r="T20" s="184" t="s">
        <v>2</v>
      </c>
      <c r="U20" s="25" t="s">
        <v>6</v>
      </c>
      <c r="V20" s="25" t="s">
        <v>6</v>
      </c>
      <c r="W20" s="25" t="s">
        <v>6</v>
      </c>
      <c r="X20" s="25" t="s">
        <v>6</v>
      </c>
      <c r="Y20" s="25" t="s">
        <v>3</v>
      </c>
      <c r="Z20" s="123" t="s">
        <v>4</v>
      </c>
      <c r="AA20" s="184" t="s">
        <v>2</v>
      </c>
      <c r="AB20" s="25" t="s">
        <v>6</v>
      </c>
      <c r="AC20" s="25" t="s">
        <v>6</v>
      </c>
      <c r="AD20" s="25" t="s">
        <v>6</v>
      </c>
      <c r="AE20" s="25" t="s">
        <v>3</v>
      </c>
      <c r="AF20" s="25" t="s">
        <v>3</v>
      </c>
      <c r="AG20" s="123" t="s">
        <v>4</v>
      </c>
      <c r="AH20" s="184" t="s">
        <v>2</v>
      </c>
      <c r="AI20" s="25" t="s">
        <v>6</v>
      </c>
      <c r="AJ20" s="25" t="s">
        <v>6</v>
      </c>
      <c r="AL20">
        <f t="shared" si="1"/>
        <v>5</v>
      </c>
      <c r="AM20">
        <f t="shared" si="2"/>
        <v>5</v>
      </c>
    </row>
    <row r="21" spans="1:39" x14ac:dyDescent="0.35">
      <c r="A21" s="182" t="s">
        <v>226</v>
      </c>
      <c r="B21" s="131" t="s">
        <v>5</v>
      </c>
      <c r="C21" s="131" t="s">
        <v>5</v>
      </c>
      <c r="D21" s="131" t="s">
        <v>5</v>
      </c>
      <c r="E21" s="131" t="s">
        <v>5</v>
      </c>
      <c r="F21" s="183" t="s">
        <v>37</v>
      </c>
      <c r="G21" s="25" t="s">
        <v>6</v>
      </c>
      <c r="H21" s="25" t="s">
        <v>6</v>
      </c>
      <c r="I21" s="25" t="s">
        <v>6</v>
      </c>
      <c r="J21" s="25" t="s">
        <v>6</v>
      </c>
      <c r="K21" s="123" t="s">
        <v>4</v>
      </c>
      <c r="L21" s="123" t="s">
        <v>4</v>
      </c>
      <c r="M21" s="25" t="s">
        <v>6</v>
      </c>
      <c r="N21" s="25" t="s">
        <v>6</v>
      </c>
      <c r="O21" s="25" t="s">
        <v>6</v>
      </c>
      <c r="P21" s="25" t="s">
        <v>6</v>
      </c>
      <c r="Q21" s="131" t="s">
        <v>5</v>
      </c>
      <c r="R21" s="131" t="s">
        <v>5</v>
      </c>
      <c r="S21" s="131" t="s">
        <v>5</v>
      </c>
      <c r="T21" s="131" t="s">
        <v>5</v>
      </c>
      <c r="U21" s="25" t="s">
        <v>6</v>
      </c>
      <c r="V21" s="25" t="s">
        <v>6</v>
      </c>
      <c r="W21" s="25" t="s">
        <v>6</v>
      </c>
      <c r="X21" s="25" t="s">
        <v>6</v>
      </c>
      <c r="Y21" s="123" t="s">
        <v>4</v>
      </c>
      <c r="Z21" s="123" t="s">
        <v>4</v>
      </c>
      <c r="AA21" s="25" t="s">
        <v>6</v>
      </c>
      <c r="AB21" s="25" t="s">
        <v>6</v>
      </c>
      <c r="AC21" s="25" t="s">
        <v>6</v>
      </c>
      <c r="AD21" s="25" t="s">
        <v>6</v>
      </c>
      <c r="AE21" s="183" t="s">
        <v>37</v>
      </c>
      <c r="AF21" s="123" t="s">
        <v>4</v>
      </c>
      <c r="AG21" s="123" t="s">
        <v>4</v>
      </c>
      <c r="AH21" s="25" t="s">
        <v>6</v>
      </c>
      <c r="AI21" s="25" t="s">
        <v>6</v>
      </c>
      <c r="AJ21" s="25" t="s">
        <v>6</v>
      </c>
      <c r="AL21">
        <f t="shared" si="1"/>
        <v>0</v>
      </c>
      <c r="AM21">
        <f t="shared" si="2"/>
        <v>0</v>
      </c>
    </row>
    <row r="23" spans="1:39" x14ac:dyDescent="0.35">
      <c r="A23" s="189" t="s">
        <v>156</v>
      </c>
      <c r="B23">
        <f>COUNTIF(B4:B21,"*MS")</f>
        <v>4</v>
      </c>
      <c r="C23">
        <f>COUNTIF(C4:C21,"*MS")</f>
        <v>3</v>
      </c>
      <c r="D23">
        <f>COUNTIF(D4:D21,"*MS")</f>
        <v>2</v>
      </c>
      <c r="E23">
        <f>COUNTIF(E4:E21,"*MS")</f>
        <v>2</v>
      </c>
      <c r="F23">
        <f>COUNTIF(F4:F21,"*MS")</f>
        <v>3</v>
      </c>
      <c r="G23">
        <f>COUNTIF(G4:G21,"*MS")</f>
        <v>4</v>
      </c>
      <c r="H23">
        <f t="shared" ref="H23:J23" si="3">COUNTIF(H4:H21,"*MS")</f>
        <v>4</v>
      </c>
      <c r="I23">
        <f t="shared" si="3"/>
        <v>4</v>
      </c>
      <c r="J23">
        <f t="shared" si="3"/>
        <v>4</v>
      </c>
      <c r="K23">
        <f>COUNTIF(K4:K21,"*MS")</f>
        <v>2</v>
      </c>
      <c r="L23">
        <f>COUNTIF(L4:L21,"*MS")</f>
        <v>2</v>
      </c>
      <c r="M23">
        <f>COUNTIF(M4:M21,"*MS")</f>
        <v>3</v>
      </c>
      <c r="N23">
        <f>COUNTIF(N4:N21,"*MS")</f>
        <v>4</v>
      </c>
      <c r="O23">
        <f t="shared" ref="O23:Q23" si="4">COUNTIF(O4:O21,"*MS")</f>
        <v>4</v>
      </c>
      <c r="P23">
        <f t="shared" si="4"/>
        <v>4</v>
      </c>
      <c r="Q23">
        <f t="shared" si="4"/>
        <v>3</v>
      </c>
      <c r="R23">
        <f>COUNTIF(R4:R21,"*MS")</f>
        <v>2</v>
      </c>
      <c r="S23">
        <f>COUNTIF(S4:S21,"*MS")</f>
        <v>2</v>
      </c>
      <c r="T23">
        <f>COUNTIF(T4:T21,"*MS")</f>
        <v>3</v>
      </c>
      <c r="U23">
        <f>COUNTIF(U4:U21,"*MS")</f>
        <v>4</v>
      </c>
      <c r="V23">
        <f t="shared" ref="V23:X23" si="5">COUNTIF(V4:V21,"*MS")</f>
        <v>4</v>
      </c>
      <c r="W23">
        <f t="shared" si="5"/>
        <v>4</v>
      </c>
      <c r="X23">
        <f t="shared" si="5"/>
        <v>4</v>
      </c>
      <c r="Y23">
        <f>COUNTIF(Y4:Y21,"*MS")</f>
        <v>2</v>
      </c>
      <c r="Z23">
        <f>COUNTIF(Z4:Z21,"*MS")</f>
        <v>2</v>
      </c>
      <c r="AA23">
        <f>COUNTIF(AA4:AA21,"*MS")</f>
        <v>4</v>
      </c>
      <c r="AB23">
        <f>COUNTIF(AB4:AB21,"*MS")</f>
        <v>4</v>
      </c>
      <c r="AC23">
        <f t="shared" ref="AC23:AE23" si="6">COUNTIF(AC4:AC21,"*MS")</f>
        <v>4</v>
      </c>
      <c r="AD23">
        <f t="shared" si="6"/>
        <v>4</v>
      </c>
      <c r="AE23">
        <f t="shared" si="6"/>
        <v>3</v>
      </c>
      <c r="AF23">
        <f>COUNTIF(AF4:AF21,"*MS")</f>
        <v>2</v>
      </c>
      <c r="AG23">
        <f>COUNTIF(AG4:AG21,"*MS")</f>
        <v>2</v>
      </c>
      <c r="AH23">
        <f t="shared" ref="AH23:AJ23" si="7">COUNTIF(AH4:AH21,"*MS")</f>
        <v>4</v>
      </c>
      <c r="AI23">
        <f t="shared" si="7"/>
        <v>4</v>
      </c>
      <c r="AJ23">
        <f t="shared" si="7"/>
        <v>4</v>
      </c>
    </row>
    <row r="24" spans="1:39" x14ac:dyDescent="0.35">
      <c r="A24" s="189" t="s">
        <v>157</v>
      </c>
      <c r="B24">
        <f>COUNTIF(B4:B21,"*ASS1")</f>
        <v>3</v>
      </c>
      <c r="C24">
        <f>COUNTIF(C4:C21,"*ASS1")</f>
        <v>4</v>
      </c>
      <c r="D24">
        <f>COUNTIF(D4:D21,"*ASS1")</f>
        <v>2</v>
      </c>
      <c r="E24">
        <f>COUNTIF(E4:E21,"*ASS1")</f>
        <v>2</v>
      </c>
      <c r="F24">
        <f>COUNTIF(F4:F21,"*ASS1")</f>
        <v>3</v>
      </c>
      <c r="G24">
        <f>COUNTIF(G4:G21,"*ASS1")</f>
        <v>4</v>
      </c>
      <c r="H24">
        <f t="shared" ref="H24:J24" si="8">COUNTIF(H4:H21,"*ASS1")</f>
        <v>4</v>
      </c>
      <c r="I24">
        <f t="shared" si="8"/>
        <v>5</v>
      </c>
      <c r="J24">
        <f t="shared" si="8"/>
        <v>5</v>
      </c>
      <c r="K24">
        <f>COUNTIF(K4:K21,"*ASS1")</f>
        <v>2</v>
      </c>
      <c r="L24">
        <f>COUNTIF(L4:L21,"*ASS1")</f>
        <v>2</v>
      </c>
      <c r="M24">
        <f>COUNTIF(M4:M21,"*ASS1")</f>
        <v>5</v>
      </c>
      <c r="N24">
        <f>COUNTIF(N4:N21,"*ASS1")</f>
        <v>5</v>
      </c>
      <c r="O24">
        <f t="shared" ref="O24:Q24" si="9">COUNTIF(O4:O21,"*ASS1")</f>
        <v>4</v>
      </c>
      <c r="P24">
        <f t="shared" si="9"/>
        <v>5</v>
      </c>
      <c r="Q24">
        <f t="shared" si="9"/>
        <v>4</v>
      </c>
      <c r="R24">
        <f>COUNTIF(R4:R21,"*ASS1")</f>
        <v>2</v>
      </c>
      <c r="S24">
        <f>COUNTIF(S4:S21,"*ASS1")</f>
        <v>2</v>
      </c>
      <c r="T24">
        <f>COUNTIF(T4:T21,"*ASS1")</f>
        <v>4</v>
      </c>
      <c r="U24">
        <f>COUNTIF(U4:U21,"*ASS1")</f>
        <v>4</v>
      </c>
      <c r="V24">
        <f t="shared" ref="V24:X24" si="10">COUNTIF(V4:V21,"*ASS1")</f>
        <v>4</v>
      </c>
      <c r="W24">
        <f t="shared" si="10"/>
        <v>4</v>
      </c>
      <c r="X24">
        <f t="shared" si="10"/>
        <v>4</v>
      </c>
      <c r="Y24">
        <f>COUNTIF(Y4:Y21,"*ASS1")</f>
        <v>2</v>
      </c>
      <c r="Z24">
        <f>COUNTIF(Z4:Z21,"*ASS1")</f>
        <v>2</v>
      </c>
      <c r="AA24">
        <f>COUNTIF(AA4:AA21,"*ASS1")</f>
        <v>4</v>
      </c>
      <c r="AB24">
        <f>COUNTIF(AB4:AB21,"*ASS1")</f>
        <v>3</v>
      </c>
      <c r="AC24">
        <f t="shared" ref="AC24:AE24" si="11">COUNTIF(AC4:AC21,"*ASS1")</f>
        <v>3</v>
      </c>
      <c r="AD24">
        <f t="shared" si="11"/>
        <v>5</v>
      </c>
      <c r="AE24">
        <f t="shared" si="11"/>
        <v>3</v>
      </c>
      <c r="AF24">
        <f>COUNTIF(AF4:AF21,"*ASS1")</f>
        <v>2</v>
      </c>
      <c r="AG24">
        <f>COUNTIF(AG4:AG21,"*ASS1")</f>
        <v>2</v>
      </c>
      <c r="AH24">
        <f t="shared" ref="AH24:AJ24" si="12">COUNTIF(AH4:AH21,"*ASS1")</f>
        <v>4</v>
      </c>
      <c r="AI24">
        <f t="shared" si="12"/>
        <v>4</v>
      </c>
      <c r="AJ24">
        <f t="shared" si="12"/>
        <v>4</v>
      </c>
    </row>
    <row r="25" spans="1:39" x14ac:dyDescent="0.35">
      <c r="A25" s="189" t="s">
        <v>158</v>
      </c>
      <c r="B25">
        <f>COUNTIF(B4:B21,"*NST7")</f>
        <v>3</v>
      </c>
      <c r="C25">
        <f>COUNTIF(C4:C21,"*NST7")</f>
        <v>4</v>
      </c>
      <c r="D25">
        <f>COUNTIF(D4:D21,"*NST7")</f>
        <v>2</v>
      </c>
      <c r="E25">
        <f>COUNTIF(E4:E21,"*NST7")</f>
        <v>2</v>
      </c>
      <c r="F25">
        <f>COUNTIF(F4:F21,"*NST7")</f>
        <v>3</v>
      </c>
      <c r="G25">
        <f>COUNTIF(G4:G21,"*NST7")</f>
        <v>3</v>
      </c>
      <c r="H25">
        <f t="shared" ref="H25:J25" si="13">COUNTIF(H4:H21,"*NST7")</f>
        <v>3</v>
      </c>
      <c r="I25">
        <f t="shared" si="13"/>
        <v>3</v>
      </c>
      <c r="J25">
        <f t="shared" si="13"/>
        <v>3</v>
      </c>
      <c r="K25">
        <f>COUNTIF(K4:K21,"*NST7")</f>
        <v>3</v>
      </c>
      <c r="L25">
        <f>COUNTIF(L4:L21,"*NST7")</f>
        <v>2</v>
      </c>
      <c r="M25">
        <f>COUNTIF(M4:M21,"*NST7")</f>
        <v>3</v>
      </c>
      <c r="N25">
        <f>COUNTIF(N4:N21,"*NST7")</f>
        <v>3</v>
      </c>
      <c r="O25">
        <f t="shared" ref="O25:Q25" si="14">COUNTIF(O4:O21,"*NST7")</f>
        <v>4</v>
      </c>
      <c r="P25">
        <f t="shared" si="14"/>
        <v>3</v>
      </c>
      <c r="Q25">
        <f t="shared" si="14"/>
        <v>3</v>
      </c>
      <c r="R25">
        <f>COUNTIF(R4:R21,"*NST7")</f>
        <v>3</v>
      </c>
      <c r="S25">
        <f>COUNTIF(S4:S21,"*NST7")</f>
        <v>2</v>
      </c>
      <c r="T25">
        <f>COUNTIF(T4:T21,"*NST7")</f>
        <v>3</v>
      </c>
      <c r="U25">
        <f>COUNTIF(U4:U21,"*NST7")</f>
        <v>4</v>
      </c>
      <c r="V25">
        <f t="shared" ref="V25:X25" si="15">COUNTIF(V4:V21,"*NST7")</f>
        <v>3</v>
      </c>
      <c r="W25">
        <f t="shared" si="15"/>
        <v>4</v>
      </c>
      <c r="X25">
        <f t="shared" si="15"/>
        <v>3</v>
      </c>
      <c r="Y25">
        <f>COUNTIF(Y4:Y21,"*NST7")</f>
        <v>3</v>
      </c>
      <c r="Z25">
        <f>COUNTIF(Z4:Z21,"*NST7")</f>
        <v>2</v>
      </c>
      <c r="AA25">
        <f>COUNTIF(AA4:AA21,"*NST7")</f>
        <v>4</v>
      </c>
      <c r="AB25">
        <f>COUNTIF(AB4:AB21,"*NST7")</f>
        <v>4</v>
      </c>
      <c r="AC25">
        <f t="shared" ref="AC25:AE25" si="16">COUNTIF(AC4:AC21,"*NST7")</f>
        <v>4</v>
      </c>
      <c r="AD25">
        <f t="shared" si="16"/>
        <v>3</v>
      </c>
      <c r="AE25">
        <f t="shared" si="16"/>
        <v>3</v>
      </c>
      <c r="AF25">
        <f>COUNTIF(AF4:AF21,"*NST7")</f>
        <v>3</v>
      </c>
      <c r="AG25">
        <f>COUNTIF(AG4:AG21,"*NST7")</f>
        <v>2</v>
      </c>
      <c r="AH25">
        <f t="shared" ref="AH25:AJ25" si="17">COUNTIF(AH4:AH21,"*NST7")</f>
        <v>3</v>
      </c>
      <c r="AI25">
        <f t="shared" si="17"/>
        <v>4</v>
      </c>
      <c r="AJ25">
        <f t="shared" si="17"/>
        <v>2</v>
      </c>
    </row>
    <row r="26" spans="1:39" x14ac:dyDescent="0.35">
      <c r="A26" s="189" t="s">
        <v>159</v>
      </c>
      <c r="B26">
        <f>COUNTIF(B4:B21,"*GS")</f>
        <v>0</v>
      </c>
      <c r="C26">
        <f>COUNTIF(C4:C21,"*GS")</f>
        <v>0</v>
      </c>
      <c r="D26">
        <f>COUNTIF(D4:D21,"*GS")</f>
        <v>1</v>
      </c>
      <c r="E26">
        <f>COUNTIF(E4:E21,"*GS")</f>
        <v>0</v>
      </c>
      <c r="F26">
        <f>COUNTIF(F4:F21,"*GS")</f>
        <v>0</v>
      </c>
      <c r="G26">
        <f>COUNTIF(G4:G21,"*GS")</f>
        <v>0</v>
      </c>
      <c r="H26">
        <f t="shared" ref="H26:J26" si="18">COUNTIF(H4:H21,"*GS")</f>
        <v>0</v>
      </c>
      <c r="I26">
        <f t="shared" si="18"/>
        <v>0</v>
      </c>
      <c r="J26">
        <f t="shared" si="18"/>
        <v>0</v>
      </c>
      <c r="K26">
        <f>COUNTIF(K4:K21,"*GS")</f>
        <v>1</v>
      </c>
      <c r="L26">
        <f>COUNTIF(L4:L21,"*GS")</f>
        <v>0</v>
      </c>
      <c r="M26">
        <f>COUNTIF(M4:M21,"*GS")</f>
        <v>0</v>
      </c>
      <c r="N26">
        <f>COUNTIF(N4:N21,"*GS")</f>
        <v>0</v>
      </c>
      <c r="O26">
        <f t="shared" ref="O26:Q26" si="19">COUNTIF(O4:O21,"*GS")</f>
        <v>0</v>
      </c>
      <c r="P26">
        <f t="shared" si="19"/>
        <v>0</v>
      </c>
      <c r="Q26">
        <f t="shared" si="19"/>
        <v>0</v>
      </c>
      <c r="R26">
        <f>COUNTIF(R4:R21,"*GS")</f>
        <v>1</v>
      </c>
      <c r="S26">
        <f>COUNTIF(S4:S21,"*GS")</f>
        <v>0</v>
      </c>
      <c r="T26">
        <f>COUNTIF(T4:T21,"*GS")</f>
        <v>0</v>
      </c>
      <c r="U26">
        <f>COUNTIF(U4:U21,"*GS")</f>
        <v>0</v>
      </c>
      <c r="V26">
        <f t="shared" ref="V26:X26" si="20">COUNTIF(V4:V21,"*GS")</f>
        <v>0</v>
      </c>
      <c r="W26">
        <f t="shared" si="20"/>
        <v>0</v>
      </c>
      <c r="X26">
        <f t="shared" si="20"/>
        <v>0</v>
      </c>
      <c r="Y26">
        <f>COUNTIF(Y4:Y21,"*GS")</f>
        <v>1</v>
      </c>
      <c r="Z26">
        <f>COUNTIF(Z4:Z21,"*GS")</f>
        <v>0</v>
      </c>
      <c r="AA26">
        <f>COUNTIF(AA4:AA21,"*GS")</f>
        <v>0</v>
      </c>
      <c r="AB26">
        <f>COUNTIF(AB4:AB21,"*GS")</f>
        <v>0</v>
      </c>
      <c r="AC26">
        <f t="shared" ref="AC26:AE26" si="21">COUNTIF(AC4:AC21,"*GS")</f>
        <v>0</v>
      </c>
      <c r="AD26">
        <f t="shared" si="21"/>
        <v>0</v>
      </c>
      <c r="AE26">
        <f t="shared" si="21"/>
        <v>1</v>
      </c>
      <c r="AF26">
        <f>COUNTIF(AF4:AF21,"*GS")</f>
        <v>1</v>
      </c>
      <c r="AG26">
        <f>COUNTIF(AG4:AG21,"*GS")</f>
        <v>0</v>
      </c>
      <c r="AH26">
        <f t="shared" ref="AH26:AJ26" si="22">COUNTIF(AH4:AH21,"*GS")</f>
        <v>0</v>
      </c>
      <c r="AI26">
        <f t="shared" si="22"/>
        <v>0</v>
      </c>
      <c r="AJ26">
        <f t="shared" si="22"/>
        <v>0</v>
      </c>
    </row>
    <row r="27" spans="1:39" x14ac:dyDescent="0.35">
      <c r="A27" s="189" t="s">
        <v>160</v>
      </c>
      <c r="B27">
        <f>COUNTIF(B4:B21,"C")</f>
        <v>1</v>
      </c>
      <c r="C27">
        <f>COUNTIF(C4:C21,"C")</f>
        <v>1</v>
      </c>
      <c r="D27">
        <f>COUNTIF(D4:D21,"WO")</f>
        <v>7</v>
      </c>
      <c r="E27">
        <f>COUNTIF(E4:E21,"WO")</f>
        <v>6</v>
      </c>
      <c r="F27">
        <f>COUNTIF(F4:F21,"C")</f>
        <v>0</v>
      </c>
      <c r="G27">
        <f>COUNTIF(G4:G21,"C")</f>
        <v>4</v>
      </c>
      <c r="H27">
        <f t="shared" ref="H27:J27" si="23">COUNTIF(H4:H21,"C")</f>
        <v>4</v>
      </c>
      <c r="I27">
        <f t="shared" si="23"/>
        <v>3</v>
      </c>
      <c r="J27">
        <f t="shared" si="23"/>
        <v>3</v>
      </c>
      <c r="K27">
        <f>COUNTIF(K4:K21,"WO")</f>
        <v>7</v>
      </c>
      <c r="L27">
        <f>COUNTIF(L4:L21,"WO")</f>
        <v>9</v>
      </c>
      <c r="M27">
        <f>COUNTIF(M4:M21,"C")</f>
        <v>4</v>
      </c>
      <c r="N27">
        <f>COUNTIF(N4:N21,"C")</f>
        <v>3</v>
      </c>
      <c r="O27">
        <f t="shared" ref="O27:Q27" si="24">COUNTIF(O4:O21,"C")</f>
        <v>4</v>
      </c>
      <c r="P27">
        <f t="shared" si="24"/>
        <v>4</v>
      </c>
      <c r="Q27">
        <f t="shared" si="24"/>
        <v>4</v>
      </c>
      <c r="R27">
        <f>COUNTIF(R4:R21,"WO")</f>
        <v>4</v>
      </c>
      <c r="S27">
        <f>COUNTIF(S4:S21,"WO")</f>
        <v>6</v>
      </c>
      <c r="T27">
        <f>COUNTIF(T4:T21,"C")</f>
        <v>3</v>
      </c>
      <c r="U27">
        <f>COUNTIF(U4:U21,"C")</f>
        <v>2</v>
      </c>
      <c r="V27">
        <f t="shared" ref="V27:X27" si="25">COUNTIF(V4:V21,"C")</f>
        <v>3</v>
      </c>
      <c r="W27">
        <f t="shared" si="25"/>
        <v>3</v>
      </c>
      <c r="X27">
        <f t="shared" si="25"/>
        <v>5</v>
      </c>
      <c r="Y27">
        <f>COUNTIF(Y4:Y21,"WO")</f>
        <v>7</v>
      </c>
      <c r="Z27">
        <f>COUNTIF(Z4:Z21,"WO")</f>
        <v>9</v>
      </c>
      <c r="AA27">
        <f>COUNTIF(AA4:AA21,"C")</f>
        <v>3</v>
      </c>
      <c r="AB27">
        <f>COUNTIF(AB4:AB21,"C")</f>
        <v>4</v>
      </c>
      <c r="AC27">
        <f t="shared" ref="AC27:AE27" si="26">COUNTIF(AC4:AC21,"C")</f>
        <v>4</v>
      </c>
      <c r="AD27">
        <f t="shared" si="26"/>
        <v>4</v>
      </c>
      <c r="AE27">
        <f t="shared" si="26"/>
        <v>0</v>
      </c>
      <c r="AF27">
        <f>COUNTIF(AF4:AF21,"WO")</f>
        <v>6</v>
      </c>
      <c r="AG27">
        <f>COUNTIF(AG4:AG21,"WO")</f>
        <v>9</v>
      </c>
      <c r="AH27">
        <f t="shared" ref="AH27:AJ27" si="27">COUNTIF(AH4:AH21,"C")</f>
        <v>4</v>
      </c>
      <c r="AI27">
        <f t="shared" si="27"/>
        <v>3</v>
      </c>
      <c r="AJ27">
        <f t="shared" si="27"/>
        <v>6</v>
      </c>
    </row>
    <row r="28" spans="1:39" x14ac:dyDescent="0.35">
      <c r="A28" s="189" t="s">
        <v>161</v>
      </c>
      <c r="B28">
        <f>COUNTIF(B4:B21,"PL")</f>
        <v>5</v>
      </c>
      <c r="C28">
        <f>COUNTIF(C4:C21,"PL")</f>
        <v>4</v>
      </c>
      <c r="D28">
        <f>COUNTIF(D4:D21,"PL")</f>
        <v>2</v>
      </c>
      <c r="E28">
        <f>COUNTIF(E4:E21,"PL")</f>
        <v>4</v>
      </c>
      <c r="F28">
        <f>COUNTIF(F4:F21,"PL")</f>
        <v>0</v>
      </c>
      <c r="G28">
        <f>COUNTIF(G4:G21,"PL")</f>
        <v>1</v>
      </c>
      <c r="H28">
        <f t="shared" ref="H28:J28" si="28">COUNTIF(H4:H21,"PL")</f>
        <v>1</v>
      </c>
      <c r="I28">
        <f t="shared" si="28"/>
        <v>1</v>
      </c>
      <c r="J28">
        <f t="shared" si="28"/>
        <v>1</v>
      </c>
      <c r="K28">
        <f>COUNTIF(K4:K21,"PL")</f>
        <v>1</v>
      </c>
      <c r="L28">
        <f>COUNTIF(L4:L21,"PL")</f>
        <v>1</v>
      </c>
      <c r="M28">
        <f>COUNTIF(M4:M21,"PL")</f>
        <v>1</v>
      </c>
      <c r="N28">
        <f>COUNTIF(N4:N21,"PL")</f>
        <v>1</v>
      </c>
      <c r="O28">
        <f t="shared" ref="O28:Q28" si="29">COUNTIF(O4:O21,"PL")</f>
        <v>0</v>
      </c>
      <c r="P28">
        <f t="shared" si="29"/>
        <v>0</v>
      </c>
      <c r="Q28">
        <f t="shared" si="29"/>
        <v>2</v>
      </c>
      <c r="R28">
        <f>COUNTIF(R4:R21,"PL")</f>
        <v>4</v>
      </c>
      <c r="S28">
        <f>COUNTIF(S4:S21,"PL")</f>
        <v>4</v>
      </c>
      <c r="T28">
        <f>COUNTIF(T4:T21,"PL")</f>
        <v>3</v>
      </c>
      <c r="U28">
        <f>COUNTIF(U4:U21,"PL")</f>
        <v>2</v>
      </c>
      <c r="V28">
        <f t="shared" ref="V28:X28" si="30">COUNTIF(V4:V21,"PL")</f>
        <v>2</v>
      </c>
      <c r="W28">
        <f t="shared" si="30"/>
        <v>1</v>
      </c>
      <c r="X28">
        <f t="shared" si="30"/>
        <v>0</v>
      </c>
      <c r="Y28">
        <f>COUNTIF(Y4:Y21,"PL")</f>
        <v>1</v>
      </c>
      <c r="Z28">
        <f>COUNTIF(Z4:Z21,"PL")</f>
        <v>1</v>
      </c>
      <c r="AA28">
        <f>COUNTIF(AA4:AA21,"PL")</f>
        <v>1</v>
      </c>
      <c r="AB28">
        <f>COUNTIF(AB4:AB21,"PL")</f>
        <v>1</v>
      </c>
      <c r="AC28">
        <f t="shared" ref="AC28:AE28" si="31">COUNTIF(AC4:AC21,"PL")</f>
        <v>1</v>
      </c>
      <c r="AD28">
        <f t="shared" si="31"/>
        <v>0</v>
      </c>
      <c r="AE28">
        <f t="shared" si="31"/>
        <v>0</v>
      </c>
      <c r="AF28">
        <f>COUNTIF(AF4:AF21,"PL")</f>
        <v>2</v>
      </c>
      <c r="AG28">
        <f>COUNTIF(AG4:AG21,"PL")</f>
        <v>1</v>
      </c>
      <c r="AH28">
        <f t="shared" ref="AH28:AJ28" si="32">COUNTIF(AH4:AH21,"PL")</f>
        <v>1</v>
      </c>
      <c r="AI28">
        <f t="shared" si="32"/>
        <v>1</v>
      </c>
      <c r="AJ28">
        <f t="shared" si="32"/>
        <v>0</v>
      </c>
    </row>
    <row r="29" spans="1:39" x14ac:dyDescent="0.35">
      <c r="A29" s="189" t="s">
        <v>33</v>
      </c>
      <c r="B29">
        <f>COUNTIF(B4:B21,"UPL")</f>
        <v>0</v>
      </c>
      <c r="C29">
        <f>COUNTIF(C4:C21,"UPL")</f>
        <v>0</v>
      </c>
      <c r="D29">
        <f>COUNTIF(D4:D21,"UPL")</f>
        <v>0</v>
      </c>
      <c r="E29">
        <f>COUNTIF(E4:E21,"UPL")</f>
        <v>0</v>
      </c>
      <c r="F29">
        <f>COUNTIF(F4:F21,"UPL")</f>
        <v>0</v>
      </c>
      <c r="G29">
        <f>COUNTIF(G4:G21,"UPL")</f>
        <v>0</v>
      </c>
      <c r="H29">
        <f t="shared" ref="H29:J29" si="33">COUNTIF(H4:H21,"UPL")</f>
        <v>0</v>
      </c>
      <c r="I29">
        <f t="shared" si="33"/>
        <v>0</v>
      </c>
      <c r="J29">
        <f t="shared" si="33"/>
        <v>0</v>
      </c>
      <c r="K29">
        <f>COUNTIF(K4:K21,"UPL")</f>
        <v>0</v>
      </c>
      <c r="L29">
        <f>COUNTIF(L4:L21,"UPL")</f>
        <v>0</v>
      </c>
      <c r="M29">
        <f>COUNTIF(M4:M21,"UPL")</f>
        <v>0</v>
      </c>
      <c r="N29">
        <f>COUNTIF(N4:N21,"UPL")</f>
        <v>0</v>
      </c>
      <c r="O29">
        <f t="shared" ref="O29:Q29" si="34">COUNTIF(O4:O21,"UPL")</f>
        <v>0</v>
      </c>
      <c r="P29">
        <f t="shared" si="34"/>
        <v>0</v>
      </c>
      <c r="Q29">
        <f t="shared" si="34"/>
        <v>0</v>
      </c>
      <c r="R29">
        <f>COUNTIF(R4:R21,"UPL")</f>
        <v>0</v>
      </c>
      <c r="S29">
        <f>COUNTIF(S4:S21,"UPL")</f>
        <v>0</v>
      </c>
      <c r="T29">
        <f>COUNTIF(T4:T21,"UPL")</f>
        <v>0</v>
      </c>
      <c r="U29">
        <f>COUNTIF(U4:U21,"UPL")</f>
        <v>0</v>
      </c>
      <c r="V29">
        <f t="shared" ref="V29:X29" si="35">COUNTIF(V4:V21,"UPL")</f>
        <v>0</v>
      </c>
      <c r="W29">
        <f t="shared" si="35"/>
        <v>0</v>
      </c>
      <c r="X29">
        <f t="shared" si="35"/>
        <v>0</v>
      </c>
      <c r="Y29">
        <f>COUNTIF(Y4:Y21,"UPL")</f>
        <v>0</v>
      </c>
      <c r="Z29">
        <f>COUNTIF(Z4:Z21,"UPL")</f>
        <v>0</v>
      </c>
      <c r="AA29">
        <f>COUNTIF(AA4:AA21,"UPL")</f>
        <v>0</v>
      </c>
      <c r="AB29">
        <f>COUNTIF(AB4:AB21,"UPL")</f>
        <v>0</v>
      </c>
      <c r="AC29">
        <f t="shared" ref="AC29:AE29" si="36">COUNTIF(AC4:AC21,"UPL")</f>
        <v>0</v>
      </c>
      <c r="AD29">
        <f t="shared" si="36"/>
        <v>0</v>
      </c>
      <c r="AE29">
        <f t="shared" si="36"/>
        <v>0</v>
      </c>
      <c r="AF29">
        <f>COUNTIF(AF4:AF21,"UPL")</f>
        <v>0</v>
      </c>
      <c r="AG29">
        <f>COUNTIF(AG4:AG21,"UPL")</f>
        <v>0</v>
      </c>
      <c r="AH29">
        <f t="shared" ref="AH29:AJ29" si="37">COUNTIF(AH4:AH21,"UPL")</f>
        <v>0</v>
      </c>
      <c r="AI29">
        <f t="shared" si="37"/>
        <v>0</v>
      </c>
      <c r="AJ29">
        <f t="shared" si="37"/>
        <v>0</v>
      </c>
    </row>
    <row r="30" spans="1:39" x14ac:dyDescent="0.35">
      <c r="A30" s="189" t="s">
        <v>172</v>
      </c>
      <c r="B30">
        <f>COUNTIF(B4:B21,"H")</f>
        <v>0</v>
      </c>
      <c r="C30">
        <f>COUNTIF(C4:C21,"H")</f>
        <v>0</v>
      </c>
      <c r="D30">
        <f>COUNTIF(D4:D21,"H")</f>
        <v>0</v>
      </c>
      <c r="E30">
        <f>COUNTIF(E4:E21,"H")</f>
        <v>0</v>
      </c>
      <c r="F30">
        <f>COUNTIF(F4:F21,"H")</f>
        <v>7</v>
      </c>
      <c r="G30">
        <f>COUNTIF(G4:G21,"H")</f>
        <v>0</v>
      </c>
      <c r="H30">
        <f t="shared" ref="H30:J30" si="38">COUNTIF(H4:H21,"H")</f>
        <v>0</v>
      </c>
      <c r="I30">
        <f t="shared" si="38"/>
        <v>0</v>
      </c>
      <c r="J30">
        <f t="shared" si="38"/>
        <v>0</v>
      </c>
      <c r="K30">
        <f>COUNTIF(K4:K21,"H")</f>
        <v>0</v>
      </c>
      <c r="L30">
        <f>COUNTIF(L4:L21,"H")</f>
        <v>0</v>
      </c>
      <c r="M30">
        <f>COUNTIF(M4:M21,"H")</f>
        <v>0</v>
      </c>
      <c r="N30">
        <f>COUNTIF(N4:N21,"H")</f>
        <v>0</v>
      </c>
      <c r="O30">
        <f t="shared" ref="O30:Q30" si="39">COUNTIF(O4:O21,"H")</f>
        <v>0</v>
      </c>
      <c r="P30">
        <f t="shared" si="39"/>
        <v>0</v>
      </c>
      <c r="Q30">
        <f t="shared" si="39"/>
        <v>0</v>
      </c>
      <c r="R30">
        <f>COUNTIF(R4:R21,"H")</f>
        <v>0</v>
      </c>
      <c r="S30">
        <f>COUNTIF(S4:S21,"H")</f>
        <v>0</v>
      </c>
      <c r="T30">
        <f>COUNTIF(T4:T21,"H")</f>
        <v>0</v>
      </c>
      <c r="U30">
        <f>COUNTIF(U4:U21,"H")</f>
        <v>0</v>
      </c>
      <c r="V30">
        <f t="shared" ref="V30:X30" si="40">COUNTIF(V4:V21,"H")</f>
        <v>0</v>
      </c>
      <c r="W30">
        <f t="shared" si="40"/>
        <v>0</v>
      </c>
      <c r="X30">
        <f t="shared" si="40"/>
        <v>0</v>
      </c>
      <c r="Y30">
        <f>COUNTIF(Y4:Y21,"H")</f>
        <v>0</v>
      </c>
      <c r="Z30">
        <f>COUNTIF(Z4:Z21,"H")</f>
        <v>0</v>
      </c>
      <c r="AA30">
        <f>COUNTIF(AA4:AA21,"H")</f>
        <v>0</v>
      </c>
      <c r="AB30">
        <f>COUNTIF(AB4:AB21,"H")</f>
        <v>0</v>
      </c>
      <c r="AC30">
        <f t="shared" ref="AC30:AE30" si="41">COUNTIF(AC4:AC21,"H")</f>
        <v>0</v>
      </c>
      <c r="AD30">
        <f t="shared" si="41"/>
        <v>0</v>
      </c>
      <c r="AE30">
        <f t="shared" si="41"/>
        <v>6</v>
      </c>
      <c r="AF30">
        <f>COUNTIF(AF4:AF21,"H")</f>
        <v>0</v>
      </c>
      <c r="AG30">
        <f>COUNTIF(AG4:AG21,"H")</f>
        <v>0</v>
      </c>
      <c r="AH30">
        <f t="shared" ref="AH30:AJ30" si="42">COUNTIF(AH4:AH21,"H")</f>
        <v>0</v>
      </c>
      <c r="AI30">
        <f t="shared" si="42"/>
        <v>0</v>
      </c>
      <c r="AJ30">
        <f t="shared" si="42"/>
        <v>0</v>
      </c>
    </row>
    <row r="31" spans="1:39" x14ac:dyDescent="0.35">
      <c r="A31" s="189" t="s">
        <v>162</v>
      </c>
      <c r="B31" s="138">
        <f t="shared" ref="B31:E31" si="43">SUM(B23:B30)</f>
        <v>16</v>
      </c>
      <c r="C31" s="138">
        <f t="shared" si="43"/>
        <v>16</v>
      </c>
      <c r="D31" s="138">
        <f t="shared" si="43"/>
        <v>16</v>
      </c>
      <c r="E31" s="138">
        <f t="shared" si="43"/>
        <v>16</v>
      </c>
      <c r="F31" s="138">
        <f t="shared" ref="F31:G31" si="44">SUM(F23:F30)</f>
        <v>16</v>
      </c>
      <c r="G31" s="138">
        <f t="shared" si="44"/>
        <v>16</v>
      </c>
      <c r="H31" s="138">
        <f t="shared" ref="H31:N31" si="45">SUM(H23:H30)</f>
        <v>16</v>
      </c>
      <c r="I31" s="138">
        <f t="shared" si="45"/>
        <v>16</v>
      </c>
      <c r="J31" s="138">
        <f t="shared" si="45"/>
        <v>16</v>
      </c>
      <c r="K31" s="138">
        <f t="shared" si="45"/>
        <v>16</v>
      </c>
      <c r="L31" s="138">
        <f t="shared" si="45"/>
        <v>16</v>
      </c>
      <c r="M31" s="138">
        <f t="shared" si="45"/>
        <v>16</v>
      </c>
      <c r="N31" s="138">
        <f t="shared" si="45"/>
        <v>16</v>
      </c>
      <c r="O31" s="138">
        <f t="shared" ref="O31:AG31" si="46">SUM(O23:O30)</f>
        <v>16</v>
      </c>
      <c r="P31" s="138">
        <f t="shared" si="46"/>
        <v>16</v>
      </c>
      <c r="Q31" s="138">
        <f t="shared" si="46"/>
        <v>16</v>
      </c>
      <c r="R31" s="138">
        <f t="shared" si="46"/>
        <v>16</v>
      </c>
      <c r="S31" s="138">
        <f t="shared" si="46"/>
        <v>16</v>
      </c>
      <c r="T31" s="138">
        <f t="shared" si="46"/>
        <v>16</v>
      </c>
      <c r="U31" s="138">
        <f t="shared" si="46"/>
        <v>16</v>
      </c>
      <c r="V31" s="138">
        <f t="shared" si="46"/>
        <v>16</v>
      </c>
      <c r="W31" s="138">
        <f t="shared" si="46"/>
        <v>16</v>
      </c>
      <c r="X31" s="138">
        <f t="shared" si="46"/>
        <v>16</v>
      </c>
      <c r="Y31" s="138">
        <f t="shared" si="46"/>
        <v>16</v>
      </c>
      <c r="Z31" s="138">
        <f t="shared" si="46"/>
        <v>16</v>
      </c>
      <c r="AA31" s="138">
        <f t="shared" si="46"/>
        <v>16</v>
      </c>
      <c r="AB31" s="138">
        <f t="shared" si="46"/>
        <v>16</v>
      </c>
      <c r="AC31" s="138">
        <f t="shared" si="46"/>
        <v>16</v>
      </c>
      <c r="AD31" s="138">
        <f t="shared" si="46"/>
        <v>16</v>
      </c>
      <c r="AE31" s="138">
        <f t="shared" si="46"/>
        <v>16</v>
      </c>
      <c r="AF31" s="138">
        <f t="shared" si="46"/>
        <v>16</v>
      </c>
      <c r="AG31" s="138">
        <f t="shared" si="46"/>
        <v>16</v>
      </c>
      <c r="AH31" s="138">
        <f t="shared" ref="AH31:AJ31" si="47">SUM(AH23:AH30)</f>
        <v>16</v>
      </c>
      <c r="AI31" s="138">
        <f t="shared" si="47"/>
        <v>16</v>
      </c>
      <c r="AJ31" s="138">
        <f t="shared" si="47"/>
        <v>16</v>
      </c>
    </row>
  </sheetData>
  <conditionalFormatting sqref="B23:C26">
    <cfRule type="cellIs" dxfId="14" priority="25" operator="lessThan">
      <formula>3</formula>
    </cfRule>
  </conditionalFormatting>
  <conditionalFormatting sqref="D23:E26">
    <cfRule type="cellIs" dxfId="13" priority="15" operator="lessThan">
      <formula>3</formula>
    </cfRule>
  </conditionalFormatting>
  <conditionalFormatting sqref="F23:G26">
    <cfRule type="cellIs" dxfId="12" priority="13" operator="lessThan">
      <formula>3</formula>
    </cfRule>
  </conditionalFormatting>
  <conditionalFormatting sqref="H23:J26">
    <cfRule type="cellIs" dxfId="11" priority="12" operator="lessThan">
      <formula>3</formula>
    </cfRule>
  </conditionalFormatting>
  <conditionalFormatting sqref="K23:L26">
    <cfRule type="cellIs" dxfId="10" priority="11" operator="lessThan">
      <formula>3</formula>
    </cfRule>
  </conditionalFormatting>
  <conditionalFormatting sqref="M23:N26">
    <cfRule type="cellIs" dxfId="9" priority="10" operator="lessThan">
      <formula>3</formula>
    </cfRule>
  </conditionalFormatting>
  <conditionalFormatting sqref="O23:Q26">
    <cfRule type="cellIs" dxfId="8" priority="9" operator="lessThan">
      <formula>3</formula>
    </cfRule>
  </conditionalFormatting>
  <conditionalFormatting sqref="R23:S26">
    <cfRule type="cellIs" dxfId="7" priority="8" operator="lessThan">
      <formula>3</formula>
    </cfRule>
  </conditionalFormatting>
  <conditionalFormatting sqref="T23:U26">
    <cfRule type="cellIs" dxfId="6" priority="7" operator="lessThan">
      <formula>3</formula>
    </cfRule>
  </conditionalFormatting>
  <conditionalFormatting sqref="V23:X26">
    <cfRule type="cellIs" dxfId="5" priority="6" operator="lessThan">
      <formula>3</formula>
    </cfRule>
  </conditionalFormatting>
  <conditionalFormatting sqref="Y23:Z26">
    <cfRule type="cellIs" dxfId="4" priority="5" operator="lessThan">
      <formula>3</formula>
    </cfRule>
  </conditionalFormatting>
  <conditionalFormatting sqref="AA23:AB26">
    <cfRule type="cellIs" dxfId="3" priority="4" operator="lessThan">
      <formula>3</formula>
    </cfRule>
  </conditionalFormatting>
  <conditionalFormatting sqref="AC23:AE26">
    <cfRule type="cellIs" dxfId="2" priority="3" operator="lessThan">
      <formula>3</formula>
    </cfRule>
  </conditionalFormatting>
  <conditionalFormatting sqref="AF23:AG26">
    <cfRule type="cellIs" dxfId="1" priority="2" operator="lessThan">
      <formula>3</formula>
    </cfRule>
  </conditionalFormatting>
  <conditionalFormatting sqref="AH23:AJ26">
    <cfRule type="cellIs" dxfId="0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129F7-2B48-4430-9687-2DDAF166C988}">
  <dimension ref="A1:AH31"/>
  <sheetViews>
    <sheetView zoomScale="56" zoomScaleNormal="56" workbookViewId="0">
      <pane xSplit="1" topLeftCell="C1" activePane="topRight" state="frozen"/>
      <selection pane="topRight" activeCell="P30" sqref="P30"/>
    </sheetView>
  </sheetViews>
  <sheetFormatPr defaultRowHeight="14.5" x14ac:dyDescent="0.35"/>
  <cols>
    <col min="1" max="1" width="26.453125" bestFit="1" customWidth="1"/>
  </cols>
  <sheetData>
    <row r="1" spans="1:34" x14ac:dyDescent="0.35">
      <c r="A1" s="70"/>
      <c r="B1" s="2" t="str">
        <f t="shared" ref="B1:AH1" si="0">TEXT(B2,"ddd")</f>
        <v>Mon</v>
      </c>
      <c r="C1" s="2" t="str">
        <f t="shared" si="0"/>
        <v>Tue</v>
      </c>
      <c r="D1" s="2" t="str">
        <f t="shared" si="0"/>
        <v>Mon</v>
      </c>
      <c r="E1" s="2" t="str">
        <f t="shared" si="0"/>
        <v>Tue</v>
      </c>
      <c r="F1" s="2" t="str">
        <f t="shared" si="0"/>
        <v>Wed</v>
      </c>
      <c r="G1" s="2" t="str">
        <f t="shared" si="0"/>
        <v>Thu</v>
      </c>
      <c r="H1" s="2" t="str">
        <f t="shared" si="0"/>
        <v>Fri</v>
      </c>
      <c r="I1" s="2" t="str">
        <f t="shared" si="0"/>
        <v>Sat</v>
      </c>
      <c r="J1" s="2" t="str">
        <f t="shared" si="0"/>
        <v>Sun</v>
      </c>
      <c r="K1" s="2" t="str">
        <f t="shared" si="0"/>
        <v>Mon</v>
      </c>
      <c r="L1" s="2" t="str">
        <f t="shared" si="0"/>
        <v>Tue</v>
      </c>
      <c r="M1" s="2" t="str">
        <f t="shared" si="0"/>
        <v>Wed</v>
      </c>
      <c r="N1" s="2" t="str">
        <f t="shared" si="0"/>
        <v>Thu</v>
      </c>
      <c r="O1" s="2" t="str">
        <f t="shared" si="0"/>
        <v>Fri</v>
      </c>
      <c r="P1" s="2" t="str">
        <f t="shared" si="0"/>
        <v>Sat</v>
      </c>
      <c r="Q1" s="2" t="str">
        <f t="shared" si="0"/>
        <v>Sun</v>
      </c>
      <c r="R1" s="2" t="str">
        <f t="shared" si="0"/>
        <v>Mon</v>
      </c>
      <c r="S1" s="2" t="str">
        <f t="shared" si="0"/>
        <v>Tue</v>
      </c>
      <c r="T1" s="2" t="str">
        <f t="shared" si="0"/>
        <v>Wed</v>
      </c>
      <c r="U1" s="2" t="str">
        <f t="shared" si="0"/>
        <v>Thu</v>
      </c>
      <c r="V1" s="2" t="str">
        <f t="shared" si="0"/>
        <v>Fri</v>
      </c>
      <c r="W1" s="2" t="str">
        <f t="shared" si="0"/>
        <v>Sat</v>
      </c>
      <c r="X1" s="2" t="str">
        <f t="shared" si="0"/>
        <v>Sun</v>
      </c>
      <c r="Y1" s="2" t="str">
        <f t="shared" si="0"/>
        <v>Mon</v>
      </c>
      <c r="Z1" s="2" t="str">
        <f t="shared" si="0"/>
        <v>Tue</v>
      </c>
      <c r="AA1" s="2" t="str">
        <f t="shared" si="0"/>
        <v>Wed</v>
      </c>
      <c r="AB1" s="2" t="str">
        <f t="shared" si="0"/>
        <v>Thu</v>
      </c>
      <c r="AC1" s="2" t="str">
        <f t="shared" si="0"/>
        <v>Fri</v>
      </c>
      <c r="AD1" s="2" t="str">
        <f t="shared" si="0"/>
        <v>Sat</v>
      </c>
      <c r="AE1" s="2" t="str">
        <f t="shared" si="0"/>
        <v>Sun</v>
      </c>
      <c r="AF1" s="2" t="str">
        <f t="shared" si="0"/>
        <v>Mon</v>
      </c>
      <c r="AG1" s="2" t="str">
        <f t="shared" si="0"/>
        <v>Tue</v>
      </c>
      <c r="AH1" s="2" t="str">
        <f t="shared" si="0"/>
        <v>Wed</v>
      </c>
    </row>
    <row r="2" spans="1:34" x14ac:dyDescent="0.35">
      <c r="A2" s="104" t="s">
        <v>0</v>
      </c>
      <c r="B2" s="31">
        <v>45292</v>
      </c>
      <c r="C2" s="31">
        <v>45293</v>
      </c>
      <c r="D2" s="31">
        <v>45320</v>
      </c>
      <c r="E2" s="31">
        <v>45321</v>
      </c>
      <c r="F2" s="31">
        <v>45322</v>
      </c>
      <c r="G2" s="31">
        <v>45323</v>
      </c>
      <c r="H2" s="31">
        <v>45324</v>
      </c>
      <c r="I2" s="31">
        <v>45325</v>
      </c>
      <c r="J2" s="31">
        <v>45326</v>
      </c>
      <c r="K2" s="31">
        <v>45327</v>
      </c>
      <c r="L2" s="31">
        <v>45328</v>
      </c>
      <c r="M2" s="31">
        <v>45329</v>
      </c>
      <c r="N2" s="31">
        <v>45330</v>
      </c>
      <c r="O2" s="31">
        <v>45331</v>
      </c>
      <c r="P2" s="31">
        <v>45332</v>
      </c>
      <c r="Q2" s="31">
        <v>45333</v>
      </c>
      <c r="R2" s="31">
        <v>45334</v>
      </c>
      <c r="S2" s="31">
        <v>45335</v>
      </c>
      <c r="T2" s="31">
        <v>45336</v>
      </c>
      <c r="U2" s="31">
        <v>45337</v>
      </c>
      <c r="V2" s="31">
        <v>45338</v>
      </c>
      <c r="W2" s="31">
        <v>45339</v>
      </c>
      <c r="X2" s="31">
        <v>45340</v>
      </c>
      <c r="Y2" s="31">
        <v>45341</v>
      </c>
      <c r="Z2" s="31">
        <v>45342</v>
      </c>
      <c r="AA2" s="31">
        <v>45343</v>
      </c>
      <c r="AB2" s="31">
        <v>45344</v>
      </c>
      <c r="AC2" s="31">
        <v>45345</v>
      </c>
      <c r="AD2" s="31">
        <v>45346</v>
      </c>
      <c r="AE2" s="31">
        <v>45347</v>
      </c>
      <c r="AF2" s="31">
        <v>45348</v>
      </c>
      <c r="AG2" s="31">
        <v>45349</v>
      </c>
      <c r="AH2" s="31">
        <v>45350</v>
      </c>
    </row>
    <row r="3" spans="1:34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34" x14ac:dyDescent="0.35">
      <c r="A4" s="193" t="s">
        <v>57</v>
      </c>
      <c r="G4" s="19" t="s">
        <v>41</v>
      </c>
    </row>
    <row r="5" spans="1:34" x14ac:dyDescent="0.35">
      <c r="A5" s="193" t="s">
        <v>75</v>
      </c>
      <c r="B5" s="185" t="s">
        <v>10</v>
      </c>
      <c r="G5" s="19" t="s">
        <v>41</v>
      </c>
    </row>
    <row r="6" spans="1:34" x14ac:dyDescent="0.35">
      <c r="A6" s="182" t="s">
        <v>21</v>
      </c>
      <c r="G6" s="19" t="s">
        <v>41</v>
      </c>
    </row>
    <row r="7" spans="1:34" x14ac:dyDescent="0.35">
      <c r="A7" s="182" t="s">
        <v>22</v>
      </c>
      <c r="G7" s="19" t="s">
        <v>41</v>
      </c>
    </row>
    <row r="8" spans="1:34" x14ac:dyDescent="0.35">
      <c r="A8" s="182" t="s">
        <v>76</v>
      </c>
      <c r="C8" s="131" t="s">
        <v>5</v>
      </c>
      <c r="G8" s="19" t="s">
        <v>41</v>
      </c>
    </row>
    <row r="9" spans="1:34" x14ac:dyDescent="0.35">
      <c r="A9" s="182" t="s">
        <v>225</v>
      </c>
      <c r="G9" s="19" t="s">
        <v>41</v>
      </c>
    </row>
    <row r="11" spans="1:34" x14ac:dyDescent="0.35">
      <c r="A11" s="193" t="s">
        <v>9</v>
      </c>
      <c r="B11" s="25" t="s">
        <v>6</v>
      </c>
      <c r="G11" s="25" t="s">
        <v>6</v>
      </c>
      <c r="X11" s="131" t="s">
        <v>5</v>
      </c>
      <c r="Y11" s="131" t="s">
        <v>5</v>
      </c>
      <c r="Z11" s="131" t="s">
        <v>5</v>
      </c>
      <c r="AA11" s="131" t="s">
        <v>5</v>
      </c>
      <c r="AB11" s="131" t="s">
        <v>5</v>
      </c>
      <c r="AC11" s="131" t="s">
        <v>5</v>
      </c>
      <c r="AD11" s="131" t="s">
        <v>5</v>
      </c>
      <c r="AE11" s="131" t="s">
        <v>5</v>
      </c>
      <c r="AF11" s="131" t="s">
        <v>5</v>
      </c>
      <c r="AG11" s="131" t="s">
        <v>5</v>
      </c>
      <c r="AH11" s="131" t="s">
        <v>5</v>
      </c>
    </row>
    <row r="12" spans="1:34" x14ac:dyDescent="0.35">
      <c r="A12" s="182" t="s">
        <v>15</v>
      </c>
      <c r="B12" s="19" t="s">
        <v>41</v>
      </c>
      <c r="G12" s="25" t="s">
        <v>6</v>
      </c>
    </row>
    <row r="13" spans="1:34" x14ac:dyDescent="0.35">
      <c r="A13" s="193" t="s">
        <v>155</v>
      </c>
      <c r="G13" s="25" t="s">
        <v>6</v>
      </c>
    </row>
    <row r="14" spans="1:34" x14ac:dyDescent="0.35">
      <c r="A14" s="182" t="s">
        <v>77</v>
      </c>
      <c r="G14" s="25" t="s">
        <v>6</v>
      </c>
    </row>
    <row r="15" spans="1:34" x14ac:dyDescent="0.35">
      <c r="A15" s="182" t="s">
        <v>181</v>
      </c>
      <c r="G15" s="25" t="s">
        <v>6</v>
      </c>
    </row>
    <row r="17" spans="1:7" x14ac:dyDescent="0.35">
      <c r="A17" s="193" t="s">
        <v>1</v>
      </c>
      <c r="G17" s="185" t="s">
        <v>10</v>
      </c>
    </row>
    <row r="18" spans="1:7" x14ac:dyDescent="0.35">
      <c r="A18" s="193" t="s">
        <v>43</v>
      </c>
      <c r="G18" s="185" t="s">
        <v>10</v>
      </c>
    </row>
    <row r="19" spans="1:7" x14ac:dyDescent="0.35">
      <c r="A19" s="182" t="s">
        <v>74</v>
      </c>
      <c r="G19" s="185" t="s">
        <v>10</v>
      </c>
    </row>
    <row r="20" spans="1:7" x14ac:dyDescent="0.35">
      <c r="A20" s="182" t="s">
        <v>62</v>
      </c>
      <c r="G20" s="185" t="s">
        <v>10</v>
      </c>
    </row>
    <row r="21" spans="1:7" x14ac:dyDescent="0.35">
      <c r="A21" s="182" t="s">
        <v>226</v>
      </c>
      <c r="G21" s="185" t="s">
        <v>10</v>
      </c>
    </row>
    <row r="23" spans="1:7" x14ac:dyDescent="0.35">
      <c r="A23" s="189" t="s">
        <v>156</v>
      </c>
    </row>
    <row r="24" spans="1:7" x14ac:dyDescent="0.35">
      <c r="A24" s="189" t="s">
        <v>157</v>
      </c>
    </row>
    <row r="25" spans="1:7" x14ac:dyDescent="0.35">
      <c r="A25" s="189" t="s">
        <v>158</v>
      </c>
    </row>
    <row r="26" spans="1:7" x14ac:dyDescent="0.35">
      <c r="A26" s="189" t="s">
        <v>159</v>
      </c>
    </row>
    <row r="27" spans="1:7" x14ac:dyDescent="0.35">
      <c r="A27" s="189" t="s">
        <v>160</v>
      </c>
    </row>
    <row r="28" spans="1:7" x14ac:dyDescent="0.35">
      <c r="A28" s="189" t="s">
        <v>161</v>
      </c>
    </row>
    <row r="29" spans="1:7" x14ac:dyDescent="0.35">
      <c r="A29" s="189" t="s">
        <v>33</v>
      </c>
    </row>
    <row r="30" spans="1:7" x14ac:dyDescent="0.35">
      <c r="A30" s="189" t="s">
        <v>172</v>
      </c>
    </row>
    <row r="31" spans="1:7" x14ac:dyDescent="0.35">
      <c r="A31" s="189" t="s">
        <v>162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17"/>
  <sheetViews>
    <sheetView workbookViewId="0">
      <selection activeCell="G14" sqref="G14"/>
    </sheetView>
  </sheetViews>
  <sheetFormatPr defaultRowHeight="14.5" x14ac:dyDescent="0.35"/>
  <cols>
    <col min="1" max="1" width="17.08984375" bestFit="1" customWidth="1"/>
    <col min="2" max="2" width="15.6328125" bestFit="1" customWidth="1"/>
  </cols>
  <sheetData>
    <row r="1" spans="1:3" x14ac:dyDescent="0.35">
      <c r="A1" s="7" t="s">
        <v>0</v>
      </c>
      <c r="B1" s="256" t="s">
        <v>79</v>
      </c>
      <c r="C1" s="257"/>
    </row>
    <row r="2" spans="1:3" x14ac:dyDescent="0.35">
      <c r="A2" s="8"/>
      <c r="B2" s="8"/>
      <c r="C2" s="8"/>
    </row>
    <row r="3" spans="1:3" x14ac:dyDescent="0.35">
      <c r="A3" s="9" t="s">
        <v>1</v>
      </c>
    </row>
    <row r="4" spans="1:3" x14ac:dyDescent="0.35">
      <c r="A4" s="9" t="s">
        <v>9</v>
      </c>
    </row>
    <row r="5" spans="1:3" x14ac:dyDescent="0.35">
      <c r="A5" s="9" t="s">
        <v>12</v>
      </c>
    </row>
    <row r="6" spans="1:3" x14ac:dyDescent="0.35">
      <c r="A6" s="9" t="s">
        <v>15</v>
      </c>
    </row>
    <row r="7" spans="1:3" x14ac:dyDescent="0.35">
      <c r="A7" s="9" t="s">
        <v>21</v>
      </c>
    </row>
    <row r="8" spans="1:3" x14ac:dyDescent="0.35">
      <c r="A8" s="9" t="s">
        <v>43</v>
      </c>
    </row>
    <row r="9" spans="1:3" x14ac:dyDescent="0.35">
      <c r="A9" s="9" t="s">
        <v>75</v>
      </c>
    </row>
    <row r="10" spans="1:3" x14ac:dyDescent="0.35">
      <c r="A10" s="9" t="s">
        <v>22</v>
      </c>
    </row>
    <row r="11" spans="1:3" x14ac:dyDescent="0.35">
      <c r="A11" s="9" t="s">
        <v>62</v>
      </c>
    </row>
    <row r="12" spans="1:3" x14ac:dyDescent="0.35">
      <c r="A12" s="9" t="s">
        <v>76</v>
      </c>
    </row>
    <row r="13" spans="1:3" x14ac:dyDescent="0.35">
      <c r="A13" s="9" t="s">
        <v>74</v>
      </c>
    </row>
    <row r="14" spans="1:3" x14ac:dyDescent="0.35">
      <c r="A14" s="9" t="s">
        <v>77</v>
      </c>
    </row>
    <row r="15" spans="1:3" x14ac:dyDescent="0.35">
      <c r="A15" s="9" t="s">
        <v>181</v>
      </c>
    </row>
    <row r="16" spans="1:3" x14ac:dyDescent="0.35">
      <c r="A16" s="9" t="s">
        <v>180</v>
      </c>
    </row>
    <row r="17" spans="1:1" x14ac:dyDescent="0.35">
      <c r="A17" s="9" t="s">
        <v>155</v>
      </c>
    </row>
  </sheetData>
  <mergeCells count="1">
    <mergeCell ref="B1:C1"/>
  </mergeCells>
  <pageMargins left="0.7" right="0.7" top="0.75" bottom="0.75" header="0.3" footer="0.3"/>
  <pageSetup paperSize="9"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20"/>
  <sheetViews>
    <sheetView workbookViewId="0">
      <selection activeCell="J13" sqref="J13"/>
    </sheetView>
  </sheetViews>
  <sheetFormatPr defaultRowHeight="14.5" x14ac:dyDescent="0.35"/>
  <cols>
    <col min="1" max="1" width="17.08984375" bestFit="1" customWidth="1"/>
  </cols>
  <sheetData>
    <row r="1" spans="1:2" x14ac:dyDescent="0.35">
      <c r="A1" s="250" t="s">
        <v>0</v>
      </c>
      <c r="B1" s="70" t="s">
        <v>380</v>
      </c>
    </row>
    <row r="2" spans="1:2" x14ac:dyDescent="0.35">
      <c r="A2" s="251"/>
      <c r="B2" s="70"/>
    </row>
    <row r="3" spans="1:2" x14ac:dyDescent="0.35">
      <c r="A3" s="258" t="s">
        <v>9</v>
      </c>
      <c r="B3" s="258">
        <v>8</v>
      </c>
    </row>
    <row r="4" spans="1:2" x14ac:dyDescent="0.35">
      <c r="A4" s="258" t="s">
        <v>75</v>
      </c>
      <c r="B4" s="258">
        <v>3</v>
      </c>
    </row>
    <row r="5" spans="1:2" x14ac:dyDescent="0.35">
      <c r="A5" s="258" t="s">
        <v>21</v>
      </c>
      <c r="B5" s="258">
        <v>3</v>
      </c>
    </row>
    <row r="6" spans="1:2" x14ac:dyDescent="0.35">
      <c r="A6" s="258" t="s">
        <v>22</v>
      </c>
      <c r="B6" s="258">
        <v>4</v>
      </c>
    </row>
    <row r="7" spans="1:2" x14ac:dyDescent="0.35">
      <c r="A7" s="251" t="s">
        <v>76</v>
      </c>
      <c r="B7" s="70">
        <v>4</v>
      </c>
    </row>
    <row r="8" spans="1:2" x14ac:dyDescent="0.35">
      <c r="A8" s="252" t="s">
        <v>225</v>
      </c>
      <c r="B8" s="252">
        <v>1</v>
      </c>
    </row>
    <row r="9" spans="1:2" x14ac:dyDescent="0.35">
      <c r="A9" s="251"/>
      <c r="B9" s="70"/>
    </row>
    <row r="10" spans="1:2" x14ac:dyDescent="0.35">
      <c r="A10" s="258" t="s">
        <v>1</v>
      </c>
      <c r="B10" s="258">
        <v>7</v>
      </c>
    </row>
    <row r="11" spans="1:2" x14ac:dyDescent="0.35">
      <c r="A11" s="258" t="s">
        <v>15</v>
      </c>
      <c r="B11" s="258">
        <v>9</v>
      </c>
    </row>
    <row r="12" spans="1:2" x14ac:dyDescent="0.35">
      <c r="A12" s="251" t="s">
        <v>155</v>
      </c>
      <c r="B12" s="70">
        <v>3</v>
      </c>
    </row>
    <row r="13" spans="1:2" s="253" customFormat="1" x14ac:dyDescent="0.35">
      <c r="A13" s="258" t="s">
        <v>77</v>
      </c>
      <c r="B13" s="258">
        <v>3</v>
      </c>
    </row>
    <row r="14" spans="1:2" x14ac:dyDescent="0.35">
      <c r="A14" s="251" t="s">
        <v>181</v>
      </c>
      <c r="B14" s="70">
        <v>2</v>
      </c>
    </row>
    <row r="15" spans="1:2" x14ac:dyDescent="0.35">
      <c r="A15" s="251"/>
      <c r="B15" s="70"/>
    </row>
    <row r="16" spans="1:2" x14ac:dyDescent="0.35">
      <c r="A16" s="251" t="s">
        <v>57</v>
      </c>
      <c r="B16" s="70">
        <v>6</v>
      </c>
    </row>
    <row r="17" spans="1:2" x14ac:dyDescent="0.35">
      <c r="A17" s="251" t="s">
        <v>43</v>
      </c>
      <c r="B17" s="70">
        <v>4</v>
      </c>
    </row>
    <row r="18" spans="1:2" x14ac:dyDescent="0.35">
      <c r="A18" s="258" t="s">
        <v>74</v>
      </c>
      <c r="B18" s="258">
        <v>3</v>
      </c>
    </row>
    <row r="19" spans="1:2" x14ac:dyDescent="0.35">
      <c r="A19" s="258" t="s">
        <v>62</v>
      </c>
      <c r="B19" s="258">
        <v>5</v>
      </c>
    </row>
    <row r="20" spans="1:2" x14ac:dyDescent="0.35">
      <c r="A20" s="251" t="s">
        <v>226</v>
      </c>
      <c r="B20" s="70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20"/>
  <sheetViews>
    <sheetView tabSelected="1" zoomScale="83" zoomScaleNormal="83" workbookViewId="0">
      <selection activeCell="N14" sqref="N14"/>
    </sheetView>
  </sheetViews>
  <sheetFormatPr defaultRowHeight="14.5" x14ac:dyDescent="0.35"/>
  <cols>
    <col min="1" max="1" width="18.08984375" bestFit="1" customWidth="1"/>
  </cols>
  <sheetData>
    <row r="1" spans="1:2" x14ac:dyDescent="0.35">
      <c r="B1" t="s">
        <v>379</v>
      </c>
    </row>
    <row r="2" spans="1:2" x14ac:dyDescent="0.35">
      <c r="A2" s="193" t="s">
        <v>1</v>
      </c>
      <c r="B2" s="249" t="s">
        <v>179</v>
      </c>
    </row>
    <row r="3" spans="1:2" x14ac:dyDescent="0.35">
      <c r="A3" s="182" t="s">
        <v>21</v>
      </c>
      <c r="B3" s="249" t="s">
        <v>179</v>
      </c>
    </row>
    <row r="4" spans="1:2" x14ac:dyDescent="0.35">
      <c r="A4" s="182" t="s">
        <v>75</v>
      </c>
      <c r="B4" s="249" t="s">
        <v>179</v>
      </c>
    </row>
    <row r="5" spans="1:2" x14ac:dyDescent="0.35">
      <c r="A5" s="182" t="s">
        <v>77</v>
      </c>
      <c r="B5" s="249" t="s">
        <v>179</v>
      </c>
    </row>
    <row r="6" spans="1:2" x14ac:dyDescent="0.35">
      <c r="A6" s="182" t="s">
        <v>76</v>
      </c>
      <c r="B6" s="249" t="s">
        <v>179</v>
      </c>
    </row>
    <row r="7" spans="1:2" x14ac:dyDescent="0.35">
      <c r="A7" s="194"/>
    </row>
    <row r="8" spans="1:2" x14ac:dyDescent="0.35">
      <c r="A8" s="193" t="s">
        <v>9</v>
      </c>
      <c r="B8" s="249" t="s">
        <v>179</v>
      </c>
    </row>
    <row r="9" spans="1:2" x14ac:dyDescent="0.35">
      <c r="A9" s="193" t="s">
        <v>15</v>
      </c>
      <c r="B9" s="249" t="s">
        <v>179</v>
      </c>
    </row>
    <row r="10" spans="1:2" x14ac:dyDescent="0.35">
      <c r="A10" s="182" t="s">
        <v>22</v>
      </c>
      <c r="B10" s="249" t="s">
        <v>179</v>
      </c>
    </row>
    <row r="11" spans="1:2" x14ac:dyDescent="0.35">
      <c r="A11" s="182" t="s">
        <v>181</v>
      </c>
      <c r="B11" s="249" t="s">
        <v>179</v>
      </c>
    </row>
    <row r="12" spans="1:2" x14ac:dyDescent="0.35">
      <c r="A12" s="182" t="s">
        <v>155</v>
      </c>
      <c r="B12" s="249" t="s">
        <v>179</v>
      </c>
    </row>
    <row r="13" spans="1:2" x14ac:dyDescent="0.35">
      <c r="A13" s="194"/>
    </row>
    <row r="14" spans="1:2" x14ac:dyDescent="0.35">
      <c r="A14" s="193" t="s">
        <v>57</v>
      </c>
      <c r="B14" s="249" t="s">
        <v>179</v>
      </c>
    </row>
    <row r="15" spans="1:2" x14ac:dyDescent="0.35">
      <c r="A15" s="193" t="s">
        <v>43</v>
      </c>
      <c r="B15" s="249" t="s">
        <v>179</v>
      </c>
    </row>
    <row r="16" spans="1:2" x14ac:dyDescent="0.35">
      <c r="A16" s="182" t="s">
        <v>74</v>
      </c>
      <c r="B16" s="249" t="s">
        <v>179</v>
      </c>
    </row>
    <row r="17" spans="1:2" x14ac:dyDescent="0.35">
      <c r="A17" s="182" t="s">
        <v>62</v>
      </c>
      <c r="B17" s="249" t="s">
        <v>179</v>
      </c>
    </row>
    <row r="19" spans="1:2" x14ac:dyDescent="0.35">
      <c r="A19" s="219" t="s">
        <v>227</v>
      </c>
      <c r="B19" s="249" t="s">
        <v>179</v>
      </c>
    </row>
    <row r="20" spans="1:2" x14ac:dyDescent="0.35">
      <c r="A20" s="219" t="s">
        <v>228</v>
      </c>
      <c r="B20" s="249" t="s">
        <v>179</v>
      </c>
    </row>
  </sheetData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filterMode="1"/>
  <dimension ref="A1:G59"/>
  <sheetViews>
    <sheetView topLeftCell="A28" workbookViewId="0">
      <selection activeCell="G40" sqref="G40"/>
    </sheetView>
  </sheetViews>
  <sheetFormatPr defaultRowHeight="14.5" x14ac:dyDescent="0.35"/>
  <cols>
    <col min="1" max="1" width="30.1796875" customWidth="1"/>
    <col min="6" max="6" width="12" customWidth="1"/>
    <col min="7" max="7" width="74.1796875" customWidth="1"/>
  </cols>
  <sheetData>
    <row r="1" spans="1:7" x14ac:dyDescent="0.35">
      <c r="A1" s="237" t="s">
        <v>235</v>
      </c>
      <c r="B1" s="237" t="s">
        <v>236</v>
      </c>
      <c r="C1" s="237" t="s">
        <v>237</v>
      </c>
      <c r="D1" s="237" t="s">
        <v>238</v>
      </c>
      <c r="E1" s="237" t="s">
        <v>239</v>
      </c>
      <c r="F1" s="238" t="s">
        <v>240</v>
      </c>
      <c r="G1" s="238" t="s">
        <v>241</v>
      </c>
    </row>
    <row r="2" spans="1:7" ht="15" hidden="1" thickBot="1" x14ac:dyDescent="0.4">
      <c r="A2" s="224" t="s">
        <v>242</v>
      </c>
      <c r="B2" s="225" t="s">
        <v>243</v>
      </c>
      <c r="C2" s="226">
        <v>46166124</v>
      </c>
      <c r="D2" s="227" t="s">
        <v>244</v>
      </c>
      <c r="E2" s="226">
        <v>0.01</v>
      </c>
      <c r="F2" s="228" t="s">
        <v>245</v>
      </c>
      <c r="G2" s="229"/>
    </row>
    <row r="3" spans="1:7" hidden="1" x14ac:dyDescent="0.35">
      <c r="A3" s="231" t="s">
        <v>246</v>
      </c>
      <c r="B3" s="232" t="s">
        <v>247</v>
      </c>
      <c r="C3" s="233">
        <v>46104334</v>
      </c>
      <c r="D3" s="234" t="s">
        <v>244</v>
      </c>
      <c r="E3" s="233">
        <v>0.28999999999999998</v>
      </c>
      <c r="F3" s="235" t="s">
        <v>248</v>
      </c>
      <c r="G3" s="236"/>
    </row>
    <row r="4" spans="1:7" x14ac:dyDescent="0.35">
      <c r="A4" s="239" t="s">
        <v>249</v>
      </c>
      <c r="B4" s="240" t="s">
        <v>250</v>
      </c>
      <c r="C4" s="241">
        <v>46122670</v>
      </c>
      <c r="D4" s="239" t="s">
        <v>244</v>
      </c>
      <c r="E4" s="241">
        <v>0.51</v>
      </c>
      <c r="F4" s="242" t="s">
        <v>251</v>
      </c>
      <c r="G4" s="243" t="s">
        <v>354</v>
      </c>
    </row>
    <row r="5" spans="1:7" ht="15" hidden="1" thickBot="1" x14ac:dyDescent="0.4">
      <c r="A5" s="224" t="s">
        <v>252</v>
      </c>
      <c r="B5" s="225" t="s">
        <v>253</v>
      </c>
      <c r="C5" s="226">
        <v>46151517</v>
      </c>
      <c r="D5" s="227" t="s">
        <v>244</v>
      </c>
      <c r="E5" s="226">
        <v>1</v>
      </c>
      <c r="F5" s="228" t="s">
        <v>245</v>
      </c>
      <c r="G5" s="229"/>
    </row>
    <row r="6" spans="1:7" hidden="1" x14ac:dyDescent="0.35">
      <c r="A6" s="231" t="s">
        <v>254</v>
      </c>
      <c r="B6" s="232" t="s">
        <v>255</v>
      </c>
      <c r="C6" s="233">
        <v>46075122</v>
      </c>
      <c r="D6" s="234" t="s">
        <v>244</v>
      </c>
      <c r="E6" s="233">
        <v>1.3733333329999999</v>
      </c>
      <c r="F6" s="235" t="s">
        <v>245</v>
      </c>
      <c r="G6" s="236"/>
    </row>
    <row r="7" spans="1:7" x14ac:dyDescent="0.35">
      <c r="A7" s="239" t="s">
        <v>256</v>
      </c>
      <c r="B7" s="240" t="s">
        <v>110</v>
      </c>
      <c r="C7" s="241">
        <v>46122508</v>
      </c>
      <c r="D7" s="239" t="s">
        <v>244</v>
      </c>
      <c r="E7" s="241">
        <v>2.08</v>
      </c>
      <c r="F7" s="242" t="s">
        <v>251</v>
      </c>
      <c r="G7" s="45" t="s">
        <v>357</v>
      </c>
    </row>
    <row r="8" spans="1:7" ht="15" hidden="1" thickBot="1" x14ac:dyDescent="0.4">
      <c r="A8" s="224" t="s">
        <v>257</v>
      </c>
      <c r="B8" s="225" t="s">
        <v>258</v>
      </c>
      <c r="C8" s="226">
        <v>46082663</v>
      </c>
      <c r="D8" s="227" t="s">
        <v>244</v>
      </c>
      <c r="E8" s="226">
        <v>2.08</v>
      </c>
      <c r="F8" s="228" t="s">
        <v>259</v>
      </c>
      <c r="G8" s="229"/>
    </row>
    <row r="9" spans="1:7" ht="15" hidden="1" thickBot="1" x14ac:dyDescent="0.4">
      <c r="A9" s="224" t="s">
        <v>260</v>
      </c>
      <c r="B9" s="225" t="s">
        <v>261</v>
      </c>
      <c r="C9" s="226">
        <v>46090140</v>
      </c>
      <c r="D9" s="227" t="s">
        <v>244</v>
      </c>
      <c r="E9" s="226">
        <v>2.08</v>
      </c>
      <c r="F9" s="228" t="s">
        <v>259</v>
      </c>
      <c r="G9" s="229"/>
    </row>
    <row r="10" spans="1:7" ht="15" hidden="1" thickBot="1" x14ac:dyDescent="0.4">
      <c r="A10" s="224" t="s">
        <v>262</v>
      </c>
      <c r="B10" s="225" t="s">
        <v>263</v>
      </c>
      <c r="C10" s="226">
        <v>46100597</v>
      </c>
      <c r="D10" s="227" t="s">
        <v>244</v>
      </c>
      <c r="E10" s="226">
        <v>2.58</v>
      </c>
      <c r="F10" s="228" t="s">
        <v>72</v>
      </c>
      <c r="G10" s="229"/>
    </row>
    <row r="11" spans="1:7" hidden="1" x14ac:dyDescent="0.35">
      <c r="A11" s="231" t="s">
        <v>264</v>
      </c>
      <c r="B11" s="232" t="s">
        <v>265</v>
      </c>
      <c r="C11" s="233">
        <v>46089665</v>
      </c>
      <c r="D11" s="234" t="s">
        <v>244</v>
      </c>
      <c r="E11" s="233">
        <v>2.66</v>
      </c>
      <c r="F11" s="235" t="s">
        <v>259</v>
      </c>
      <c r="G11" s="236"/>
    </row>
    <row r="12" spans="1:7" ht="56" x14ac:dyDescent="0.35">
      <c r="A12" s="239" t="s">
        <v>266</v>
      </c>
      <c r="B12" s="240" t="s">
        <v>164</v>
      </c>
      <c r="C12" s="241">
        <v>46226182</v>
      </c>
      <c r="D12" s="239" t="s">
        <v>244</v>
      </c>
      <c r="E12" s="241">
        <v>2.88</v>
      </c>
      <c r="F12" s="242" t="s">
        <v>251</v>
      </c>
      <c r="G12" s="243" t="s">
        <v>367</v>
      </c>
    </row>
    <row r="13" spans="1:7" ht="42" x14ac:dyDescent="0.35">
      <c r="A13" s="239" t="s">
        <v>267</v>
      </c>
      <c r="B13" s="240" t="s">
        <v>109</v>
      </c>
      <c r="C13" s="241">
        <v>46103795</v>
      </c>
      <c r="D13" s="239" t="s">
        <v>244</v>
      </c>
      <c r="E13" s="241">
        <v>3.08</v>
      </c>
      <c r="F13" s="242" t="s">
        <v>251</v>
      </c>
      <c r="G13" s="243" t="s">
        <v>358</v>
      </c>
    </row>
    <row r="14" spans="1:7" ht="15" hidden="1" thickBot="1" x14ac:dyDescent="0.4">
      <c r="A14" s="224" t="s">
        <v>268</v>
      </c>
      <c r="B14" s="225" t="s">
        <v>269</v>
      </c>
      <c r="C14" s="226">
        <v>1413701</v>
      </c>
      <c r="D14" s="227" t="s">
        <v>244</v>
      </c>
      <c r="E14" s="226">
        <v>3.1766666720000001</v>
      </c>
      <c r="F14" s="228" t="s">
        <v>270</v>
      </c>
      <c r="G14" s="229"/>
    </row>
    <row r="15" spans="1:7" ht="15" hidden="1" thickBot="1" x14ac:dyDescent="0.4">
      <c r="A15" s="224" t="s">
        <v>271</v>
      </c>
      <c r="B15" s="225" t="s">
        <v>272</v>
      </c>
      <c r="C15" s="226">
        <v>46122601</v>
      </c>
      <c r="D15" s="227" t="s">
        <v>244</v>
      </c>
      <c r="E15" s="226">
        <v>3.56</v>
      </c>
      <c r="F15" s="228" t="s">
        <v>273</v>
      </c>
      <c r="G15" s="229"/>
    </row>
    <row r="16" spans="1:7" hidden="1" x14ac:dyDescent="0.35">
      <c r="A16" s="231" t="s">
        <v>274</v>
      </c>
      <c r="B16" s="232" t="s">
        <v>275</v>
      </c>
      <c r="C16" s="233">
        <v>46026921</v>
      </c>
      <c r="D16" s="234" t="s">
        <v>244</v>
      </c>
      <c r="E16" s="233">
        <v>3.6233333330000002</v>
      </c>
      <c r="F16" s="235" t="s">
        <v>245</v>
      </c>
      <c r="G16" s="236"/>
    </row>
    <row r="17" spans="1:7" ht="42" x14ac:dyDescent="0.35">
      <c r="A17" s="239" t="s">
        <v>276</v>
      </c>
      <c r="B17" s="240" t="s">
        <v>55</v>
      </c>
      <c r="C17" s="241">
        <v>1116709</v>
      </c>
      <c r="D17" s="239" t="s">
        <v>244</v>
      </c>
      <c r="E17" s="241">
        <v>4.12</v>
      </c>
      <c r="F17" s="242" t="s">
        <v>251</v>
      </c>
      <c r="G17" s="243" t="s">
        <v>355</v>
      </c>
    </row>
    <row r="18" spans="1:7" x14ac:dyDescent="0.35">
      <c r="A18" s="239" t="s">
        <v>277</v>
      </c>
      <c r="B18" s="240" t="s">
        <v>278</v>
      </c>
      <c r="C18" s="241">
        <v>904589</v>
      </c>
      <c r="D18" s="239" t="s">
        <v>244</v>
      </c>
      <c r="E18" s="241">
        <v>4.12</v>
      </c>
      <c r="F18" s="242" t="s">
        <v>251</v>
      </c>
      <c r="G18" s="243" t="s">
        <v>356</v>
      </c>
    </row>
    <row r="19" spans="1:7" ht="15" hidden="1" thickBot="1" x14ac:dyDescent="0.4">
      <c r="A19" s="224" t="s">
        <v>279</v>
      </c>
      <c r="B19" s="225" t="s">
        <v>280</v>
      </c>
      <c r="C19" s="226">
        <v>46032355</v>
      </c>
      <c r="D19" s="227" t="s">
        <v>244</v>
      </c>
      <c r="E19" s="226">
        <v>4.16</v>
      </c>
      <c r="F19" s="228" t="s">
        <v>245</v>
      </c>
      <c r="G19" s="229"/>
    </row>
    <row r="20" spans="1:7" hidden="1" x14ac:dyDescent="0.35">
      <c r="A20" s="231" t="s">
        <v>281</v>
      </c>
      <c r="B20" s="232" t="s">
        <v>282</v>
      </c>
      <c r="C20" s="233">
        <v>1405753</v>
      </c>
      <c r="D20" s="234" t="s">
        <v>244</v>
      </c>
      <c r="E20" s="233">
        <v>4.24</v>
      </c>
      <c r="F20" s="235" t="s">
        <v>248</v>
      </c>
      <c r="G20" s="236"/>
    </row>
    <row r="21" spans="1:7" ht="28" x14ac:dyDescent="0.35">
      <c r="A21" s="239" t="s">
        <v>283</v>
      </c>
      <c r="B21" s="240" t="s">
        <v>61</v>
      </c>
      <c r="C21" s="241">
        <v>1448435</v>
      </c>
      <c r="D21" s="239" t="s">
        <v>244</v>
      </c>
      <c r="E21" s="241">
        <v>4.58</v>
      </c>
      <c r="F21" s="242" t="s">
        <v>251</v>
      </c>
      <c r="G21" s="243" t="s">
        <v>365</v>
      </c>
    </row>
    <row r="22" spans="1:7" hidden="1" x14ac:dyDescent="0.35">
      <c r="A22" s="231" t="s">
        <v>284</v>
      </c>
      <c r="B22" s="232" t="s">
        <v>285</v>
      </c>
      <c r="C22" s="233">
        <v>46049377</v>
      </c>
      <c r="D22" s="234" t="s">
        <v>244</v>
      </c>
      <c r="E22" s="233">
        <v>4.8766666670000003</v>
      </c>
      <c r="F22" s="235" t="s">
        <v>286</v>
      </c>
      <c r="G22" s="236"/>
    </row>
    <row r="23" spans="1:7" ht="72.5" x14ac:dyDescent="0.35">
      <c r="A23" s="239" t="s">
        <v>287</v>
      </c>
      <c r="B23" s="240" t="s">
        <v>71</v>
      </c>
      <c r="C23" s="241">
        <v>46029952</v>
      </c>
      <c r="D23" s="239" t="s">
        <v>244</v>
      </c>
      <c r="E23" s="241">
        <v>4.8899999999999997</v>
      </c>
      <c r="F23" s="242" t="s">
        <v>251</v>
      </c>
      <c r="G23" s="244" t="s">
        <v>361</v>
      </c>
    </row>
    <row r="24" spans="1:7" ht="15" hidden="1" thickBot="1" x14ac:dyDescent="0.4">
      <c r="A24" s="224" t="s">
        <v>288</v>
      </c>
      <c r="B24" s="225" t="s">
        <v>289</v>
      </c>
      <c r="C24" s="226">
        <v>1370995</v>
      </c>
      <c r="D24" s="227" t="s">
        <v>244</v>
      </c>
      <c r="E24" s="226">
        <v>4.91</v>
      </c>
      <c r="F24" s="228" t="s">
        <v>259</v>
      </c>
    </row>
    <row r="25" spans="1:7" ht="15" hidden="1" thickBot="1" x14ac:dyDescent="0.4">
      <c r="A25" s="224" t="s">
        <v>290</v>
      </c>
      <c r="B25" s="225" t="s">
        <v>291</v>
      </c>
      <c r="C25" s="226">
        <v>1448485</v>
      </c>
      <c r="D25" s="227" t="s">
        <v>244</v>
      </c>
      <c r="E25" s="226">
        <v>4.93</v>
      </c>
      <c r="F25" s="228" t="s">
        <v>248</v>
      </c>
      <c r="G25" t="s">
        <v>359</v>
      </c>
    </row>
    <row r="26" spans="1:7" hidden="1" x14ac:dyDescent="0.35">
      <c r="A26" s="231" t="s">
        <v>292</v>
      </c>
      <c r="B26" s="232" t="s">
        <v>293</v>
      </c>
      <c r="C26" s="233">
        <v>46067295</v>
      </c>
      <c r="D26" s="234" t="s">
        <v>244</v>
      </c>
      <c r="E26" s="233">
        <v>5.86</v>
      </c>
      <c r="F26" s="235" t="s">
        <v>72</v>
      </c>
    </row>
    <row r="27" spans="1:7" x14ac:dyDescent="0.35">
      <c r="A27" s="239" t="s">
        <v>294</v>
      </c>
      <c r="B27" s="240" t="s">
        <v>73</v>
      </c>
      <c r="C27" s="241">
        <v>46045351</v>
      </c>
      <c r="D27" s="239" t="s">
        <v>244</v>
      </c>
      <c r="E27" s="241">
        <v>6.12</v>
      </c>
      <c r="F27" s="242" t="s">
        <v>251</v>
      </c>
      <c r="G27" t="s">
        <v>360</v>
      </c>
    </row>
    <row r="28" spans="1:7" x14ac:dyDescent="0.35">
      <c r="A28" s="239" t="s">
        <v>295</v>
      </c>
      <c r="B28" s="240" t="s">
        <v>58</v>
      </c>
      <c r="C28" s="241">
        <v>1358209</v>
      </c>
      <c r="D28" s="239" t="s">
        <v>244</v>
      </c>
      <c r="E28" s="241">
        <v>6.176388889</v>
      </c>
      <c r="F28" s="242" t="s">
        <v>251</v>
      </c>
      <c r="G28" s="243" t="s">
        <v>356</v>
      </c>
    </row>
    <row r="29" spans="1:7" ht="15" hidden="1" thickBot="1" x14ac:dyDescent="0.4">
      <c r="A29" s="224" t="s">
        <v>296</v>
      </c>
      <c r="B29" s="225" t="s">
        <v>297</v>
      </c>
      <c r="C29" s="226">
        <v>1370303</v>
      </c>
      <c r="D29" s="227" t="s">
        <v>244</v>
      </c>
      <c r="E29" s="226">
        <v>6.18</v>
      </c>
      <c r="F29" s="228" t="s">
        <v>248</v>
      </c>
      <c r="G29" s="229"/>
    </row>
    <row r="30" spans="1:7" hidden="1" x14ac:dyDescent="0.35">
      <c r="A30" s="231" t="s">
        <v>298</v>
      </c>
      <c r="B30" s="232" t="s">
        <v>299</v>
      </c>
      <c r="C30" s="233">
        <v>1370847</v>
      </c>
      <c r="D30" s="234" t="s">
        <v>244</v>
      </c>
      <c r="E30" s="233">
        <v>6.61</v>
      </c>
      <c r="F30" s="235" t="s">
        <v>245</v>
      </c>
      <c r="G30" s="236"/>
    </row>
    <row r="31" spans="1:7" ht="280" x14ac:dyDescent="0.35">
      <c r="A31" s="239" t="s">
        <v>300</v>
      </c>
      <c r="B31" s="240" t="s">
        <v>108</v>
      </c>
      <c r="C31" s="241">
        <v>46075393</v>
      </c>
      <c r="D31" s="239" t="s">
        <v>244</v>
      </c>
      <c r="E31" s="241">
        <v>6.68</v>
      </c>
      <c r="F31" s="242" t="s">
        <v>251</v>
      </c>
      <c r="G31" s="243" t="s">
        <v>362</v>
      </c>
    </row>
    <row r="32" spans="1:7" ht="15" hidden="1" thickBot="1" x14ac:dyDescent="0.4">
      <c r="A32" s="224" t="s">
        <v>301</v>
      </c>
      <c r="B32" s="225" t="s">
        <v>302</v>
      </c>
      <c r="C32" s="226">
        <v>1455259</v>
      </c>
      <c r="D32" s="227" t="s">
        <v>244</v>
      </c>
      <c r="E32" s="226">
        <v>7.01</v>
      </c>
      <c r="F32" s="228" t="s">
        <v>245</v>
      </c>
      <c r="G32" s="229"/>
    </row>
    <row r="33" spans="1:7" ht="15" hidden="1" thickBot="1" x14ac:dyDescent="0.4">
      <c r="A33" s="224" t="s">
        <v>303</v>
      </c>
      <c r="B33" s="225" t="s">
        <v>304</v>
      </c>
      <c r="C33" s="226">
        <v>1234100</v>
      </c>
      <c r="D33" s="227" t="s">
        <v>244</v>
      </c>
      <c r="E33" s="226">
        <v>7.11</v>
      </c>
      <c r="F33" s="228" t="s">
        <v>72</v>
      </c>
      <c r="G33" s="229"/>
    </row>
    <row r="34" spans="1:7" ht="15" hidden="1" thickBot="1" x14ac:dyDescent="0.4">
      <c r="A34" s="224" t="s">
        <v>305</v>
      </c>
      <c r="B34" s="225" t="s">
        <v>306</v>
      </c>
      <c r="C34" s="226">
        <v>46165030</v>
      </c>
      <c r="D34" s="227" t="s">
        <v>244</v>
      </c>
      <c r="E34" s="226">
        <v>7.70388889</v>
      </c>
      <c r="F34" s="228" t="s">
        <v>245</v>
      </c>
      <c r="G34" s="229"/>
    </row>
    <row r="35" spans="1:7" ht="15" hidden="1" thickBot="1" x14ac:dyDescent="0.4">
      <c r="A35" s="224" t="s">
        <v>307</v>
      </c>
      <c r="B35" s="225" t="s">
        <v>308</v>
      </c>
      <c r="C35" s="226">
        <v>46052203</v>
      </c>
      <c r="D35" s="227" t="s">
        <v>244</v>
      </c>
      <c r="E35" s="226">
        <v>7.846666667</v>
      </c>
      <c r="F35" s="228" t="s">
        <v>273</v>
      </c>
      <c r="G35" s="229"/>
    </row>
    <row r="36" spans="1:7" ht="15" hidden="1" thickBot="1" x14ac:dyDescent="0.4">
      <c r="A36" s="224" t="s">
        <v>309</v>
      </c>
      <c r="B36" s="225" t="s">
        <v>310</v>
      </c>
      <c r="C36" s="226">
        <v>46047593</v>
      </c>
      <c r="D36" s="227" t="s">
        <v>244</v>
      </c>
      <c r="E36" s="226">
        <v>8.1950000000000003</v>
      </c>
      <c r="F36" s="228" t="s">
        <v>273</v>
      </c>
      <c r="G36" s="229"/>
    </row>
    <row r="37" spans="1:7" ht="15" hidden="1" thickBot="1" x14ac:dyDescent="0.4">
      <c r="A37" s="224" t="s">
        <v>311</v>
      </c>
      <c r="B37" s="225" t="s">
        <v>312</v>
      </c>
      <c r="C37" s="226">
        <v>46029956</v>
      </c>
      <c r="D37" s="227" t="s">
        <v>244</v>
      </c>
      <c r="E37" s="226">
        <v>10.326111109999999</v>
      </c>
      <c r="F37" s="228" t="s">
        <v>248</v>
      </c>
      <c r="G37" s="229"/>
    </row>
    <row r="38" spans="1:7" ht="15" hidden="1" thickBot="1" x14ac:dyDescent="0.4">
      <c r="A38" s="224" t="s">
        <v>313</v>
      </c>
      <c r="B38" s="225" t="s">
        <v>314</v>
      </c>
      <c r="C38" s="226">
        <v>46122096</v>
      </c>
      <c r="D38" s="227" t="s">
        <v>244</v>
      </c>
      <c r="E38" s="226">
        <v>11.30666667</v>
      </c>
      <c r="F38" s="228" t="s">
        <v>248</v>
      </c>
      <c r="G38" s="229"/>
    </row>
    <row r="39" spans="1:7" hidden="1" x14ac:dyDescent="0.35">
      <c r="A39" s="231" t="s">
        <v>315</v>
      </c>
      <c r="B39" s="232" t="s">
        <v>316</v>
      </c>
      <c r="C39" s="233">
        <v>46193476</v>
      </c>
      <c r="D39" s="234" t="s">
        <v>244</v>
      </c>
      <c r="E39" s="233">
        <v>11.37</v>
      </c>
      <c r="F39" s="235" t="s">
        <v>248</v>
      </c>
      <c r="G39" s="236"/>
    </row>
    <row r="40" spans="1:7" x14ac:dyDescent="0.35">
      <c r="A40" s="239" t="s">
        <v>317</v>
      </c>
      <c r="B40" s="240" t="s">
        <v>66</v>
      </c>
      <c r="C40" s="241">
        <v>46027125</v>
      </c>
      <c r="D40" s="239" t="s">
        <v>244</v>
      </c>
      <c r="E40" s="241">
        <v>14.42</v>
      </c>
      <c r="F40" s="242" t="s">
        <v>251</v>
      </c>
      <c r="G40" s="243" t="s">
        <v>366</v>
      </c>
    </row>
    <row r="41" spans="1:7" ht="15" hidden="1" thickBot="1" x14ac:dyDescent="0.4">
      <c r="A41" s="224" t="s">
        <v>318</v>
      </c>
      <c r="B41" s="225" t="s">
        <v>319</v>
      </c>
      <c r="C41" s="226">
        <v>46080369</v>
      </c>
      <c r="D41" s="227" t="s">
        <v>244</v>
      </c>
      <c r="E41" s="226">
        <v>15.08</v>
      </c>
      <c r="F41" s="228" t="s">
        <v>270</v>
      </c>
      <c r="G41" s="229"/>
    </row>
    <row r="42" spans="1:7" ht="15" hidden="1" thickBot="1" x14ac:dyDescent="0.4">
      <c r="A42" s="224" t="s">
        <v>320</v>
      </c>
      <c r="B42" s="225" t="s">
        <v>321</v>
      </c>
      <c r="C42" s="226">
        <v>46075133</v>
      </c>
      <c r="D42" s="227" t="s">
        <v>244</v>
      </c>
      <c r="E42" s="226">
        <v>16.708888890000001</v>
      </c>
      <c r="F42" s="228" t="s">
        <v>270</v>
      </c>
      <c r="G42" s="229"/>
    </row>
    <row r="43" spans="1:7" ht="15" hidden="1" thickBot="1" x14ac:dyDescent="0.4">
      <c r="A43" s="224" t="s">
        <v>322</v>
      </c>
      <c r="B43" s="225" t="s">
        <v>323</v>
      </c>
      <c r="C43" s="226">
        <v>46102785</v>
      </c>
      <c r="D43" s="227" t="s">
        <v>244</v>
      </c>
      <c r="E43" s="226">
        <v>17.07638889</v>
      </c>
      <c r="F43" s="228" t="s">
        <v>270</v>
      </c>
      <c r="G43" s="229"/>
    </row>
    <row r="44" spans="1:7" ht="15" hidden="1" thickBot="1" x14ac:dyDescent="0.4">
      <c r="A44" s="224" t="s">
        <v>324</v>
      </c>
      <c r="B44" s="225" t="s">
        <v>325</v>
      </c>
      <c r="C44" s="226">
        <v>46052461</v>
      </c>
      <c r="D44" s="227" t="s">
        <v>244</v>
      </c>
      <c r="E44" s="226">
        <v>17.396944439999999</v>
      </c>
      <c r="F44" s="228" t="s">
        <v>273</v>
      </c>
      <c r="G44" s="229"/>
    </row>
    <row r="45" spans="1:7" ht="15" hidden="1" thickBot="1" x14ac:dyDescent="0.4">
      <c r="A45" s="224" t="s">
        <v>326</v>
      </c>
      <c r="B45" s="225" t="s">
        <v>327</v>
      </c>
      <c r="C45" s="226">
        <v>46122915</v>
      </c>
      <c r="D45" s="227" t="s">
        <v>244</v>
      </c>
      <c r="E45" s="226">
        <v>17.603611109999999</v>
      </c>
      <c r="F45" s="228" t="s">
        <v>273</v>
      </c>
      <c r="G45" s="229"/>
    </row>
    <row r="46" spans="1:7" ht="15" hidden="1" thickBot="1" x14ac:dyDescent="0.4">
      <c r="A46" s="224" t="s">
        <v>328</v>
      </c>
      <c r="B46" s="225" t="s">
        <v>329</v>
      </c>
      <c r="C46" s="226">
        <v>46201375</v>
      </c>
      <c r="D46" s="227" t="s">
        <v>244</v>
      </c>
      <c r="E46" s="226">
        <v>24.843611110000001</v>
      </c>
      <c r="F46" s="228" t="s">
        <v>270</v>
      </c>
      <c r="G46" s="229"/>
    </row>
    <row r="47" spans="1:7" hidden="1" x14ac:dyDescent="0.35">
      <c r="A47" s="231" t="s">
        <v>330</v>
      </c>
      <c r="B47" s="232" t="s">
        <v>331</v>
      </c>
      <c r="C47" s="233">
        <v>46126198</v>
      </c>
      <c r="D47" s="234" t="s">
        <v>244</v>
      </c>
      <c r="E47" s="233">
        <v>25.53194444</v>
      </c>
      <c r="F47" s="235" t="s">
        <v>245</v>
      </c>
      <c r="G47" s="236"/>
    </row>
    <row r="48" spans="1:7" ht="126" x14ac:dyDescent="0.35">
      <c r="A48" s="239" t="s">
        <v>332</v>
      </c>
      <c r="B48" s="240" t="s">
        <v>333</v>
      </c>
      <c r="C48" s="241">
        <v>46140494</v>
      </c>
      <c r="D48" s="239" t="s">
        <v>244</v>
      </c>
      <c r="E48" s="241">
        <v>26.09</v>
      </c>
      <c r="F48" s="242" t="s">
        <v>251</v>
      </c>
      <c r="G48" s="243" t="s">
        <v>363</v>
      </c>
    </row>
    <row r="49" spans="1:7" hidden="1" x14ac:dyDescent="0.35">
      <c r="A49" s="231" t="s">
        <v>334</v>
      </c>
      <c r="B49" s="232" t="s">
        <v>335</v>
      </c>
      <c r="C49" s="233">
        <v>46046501</v>
      </c>
      <c r="D49" s="234" t="s">
        <v>244</v>
      </c>
      <c r="E49" s="233">
        <v>29.730833329999999</v>
      </c>
      <c r="F49" s="235" t="s">
        <v>72</v>
      </c>
      <c r="G49" s="236"/>
    </row>
    <row r="50" spans="1:7" ht="238" x14ac:dyDescent="0.35">
      <c r="A50" s="239" t="s">
        <v>336</v>
      </c>
      <c r="B50" s="240" t="s">
        <v>337</v>
      </c>
      <c r="C50" s="241">
        <v>46041450</v>
      </c>
      <c r="D50" s="239" t="s">
        <v>244</v>
      </c>
      <c r="E50" s="241">
        <v>32.173611110000003</v>
      </c>
      <c r="F50" s="242" t="s">
        <v>251</v>
      </c>
      <c r="G50" s="243" t="s">
        <v>364</v>
      </c>
    </row>
    <row r="51" spans="1:7" ht="15" hidden="1" thickBot="1" x14ac:dyDescent="0.4">
      <c r="A51" s="224" t="s">
        <v>338</v>
      </c>
      <c r="B51" s="225" t="s">
        <v>339</v>
      </c>
      <c r="C51" s="226">
        <v>46122919</v>
      </c>
      <c r="D51" s="227" t="s">
        <v>244</v>
      </c>
      <c r="E51" s="226">
        <v>34.21</v>
      </c>
      <c r="F51" s="228" t="s">
        <v>245</v>
      </c>
      <c r="G51" s="229"/>
    </row>
    <row r="52" spans="1:7" ht="15" hidden="1" thickBot="1" x14ac:dyDescent="0.4">
      <c r="A52" s="224" t="s">
        <v>340</v>
      </c>
      <c r="B52" s="225" t="s">
        <v>341</v>
      </c>
      <c r="C52" s="226">
        <v>46140484</v>
      </c>
      <c r="D52" s="227" t="s">
        <v>244</v>
      </c>
      <c r="E52" s="226">
        <v>35.07</v>
      </c>
      <c r="F52" s="228" t="s">
        <v>245</v>
      </c>
      <c r="G52" s="229"/>
    </row>
    <row r="53" spans="1:7" ht="15" hidden="1" thickBot="1" x14ac:dyDescent="0.4">
      <c r="A53" s="224" t="s">
        <v>342</v>
      </c>
      <c r="B53" s="225" t="s">
        <v>343</v>
      </c>
      <c r="C53" s="226">
        <v>46140386</v>
      </c>
      <c r="D53" s="227" t="s">
        <v>244</v>
      </c>
      <c r="E53" s="226">
        <v>39.513055549999997</v>
      </c>
      <c r="F53" s="228" t="s">
        <v>273</v>
      </c>
      <c r="G53" s="229"/>
    </row>
    <row r="54" spans="1:7" ht="15" hidden="1" thickBot="1" x14ac:dyDescent="0.4">
      <c r="A54" s="224" t="s">
        <v>344</v>
      </c>
      <c r="B54" s="225" t="s">
        <v>345</v>
      </c>
      <c r="C54" s="226">
        <v>46215266</v>
      </c>
      <c r="D54" s="227" t="s">
        <v>244</v>
      </c>
      <c r="E54" s="226">
        <v>40.182499999999997</v>
      </c>
      <c r="F54" s="228" t="s">
        <v>72</v>
      </c>
      <c r="G54" s="229"/>
    </row>
    <row r="55" spans="1:7" ht="15" hidden="1" thickBot="1" x14ac:dyDescent="0.4">
      <c r="A55" s="224" t="s">
        <v>346</v>
      </c>
      <c r="B55" s="225" t="s">
        <v>347</v>
      </c>
      <c r="C55" s="226">
        <v>46122095</v>
      </c>
      <c r="D55" s="227" t="s">
        <v>244</v>
      </c>
      <c r="E55" s="226">
        <v>40.32</v>
      </c>
      <c r="F55" s="228" t="s">
        <v>248</v>
      </c>
      <c r="G55" s="229"/>
    </row>
    <row r="56" spans="1:7" ht="15" hidden="1" thickBot="1" x14ac:dyDescent="0.4">
      <c r="A56" s="224" t="s">
        <v>348</v>
      </c>
      <c r="B56" s="225" t="s">
        <v>349</v>
      </c>
      <c r="C56" s="226">
        <v>46047028</v>
      </c>
      <c r="D56" s="227" t="s">
        <v>244</v>
      </c>
      <c r="E56" s="226">
        <v>40.82</v>
      </c>
      <c r="F56" s="228" t="s">
        <v>72</v>
      </c>
      <c r="G56" s="229"/>
    </row>
    <row r="57" spans="1:7" ht="15" hidden="1" thickBot="1" x14ac:dyDescent="0.4">
      <c r="A57" s="224" t="s">
        <v>350</v>
      </c>
      <c r="B57" s="225" t="s">
        <v>351</v>
      </c>
      <c r="C57" s="226">
        <v>46172671</v>
      </c>
      <c r="D57" s="227" t="s">
        <v>244</v>
      </c>
      <c r="E57" s="226">
        <v>46.42</v>
      </c>
      <c r="F57" s="228" t="s">
        <v>72</v>
      </c>
      <c r="G57" s="229"/>
    </row>
    <row r="58" spans="1:7" ht="15" hidden="1" thickBot="1" x14ac:dyDescent="0.4">
      <c r="A58" s="224" t="s">
        <v>352</v>
      </c>
      <c r="B58" s="225" t="s">
        <v>353</v>
      </c>
      <c r="C58" s="226">
        <v>46046598</v>
      </c>
      <c r="D58" s="227" t="s">
        <v>244</v>
      </c>
      <c r="E58" s="226">
        <v>46.826666670000002</v>
      </c>
      <c r="F58" s="228" t="s">
        <v>72</v>
      </c>
      <c r="G58" s="229"/>
    </row>
    <row r="59" spans="1:7" x14ac:dyDescent="0.35">
      <c r="A59" s="230"/>
    </row>
  </sheetData>
  <autoFilter ref="A1:G58" xr:uid="{00000000-0009-0000-0000-000024000000}">
    <filterColumn colId="5">
      <filters>
        <filter val="Saif/Rakesh"/>
      </filters>
    </filterColumn>
  </autoFilter>
  <hyperlinks>
    <hyperlink ref="B2" r:id="rId1" display="mailto:pragati.acharya@capgemini.com" xr:uid="{00000000-0004-0000-2400-000000000000}"/>
    <hyperlink ref="B3" r:id="rId2" display="mailto:harish.pralhad-ram-jat@capgemini.com" xr:uid="{00000000-0004-0000-2400-000001000000}"/>
    <hyperlink ref="B4" r:id="rId3" display="mailto:suraj-diwakar.athargade@capgemini.com" xr:uid="{00000000-0004-0000-2400-000002000000}"/>
    <hyperlink ref="B5" r:id="rId4" display="mailto:akshay.newaskar@capgemini.com" xr:uid="{00000000-0004-0000-2400-000003000000}"/>
    <hyperlink ref="B6" r:id="rId5" display="mailto:malhar-anand.sadhu@capgemini.com" xr:uid="{00000000-0004-0000-2400-000004000000}"/>
    <hyperlink ref="B7" r:id="rId6" display="mailto:shubham.a.mahajan@capgemini.com" xr:uid="{00000000-0004-0000-2400-000005000000}"/>
    <hyperlink ref="B8" r:id="rId7" display="mailto:ganesh-venkata-sri-sai-anish.palepu@capgemini.com" xr:uid="{00000000-0004-0000-2400-000006000000}"/>
    <hyperlink ref="B9" r:id="rId8" display="mailto:agnel.raja@capgemini.com" xr:uid="{00000000-0004-0000-2400-000007000000}"/>
    <hyperlink ref="B10" r:id="rId9" display="mailto:swapnalatha.tarala@capgemini.com" xr:uid="{00000000-0004-0000-2400-000008000000}"/>
    <hyperlink ref="B11" r:id="rId10" display="mailto:dharmesh-chandulal.patil@capgemini.com" xr:uid="{00000000-0004-0000-2400-000009000000}"/>
    <hyperlink ref="B12" r:id="rId11" display="mailto:mahesh.halkanche@capgemini.com" xr:uid="{00000000-0004-0000-2400-00000A000000}"/>
    <hyperlink ref="B13" r:id="rId12" display="mailto:munish.kumar@capgemini.com" xr:uid="{00000000-0004-0000-2400-00000B000000}"/>
    <hyperlink ref="B14" r:id="rId13" display="mailto:tapan.a.swain@capgemini.com" xr:uid="{00000000-0004-0000-2400-00000C000000}"/>
    <hyperlink ref="B15" r:id="rId14" display="mailto:komal.pawoolkar@capgemini.com" xr:uid="{00000000-0004-0000-2400-00000D000000}"/>
    <hyperlink ref="B16" r:id="rId15" display="mailto:gowtham.bathula@capgemini.com" xr:uid="{00000000-0004-0000-2400-00000E000000}"/>
    <hyperlink ref="B17" r:id="rId16" display="mailto:rakesh.b.r@capgemini.com" xr:uid="{00000000-0004-0000-2400-00000F000000}"/>
    <hyperlink ref="B18" r:id="rId17" display="mailto:saifullah.shaikh@capgemini.com" xr:uid="{00000000-0004-0000-2400-000010000000}"/>
    <hyperlink ref="B19" r:id="rId18" display="mailto:magham.bhavana@capgemini.com" xr:uid="{00000000-0004-0000-2400-000011000000}"/>
    <hyperlink ref="B20" r:id="rId19" display="mailto:ajay-kumar.annam@capgemini.com" xr:uid="{00000000-0004-0000-2400-000012000000}"/>
    <hyperlink ref="B21" r:id="rId20" display="mailto:avdhoot.potnis@capgemini.com" xr:uid="{00000000-0004-0000-2400-000013000000}"/>
    <hyperlink ref="B22" r:id="rId21" display="mailto:seeram.meghana@capgemini.com" xr:uid="{00000000-0004-0000-2400-000014000000}"/>
    <hyperlink ref="B23" r:id="rId22" display="mailto:gayathri.h.s@capgemini.com" xr:uid="{00000000-0004-0000-2400-000015000000}"/>
    <hyperlink ref="B24" r:id="rId23" display="mailto:rishab.srivastava@capgemini.com" xr:uid="{00000000-0004-0000-2400-000016000000}"/>
    <hyperlink ref="B25" r:id="rId24" display="mailto:jyoti.gawade@capgemini.com" xr:uid="{00000000-0004-0000-2400-000017000000}"/>
    <hyperlink ref="B26" r:id="rId25" display="mailto:sakshi.a.rawat@capgemini.com" xr:uid="{00000000-0004-0000-2400-000018000000}"/>
    <hyperlink ref="B27" r:id="rId26" display="mailto:ashutosh.a.pattnaik@capgemini.com" xr:uid="{00000000-0004-0000-2400-000019000000}"/>
    <hyperlink ref="B28" r:id="rId27" display="mailto:somshekhar.dixit@capgemini.com" xr:uid="{00000000-0004-0000-2400-00001A000000}"/>
    <hyperlink ref="B29" r:id="rId28" display="mailto:vaishnavi.a.d@capgemini.com" xr:uid="{00000000-0004-0000-2400-00001B000000}"/>
    <hyperlink ref="B30" r:id="rId29" display="mailto:rohit.b.shinde@capgemini.com" xr:uid="{00000000-0004-0000-2400-00001C000000}"/>
    <hyperlink ref="B31" r:id="rId30" display="mailto:sneha.santoshrao-navade@capgemini.com" xr:uid="{00000000-0004-0000-2400-00001D000000}"/>
    <hyperlink ref="B32" r:id="rId31" display="mailto:sowmya.j-s@capgemini.com" xr:uid="{00000000-0004-0000-2400-00001E000000}"/>
    <hyperlink ref="B33" r:id="rId32" display="mailto:sneha.ovhal@capgemini.com" xr:uid="{00000000-0004-0000-2400-00001F000000}"/>
    <hyperlink ref="B34" r:id="rId33" display="mailto:seshadri-babu.ballipakula@capgemini.com" xr:uid="{00000000-0004-0000-2400-000020000000}"/>
    <hyperlink ref="B35" r:id="rId34" display="mailto:khushi.singhania@capgemini.com" xr:uid="{00000000-0004-0000-2400-000021000000}"/>
    <hyperlink ref="B36" r:id="rId35" display="mailto:harshika.gadekar@capgemini.com" xr:uid="{00000000-0004-0000-2400-000022000000}"/>
    <hyperlink ref="B37" r:id="rId36" display="mailto:sruthi.p@capgemini.com" xr:uid="{00000000-0004-0000-2400-000023000000}"/>
    <hyperlink ref="B38" r:id="rId37" display="mailto:pavan.garlapati@capgemini.com" xr:uid="{00000000-0004-0000-2400-000024000000}"/>
    <hyperlink ref="B39" r:id="rId38" display="mailto:niteesh.arra@capgemini.com" xr:uid="{00000000-0004-0000-2400-000025000000}"/>
    <hyperlink ref="B40" r:id="rId39" display="mailto:venkata.lakili@capgemini.com" xr:uid="{00000000-0004-0000-2400-000026000000}"/>
    <hyperlink ref="B41" r:id="rId40" display="mailto:ruth.angeleena-thoodi@capgemini.com" xr:uid="{00000000-0004-0000-2400-000027000000}"/>
    <hyperlink ref="B42" r:id="rId41" display="mailto:namrata.khot@capgemini.com" xr:uid="{00000000-0004-0000-2400-000028000000}"/>
    <hyperlink ref="B43" r:id="rId42" display="mailto:harshada.gaikwad@capgemini.com" xr:uid="{00000000-0004-0000-2400-000029000000}"/>
    <hyperlink ref="B44" r:id="rId43" display="mailto:mousmi-jitendra.dave@capgemini.com" xr:uid="{00000000-0004-0000-2400-00002A000000}"/>
    <hyperlink ref="B45" r:id="rId44" display="mailto:harpreet.g.singh@capgemini.com" xr:uid="{00000000-0004-0000-2400-00002B000000}"/>
    <hyperlink ref="B46" r:id="rId45" display="mailto:syed-mohd.ali-faraz@capgemini.com" xr:uid="{00000000-0004-0000-2400-00002C000000}"/>
    <hyperlink ref="B47" r:id="rId46" display="mailto:sneha.a.katta@capgemini.com" xr:uid="{00000000-0004-0000-2400-00002D000000}"/>
    <hyperlink ref="B48" r:id="rId47" display="mailto:akhila.b.v@capgemini.com" xr:uid="{00000000-0004-0000-2400-00002E000000}"/>
    <hyperlink ref="B49" r:id="rId48" display="mailto:sanika-sunil.khawate@capgemini.com" xr:uid="{00000000-0004-0000-2400-00002F000000}"/>
    <hyperlink ref="B50" r:id="rId49" display="mailto:sreekanth.reddy-munagala@capgemini.com" xr:uid="{00000000-0004-0000-2400-000030000000}"/>
    <hyperlink ref="B51" r:id="rId50" display="mailto:shoyebshah.ashkan@capgemini.com" xr:uid="{00000000-0004-0000-2400-000031000000}"/>
    <hyperlink ref="B52" r:id="rId51" display="mailto:naveen-kumar-goud.angol@capgemini.com" xr:uid="{00000000-0004-0000-2400-000032000000}"/>
    <hyperlink ref="B53" r:id="rId52" display="mailto:ashish.g.yadav@capgemini.com" xr:uid="{00000000-0004-0000-2400-000033000000}"/>
    <hyperlink ref="B54" r:id="rId53" display="mailto:pranit-chandrakant.janvade@capgemini.com" xr:uid="{00000000-0004-0000-2400-000034000000}"/>
    <hyperlink ref="B55" r:id="rId54" display="mailto:sri-sai-akhileswar.vejendla@capgemini.com" xr:uid="{00000000-0004-0000-2400-000035000000}"/>
    <hyperlink ref="B56" r:id="rId55" display="mailto:shraddha-santosh.gavli@capgemini.com" xr:uid="{00000000-0004-0000-2400-000036000000}"/>
    <hyperlink ref="B57" r:id="rId56" display="mailto:snehal-rajendra.kulkarni@capgemini.com" xr:uid="{00000000-0004-0000-2400-000037000000}"/>
    <hyperlink ref="B58" r:id="rId57" display="mailto:tanvi.agarwal@capgemini.com" xr:uid="{00000000-0004-0000-2400-000038000000}"/>
  </hyperlinks>
  <pageMargins left="0.7" right="0.7" top="0.75" bottom="0.75" header="0.3" footer="0.3"/>
  <pageSetup paperSize="9" orientation="portrait" verticalDpi="0" r:id="rId58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6"/>
  <sheetViews>
    <sheetView workbookViewId="0">
      <selection activeCell="D19" sqref="D19"/>
    </sheetView>
  </sheetViews>
  <sheetFormatPr defaultRowHeight="14.5" x14ac:dyDescent="0.35"/>
  <cols>
    <col min="2" max="2" width="21.26953125" bestFit="1" customWidth="1"/>
    <col min="3" max="3" width="11.81640625" bestFit="1" customWidth="1"/>
    <col min="4" max="4" width="48.54296875" bestFit="1" customWidth="1"/>
  </cols>
  <sheetData>
    <row r="1" spans="1:5" x14ac:dyDescent="0.35">
      <c r="A1" s="103" t="s">
        <v>123</v>
      </c>
      <c r="B1" s="103" t="s">
        <v>124</v>
      </c>
      <c r="C1" s="103" t="s">
        <v>125</v>
      </c>
      <c r="D1" s="103" t="s">
        <v>126</v>
      </c>
      <c r="E1" s="103" t="s">
        <v>127</v>
      </c>
    </row>
    <row r="2" spans="1:5" x14ac:dyDescent="0.35">
      <c r="A2" s="103">
        <v>1</v>
      </c>
      <c r="B2" s="103" t="s">
        <v>128</v>
      </c>
      <c r="C2" s="103" t="s">
        <v>129</v>
      </c>
      <c r="D2" s="103" t="s">
        <v>130</v>
      </c>
      <c r="E2" s="103" t="s">
        <v>131</v>
      </c>
    </row>
    <row r="3" spans="1:5" x14ac:dyDescent="0.35">
      <c r="A3" s="103">
        <v>2</v>
      </c>
      <c r="B3" s="103" t="s">
        <v>132</v>
      </c>
      <c r="C3" s="103" t="s">
        <v>133</v>
      </c>
      <c r="D3" s="103" t="s">
        <v>134</v>
      </c>
      <c r="E3" s="103" t="s">
        <v>135</v>
      </c>
    </row>
    <row r="4" spans="1:5" x14ac:dyDescent="0.35">
      <c r="A4" s="103">
        <v>3</v>
      </c>
      <c r="B4" s="103" t="s">
        <v>136</v>
      </c>
      <c r="C4" s="103" t="s">
        <v>133</v>
      </c>
      <c r="D4" s="103" t="s">
        <v>137</v>
      </c>
      <c r="E4" s="103" t="s">
        <v>135</v>
      </c>
    </row>
    <row r="5" spans="1:5" x14ac:dyDescent="0.35">
      <c r="A5" s="103">
        <v>4</v>
      </c>
      <c r="B5" s="103" t="s">
        <v>138</v>
      </c>
      <c r="C5" s="103" t="s">
        <v>139</v>
      </c>
      <c r="D5" s="103" t="s">
        <v>140</v>
      </c>
      <c r="E5" s="103" t="s">
        <v>141</v>
      </c>
    </row>
    <row r="6" spans="1:5" x14ac:dyDescent="0.35">
      <c r="A6" s="103">
        <v>5</v>
      </c>
      <c r="B6" s="103" t="s">
        <v>142</v>
      </c>
      <c r="C6" s="103" t="s">
        <v>143</v>
      </c>
      <c r="D6" s="103" t="s">
        <v>144</v>
      </c>
      <c r="E6" s="103" t="s">
        <v>141</v>
      </c>
    </row>
  </sheetData>
  <pageMargins left="0.7" right="0.7" top="0.75" bottom="0.75" header="0.3" footer="0.3"/>
  <pageSetup paperSize="9" orientation="portrait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17"/>
  <sheetViews>
    <sheetView workbookViewId="0">
      <selection activeCell="A2" sqref="A2"/>
    </sheetView>
  </sheetViews>
  <sheetFormatPr defaultRowHeight="14.5" x14ac:dyDescent="0.35"/>
  <cols>
    <col min="1" max="1" width="8.81640625" bestFit="1" customWidth="1"/>
    <col min="2" max="2" width="9.08984375" customWidth="1"/>
    <col min="3" max="3" width="16.7265625" bestFit="1" customWidth="1"/>
    <col min="4" max="4" width="38.08984375" bestFit="1" customWidth="1"/>
    <col min="5" max="5" width="22" bestFit="1" customWidth="1"/>
    <col min="8" max="8" width="16.7265625" bestFit="1" customWidth="1"/>
    <col min="9" max="9" width="10.81640625" bestFit="1" customWidth="1"/>
    <col min="10" max="10" width="18.90625" bestFit="1" customWidth="1"/>
  </cols>
  <sheetData>
    <row r="1" spans="1:11" x14ac:dyDescent="0.35">
      <c r="A1" s="248" t="s">
        <v>177</v>
      </c>
      <c r="B1" s="248" t="s">
        <v>178</v>
      </c>
      <c r="C1" s="248" t="s">
        <v>113</v>
      </c>
      <c r="D1" s="248" t="s">
        <v>51</v>
      </c>
      <c r="E1" s="248" t="s">
        <v>80</v>
      </c>
      <c r="F1" s="248" t="s">
        <v>377</v>
      </c>
      <c r="G1" s="248" t="s">
        <v>233</v>
      </c>
      <c r="H1" s="248" t="s">
        <v>378</v>
      </c>
      <c r="I1" s="248" t="s">
        <v>369</v>
      </c>
      <c r="J1" s="248" t="s">
        <v>370</v>
      </c>
      <c r="K1" s="245"/>
    </row>
    <row r="2" spans="1:11" x14ac:dyDescent="0.35">
      <c r="A2" s="246">
        <v>46045351</v>
      </c>
      <c r="B2" s="246">
        <v>46045351</v>
      </c>
      <c r="C2" s="246" t="s">
        <v>86</v>
      </c>
      <c r="D2" s="247" t="s">
        <v>73</v>
      </c>
      <c r="E2" s="246" t="s">
        <v>371</v>
      </c>
      <c r="F2" s="246" t="s">
        <v>87</v>
      </c>
      <c r="G2" s="246" t="s">
        <v>234</v>
      </c>
      <c r="H2" s="246" t="s">
        <v>372</v>
      </c>
      <c r="I2" s="246">
        <v>9124745800</v>
      </c>
      <c r="J2" s="246">
        <v>9124745800</v>
      </c>
      <c r="K2" s="245"/>
    </row>
    <row r="3" spans="1:11" x14ac:dyDescent="0.35">
      <c r="A3" s="246">
        <v>46041450</v>
      </c>
      <c r="B3" s="246">
        <v>46041450</v>
      </c>
      <c r="C3" s="246" t="s">
        <v>43</v>
      </c>
      <c r="D3" s="247" t="s">
        <v>68</v>
      </c>
      <c r="E3" s="246" t="s">
        <v>371</v>
      </c>
      <c r="F3" s="246" t="s">
        <v>119</v>
      </c>
      <c r="G3" s="246" t="s">
        <v>234</v>
      </c>
      <c r="H3" s="246" t="s">
        <v>372</v>
      </c>
      <c r="I3" s="246">
        <v>9492106751</v>
      </c>
      <c r="J3" s="246">
        <v>9490981533</v>
      </c>
      <c r="K3" s="245"/>
    </row>
    <row r="4" spans="1:11" x14ac:dyDescent="0.35">
      <c r="A4" s="246">
        <v>904589</v>
      </c>
      <c r="B4" s="246" t="s">
        <v>52</v>
      </c>
      <c r="C4" s="246" t="s">
        <v>1</v>
      </c>
      <c r="D4" s="247" t="s">
        <v>278</v>
      </c>
      <c r="E4" s="246" t="s">
        <v>373</v>
      </c>
      <c r="F4" s="246" t="s">
        <v>91</v>
      </c>
      <c r="G4" s="246" t="s">
        <v>234</v>
      </c>
      <c r="H4" s="246" t="s">
        <v>374</v>
      </c>
      <c r="I4" s="246">
        <v>9096786494</v>
      </c>
      <c r="J4" s="246">
        <v>9763456494</v>
      </c>
      <c r="K4" s="245"/>
    </row>
    <row r="5" spans="1:11" x14ac:dyDescent="0.35">
      <c r="A5" s="246">
        <v>46029952</v>
      </c>
      <c r="B5" s="246">
        <v>46029952</v>
      </c>
      <c r="C5" s="246" t="s">
        <v>22</v>
      </c>
      <c r="D5" s="247" t="s">
        <v>71</v>
      </c>
      <c r="E5" s="246" t="s">
        <v>371</v>
      </c>
      <c r="F5" s="246" t="s">
        <v>173</v>
      </c>
      <c r="G5" s="246" t="s">
        <v>234</v>
      </c>
      <c r="H5" s="246" t="s">
        <v>1</v>
      </c>
      <c r="I5" s="246">
        <v>7548824282</v>
      </c>
      <c r="J5" s="246">
        <v>9942645747</v>
      </c>
      <c r="K5" s="245"/>
    </row>
    <row r="6" spans="1:11" x14ac:dyDescent="0.35">
      <c r="A6" s="246">
        <v>46103795</v>
      </c>
      <c r="B6" s="246">
        <v>46103795</v>
      </c>
      <c r="C6" s="246" t="s">
        <v>74</v>
      </c>
      <c r="D6" s="247" t="s">
        <v>109</v>
      </c>
      <c r="E6" s="246" t="s">
        <v>371</v>
      </c>
      <c r="F6" s="246" t="s">
        <v>174</v>
      </c>
      <c r="G6" s="246" t="s">
        <v>234</v>
      </c>
      <c r="H6" s="246" t="s">
        <v>102</v>
      </c>
      <c r="I6" s="246">
        <v>9592860117</v>
      </c>
      <c r="J6" s="246">
        <v>7888723508</v>
      </c>
      <c r="K6" s="245"/>
    </row>
    <row r="7" spans="1:11" x14ac:dyDescent="0.35">
      <c r="A7" s="246">
        <v>46027125</v>
      </c>
      <c r="B7" s="246">
        <v>46027125</v>
      </c>
      <c r="C7" s="246" t="s">
        <v>65</v>
      </c>
      <c r="D7" s="247" t="s">
        <v>66</v>
      </c>
      <c r="E7" s="246" t="s">
        <v>371</v>
      </c>
      <c r="F7" s="246" t="s">
        <v>119</v>
      </c>
      <c r="G7" s="246" t="s">
        <v>234</v>
      </c>
      <c r="H7" s="246" t="s">
        <v>1</v>
      </c>
      <c r="I7" s="246">
        <v>7569295256</v>
      </c>
      <c r="J7" s="246">
        <v>8019301623</v>
      </c>
      <c r="K7" s="245"/>
    </row>
    <row r="8" spans="1:11" x14ac:dyDescent="0.35">
      <c r="A8" s="246">
        <v>46122508</v>
      </c>
      <c r="B8" s="246">
        <v>46122508</v>
      </c>
      <c r="C8" s="246" t="s">
        <v>77</v>
      </c>
      <c r="D8" s="247" t="s">
        <v>110</v>
      </c>
      <c r="E8" s="246" t="s">
        <v>375</v>
      </c>
      <c r="F8" s="246" t="s">
        <v>91</v>
      </c>
      <c r="G8" s="246" t="s">
        <v>234</v>
      </c>
      <c r="H8" s="246" t="s">
        <v>102</v>
      </c>
      <c r="I8" s="246">
        <v>9406882656</v>
      </c>
      <c r="J8" s="246">
        <v>9406888945</v>
      </c>
      <c r="K8" s="245"/>
    </row>
    <row r="9" spans="1:11" x14ac:dyDescent="0.35">
      <c r="A9" s="246">
        <v>46051834</v>
      </c>
      <c r="B9" s="246">
        <v>46051834</v>
      </c>
      <c r="C9" s="246" t="s">
        <v>62</v>
      </c>
      <c r="D9" s="247" t="s">
        <v>63</v>
      </c>
      <c r="E9" s="246" t="s">
        <v>375</v>
      </c>
      <c r="F9" s="246" t="s">
        <v>120</v>
      </c>
      <c r="G9" s="246" t="s">
        <v>234</v>
      </c>
      <c r="H9" s="246" t="s">
        <v>372</v>
      </c>
      <c r="I9" s="246">
        <v>7715892899</v>
      </c>
      <c r="J9" s="246">
        <v>9619395567</v>
      </c>
      <c r="K9" s="245"/>
    </row>
    <row r="10" spans="1:11" x14ac:dyDescent="0.35">
      <c r="A10" s="246">
        <v>1448435</v>
      </c>
      <c r="B10" s="246" t="s">
        <v>59</v>
      </c>
      <c r="C10" s="246" t="s">
        <v>60</v>
      </c>
      <c r="D10" s="247" t="s">
        <v>61</v>
      </c>
      <c r="E10" s="246" t="s">
        <v>371</v>
      </c>
      <c r="F10" s="246" t="s">
        <v>120</v>
      </c>
      <c r="G10" s="246" t="s">
        <v>234</v>
      </c>
      <c r="H10" s="246" t="s">
        <v>1</v>
      </c>
      <c r="I10" s="246">
        <v>7972828562</v>
      </c>
      <c r="J10" s="246">
        <v>9325059201</v>
      </c>
      <c r="K10" s="245"/>
    </row>
    <row r="11" spans="1:11" x14ac:dyDescent="0.35">
      <c r="A11" s="246">
        <v>1116709</v>
      </c>
      <c r="B11" s="246" t="s">
        <v>53</v>
      </c>
      <c r="C11" s="246" t="s">
        <v>9</v>
      </c>
      <c r="D11" s="247" t="s">
        <v>55</v>
      </c>
      <c r="E11" s="246" t="s">
        <v>373</v>
      </c>
      <c r="F11" s="246" t="s">
        <v>91</v>
      </c>
      <c r="G11" s="246" t="s">
        <v>234</v>
      </c>
      <c r="H11" s="246" t="s">
        <v>374</v>
      </c>
      <c r="I11" s="246">
        <v>8698730160</v>
      </c>
      <c r="J11" s="246">
        <v>8073419626</v>
      </c>
      <c r="K11" s="245"/>
    </row>
    <row r="12" spans="1:11" x14ac:dyDescent="0.35">
      <c r="A12" s="246">
        <v>1358209</v>
      </c>
      <c r="B12" s="246" t="s">
        <v>56</v>
      </c>
      <c r="C12" s="246" t="s">
        <v>102</v>
      </c>
      <c r="D12" s="247" t="s">
        <v>58</v>
      </c>
      <c r="E12" s="246" t="s">
        <v>163</v>
      </c>
      <c r="F12" s="246" t="s">
        <v>174</v>
      </c>
      <c r="G12" s="246" t="s">
        <v>234</v>
      </c>
      <c r="H12" s="246" t="s">
        <v>372</v>
      </c>
      <c r="I12" s="246">
        <v>7618937019</v>
      </c>
      <c r="J12" s="246">
        <v>9140614886</v>
      </c>
      <c r="K12" s="245"/>
    </row>
    <row r="13" spans="1:11" x14ac:dyDescent="0.35">
      <c r="A13" s="246">
        <v>46075393</v>
      </c>
      <c r="B13" s="246">
        <v>46075393</v>
      </c>
      <c r="C13" s="246" t="s">
        <v>105</v>
      </c>
      <c r="D13" s="247" t="s">
        <v>108</v>
      </c>
      <c r="E13" s="246" t="s">
        <v>375</v>
      </c>
      <c r="F13" s="246" t="s">
        <v>91</v>
      </c>
      <c r="G13" s="246" t="s">
        <v>234</v>
      </c>
      <c r="H13" s="246" t="s">
        <v>155</v>
      </c>
      <c r="I13" s="246">
        <v>8624851012</v>
      </c>
      <c r="J13" s="246">
        <v>9022301430</v>
      </c>
      <c r="K13" s="245"/>
    </row>
    <row r="14" spans="1:11" x14ac:dyDescent="0.35">
      <c r="A14" s="246">
        <v>46272580</v>
      </c>
      <c r="B14" s="246">
        <v>46272580</v>
      </c>
      <c r="C14" s="246" t="s">
        <v>225</v>
      </c>
      <c r="D14" s="247" t="s">
        <v>368</v>
      </c>
      <c r="E14" s="246" t="s">
        <v>376</v>
      </c>
      <c r="F14" s="246" t="s">
        <v>91</v>
      </c>
      <c r="G14" s="246" t="s">
        <v>234</v>
      </c>
      <c r="H14" s="246" t="s">
        <v>372</v>
      </c>
      <c r="I14" s="246">
        <v>9422117321</v>
      </c>
      <c r="J14" s="246">
        <v>9322678680</v>
      </c>
      <c r="K14" s="245"/>
    </row>
    <row r="15" spans="1:11" x14ac:dyDescent="0.35">
      <c r="A15" s="246">
        <v>46140494</v>
      </c>
      <c r="B15" s="246">
        <v>46140494</v>
      </c>
      <c r="C15" s="246" t="s">
        <v>181</v>
      </c>
      <c r="D15" s="247" t="s">
        <v>333</v>
      </c>
      <c r="E15" s="246" t="s">
        <v>375</v>
      </c>
      <c r="F15" s="246" t="s">
        <v>119</v>
      </c>
      <c r="G15" s="246" t="s">
        <v>234</v>
      </c>
      <c r="H15" s="246" t="s">
        <v>102</v>
      </c>
      <c r="I15" s="246">
        <v>9133977919</v>
      </c>
      <c r="J15" s="246">
        <v>7036416453</v>
      </c>
      <c r="K15" s="245"/>
    </row>
    <row r="16" spans="1:11" x14ac:dyDescent="0.35">
      <c r="A16" s="246">
        <v>46226182</v>
      </c>
      <c r="B16" s="246">
        <v>46226182</v>
      </c>
      <c r="C16" s="246" t="s">
        <v>155</v>
      </c>
      <c r="D16" s="247" t="s">
        <v>164</v>
      </c>
      <c r="E16" s="246" t="s">
        <v>163</v>
      </c>
      <c r="F16" s="246" t="s">
        <v>91</v>
      </c>
      <c r="G16" s="246" t="s">
        <v>234</v>
      </c>
      <c r="H16" s="246" t="s">
        <v>1</v>
      </c>
      <c r="I16" s="246">
        <v>9527531139</v>
      </c>
      <c r="J16" s="246">
        <v>8788101992</v>
      </c>
      <c r="K16" s="245"/>
    </row>
    <row r="17" spans="1:11" x14ac:dyDescent="0.35">
      <c r="A17" s="246">
        <v>46122670</v>
      </c>
      <c r="B17" s="246">
        <v>46122670</v>
      </c>
      <c r="C17" s="246" t="s">
        <v>226</v>
      </c>
      <c r="D17" s="247" t="s">
        <v>250</v>
      </c>
      <c r="E17" s="246" t="s">
        <v>376</v>
      </c>
      <c r="F17" s="246" t="s">
        <v>91</v>
      </c>
      <c r="G17" s="246" t="s">
        <v>234</v>
      </c>
      <c r="H17" s="246" t="s">
        <v>372</v>
      </c>
      <c r="I17" s="246">
        <v>7447294889</v>
      </c>
      <c r="J17" s="246">
        <v>9518733153</v>
      </c>
      <c r="K17" s="245"/>
    </row>
  </sheetData>
  <autoFilter ref="A1:K17" xr:uid="{00000000-0009-0000-0000-000026000000}"/>
  <hyperlinks>
    <hyperlink ref="D3" r:id="rId1" tooltip="mailto:sreekanth.reddy-mungala@capgemini.com" display="mailto:sreekanth.reddy-mungala@capgemini.com" xr:uid="{00000000-0004-0000-2600-000000000000}"/>
    <hyperlink ref="D4" r:id="rId2" tooltip="mailto:saifullah.shaikh@capgemini.com" display="mailto:saifullah.shaikh@capgemini.com" xr:uid="{00000000-0004-0000-2600-000001000000}"/>
    <hyperlink ref="D5" r:id="rId3" tooltip="mailto:gayathri.h.s@capgemini.com" display="mailto:gayathri.h.s@capgemini.com" xr:uid="{00000000-0004-0000-2600-000002000000}"/>
    <hyperlink ref="D7" r:id="rId4" tooltip="mailto:venkata.lakili@capgemini.com" display="mailto:venkata.lakili@capgemini.com" xr:uid="{00000000-0004-0000-2600-000003000000}"/>
    <hyperlink ref="D9" r:id="rId5" tooltip="mailto:kanchan-sambhaji.pathare@capgemini.com" display="mailto:kanchan-sambhaji.pathare@capgemini.com" xr:uid="{00000000-0004-0000-2600-000004000000}"/>
    <hyperlink ref="D10" r:id="rId6" tooltip="mailto:avdhoot.potnis@capgemini.com" display="mailto:avdhoot.potnis@capgemini.com" xr:uid="{00000000-0004-0000-2600-000005000000}"/>
    <hyperlink ref="D11" r:id="rId7" tooltip="mailto:rakesh.b.r@capgemini.com" display="mailto:rakesh.b.r@capgemini.com" xr:uid="{00000000-0004-0000-2600-000006000000}"/>
    <hyperlink ref="D12" r:id="rId8" tooltip="mailto:somshekhar.dixit@capgemini.com" display="mailto:somshekhar.dixit@capgemini.com" xr:uid="{00000000-0004-0000-2600-000007000000}"/>
  </hyperlinks>
  <pageMargins left="0.7" right="0.7" top="0.75" bottom="0.75" header="0.3" footer="0.3"/>
  <pageSetup orientation="portrait" r:id="rId9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L17"/>
  <sheetViews>
    <sheetView workbookViewId="0">
      <selection activeCell="F3" sqref="F3"/>
    </sheetView>
  </sheetViews>
  <sheetFormatPr defaultRowHeight="14.5" x14ac:dyDescent="0.35"/>
  <cols>
    <col min="1" max="1" width="8.08984375" bestFit="1" customWidth="1"/>
    <col min="2" max="2" width="16.36328125" bestFit="1" customWidth="1"/>
    <col min="3" max="3" width="10.08984375" bestFit="1" customWidth="1"/>
    <col min="4" max="4" width="13.6328125" bestFit="1" customWidth="1"/>
    <col min="8" max="8" width="8.08984375" bestFit="1" customWidth="1"/>
    <col min="10" max="10" width="15.26953125" bestFit="1" customWidth="1"/>
    <col min="11" max="11" width="12.1796875" bestFit="1" customWidth="1"/>
    <col min="12" max="12" width="10.6328125" bestFit="1" customWidth="1"/>
  </cols>
  <sheetData>
    <row r="1" spans="1:12" ht="39" x14ac:dyDescent="0.35">
      <c r="A1" s="72" t="s">
        <v>82</v>
      </c>
      <c r="B1" s="72" t="s">
        <v>83</v>
      </c>
      <c r="C1" s="72" t="s">
        <v>84</v>
      </c>
      <c r="D1" s="72" t="s">
        <v>85</v>
      </c>
      <c r="E1" s="72" t="s">
        <v>118</v>
      </c>
      <c r="H1" s="223" t="s">
        <v>229</v>
      </c>
      <c r="I1" s="223" t="s">
        <v>230</v>
      </c>
      <c r="J1" s="223" t="s">
        <v>231</v>
      </c>
      <c r="K1" s="223" t="s">
        <v>232</v>
      </c>
      <c r="L1" s="223" t="s">
        <v>233</v>
      </c>
    </row>
    <row r="2" spans="1:12" ht="26" x14ac:dyDescent="0.35">
      <c r="A2" s="73">
        <v>46045351</v>
      </c>
      <c r="B2" s="73" t="s">
        <v>86</v>
      </c>
      <c r="C2" s="73" t="s">
        <v>87</v>
      </c>
      <c r="D2" s="73" t="s">
        <v>88</v>
      </c>
      <c r="E2" s="73" t="s">
        <v>87</v>
      </c>
      <c r="H2" s="77">
        <v>46045351</v>
      </c>
      <c r="I2" s="77">
        <v>46045351</v>
      </c>
      <c r="J2" s="73" t="s">
        <v>86</v>
      </c>
      <c r="K2" s="73" t="s">
        <v>87</v>
      </c>
      <c r="L2" s="73" t="s">
        <v>234</v>
      </c>
    </row>
    <row r="3" spans="1:12" x14ac:dyDescent="0.35">
      <c r="A3" s="74">
        <v>46041450</v>
      </c>
      <c r="B3" s="75" t="s">
        <v>43</v>
      </c>
      <c r="C3" s="75" t="s">
        <v>89</v>
      </c>
      <c r="D3" s="75" t="s">
        <v>90</v>
      </c>
      <c r="E3" s="81" t="s">
        <v>119</v>
      </c>
      <c r="H3" s="77">
        <v>46041450</v>
      </c>
      <c r="I3" s="77">
        <v>46041450</v>
      </c>
      <c r="J3" s="73" t="s">
        <v>43</v>
      </c>
      <c r="K3" s="73" t="s">
        <v>119</v>
      </c>
      <c r="L3" s="73" t="s">
        <v>234</v>
      </c>
    </row>
    <row r="4" spans="1:12" x14ac:dyDescent="0.35">
      <c r="A4" s="77">
        <v>904589</v>
      </c>
      <c r="B4" s="77" t="s">
        <v>1</v>
      </c>
      <c r="C4" s="77" t="s">
        <v>91</v>
      </c>
      <c r="D4" s="77" t="s">
        <v>92</v>
      </c>
      <c r="E4" s="77" t="s">
        <v>91</v>
      </c>
      <c r="H4" s="77">
        <v>904589</v>
      </c>
      <c r="I4" s="77" t="s">
        <v>52</v>
      </c>
      <c r="J4" s="73" t="s">
        <v>1</v>
      </c>
      <c r="K4" s="73" t="s">
        <v>91</v>
      </c>
      <c r="L4" s="73" t="s">
        <v>234</v>
      </c>
    </row>
    <row r="5" spans="1:12" x14ac:dyDescent="0.35">
      <c r="A5" s="77">
        <v>46029952</v>
      </c>
      <c r="B5" s="73" t="s">
        <v>22</v>
      </c>
      <c r="C5" s="73" t="s">
        <v>93</v>
      </c>
      <c r="D5" s="73" t="s">
        <v>94</v>
      </c>
      <c r="E5" s="70" t="s">
        <v>173</v>
      </c>
      <c r="H5" s="77">
        <v>46029952</v>
      </c>
      <c r="I5" s="77">
        <v>46029952</v>
      </c>
      <c r="J5" s="73" t="s">
        <v>22</v>
      </c>
      <c r="K5" s="73" t="s">
        <v>173</v>
      </c>
      <c r="L5" s="73" t="s">
        <v>234</v>
      </c>
    </row>
    <row r="6" spans="1:12" x14ac:dyDescent="0.35">
      <c r="A6" s="76">
        <v>46103795</v>
      </c>
      <c r="B6" s="75" t="s">
        <v>74</v>
      </c>
      <c r="C6" s="75" t="s">
        <v>175</v>
      </c>
      <c r="D6" s="75" t="s">
        <v>95</v>
      </c>
      <c r="E6" s="81" t="s">
        <v>174</v>
      </c>
      <c r="H6" s="77">
        <v>46103795</v>
      </c>
      <c r="I6" s="77">
        <v>46103795</v>
      </c>
      <c r="J6" s="73" t="s">
        <v>74</v>
      </c>
      <c r="K6" s="73" t="s">
        <v>174</v>
      </c>
      <c r="L6" s="73" t="s">
        <v>234</v>
      </c>
    </row>
    <row r="7" spans="1:12" ht="26" x14ac:dyDescent="0.35">
      <c r="A7" s="77">
        <v>46027125</v>
      </c>
      <c r="B7" s="77" t="s">
        <v>65</v>
      </c>
      <c r="C7" s="77" t="s">
        <v>96</v>
      </c>
      <c r="D7" s="75" t="s">
        <v>90</v>
      </c>
      <c r="E7" s="77" t="s">
        <v>119</v>
      </c>
      <c r="H7" s="77">
        <v>46027125</v>
      </c>
      <c r="I7" s="77">
        <v>46027125</v>
      </c>
      <c r="J7" s="73" t="s">
        <v>65</v>
      </c>
      <c r="K7" s="73" t="s">
        <v>119</v>
      </c>
      <c r="L7" s="73" t="s">
        <v>234</v>
      </c>
    </row>
    <row r="8" spans="1:12" x14ac:dyDescent="0.35">
      <c r="A8" s="76">
        <v>46122508</v>
      </c>
      <c r="B8" s="76" t="s">
        <v>77</v>
      </c>
      <c r="C8" s="76" t="s">
        <v>97</v>
      </c>
      <c r="D8" s="76" t="s">
        <v>98</v>
      </c>
      <c r="E8" s="82" t="s">
        <v>91</v>
      </c>
      <c r="H8" s="77">
        <v>46122508</v>
      </c>
      <c r="I8" s="77">
        <v>46122508</v>
      </c>
      <c r="J8" s="73" t="s">
        <v>77</v>
      </c>
      <c r="K8" s="73" t="s">
        <v>91</v>
      </c>
      <c r="L8" s="73" t="s">
        <v>234</v>
      </c>
    </row>
    <row r="9" spans="1:12" x14ac:dyDescent="0.35">
      <c r="A9" s="73">
        <v>46051834</v>
      </c>
      <c r="B9" s="73" t="s">
        <v>62</v>
      </c>
      <c r="C9" s="73" t="s">
        <v>99</v>
      </c>
      <c r="D9" s="73" t="s">
        <v>92</v>
      </c>
      <c r="E9" s="73" t="s">
        <v>120</v>
      </c>
      <c r="H9" s="77">
        <v>46051834</v>
      </c>
      <c r="I9" s="77">
        <v>46051834</v>
      </c>
      <c r="J9" s="73" t="s">
        <v>62</v>
      </c>
      <c r="K9" s="73" t="s">
        <v>120</v>
      </c>
      <c r="L9" s="73" t="s">
        <v>234</v>
      </c>
    </row>
    <row r="10" spans="1:12" ht="26" x14ac:dyDescent="0.35">
      <c r="A10" s="73">
        <v>1448435</v>
      </c>
      <c r="B10" s="73" t="s">
        <v>60</v>
      </c>
      <c r="C10" s="73" t="s">
        <v>99</v>
      </c>
      <c r="D10" s="73" t="s">
        <v>92</v>
      </c>
      <c r="E10" s="73" t="s">
        <v>120</v>
      </c>
      <c r="H10" s="77">
        <v>1448435</v>
      </c>
      <c r="I10" s="77" t="s">
        <v>59</v>
      </c>
      <c r="J10" s="73" t="s">
        <v>60</v>
      </c>
      <c r="K10" s="73" t="s">
        <v>120</v>
      </c>
      <c r="L10" s="73" t="s">
        <v>234</v>
      </c>
    </row>
    <row r="11" spans="1:12" x14ac:dyDescent="0.35">
      <c r="A11" s="73">
        <v>1116709</v>
      </c>
      <c r="B11" s="73" t="s">
        <v>54</v>
      </c>
      <c r="C11" s="73" t="s">
        <v>100</v>
      </c>
      <c r="D11" s="73" t="s">
        <v>101</v>
      </c>
      <c r="E11" s="73" t="s">
        <v>91</v>
      </c>
      <c r="H11" s="77">
        <v>1116709</v>
      </c>
      <c r="I11" s="77" t="s">
        <v>53</v>
      </c>
      <c r="J11" s="73" t="s">
        <v>54</v>
      </c>
      <c r="K11" s="73" t="s">
        <v>91</v>
      </c>
      <c r="L11" s="73" t="s">
        <v>234</v>
      </c>
    </row>
    <row r="12" spans="1:12" ht="26" x14ac:dyDescent="0.35">
      <c r="A12" s="73">
        <v>1358209</v>
      </c>
      <c r="B12" s="73" t="s">
        <v>102</v>
      </c>
      <c r="C12" s="73" t="s">
        <v>103</v>
      </c>
      <c r="D12" s="73" t="s">
        <v>104</v>
      </c>
      <c r="E12" s="73" t="s">
        <v>174</v>
      </c>
      <c r="H12" s="77">
        <v>1358209</v>
      </c>
      <c r="I12" s="77" t="s">
        <v>56</v>
      </c>
      <c r="J12" s="73" t="s">
        <v>102</v>
      </c>
      <c r="K12" s="73" t="s">
        <v>174</v>
      </c>
      <c r="L12" s="73" t="s">
        <v>234</v>
      </c>
    </row>
    <row r="13" spans="1:12" x14ac:dyDescent="0.35">
      <c r="A13" s="73">
        <v>46075393</v>
      </c>
      <c r="B13" s="73" t="s">
        <v>105</v>
      </c>
      <c r="C13" s="73" t="s">
        <v>106</v>
      </c>
      <c r="D13" s="73" t="s">
        <v>92</v>
      </c>
      <c r="E13" s="73" t="s">
        <v>91</v>
      </c>
      <c r="H13" s="77">
        <v>46075393</v>
      </c>
      <c r="I13" s="77">
        <v>46075393</v>
      </c>
      <c r="J13" s="73" t="s">
        <v>105</v>
      </c>
      <c r="K13" s="73" t="s">
        <v>91</v>
      </c>
      <c r="L13" s="73" t="s">
        <v>234</v>
      </c>
    </row>
    <row r="14" spans="1:12" x14ac:dyDescent="0.35">
      <c r="H14" s="77">
        <v>46272580</v>
      </c>
      <c r="I14" s="77">
        <v>46272580</v>
      </c>
      <c r="J14" s="73" t="s">
        <v>225</v>
      </c>
      <c r="K14" s="73" t="s">
        <v>91</v>
      </c>
      <c r="L14" s="73" t="s">
        <v>234</v>
      </c>
    </row>
    <row r="15" spans="1:12" x14ac:dyDescent="0.35">
      <c r="H15" s="77">
        <v>46140494</v>
      </c>
      <c r="I15" s="77">
        <v>46140494</v>
      </c>
      <c r="J15" s="73" t="s">
        <v>181</v>
      </c>
      <c r="K15" s="73" t="s">
        <v>119</v>
      </c>
      <c r="L15" s="73" t="s">
        <v>234</v>
      </c>
    </row>
    <row r="16" spans="1:12" ht="26" x14ac:dyDescent="0.35">
      <c r="H16" s="77">
        <v>46226182</v>
      </c>
      <c r="I16" s="77">
        <v>46226182</v>
      </c>
      <c r="J16" s="73" t="s">
        <v>155</v>
      </c>
      <c r="K16" s="73" t="s">
        <v>91</v>
      </c>
      <c r="L16" s="73" t="s">
        <v>234</v>
      </c>
    </row>
    <row r="17" spans="8:12" x14ac:dyDescent="0.35">
      <c r="H17" s="77">
        <v>46122670</v>
      </c>
      <c r="I17" s="77">
        <v>46122670</v>
      </c>
      <c r="J17" s="73" t="s">
        <v>226</v>
      </c>
      <c r="K17" s="73" t="s">
        <v>91</v>
      </c>
      <c r="L17" s="73" t="s">
        <v>234</v>
      </c>
    </row>
  </sheetData>
  <autoFilter ref="H1:L17" xr:uid="{00000000-0009-0000-0000-000027000000}"/>
  <pageMargins left="0.7" right="0.7" top="0.75" bottom="0.75" header="0.3" footer="0.3"/>
  <pageSetup paperSize="9" orientation="portrait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40"/>
  <sheetViews>
    <sheetView workbookViewId="0">
      <selection activeCell="B8" sqref="B8"/>
    </sheetView>
  </sheetViews>
  <sheetFormatPr defaultRowHeight="14.5" x14ac:dyDescent="0.35"/>
  <cols>
    <col min="1" max="1" width="13.6328125" bestFit="1" customWidth="1"/>
    <col min="2" max="2" width="12.1796875" bestFit="1" customWidth="1"/>
    <col min="3" max="3" width="22.453125" bestFit="1" customWidth="1"/>
    <col min="4" max="4" width="19.7265625" bestFit="1" customWidth="1"/>
    <col min="5" max="5" width="7.90625" bestFit="1" customWidth="1"/>
    <col min="6" max="6" width="9.1796875" bestFit="1" customWidth="1"/>
    <col min="7" max="7" width="11.26953125" bestFit="1" customWidth="1"/>
    <col min="8" max="8" width="40.6328125" bestFit="1" customWidth="1"/>
  </cols>
  <sheetData>
    <row r="1" spans="1:8" ht="15.5" x14ac:dyDescent="0.35">
      <c r="A1" s="198" t="s">
        <v>111</v>
      </c>
      <c r="B1" s="198" t="s">
        <v>112</v>
      </c>
      <c r="C1" s="198" t="s">
        <v>113</v>
      </c>
      <c r="D1" s="198" t="s">
        <v>114</v>
      </c>
      <c r="E1" s="198" t="s">
        <v>115</v>
      </c>
      <c r="F1" s="198" t="s">
        <v>116</v>
      </c>
      <c r="G1" s="198" t="s">
        <v>117</v>
      </c>
      <c r="H1" s="198" t="s">
        <v>182</v>
      </c>
    </row>
    <row r="2" spans="1:8" ht="15.5" x14ac:dyDescent="0.35">
      <c r="A2" s="199" t="s">
        <v>53</v>
      </c>
      <c r="B2" s="199">
        <v>1116709</v>
      </c>
      <c r="C2" s="199" t="s">
        <v>9</v>
      </c>
      <c r="D2" s="199" t="s">
        <v>184</v>
      </c>
      <c r="E2" s="200">
        <v>0.25</v>
      </c>
      <c r="F2" s="200">
        <v>0.65</v>
      </c>
      <c r="G2" s="201">
        <v>0.39999999999999997</v>
      </c>
      <c r="H2" s="202">
        <v>44944</v>
      </c>
    </row>
    <row r="3" spans="1:8" ht="15.5" x14ac:dyDescent="0.35">
      <c r="A3" s="199" t="s">
        <v>56</v>
      </c>
      <c r="B3" s="199">
        <v>1358209</v>
      </c>
      <c r="C3" s="199" t="s">
        <v>102</v>
      </c>
      <c r="D3" s="199" t="s">
        <v>184</v>
      </c>
      <c r="E3" s="201">
        <v>0.91666666666666663</v>
      </c>
      <c r="F3" s="201">
        <v>0.3125</v>
      </c>
      <c r="G3" s="199" t="s">
        <v>183</v>
      </c>
      <c r="H3" s="202">
        <v>44954</v>
      </c>
    </row>
    <row r="4" spans="1:8" ht="15.5" x14ac:dyDescent="0.35">
      <c r="A4" s="199" t="s">
        <v>59</v>
      </c>
      <c r="B4" s="199">
        <v>1448435</v>
      </c>
      <c r="C4" s="199" t="s">
        <v>15</v>
      </c>
      <c r="D4" s="199" t="s">
        <v>184</v>
      </c>
      <c r="E4" s="200">
        <v>0.25</v>
      </c>
      <c r="F4" s="201">
        <v>0.625</v>
      </c>
      <c r="G4" s="199" t="s">
        <v>185</v>
      </c>
      <c r="H4" s="202">
        <v>44955</v>
      </c>
    </row>
    <row r="5" spans="1:8" ht="15.5" x14ac:dyDescent="0.35">
      <c r="A5" s="199" t="s">
        <v>64</v>
      </c>
      <c r="B5" s="199">
        <v>46027125</v>
      </c>
      <c r="C5" s="199" t="s">
        <v>65</v>
      </c>
      <c r="D5" s="199" t="s">
        <v>184</v>
      </c>
      <c r="E5" s="201">
        <v>0.91666666666666663</v>
      </c>
      <c r="F5" s="201">
        <v>0.3125</v>
      </c>
      <c r="G5" s="199" t="s">
        <v>183</v>
      </c>
      <c r="H5" s="202">
        <v>44956</v>
      </c>
    </row>
    <row r="6" spans="1:8" ht="15.5" x14ac:dyDescent="0.35">
      <c r="A6" s="199" t="s">
        <v>222</v>
      </c>
      <c r="B6" s="199" t="s">
        <v>222</v>
      </c>
      <c r="C6" s="199" t="s">
        <v>77</v>
      </c>
      <c r="D6" s="199" t="s">
        <v>184</v>
      </c>
      <c r="E6" s="201">
        <v>0.91666666666666663</v>
      </c>
      <c r="F6" s="201">
        <v>0.3125</v>
      </c>
      <c r="G6" s="199" t="s">
        <v>183</v>
      </c>
      <c r="H6" s="202">
        <v>44954</v>
      </c>
    </row>
    <row r="7" spans="1:8" ht="15.5" x14ac:dyDescent="0.35">
      <c r="A7" s="199" t="s">
        <v>69</v>
      </c>
      <c r="B7" s="199">
        <v>46029952</v>
      </c>
      <c r="C7" s="199" t="s">
        <v>70</v>
      </c>
      <c r="D7" s="199" t="s">
        <v>184</v>
      </c>
      <c r="E7" s="200">
        <v>0.25</v>
      </c>
      <c r="F7" s="200">
        <v>0.64583333333333337</v>
      </c>
      <c r="G7" s="199" t="s">
        <v>183</v>
      </c>
      <c r="H7" s="202">
        <v>44955</v>
      </c>
    </row>
    <row r="8" spans="1:8" ht="15.5" x14ac:dyDescent="0.35">
      <c r="A8" s="199" t="s">
        <v>52</v>
      </c>
      <c r="B8" s="199">
        <v>904589</v>
      </c>
      <c r="C8" s="199" t="s">
        <v>1</v>
      </c>
      <c r="D8" s="199" t="s">
        <v>184</v>
      </c>
      <c r="E8" s="203">
        <v>0.54166666666666663</v>
      </c>
      <c r="F8" s="203">
        <v>0.94791666666666663</v>
      </c>
      <c r="G8" s="201">
        <v>0.40625</v>
      </c>
      <c r="H8" s="202">
        <v>44954</v>
      </c>
    </row>
    <row r="9" spans="1:8" ht="15.5" x14ac:dyDescent="0.35">
      <c r="A9" s="199" t="s">
        <v>67</v>
      </c>
      <c r="B9" s="199">
        <v>46041450</v>
      </c>
      <c r="C9" s="199" t="s">
        <v>43</v>
      </c>
      <c r="D9" s="199" t="s">
        <v>184</v>
      </c>
      <c r="E9" s="203">
        <v>0.54166666666666663</v>
      </c>
      <c r="F9" s="203">
        <v>0.91666666666666663</v>
      </c>
      <c r="G9" s="199" t="s">
        <v>183</v>
      </c>
      <c r="H9" s="202">
        <v>44955</v>
      </c>
    </row>
    <row r="10" spans="1:8" ht="15.5" x14ac:dyDescent="0.35">
      <c r="A10" s="199">
        <v>46051834</v>
      </c>
      <c r="B10" s="199">
        <v>46051834</v>
      </c>
      <c r="C10" s="199" t="s">
        <v>62</v>
      </c>
      <c r="D10" s="199" t="s">
        <v>184</v>
      </c>
      <c r="E10" s="203">
        <v>0.54166666666666663</v>
      </c>
      <c r="F10" s="203">
        <v>0.91666666666666663</v>
      </c>
      <c r="G10" s="199" t="s">
        <v>183</v>
      </c>
      <c r="H10" s="202">
        <v>44955</v>
      </c>
    </row>
    <row r="11" spans="1:8" ht="15.5" x14ac:dyDescent="0.35">
      <c r="A11" s="204">
        <v>46052203</v>
      </c>
      <c r="B11" s="204">
        <v>46052203</v>
      </c>
      <c r="C11" s="204" t="s">
        <v>186</v>
      </c>
      <c r="D11" s="204" t="s">
        <v>184</v>
      </c>
      <c r="E11" s="205">
        <v>0.91666666666666663</v>
      </c>
      <c r="F11" s="205">
        <v>0.3125</v>
      </c>
      <c r="G11" s="205">
        <v>0.39583333333333331</v>
      </c>
      <c r="H11" s="206">
        <v>44934</v>
      </c>
    </row>
    <row r="12" spans="1:8" ht="15.5" x14ac:dyDescent="0.35">
      <c r="A12" s="204">
        <v>46052461</v>
      </c>
      <c r="B12" s="204">
        <v>46052461</v>
      </c>
      <c r="C12" s="204" t="s">
        <v>187</v>
      </c>
      <c r="D12" s="204" t="s">
        <v>184</v>
      </c>
      <c r="E12" s="205">
        <v>0.41666666666666669</v>
      </c>
      <c r="F12" s="205">
        <v>0.8125</v>
      </c>
      <c r="G12" s="205">
        <v>0.39583333333333331</v>
      </c>
      <c r="H12" s="206">
        <v>44934</v>
      </c>
    </row>
    <row r="13" spans="1:8" ht="15.5" x14ac:dyDescent="0.35">
      <c r="A13" s="204">
        <v>46126198</v>
      </c>
      <c r="B13" s="204">
        <v>46126198</v>
      </c>
      <c r="C13" s="204" t="s">
        <v>188</v>
      </c>
      <c r="D13" s="204" t="s">
        <v>184</v>
      </c>
      <c r="E13" s="205">
        <v>0.58333333333333337</v>
      </c>
      <c r="F13" s="205">
        <v>0.97916666666666663</v>
      </c>
      <c r="G13" s="205">
        <v>0.39583333333333331</v>
      </c>
      <c r="H13" s="206">
        <v>44934</v>
      </c>
    </row>
    <row r="14" spans="1:8" ht="15.5" x14ac:dyDescent="0.35">
      <c r="A14" s="204">
        <v>106149</v>
      </c>
      <c r="B14" s="204">
        <v>1383801</v>
      </c>
      <c r="C14" s="204" t="s">
        <v>189</v>
      </c>
      <c r="D14" s="204" t="s">
        <v>184</v>
      </c>
      <c r="E14" s="205">
        <v>0.58333333333333337</v>
      </c>
      <c r="F14" s="205">
        <v>0.97916666666666663</v>
      </c>
      <c r="G14" s="205">
        <v>0.39583333333333331</v>
      </c>
      <c r="H14" s="206">
        <v>44959</v>
      </c>
    </row>
    <row r="15" spans="1:8" ht="15.5" x14ac:dyDescent="0.35">
      <c r="A15" s="207">
        <v>46075378</v>
      </c>
      <c r="B15" s="207">
        <v>46075378</v>
      </c>
      <c r="C15" s="204" t="s">
        <v>190</v>
      </c>
      <c r="D15" s="204" t="s">
        <v>184</v>
      </c>
      <c r="E15" s="205">
        <v>0.25</v>
      </c>
      <c r="F15" s="205">
        <v>0.64583333333333337</v>
      </c>
      <c r="G15" s="205">
        <v>0.39583333333333331</v>
      </c>
      <c r="H15" s="206">
        <v>44934</v>
      </c>
    </row>
    <row r="16" spans="1:8" ht="15.5" x14ac:dyDescent="0.35">
      <c r="A16" s="204">
        <v>46122601</v>
      </c>
      <c r="B16" s="204">
        <v>46122601</v>
      </c>
      <c r="C16" s="204" t="s">
        <v>191</v>
      </c>
      <c r="D16" s="204" t="s">
        <v>184</v>
      </c>
      <c r="E16" s="205">
        <v>0.25</v>
      </c>
      <c r="F16" s="205">
        <v>0.64583333333333337</v>
      </c>
      <c r="G16" s="205">
        <v>0.39583333333333331</v>
      </c>
      <c r="H16" s="206">
        <v>44934</v>
      </c>
    </row>
    <row r="17" spans="1:8" ht="15.5" x14ac:dyDescent="0.35">
      <c r="A17" s="204">
        <v>46047593</v>
      </c>
      <c r="B17" s="204">
        <v>46047593</v>
      </c>
      <c r="C17" s="204" t="s">
        <v>192</v>
      </c>
      <c r="D17" s="204" t="s">
        <v>184</v>
      </c>
      <c r="E17" s="205">
        <v>0.91666666666666663</v>
      </c>
      <c r="F17" s="205">
        <v>0.3125</v>
      </c>
      <c r="G17" s="205">
        <v>0.39583333333333331</v>
      </c>
      <c r="H17" s="206">
        <v>37264</v>
      </c>
    </row>
    <row r="18" spans="1:8" ht="15.5" x14ac:dyDescent="0.35">
      <c r="A18" s="208">
        <v>46046501</v>
      </c>
      <c r="B18" s="208">
        <v>46046501</v>
      </c>
      <c r="C18" s="208" t="s">
        <v>193</v>
      </c>
      <c r="D18" s="204" t="s">
        <v>184</v>
      </c>
      <c r="E18" s="210">
        <v>0.58333333333333337</v>
      </c>
      <c r="F18" s="210">
        <v>0.97916666666666663</v>
      </c>
      <c r="G18" s="210">
        <v>0.39583333333333331</v>
      </c>
      <c r="H18" s="202">
        <v>44958</v>
      </c>
    </row>
    <row r="19" spans="1:8" ht="15.5" x14ac:dyDescent="0.35">
      <c r="A19" s="211">
        <v>46046598</v>
      </c>
      <c r="B19" s="211">
        <v>46046598</v>
      </c>
      <c r="C19" s="208" t="s">
        <v>194</v>
      </c>
      <c r="D19" s="204" t="s">
        <v>184</v>
      </c>
      <c r="E19" s="210">
        <v>0.58333333333333337</v>
      </c>
      <c r="F19" s="210">
        <v>0.97916666666666663</v>
      </c>
      <c r="G19" s="210">
        <v>0.39583333333333331</v>
      </c>
      <c r="H19" s="202">
        <v>44960</v>
      </c>
    </row>
    <row r="20" spans="1:8" ht="15.5" x14ac:dyDescent="0.35">
      <c r="A20" s="208">
        <v>46123896</v>
      </c>
      <c r="B20" s="208">
        <v>46123896</v>
      </c>
      <c r="C20" s="208" t="s">
        <v>195</v>
      </c>
      <c r="D20" s="204" t="s">
        <v>184</v>
      </c>
      <c r="E20" s="212">
        <v>0.2240972222222222</v>
      </c>
      <c r="F20" s="212">
        <v>0.64826388888888886</v>
      </c>
      <c r="G20" s="212">
        <v>0.42416666666666664</v>
      </c>
      <c r="H20" s="202">
        <v>44958</v>
      </c>
    </row>
    <row r="21" spans="1:8" ht="15.5" x14ac:dyDescent="0.35">
      <c r="A21" s="208">
        <v>46100597</v>
      </c>
      <c r="B21" s="208">
        <v>46100597</v>
      </c>
      <c r="C21" s="208" t="s">
        <v>196</v>
      </c>
      <c r="D21" s="204" t="s">
        <v>184</v>
      </c>
      <c r="E21" s="213">
        <v>0.24160879629629628</v>
      </c>
      <c r="F21" s="212">
        <v>0.63708333333333333</v>
      </c>
      <c r="G21" s="212">
        <v>0.395474537037037</v>
      </c>
      <c r="H21" s="202">
        <v>44965</v>
      </c>
    </row>
    <row r="22" spans="1:8" ht="15.5" x14ac:dyDescent="0.35">
      <c r="A22" s="199" t="s">
        <v>201</v>
      </c>
      <c r="B22" s="199">
        <v>741405</v>
      </c>
      <c r="C22" s="199" t="s">
        <v>202</v>
      </c>
      <c r="D22" s="214" t="s">
        <v>184</v>
      </c>
      <c r="E22" s="200">
        <v>0.3</v>
      </c>
      <c r="F22" s="200">
        <v>0.68680555555555556</v>
      </c>
      <c r="G22" s="200">
        <v>0.38680555555555557</v>
      </c>
      <c r="H22" s="202">
        <v>44958</v>
      </c>
    </row>
    <row r="23" spans="1:8" ht="15.5" x14ac:dyDescent="0.35">
      <c r="A23" s="199" t="s">
        <v>203</v>
      </c>
      <c r="B23" s="199">
        <v>1234115</v>
      </c>
      <c r="C23" s="199" t="s">
        <v>204</v>
      </c>
      <c r="D23" s="214" t="s">
        <v>184</v>
      </c>
      <c r="E23" s="200">
        <v>0.39861111111111108</v>
      </c>
      <c r="F23" s="200">
        <v>0.77708333333333324</v>
      </c>
      <c r="G23" s="200">
        <v>0.37847222222222227</v>
      </c>
      <c r="H23" s="202">
        <v>44960</v>
      </c>
    </row>
    <row r="24" spans="1:8" ht="15.5" x14ac:dyDescent="0.35">
      <c r="A24" s="199">
        <v>46009736</v>
      </c>
      <c r="B24" s="199">
        <v>46009736</v>
      </c>
      <c r="C24" s="199" t="s">
        <v>205</v>
      </c>
      <c r="D24" s="214" t="s">
        <v>184</v>
      </c>
      <c r="E24" s="200">
        <v>0.3</v>
      </c>
      <c r="F24" s="200">
        <v>0.68680555555555556</v>
      </c>
      <c r="G24" s="200">
        <v>0.38680555555555557</v>
      </c>
      <c r="H24" s="202">
        <v>44958</v>
      </c>
    </row>
    <row r="25" spans="1:8" ht="15.5" x14ac:dyDescent="0.35">
      <c r="A25" s="199">
        <v>106149</v>
      </c>
      <c r="B25" s="199">
        <v>1383801</v>
      </c>
      <c r="C25" s="199" t="s">
        <v>206</v>
      </c>
      <c r="D25" s="214" t="s">
        <v>184</v>
      </c>
      <c r="E25" s="200">
        <v>0.58333333333333337</v>
      </c>
      <c r="F25" s="200">
        <v>0.97916666666666663</v>
      </c>
      <c r="G25" s="200">
        <v>0.39583333333333331</v>
      </c>
      <c r="H25" s="202">
        <v>44965</v>
      </c>
    </row>
    <row r="26" spans="1:8" ht="15.5" x14ac:dyDescent="0.35">
      <c r="A26" s="199">
        <v>46052174</v>
      </c>
      <c r="B26" s="199">
        <v>46052174</v>
      </c>
      <c r="C26" s="199" t="s">
        <v>207</v>
      </c>
      <c r="D26" s="214" t="s">
        <v>184</v>
      </c>
      <c r="E26" s="200">
        <v>0.91666666666666663</v>
      </c>
      <c r="F26" s="200">
        <v>0.3125</v>
      </c>
      <c r="G26" s="200">
        <v>0.39583333333333331</v>
      </c>
      <c r="H26" s="202">
        <v>44965</v>
      </c>
    </row>
    <row r="27" spans="1:8" ht="15.5" x14ac:dyDescent="0.35">
      <c r="A27" s="214">
        <v>46102785</v>
      </c>
      <c r="B27" s="214">
        <v>46102785</v>
      </c>
      <c r="C27" s="199" t="s">
        <v>197</v>
      </c>
      <c r="D27" s="199" t="s">
        <v>184</v>
      </c>
      <c r="E27" s="214">
        <v>14</v>
      </c>
      <c r="F27" s="214">
        <v>23.3</v>
      </c>
      <c r="G27" s="214">
        <v>9.3000000000000007</v>
      </c>
      <c r="H27" s="202">
        <v>44958</v>
      </c>
    </row>
    <row r="28" spans="1:8" ht="15.5" x14ac:dyDescent="0.35">
      <c r="A28" s="214">
        <v>46075133</v>
      </c>
      <c r="B28" s="214">
        <v>46075133</v>
      </c>
      <c r="C28" s="199" t="s">
        <v>198</v>
      </c>
      <c r="D28" s="199" t="s">
        <v>184</v>
      </c>
      <c r="E28" s="214">
        <v>14</v>
      </c>
      <c r="F28" s="214">
        <v>23.3</v>
      </c>
      <c r="G28" s="214">
        <v>9.3000000000000007</v>
      </c>
      <c r="H28" s="202">
        <v>44958</v>
      </c>
    </row>
    <row r="29" spans="1:8" ht="15.5" x14ac:dyDescent="0.35">
      <c r="A29" s="214">
        <v>46062560</v>
      </c>
      <c r="B29" s="214">
        <v>46062560</v>
      </c>
      <c r="C29" s="199" t="s">
        <v>199</v>
      </c>
      <c r="D29" s="199" t="s">
        <v>184</v>
      </c>
      <c r="E29" s="214">
        <v>6</v>
      </c>
      <c r="F29" s="214">
        <v>15.3</v>
      </c>
      <c r="G29" s="214">
        <v>9.3000000000000007</v>
      </c>
      <c r="H29" s="202">
        <v>44958</v>
      </c>
    </row>
    <row r="30" spans="1:8" ht="15.5" x14ac:dyDescent="0.35">
      <c r="A30" s="214">
        <v>46063330</v>
      </c>
      <c r="B30" s="214">
        <v>46063330</v>
      </c>
      <c r="C30" s="199" t="s">
        <v>200</v>
      </c>
      <c r="D30" s="199" t="s">
        <v>184</v>
      </c>
      <c r="E30" s="214">
        <v>6</v>
      </c>
      <c r="F30" s="214">
        <v>15.3</v>
      </c>
      <c r="G30" s="214">
        <v>9.3000000000000007</v>
      </c>
      <c r="H30" s="202">
        <v>44966</v>
      </c>
    </row>
    <row r="31" spans="1:8" x14ac:dyDescent="0.35">
      <c r="A31" s="208" t="s">
        <v>208</v>
      </c>
      <c r="B31" s="208">
        <v>1398020</v>
      </c>
      <c r="C31" s="208" t="s">
        <v>209</v>
      </c>
      <c r="D31" s="208" t="s">
        <v>184</v>
      </c>
      <c r="E31" s="210">
        <v>0.375</v>
      </c>
      <c r="F31" s="210">
        <v>0.77083333333333337</v>
      </c>
      <c r="G31" s="210">
        <v>0.39583333333333331</v>
      </c>
      <c r="H31" s="209">
        <v>44965</v>
      </c>
    </row>
    <row r="32" spans="1:8" x14ac:dyDescent="0.35">
      <c r="A32" s="208">
        <v>92611</v>
      </c>
      <c r="B32" s="208">
        <v>1234580</v>
      </c>
      <c r="C32" s="208" t="s">
        <v>210</v>
      </c>
      <c r="D32" s="208" t="s">
        <v>184</v>
      </c>
      <c r="E32" s="215">
        <v>0.25664351851851852</v>
      </c>
      <c r="F32" s="215">
        <v>0.63598379629629631</v>
      </c>
      <c r="G32" s="215">
        <v>0.37934027777777773</v>
      </c>
      <c r="H32" s="209">
        <v>44965</v>
      </c>
    </row>
    <row r="33" spans="1:8" x14ac:dyDescent="0.35">
      <c r="A33" s="208">
        <v>46122919</v>
      </c>
      <c r="B33" s="208">
        <v>46122919</v>
      </c>
      <c r="C33" s="208" t="s">
        <v>211</v>
      </c>
      <c r="D33" s="208" t="s">
        <v>184</v>
      </c>
      <c r="E33" s="210">
        <v>0.58333333333333337</v>
      </c>
      <c r="F33" s="210">
        <v>0.97916666666666663</v>
      </c>
      <c r="G33" s="210">
        <v>0.39583333333333331</v>
      </c>
      <c r="H33" s="209">
        <v>44960</v>
      </c>
    </row>
    <row r="34" spans="1:8" x14ac:dyDescent="0.35">
      <c r="A34" s="208">
        <v>46026921</v>
      </c>
      <c r="B34" s="208">
        <v>46026921</v>
      </c>
      <c r="C34" s="208" t="s">
        <v>212</v>
      </c>
      <c r="D34" s="208" t="s">
        <v>184</v>
      </c>
      <c r="E34" s="210">
        <v>0.25</v>
      </c>
      <c r="F34" s="210">
        <v>0.64583333333333337</v>
      </c>
      <c r="G34" s="210">
        <v>0.39583333333333331</v>
      </c>
      <c r="H34" s="209">
        <v>44962</v>
      </c>
    </row>
    <row r="35" spans="1:8" x14ac:dyDescent="0.35">
      <c r="A35" s="208">
        <v>46032355</v>
      </c>
      <c r="B35" s="208">
        <v>46032355</v>
      </c>
      <c r="C35" s="208" t="s">
        <v>213</v>
      </c>
      <c r="D35" s="208" t="s">
        <v>184</v>
      </c>
      <c r="E35" s="210">
        <v>0.58333333333333337</v>
      </c>
      <c r="F35" s="210">
        <v>0.97916666666666663</v>
      </c>
      <c r="G35" s="210">
        <v>0.39583333333333331</v>
      </c>
      <c r="H35" s="209">
        <v>44960</v>
      </c>
    </row>
    <row r="36" spans="1:8" x14ac:dyDescent="0.35">
      <c r="A36" s="208">
        <v>46062879</v>
      </c>
      <c r="B36" s="208">
        <v>46062879</v>
      </c>
      <c r="C36" s="208" t="s">
        <v>214</v>
      </c>
      <c r="D36" s="208" t="s">
        <v>184</v>
      </c>
      <c r="E36" s="210">
        <v>0.91666666666666663</v>
      </c>
      <c r="F36" s="210">
        <v>0.3125</v>
      </c>
      <c r="G36" s="210">
        <v>0.39583333333333331</v>
      </c>
      <c r="H36" s="209">
        <v>44963</v>
      </c>
    </row>
    <row r="37" spans="1:8" x14ac:dyDescent="0.35">
      <c r="A37" s="208" t="s">
        <v>215</v>
      </c>
      <c r="B37" s="208">
        <v>1207408</v>
      </c>
      <c r="C37" s="208" t="s">
        <v>216</v>
      </c>
      <c r="D37" s="208" t="s">
        <v>184</v>
      </c>
      <c r="E37" s="215">
        <v>0.30879629629629629</v>
      </c>
      <c r="F37" s="215">
        <v>0.68557870370370377</v>
      </c>
      <c r="G37" s="215">
        <v>0.37678240740740737</v>
      </c>
      <c r="H37" s="209">
        <v>44965</v>
      </c>
    </row>
    <row r="38" spans="1:8" x14ac:dyDescent="0.35">
      <c r="A38" s="208" t="s">
        <v>217</v>
      </c>
      <c r="B38" s="208">
        <v>1370847</v>
      </c>
      <c r="C38" s="208" t="s">
        <v>218</v>
      </c>
      <c r="D38" s="208" t="s">
        <v>184</v>
      </c>
      <c r="E38" s="210">
        <v>0.25</v>
      </c>
      <c r="F38" s="210">
        <v>0.64583333333333337</v>
      </c>
      <c r="G38" s="210">
        <v>0.39583333333333331</v>
      </c>
      <c r="H38" s="209">
        <v>44966</v>
      </c>
    </row>
    <row r="39" spans="1:8" x14ac:dyDescent="0.35">
      <c r="A39" s="208">
        <v>46075122</v>
      </c>
      <c r="B39" s="208">
        <v>46075122</v>
      </c>
      <c r="C39" s="208" t="s">
        <v>219</v>
      </c>
      <c r="D39" s="208" t="s">
        <v>184</v>
      </c>
      <c r="E39" s="210">
        <v>0.91666666666666663</v>
      </c>
      <c r="F39" s="210">
        <v>0.3125</v>
      </c>
      <c r="G39" s="210">
        <v>0.39583333333333331</v>
      </c>
      <c r="H39" s="209">
        <v>44966</v>
      </c>
    </row>
    <row r="40" spans="1:8" x14ac:dyDescent="0.35">
      <c r="A40" s="208" t="s">
        <v>220</v>
      </c>
      <c r="B40" s="208">
        <v>1405753</v>
      </c>
      <c r="C40" s="208" t="s">
        <v>221</v>
      </c>
      <c r="D40" s="208" t="s">
        <v>184</v>
      </c>
      <c r="E40" s="210">
        <v>0.58333333333333337</v>
      </c>
      <c r="F40" s="210">
        <v>0.97916666666666663</v>
      </c>
      <c r="G40" s="210">
        <v>0.39583333333333331</v>
      </c>
      <c r="H40" s="209">
        <v>44960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NOV'21</vt:lpstr>
      <vt:lpstr>DEC'21</vt:lpstr>
      <vt:lpstr>Jan'22</vt:lpstr>
      <vt:lpstr>Feb'22</vt:lpstr>
      <vt:lpstr>March'22</vt:lpstr>
      <vt:lpstr>April'22</vt:lpstr>
      <vt:lpstr>May'22</vt:lpstr>
      <vt:lpstr>May_Hybrid</vt:lpstr>
      <vt:lpstr>Jun'22 </vt:lpstr>
      <vt:lpstr>July'22</vt:lpstr>
      <vt:lpstr>July'22 New</vt:lpstr>
      <vt:lpstr>Aug'22</vt:lpstr>
      <vt:lpstr>Aug'22 New</vt:lpstr>
      <vt:lpstr>Aug'22_Dipak_format</vt:lpstr>
      <vt:lpstr>Sept'22_old</vt:lpstr>
      <vt:lpstr>Sept'22</vt:lpstr>
      <vt:lpstr>Oct'22</vt:lpstr>
      <vt:lpstr>Oct'22_updated</vt:lpstr>
      <vt:lpstr>Nov'22</vt:lpstr>
      <vt:lpstr>Dec'22</vt:lpstr>
      <vt:lpstr>Jan'23</vt:lpstr>
      <vt:lpstr>Feb'23 _bkp</vt:lpstr>
      <vt:lpstr>Feb'23</vt:lpstr>
      <vt:lpstr>Mar'23</vt:lpstr>
      <vt:lpstr>Apr'23</vt:lpstr>
      <vt:lpstr>May'23</vt:lpstr>
      <vt:lpstr>Jun'23</vt:lpstr>
      <vt:lpstr>July'23</vt:lpstr>
      <vt:lpstr>Aug'23</vt:lpstr>
      <vt:lpstr>Sept'23</vt:lpstr>
      <vt:lpstr>Oct'23</vt:lpstr>
      <vt:lpstr>Nov'23</vt:lpstr>
      <vt:lpstr>Dec'23</vt:lpstr>
      <vt:lpstr>Jan'24</vt:lpstr>
      <vt:lpstr>Feb'24</vt:lpstr>
      <vt:lpstr>Optional_Holidays_2024</vt:lpstr>
      <vt:lpstr>compoff_data</vt:lpstr>
      <vt:lpstr>peakon details</vt:lpstr>
      <vt:lpstr>60 hours</vt:lpstr>
      <vt:lpstr>shift group</vt:lpstr>
      <vt:lpstr>Associate_details</vt:lpstr>
      <vt:lpstr>Current location</vt:lpstr>
      <vt:lpstr>May 1st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Shaikh, Saifullah</dc:creator>
  <cp:lastModifiedBy>R, Rakesh</cp:lastModifiedBy>
  <dcterms:created xsi:type="dcterms:W3CDTF">2021-01-17T03:52:30Z</dcterms:created>
  <dcterms:modified xsi:type="dcterms:W3CDTF">2023-12-11T02:10:13Z</dcterms:modified>
  <cp:contentStatus/>
</cp:coreProperties>
</file>