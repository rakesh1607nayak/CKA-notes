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fileSharing readOnlyRecommended="1" userName="R, Rakesh" algorithmName="SHA-512" hashValue="4pLqmEU5RxWht2/SpDsb7zwnsADH2y0nv90LGIssQBS3AjZ/Cvaj2Ezv3MIFOosOPp37aJeN7+OtOlOy8tnEJg==" saltValue="2pTNS+4fKvcCFa+NRDekTg==" spinCount="100000"/>
  <workbookPr/>
  <mc:AlternateContent xmlns:mc="http://schemas.openxmlformats.org/markup-compatibility/2006">
    <mc:Choice Requires="x15">
      <x15ac:absPath xmlns:x15ac="http://schemas.microsoft.com/office/spreadsheetml/2010/11/ac" url="\\punnfil02\Discover Project$\DFS DOMESTIC\Project execution - 2008\AMS\Payment\Shift Roaster\eWallet\"/>
    </mc:Choice>
  </mc:AlternateContent>
  <xr:revisionPtr revIDLastSave="0" documentId="13_ncr:10001_{8C9A6612-423C-4969-8192-C3FC75D9C027}" xr6:coauthVersionLast="47" xr6:coauthVersionMax="47" xr10:uidLastSave="{00000000-0000-0000-0000-000000000000}"/>
  <bookViews>
    <workbookView xWindow="-110" yWindow="-110" windowWidth="19420" windowHeight="10300" tabRatio="770" firstSheet="19" activeTab="20" xr2:uid="{00000000-000D-0000-FFFF-FFFF00000000}"/>
  </bookViews>
  <sheets>
    <sheet name="NOV'21" sheetId="2" r:id="rId1"/>
    <sheet name="DEC'21" sheetId="9" r:id="rId2"/>
    <sheet name="Jan'22" sheetId="11" r:id="rId3"/>
    <sheet name="Feb'22" sheetId="12" r:id="rId4"/>
    <sheet name="March'22" sheetId="13" r:id="rId5"/>
    <sheet name="April'22" sheetId="15" r:id="rId6"/>
    <sheet name="May'22" sheetId="17" state="hidden" r:id="rId7"/>
    <sheet name="May_Hybrid" sheetId="19" r:id="rId8"/>
    <sheet name="Jun'22 " sheetId="18" r:id="rId9"/>
    <sheet name="July'22" sheetId="21" state="hidden" r:id="rId10"/>
    <sheet name="July'22 New" sheetId="25" r:id="rId11"/>
    <sheet name="Aug'22" sheetId="22" state="hidden" r:id="rId12"/>
    <sheet name="Aug'22 New" sheetId="26" state="hidden" r:id="rId13"/>
    <sheet name="Aug'22_Dipak_format" sheetId="34" r:id="rId14"/>
    <sheet name="Sept'22_old" sheetId="35" state="hidden" r:id="rId15"/>
    <sheet name="Sept'22" sheetId="36" r:id="rId16"/>
    <sheet name="Oct'22" sheetId="37" state="hidden" r:id="rId17"/>
    <sheet name="Oct'22_updated" sheetId="38" r:id="rId18"/>
    <sheet name="Nov'22" sheetId="39" r:id="rId19"/>
    <sheet name="Dec'22" sheetId="42" r:id="rId20"/>
    <sheet name="Jan'23" sheetId="43" r:id="rId21"/>
    <sheet name="Pool_Leave_WFO" sheetId="33" r:id="rId22"/>
    <sheet name="compoff_data" sheetId="24" r:id="rId23"/>
    <sheet name="Optional_Holidays" sheetId="14" r:id="rId24"/>
    <sheet name="Dipak leave info" sheetId="41" r:id="rId25"/>
    <sheet name="peakon details" sheetId="40" r:id="rId26"/>
    <sheet name="shift group" sheetId="32" r:id="rId27"/>
    <sheet name="Associate_details" sheetId="10" r:id="rId28"/>
    <sheet name="Current location" sheetId="16" r:id="rId29"/>
    <sheet name="May 1st" sheetId="20" r:id="rId30"/>
  </sheets>
  <definedNames>
    <definedName name="_xlnm._FilterDatabase" localSheetId="16" hidden="1">'Oct''22'!$A$1:$A$20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1" i="43" l="1"/>
  <c r="AG30" i="43"/>
  <c r="AG29" i="43"/>
  <c r="AG28" i="43"/>
  <c r="AG27" i="43"/>
  <c r="AG26" i="43"/>
  <c r="AG25" i="43"/>
  <c r="AG24" i="43"/>
  <c r="AG32" i="43" s="1"/>
  <c r="AG1" i="43"/>
  <c r="C1" i="43"/>
  <c r="D1" i="43"/>
  <c r="E1" i="43"/>
  <c r="F1" i="43"/>
  <c r="G1" i="43"/>
  <c r="H1" i="43"/>
  <c r="I1" i="43"/>
  <c r="J1" i="43"/>
  <c r="K1" i="43"/>
  <c r="L1" i="43"/>
  <c r="M1" i="43"/>
  <c r="N1" i="43"/>
  <c r="O1" i="43"/>
  <c r="P1" i="43"/>
  <c r="Q1" i="43"/>
  <c r="R1" i="43"/>
  <c r="S1" i="43"/>
  <c r="T1" i="43"/>
  <c r="U1" i="43"/>
  <c r="V1" i="43"/>
  <c r="W1" i="43"/>
  <c r="X1" i="43"/>
  <c r="Y1" i="43"/>
  <c r="Z1" i="43"/>
  <c r="AA1" i="43"/>
  <c r="AB1" i="43"/>
  <c r="AC1" i="43"/>
  <c r="AD1" i="43"/>
  <c r="AE1" i="43"/>
  <c r="AF1" i="43"/>
  <c r="B1" i="43"/>
  <c r="AF31" i="43"/>
  <c r="AE31" i="43"/>
  <c r="AD31" i="43"/>
  <c r="AC31" i="43"/>
  <c r="AB31" i="43"/>
  <c r="AA31" i="43"/>
  <c r="Z31" i="43"/>
  <c r="Y31" i="43"/>
  <c r="X31" i="43"/>
  <c r="W31" i="43"/>
  <c r="V31" i="43"/>
  <c r="U31" i="43"/>
  <c r="T31" i="43"/>
  <c r="S31" i="43"/>
  <c r="R31" i="43"/>
  <c r="Q31" i="43"/>
  <c r="P31" i="43"/>
  <c r="O31" i="43"/>
  <c r="N31" i="43"/>
  <c r="M31" i="43"/>
  <c r="L31" i="43"/>
  <c r="K31" i="43"/>
  <c r="J31" i="43"/>
  <c r="I31" i="43"/>
  <c r="H31" i="43"/>
  <c r="G31" i="43"/>
  <c r="F31" i="43"/>
  <c r="E31" i="43"/>
  <c r="D31" i="43"/>
  <c r="C31" i="43"/>
  <c r="B31" i="43"/>
  <c r="AF30" i="43"/>
  <c r="AE30" i="43"/>
  <c r="AD30" i="43"/>
  <c r="AC30" i="43"/>
  <c r="AB30" i="43"/>
  <c r="AA30" i="43"/>
  <c r="Z30" i="43"/>
  <c r="Y30" i="43"/>
  <c r="X30" i="43"/>
  <c r="W30" i="43"/>
  <c r="V30" i="43"/>
  <c r="U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H30" i="43"/>
  <c r="G30" i="43"/>
  <c r="F30" i="43"/>
  <c r="E30" i="43"/>
  <c r="D30" i="43"/>
  <c r="C30" i="43"/>
  <c r="B30" i="43"/>
  <c r="AF29" i="43"/>
  <c r="AE29" i="43"/>
  <c r="AD29" i="43"/>
  <c r="AC29" i="43"/>
  <c r="AB29" i="43"/>
  <c r="AA29" i="43"/>
  <c r="Z29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C29" i="43"/>
  <c r="B29" i="43"/>
  <c r="AF28" i="43"/>
  <c r="AE28" i="43"/>
  <c r="AD28" i="43"/>
  <c r="AC28" i="43"/>
  <c r="AB28" i="43"/>
  <c r="AA28" i="43"/>
  <c r="Z28" i="43"/>
  <c r="Y28" i="43"/>
  <c r="X28" i="43"/>
  <c r="W28" i="43"/>
  <c r="V28" i="43"/>
  <c r="U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H28" i="43"/>
  <c r="G28" i="43"/>
  <c r="F28" i="43"/>
  <c r="E28" i="43"/>
  <c r="D28" i="43"/>
  <c r="C28" i="43"/>
  <c r="B28" i="43"/>
  <c r="AF27" i="43"/>
  <c r="AE27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E27" i="43"/>
  <c r="D27" i="43"/>
  <c r="C27" i="43"/>
  <c r="B27" i="43"/>
  <c r="AF26" i="43"/>
  <c r="AE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E26" i="43"/>
  <c r="D26" i="43"/>
  <c r="C26" i="43"/>
  <c r="B26" i="43"/>
  <c r="AF25" i="43"/>
  <c r="AE25" i="43"/>
  <c r="AD25" i="43"/>
  <c r="AC25" i="43"/>
  <c r="AB25" i="43"/>
  <c r="AA25" i="43"/>
  <c r="Z25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D25" i="43"/>
  <c r="C25" i="43"/>
  <c r="B25" i="43"/>
  <c r="AF24" i="43"/>
  <c r="AE24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E24" i="43"/>
  <c r="D24" i="43"/>
  <c r="C24" i="43"/>
  <c r="B24" i="43"/>
  <c r="G32" i="43" l="1"/>
  <c r="O32" i="43"/>
  <c r="W32" i="43"/>
  <c r="AE32" i="43"/>
  <c r="J32" i="43"/>
  <c r="R32" i="43"/>
  <c r="B32" i="43"/>
  <c r="H32" i="43"/>
  <c r="P32" i="43"/>
  <c r="X32" i="43"/>
  <c r="AF32" i="43"/>
  <c r="I32" i="43"/>
  <c r="Q32" i="43"/>
  <c r="Y32" i="43"/>
  <c r="Z32" i="43"/>
  <c r="C32" i="43"/>
  <c r="K32" i="43"/>
  <c r="S32" i="43"/>
  <c r="AA32" i="43"/>
  <c r="D32" i="43"/>
  <c r="L32" i="43"/>
  <c r="T32" i="43"/>
  <c r="AB32" i="43"/>
  <c r="E32" i="43"/>
  <c r="AC32" i="43"/>
  <c r="M32" i="43"/>
  <c r="U32" i="43"/>
  <c r="F32" i="43"/>
  <c r="N32" i="43"/>
  <c r="V32" i="43"/>
  <c r="AD32" i="43"/>
  <c r="H1" i="42"/>
  <c r="G1" i="42"/>
  <c r="F1" i="42"/>
  <c r="E1" i="42"/>
  <c r="W22" i="42" l="1"/>
  <c r="AJ26" i="42"/>
  <c r="AI26" i="42"/>
  <c r="AC26" i="42"/>
  <c r="AB26" i="42"/>
  <c r="V26" i="42"/>
  <c r="U26" i="42"/>
  <c r="H26" i="42"/>
  <c r="G26" i="42"/>
  <c r="O26" i="42"/>
  <c r="N26" i="42"/>
  <c r="G22" i="42"/>
  <c r="AJ29" i="42"/>
  <c r="AI29" i="42"/>
  <c r="AH29" i="42"/>
  <c r="AG29" i="42"/>
  <c r="AF29" i="42"/>
  <c r="AE29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AJ28" i="42"/>
  <c r="AI28" i="42"/>
  <c r="AH28" i="42"/>
  <c r="AG28" i="42"/>
  <c r="AF28" i="42"/>
  <c r="AE28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AJ27" i="42"/>
  <c r="AI27" i="42"/>
  <c r="AH27" i="42"/>
  <c r="AG27" i="42"/>
  <c r="AF27" i="42"/>
  <c r="AE27" i="42"/>
  <c r="AD27" i="42"/>
  <c r="AC27" i="42"/>
  <c r="AB27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AH26" i="42"/>
  <c r="AG26" i="42"/>
  <c r="AF26" i="42"/>
  <c r="AE26" i="42"/>
  <c r="AD26" i="42"/>
  <c r="AA26" i="42"/>
  <c r="Z26" i="42"/>
  <c r="Y26" i="42"/>
  <c r="X26" i="42"/>
  <c r="W26" i="42"/>
  <c r="T26" i="42"/>
  <c r="S26" i="42"/>
  <c r="R26" i="42"/>
  <c r="Q26" i="42"/>
  <c r="P26" i="42"/>
  <c r="M26" i="42"/>
  <c r="L26" i="42"/>
  <c r="K26" i="42"/>
  <c r="J26" i="42"/>
  <c r="I26" i="42"/>
  <c r="AJ25" i="42"/>
  <c r="AI25" i="42"/>
  <c r="AH25" i="42"/>
  <c r="AG25" i="42"/>
  <c r="AF25" i="42"/>
  <c r="AE25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AJ24" i="42"/>
  <c r="AI24" i="42"/>
  <c r="AH24" i="42"/>
  <c r="AG24" i="42"/>
  <c r="AF24" i="42"/>
  <c r="AE24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AJ23" i="42"/>
  <c r="AI23" i="42"/>
  <c r="AH23" i="42"/>
  <c r="AG23" i="42"/>
  <c r="AF23" i="42"/>
  <c r="AE23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AJ22" i="42"/>
  <c r="AI22" i="42"/>
  <c r="AH22" i="42"/>
  <c r="AG22" i="42"/>
  <c r="AF22" i="42"/>
  <c r="AE22" i="42"/>
  <c r="AD22" i="42"/>
  <c r="AC22" i="42"/>
  <c r="AB22" i="42"/>
  <c r="AA22" i="42"/>
  <c r="Z22" i="42"/>
  <c r="Y22" i="42"/>
  <c r="X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AJ1" i="42"/>
  <c r="I1" i="42"/>
  <c r="J1" i="42"/>
  <c r="K1" i="42"/>
  <c r="L1" i="42"/>
  <c r="M1" i="42"/>
  <c r="N1" i="42"/>
  <c r="O1" i="42"/>
  <c r="P1" i="42"/>
  <c r="Q1" i="42"/>
  <c r="R1" i="42"/>
  <c r="S1" i="42"/>
  <c r="T1" i="42"/>
  <c r="U1" i="42"/>
  <c r="V1" i="42"/>
  <c r="W1" i="42"/>
  <c r="X1" i="42"/>
  <c r="Y1" i="42"/>
  <c r="Z1" i="42"/>
  <c r="AA1" i="42"/>
  <c r="AB1" i="42"/>
  <c r="AC1" i="42"/>
  <c r="AD1" i="42"/>
  <c r="AE1" i="42"/>
  <c r="AF1" i="42"/>
  <c r="AG1" i="42"/>
  <c r="AH1" i="42"/>
  <c r="AI1" i="42"/>
  <c r="H29" i="42"/>
  <c r="G29" i="42"/>
  <c r="F29" i="42"/>
  <c r="E29" i="42"/>
  <c r="D29" i="42"/>
  <c r="C29" i="42"/>
  <c r="B29" i="42"/>
  <c r="H28" i="42"/>
  <c r="G28" i="42"/>
  <c r="F28" i="42"/>
  <c r="E28" i="42"/>
  <c r="D28" i="42"/>
  <c r="C28" i="42"/>
  <c r="B28" i="42"/>
  <c r="H27" i="42"/>
  <c r="G27" i="42"/>
  <c r="F27" i="42"/>
  <c r="E27" i="42"/>
  <c r="D27" i="42"/>
  <c r="C27" i="42"/>
  <c r="B27" i="42"/>
  <c r="F26" i="42"/>
  <c r="E26" i="42"/>
  <c r="D26" i="42"/>
  <c r="C26" i="42"/>
  <c r="B26" i="42"/>
  <c r="H25" i="42"/>
  <c r="G25" i="42"/>
  <c r="F25" i="42"/>
  <c r="E25" i="42"/>
  <c r="D25" i="42"/>
  <c r="C25" i="42"/>
  <c r="B25" i="42"/>
  <c r="H24" i="42"/>
  <c r="G24" i="42"/>
  <c r="F24" i="42"/>
  <c r="E24" i="42"/>
  <c r="D24" i="42"/>
  <c r="C24" i="42"/>
  <c r="B24" i="42"/>
  <c r="H23" i="42"/>
  <c r="G23" i="42"/>
  <c r="F23" i="42"/>
  <c r="E23" i="42"/>
  <c r="D23" i="42"/>
  <c r="C23" i="42"/>
  <c r="B23" i="42"/>
  <c r="H22" i="42"/>
  <c r="F22" i="42"/>
  <c r="E22" i="42"/>
  <c r="D22" i="42"/>
  <c r="C22" i="42"/>
  <c r="B22" i="42"/>
  <c r="D1" i="42"/>
  <c r="C1" i="42"/>
  <c r="B1" i="42"/>
  <c r="D1" i="39"/>
  <c r="C1" i="39"/>
  <c r="B1" i="39"/>
  <c r="G30" i="42" l="1"/>
  <c r="Q30" i="42"/>
  <c r="X30" i="42"/>
  <c r="R30" i="42"/>
  <c r="B30" i="42"/>
  <c r="AE30" i="42"/>
  <c r="AF30" i="42"/>
  <c r="AG30" i="42"/>
  <c r="AH30" i="42"/>
  <c r="Y30" i="42"/>
  <c r="S30" i="42"/>
  <c r="AA30" i="42"/>
  <c r="T30" i="42"/>
  <c r="AD30" i="42"/>
  <c r="Z30" i="42"/>
  <c r="P30" i="42"/>
  <c r="U30" i="42"/>
  <c r="I30" i="42"/>
  <c r="J30" i="42"/>
  <c r="L30" i="42"/>
  <c r="K30" i="42"/>
  <c r="M30" i="42"/>
  <c r="AC30" i="42"/>
  <c r="W30" i="42"/>
  <c r="V30" i="42"/>
  <c r="AJ30" i="42"/>
  <c r="AI30" i="42"/>
  <c r="AB30" i="42"/>
  <c r="O30" i="42"/>
  <c r="N30" i="42"/>
  <c r="C30" i="42"/>
  <c r="D30" i="42"/>
  <c r="E30" i="42"/>
  <c r="F30" i="42"/>
  <c r="H30" i="42"/>
  <c r="F23" i="39"/>
  <c r="G23" i="39"/>
  <c r="H23" i="39"/>
  <c r="I23" i="39"/>
  <c r="J23" i="39"/>
  <c r="K23" i="39"/>
  <c r="L23" i="39"/>
  <c r="M23" i="39"/>
  <c r="N23" i="39"/>
  <c r="O23" i="39"/>
  <c r="P23" i="39"/>
  <c r="Q23" i="39"/>
  <c r="R23" i="39"/>
  <c r="S23" i="39"/>
  <c r="T23" i="39"/>
  <c r="U23" i="39"/>
  <c r="V23" i="39"/>
  <c r="W23" i="39"/>
  <c r="X23" i="39"/>
  <c r="Y23" i="39"/>
  <c r="Z23" i="39"/>
  <c r="AA23" i="39"/>
  <c r="AB23" i="39"/>
  <c r="AC23" i="39"/>
  <c r="AD23" i="39"/>
  <c r="AE23" i="39"/>
  <c r="AF23" i="39"/>
  <c r="AG23" i="39"/>
  <c r="AH23" i="39"/>
  <c r="AI23" i="39"/>
  <c r="AJ23" i="39"/>
  <c r="AK23" i="39"/>
  <c r="AL23" i="39"/>
  <c r="F24" i="39"/>
  <c r="G24" i="39"/>
  <c r="H24" i="39"/>
  <c r="I24" i="39"/>
  <c r="J24" i="39"/>
  <c r="K24" i="39"/>
  <c r="L24" i="39"/>
  <c r="M24" i="39"/>
  <c r="N24" i="39"/>
  <c r="O24" i="39"/>
  <c r="P24" i="39"/>
  <c r="Q24" i="39"/>
  <c r="R24" i="39"/>
  <c r="S24" i="39"/>
  <c r="T24" i="39"/>
  <c r="U24" i="39"/>
  <c r="V24" i="39"/>
  <c r="W24" i="39"/>
  <c r="X24" i="39"/>
  <c r="Y24" i="39"/>
  <c r="Z24" i="39"/>
  <c r="AA24" i="39"/>
  <c r="AB24" i="39"/>
  <c r="AC24" i="39"/>
  <c r="AD24" i="39"/>
  <c r="AE24" i="39"/>
  <c r="AF24" i="39"/>
  <c r="AG24" i="39"/>
  <c r="AH24" i="39"/>
  <c r="AI24" i="39"/>
  <c r="AJ24" i="39"/>
  <c r="AK24" i="39"/>
  <c r="AL24" i="39"/>
  <c r="F25" i="39"/>
  <c r="G25" i="39"/>
  <c r="H25" i="39"/>
  <c r="I25" i="39"/>
  <c r="J25" i="39"/>
  <c r="K25" i="39"/>
  <c r="L25" i="39"/>
  <c r="M25" i="39"/>
  <c r="N25" i="39"/>
  <c r="O25" i="39"/>
  <c r="P25" i="39"/>
  <c r="Q25" i="39"/>
  <c r="R25" i="39"/>
  <c r="S25" i="39"/>
  <c r="T25" i="39"/>
  <c r="U25" i="39"/>
  <c r="V25" i="39"/>
  <c r="W25" i="39"/>
  <c r="X25" i="39"/>
  <c r="Y25" i="39"/>
  <c r="Z25" i="39"/>
  <c r="AA25" i="39"/>
  <c r="AB25" i="39"/>
  <c r="AC25" i="39"/>
  <c r="AD25" i="39"/>
  <c r="AE25" i="39"/>
  <c r="AF25" i="39"/>
  <c r="AG25" i="39"/>
  <c r="AH25" i="39"/>
  <c r="AI25" i="39"/>
  <c r="AJ25" i="39"/>
  <c r="AK25" i="39"/>
  <c r="AL25" i="39"/>
  <c r="F26" i="39"/>
  <c r="G26" i="39"/>
  <c r="H26" i="39"/>
  <c r="I26" i="39"/>
  <c r="J26" i="39"/>
  <c r="K26" i="39"/>
  <c r="L26" i="39"/>
  <c r="M26" i="39"/>
  <c r="N26" i="39"/>
  <c r="O26" i="39"/>
  <c r="P26" i="39"/>
  <c r="Q26" i="39"/>
  <c r="R26" i="39"/>
  <c r="S26" i="39"/>
  <c r="T26" i="39"/>
  <c r="U26" i="39"/>
  <c r="V26" i="39"/>
  <c r="W26" i="39"/>
  <c r="X26" i="39"/>
  <c r="Y26" i="39"/>
  <c r="Z26" i="39"/>
  <c r="AA26" i="39"/>
  <c r="AB26" i="39"/>
  <c r="AC26" i="39"/>
  <c r="AD26" i="39"/>
  <c r="AE26" i="39"/>
  <c r="AF26" i="39"/>
  <c r="AG26" i="39"/>
  <c r="AH26" i="39"/>
  <c r="AI26" i="39"/>
  <c r="AJ26" i="39"/>
  <c r="AK26" i="39"/>
  <c r="AL26" i="39"/>
  <c r="F27" i="39"/>
  <c r="G27" i="39"/>
  <c r="H27" i="39"/>
  <c r="I27" i="39"/>
  <c r="J27" i="39"/>
  <c r="K27" i="39"/>
  <c r="L27" i="39"/>
  <c r="M27" i="39"/>
  <c r="N27" i="39"/>
  <c r="O27" i="39"/>
  <c r="P27" i="39"/>
  <c r="Q27" i="39"/>
  <c r="R27" i="39"/>
  <c r="S27" i="39"/>
  <c r="T27" i="39"/>
  <c r="U27" i="39"/>
  <c r="V27" i="39"/>
  <c r="W27" i="39"/>
  <c r="X27" i="39"/>
  <c r="Y27" i="39"/>
  <c r="Z27" i="39"/>
  <c r="AA27" i="39"/>
  <c r="AB27" i="39"/>
  <c r="AC27" i="39"/>
  <c r="AD27" i="39"/>
  <c r="AE27" i="39"/>
  <c r="AF27" i="39"/>
  <c r="AG27" i="39"/>
  <c r="AH27" i="39"/>
  <c r="AI27" i="39"/>
  <c r="AJ27" i="39"/>
  <c r="AK27" i="39"/>
  <c r="AL27" i="39"/>
  <c r="F28" i="39"/>
  <c r="G28" i="39"/>
  <c r="H28" i="39"/>
  <c r="I28" i="39"/>
  <c r="J28" i="39"/>
  <c r="K28" i="39"/>
  <c r="L28" i="39"/>
  <c r="M28" i="39"/>
  <c r="N28" i="39"/>
  <c r="O28" i="39"/>
  <c r="P28" i="39"/>
  <c r="Q28" i="39"/>
  <c r="R28" i="39"/>
  <c r="S28" i="39"/>
  <c r="T28" i="39"/>
  <c r="U28" i="39"/>
  <c r="V28" i="39"/>
  <c r="W28" i="39"/>
  <c r="X28" i="39"/>
  <c r="Y28" i="39"/>
  <c r="Z28" i="39"/>
  <c r="AA28" i="39"/>
  <c r="AB28" i="39"/>
  <c r="AC28" i="39"/>
  <c r="AD28" i="39"/>
  <c r="AE28" i="39"/>
  <c r="AF28" i="39"/>
  <c r="AG28" i="39"/>
  <c r="AH28" i="39"/>
  <c r="AI28" i="39"/>
  <c r="AJ28" i="39"/>
  <c r="AK28" i="39"/>
  <c r="AL28" i="39"/>
  <c r="F29" i="39"/>
  <c r="G29" i="39"/>
  <c r="H29" i="39"/>
  <c r="I29" i="39"/>
  <c r="J29" i="39"/>
  <c r="K29" i="39"/>
  <c r="L29" i="39"/>
  <c r="M29" i="39"/>
  <c r="N29" i="39"/>
  <c r="O29" i="39"/>
  <c r="P29" i="39"/>
  <c r="Q29" i="39"/>
  <c r="R29" i="39"/>
  <c r="S29" i="39"/>
  <c r="T29" i="39"/>
  <c r="U29" i="39"/>
  <c r="V29" i="39"/>
  <c r="W29" i="39"/>
  <c r="X29" i="39"/>
  <c r="Y29" i="39"/>
  <c r="Z29" i="39"/>
  <c r="AA29" i="39"/>
  <c r="AB29" i="39"/>
  <c r="AC29" i="39"/>
  <c r="AD29" i="39"/>
  <c r="AE29" i="39"/>
  <c r="AF29" i="39"/>
  <c r="AG29" i="39"/>
  <c r="AH29" i="39"/>
  <c r="AI29" i="39"/>
  <c r="AJ29" i="39"/>
  <c r="AK29" i="39"/>
  <c r="AL29" i="39"/>
  <c r="F22" i="39"/>
  <c r="G22" i="39"/>
  <c r="H22" i="39"/>
  <c r="I22" i="39"/>
  <c r="J22" i="39"/>
  <c r="K22" i="39"/>
  <c r="L22" i="39"/>
  <c r="M22" i="39"/>
  <c r="N22" i="39"/>
  <c r="O22" i="39"/>
  <c r="P22" i="39"/>
  <c r="Q22" i="39"/>
  <c r="R22" i="39"/>
  <c r="S22" i="39"/>
  <c r="T22" i="39"/>
  <c r="U22" i="39"/>
  <c r="V22" i="39"/>
  <c r="W22" i="39"/>
  <c r="X22" i="39"/>
  <c r="Y22" i="39"/>
  <c r="Z22" i="39"/>
  <c r="AA22" i="39"/>
  <c r="AB22" i="39"/>
  <c r="AC22" i="39"/>
  <c r="AD22" i="39"/>
  <c r="AE22" i="39"/>
  <c r="AF22" i="39"/>
  <c r="AG22" i="39"/>
  <c r="AH22" i="39"/>
  <c r="AI22" i="39"/>
  <c r="AJ22" i="39"/>
  <c r="AK22" i="39"/>
  <c r="AL22" i="39"/>
  <c r="E29" i="39"/>
  <c r="E28" i="39"/>
  <c r="E27" i="39"/>
  <c r="E26" i="39"/>
  <c r="E25" i="39"/>
  <c r="E24" i="39"/>
  <c r="E23" i="39"/>
  <c r="E22" i="39"/>
  <c r="AI1" i="39"/>
  <c r="AJ1" i="39"/>
  <c r="AK1" i="39"/>
  <c r="AL1" i="39"/>
  <c r="E1" i="39"/>
  <c r="F1" i="39"/>
  <c r="G1" i="39"/>
  <c r="H1" i="39"/>
  <c r="I1" i="39"/>
  <c r="J1" i="39"/>
  <c r="K1" i="39"/>
  <c r="L1" i="39"/>
  <c r="M1" i="39"/>
  <c r="N1" i="39"/>
  <c r="O1" i="39"/>
  <c r="P1" i="39"/>
  <c r="Q1" i="39"/>
  <c r="R1" i="39"/>
  <c r="S1" i="39"/>
  <c r="T1" i="39"/>
  <c r="U1" i="39"/>
  <c r="V1" i="39"/>
  <c r="W1" i="39"/>
  <c r="X1" i="39"/>
  <c r="Y1" i="39"/>
  <c r="Z1" i="39"/>
  <c r="AA1" i="39"/>
  <c r="AB1" i="39"/>
  <c r="AC1" i="39"/>
  <c r="AD1" i="39"/>
  <c r="AE1" i="39"/>
  <c r="AF1" i="39"/>
  <c r="AG1" i="39"/>
  <c r="AH1" i="39"/>
  <c r="D29" i="39"/>
  <c r="C29" i="39"/>
  <c r="B29" i="39"/>
  <c r="D28" i="39"/>
  <c r="C28" i="39"/>
  <c r="B28" i="39"/>
  <c r="D27" i="39"/>
  <c r="C27" i="39"/>
  <c r="B27" i="39"/>
  <c r="D26" i="39"/>
  <c r="C26" i="39"/>
  <c r="B26" i="39"/>
  <c r="D25" i="39"/>
  <c r="C25" i="39"/>
  <c r="B25" i="39"/>
  <c r="D24" i="39"/>
  <c r="C24" i="39"/>
  <c r="B24" i="39"/>
  <c r="D23" i="39"/>
  <c r="C23" i="39"/>
  <c r="B23" i="39"/>
  <c r="D22" i="39"/>
  <c r="C22" i="39"/>
  <c r="B22" i="39"/>
  <c r="Z30" i="39" l="1"/>
  <c r="Y30" i="39"/>
  <c r="AL30" i="39"/>
  <c r="AJ30" i="39"/>
  <c r="L30" i="39"/>
  <c r="X30" i="39"/>
  <c r="AD30" i="39"/>
  <c r="J30" i="39"/>
  <c r="I30" i="39"/>
  <c r="V30" i="39"/>
  <c r="G30" i="39"/>
  <c r="F30" i="39"/>
  <c r="AG30" i="39"/>
  <c r="AE30" i="39"/>
  <c r="AH30" i="39"/>
  <c r="U30" i="39"/>
  <c r="R30" i="39"/>
  <c r="O30" i="39"/>
  <c r="S30" i="39"/>
  <c r="N30" i="39"/>
  <c r="M30" i="39"/>
  <c r="E30" i="39"/>
  <c r="AI30" i="39"/>
  <c r="W30" i="39"/>
  <c r="K30" i="39"/>
  <c r="AF30" i="39"/>
  <c r="T30" i="39"/>
  <c r="H30" i="39"/>
  <c r="AC30" i="39"/>
  <c r="Q30" i="39"/>
  <c r="AK30" i="39"/>
  <c r="AB30" i="39"/>
  <c r="P30" i="39"/>
  <c r="AA30" i="39"/>
  <c r="C30" i="39"/>
  <c r="D30" i="39"/>
  <c r="B30" i="39"/>
  <c r="AK2" i="36"/>
  <c r="AJ2" i="36"/>
  <c r="AI2" i="36"/>
  <c r="AH2" i="36"/>
  <c r="E1" i="38"/>
  <c r="D1" i="38"/>
  <c r="C1" i="38"/>
  <c r="B1" i="38"/>
  <c r="AH29" i="38" l="1"/>
  <c r="AG29" i="38"/>
  <c r="AF29" i="38"/>
  <c r="AE29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B29" i="38"/>
  <c r="AH28" i="38"/>
  <c r="AG28" i="38"/>
  <c r="AF28" i="38"/>
  <c r="AE28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B28" i="38"/>
  <c r="AH27" i="38"/>
  <c r="AG27" i="38"/>
  <c r="AF27" i="38"/>
  <c r="AE27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AH26" i="38"/>
  <c r="AG26" i="38"/>
  <c r="AF26" i="38"/>
  <c r="AE26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AH25" i="38"/>
  <c r="AG25" i="38"/>
  <c r="AF25" i="38"/>
  <c r="AE25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B25" i="38"/>
  <c r="AH24" i="38"/>
  <c r="AG24" i="38"/>
  <c r="AF24" i="38"/>
  <c r="AE24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AH23" i="38"/>
  <c r="AG23" i="38"/>
  <c r="AF23" i="38"/>
  <c r="AE23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B23" i="38"/>
  <c r="AH22" i="38"/>
  <c r="AG22" i="38"/>
  <c r="AF22" i="38"/>
  <c r="AE22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C22" i="38"/>
  <c r="B22" i="38"/>
  <c r="AH1" i="38"/>
  <c r="AG1" i="38"/>
  <c r="AF1" i="38"/>
  <c r="AE1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L1" i="38"/>
  <c r="K1" i="38"/>
  <c r="J1" i="38"/>
  <c r="I1" i="38"/>
  <c r="H1" i="38"/>
  <c r="G1" i="38"/>
  <c r="F1" i="38"/>
  <c r="O30" i="38" l="1"/>
  <c r="AB30" i="38"/>
  <c r="Z30" i="38"/>
  <c r="Y30" i="38"/>
  <c r="R30" i="38"/>
  <c r="S30" i="38"/>
  <c r="K30" i="38"/>
  <c r="C30" i="38"/>
  <c r="B30" i="38"/>
  <c r="D30" i="38"/>
  <c r="AA30" i="38"/>
  <c r="V30" i="38"/>
  <c r="W30" i="38"/>
  <c r="X30" i="38"/>
  <c r="L30" i="38"/>
  <c r="P30" i="38"/>
  <c r="Q30" i="38"/>
  <c r="J30" i="38"/>
  <c r="U30" i="38"/>
  <c r="T30" i="38"/>
  <c r="N30" i="38"/>
  <c r="M30" i="38"/>
  <c r="AG30" i="38"/>
  <c r="AC30" i="38"/>
  <c r="AE30" i="38"/>
  <c r="AD30" i="38"/>
  <c r="AF30" i="38"/>
  <c r="AH30" i="38"/>
  <c r="F30" i="38"/>
  <c r="I30" i="38"/>
  <c r="G30" i="38"/>
  <c r="H30" i="38"/>
  <c r="E30" i="38"/>
  <c r="AN28" i="37" l="1"/>
  <c r="AM28" i="37"/>
  <c r="AL28" i="37"/>
  <c r="AK28" i="37"/>
  <c r="AJ28" i="37"/>
  <c r="AI28" i="37"/>
  <c r="AH28" i="37"/>
  <c r="AG28" i="37"/>
  <c r="AF28" i="37"/>
  <c r="AE28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AN27" i="37"/>
  <c r="AM27" i="37"/>
  <c r="AL27" i="37"/>
  <c r="AK27" i="37"/>
  <c r="AJ27" i="37"/>
  <c r="AI27" i="37"/>
  <c r="AH27" i="37"/>
  <c r="AG27" i="37"/>
  <c r="AF27" i="37"/>
  <c r="AE27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AN26" i="37"/>
  <c r="AM26" i="37"/>
  <c r="AL26" i="37"/>
  <c r="AK26" i="37"/>
  <c r="AJ26" i="37"/>
  <c r="AI26" i="37"/>
  <c r="AH26" i="37"/>
  <c r="AG26" i="37"/>
  <c r="AF26" i="37"/>
  <c r="AE26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AN25" i="37"/>
  <c r="AM25" i="37"/>
  <c r="AL25" i="37"/>
  <c r="AK25" i="37"/>
  <c r="AJ25" i="37"/>
  <c r="AI25" i="37"/>
  <c r="AH25" i="37"/>
  <c r="AG25" i="37"/>
  <c r="AF25" i="37"/>
  <c r="AE25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AN24" i="37"/>
  <c r="AM24" i="37"/>
  <c r="AL24" i="37"/>
  <c r="AK24" i="37"/>
  <c r="AJ24" i="37"/>
  <c r="AI24" i="37"/>
  <c r="AH24" i="37"/>
  <c r="AG24" i="37"/>
  <c r="AF24" i="37"/>
  <c r="AE24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AN23" i="37"/>
  <c r="AM23" i="37"/>
  <c r="AL23" i="37"/>
  <c r="AK23" i="37"/>
  <c r="AJ23" i="37"/>
  <c r="AI23" i="37"/>
  <c r="AH23" i="37"/>
  <c r="AG23" i="37"/>
  <c r="AF23" i="37"/>
  <c r="AE23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AN22" i="37"/>
  <c r="AM22" i="37"/>
  <c r="AL22" i="37"/>
  <c r="AK22" i="37"/>
  <c r="AJ22" i="37"/>
  <c r="AI22" i="37"/>
  <c r="AH22" i="37"/>
  <c r="AG22" i="37"/>
  <c r="AF22" i="37"/>
  <c r="AE22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5" i="37"/>
  <c r="B24" i="37"/>
  <c r="B23" i="37"/>
  <c r="B22" i="37"/>
  <c r="B28" i="37"/>
  <c r="B27" i="37"/>
  <c r="B26" i="37"/>
  <c r="AK1" i="37"/>
  <c r="AL1" i="37"/>
  <c r="AM1" i="37"/>
  <c r="AN1" i="37"/>
  <c r="E1" i="37"/>
  <c r="D1" i="37"/>
  <c r="C1" i="37"/>
  <c r="B1" i="37"/>
  <c r="AJ1" i="37"/>
  <c r="AI1" i="37"/>
  <c r="AH1" i="37"/>
  <c r="AG1" i="37"/>
  <c r="AF1" i="37"/>
  <c r="AE1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AF29" i="37" l="1"/>
  <c r="E29" i="37"/>
  <c r="R29" i="37"/>
  <c r="U29" i="37"/>
  <c r="X29" i="37"/>
  <c r="AK29" i="37"/>
  <c r="AE29" i="37"/>
  <c r="T29" i="37"/>
  <c r="I29" i="37"/>
  <c r="K29" i="37"/>
  <c r="AJ29" i="37"/>
  <c r="Y29" i="37"/>
  <c r="N29" i="37"/>
  <c r="Z29" i="37"/>
  <c r="AL29" i="37"/>
  <c r="G29" i="37"/>
  <c r="Q29" i="37"/>
  <c r="F29" i="37"/>
  <c r="AG29" i="37"/>
  <c r="AH29" i="37"/>
  <c r="W29" i="37"/>
  <c r="M29" i="37"/>
  <c r="C29" i="37"/>
  <c r="O29" i="37"/>
  <c r="AA29" i="37"/>
  <c r="AM29" i="37"/>
  <c r="S29" i="37"/>
  <c r="AC29" i="37"/>
  <c r="H29" i="37"/>
  <c r="AI29" i="37"/>
  <c r="L29" i="37"/>
  <c r="D29" i="37"/>
  <c r="P29" i="37"/>
  <c r="AN29" i="37"/>
  <c r="AD29" i="37"/>
  <c r="V29" i="37"/>
  <c r="AB29" i="37"/>
  <c r="J29" i="37"/>
  <c r="B29" i="37"/>
  <c r="AG2" i="36"/>
  <c r="AF2" i="36"/>
  <c r="AE2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AK29" i="36" l="1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AK28" i="36"/>
  <c r="AJ28" i="36"/>
  <c r="AI28" i="36"/>
  <c r="AH28" i="36"/>
  <c r="AG28" i="36"/>
  <c r="AF28" i="36"/>
  <c r="AE28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AK27" i="36"/>
  <c r="AJ27" i="36"/>
  <c r="AI27" i="36"/>
  <c r="AH27" i="36"/>
  <c r="AG27" i="36"/>
  <c r="AF27" i="36"/>
  <c r="AE27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AK25" i="36"/>
  <c r="AJ25" i="36"/>
  <c r="AI25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AK24" i="36"/>
  <c r="AJ24" i="36"/>
  <c r="AI24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AK23" i="36"/>
  <c r="AJ23" i="36"/>
  <c r="AI23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P2" i="36"/>
  <c r="O2" i="36"/>
  <c r="N2" i="36"/>
  <c r="M2" i="36"/>
  <c r="L2" i="36"/>
  <c r="K2" i="36"/>
  <c r="J2" i="36"/>
  <c r="I2" i="36"/>
  <c r="H2" i="36"/>
  <c r="G2" i="36"/>
  <c r="F2" i="36"/>
  <c r="E2" i="36"/>
  <c r="D2" i="36"/>
  <c r="C2" i="36"/>
  <c r="Q30" i="36" l="1"/>
  <c r="Y30" i="36"/>
  <c r="AA30" i="36"/>
  <c r="AI30" i="36"/>
  <c r="X30" i="36"/>
  <c r="N30" i="36"/>
  <c r="AD30" i="36"/>
  <c r="V30" i="36"/>
  <c r="I30" i="36"/>
  <c r="F30" i="36"/>
  <c r="H30" i="36"/>
  <c r="P30" i="36"/>
  <c r="AF30" i="36"/>
  <c r="J30" i="36"/>
  <c r="R30" i="36"/>
  <c r="C30" i="36"/>
  <c r="K30" i="36"/>
  <c r="S30" i="36"/>
  <c r="D30" i="36"/>
  <c r="T30" i="36"/>
  <c r="AB30" i="36"/>
  <c r="M30" i="36"/>
  <c r="U30" i="36"/>
  <c r="AC30" i="36"/>
  <c r="AK30" i="36"/>
  <c r="G30" i="36"/>
  <c r="O30" i="36"/>
  <c r="W30" i="36"/>
  <c r="AE30" i="36"/>
  <c r="AJ30" i="36"/>
  <c r="E30" i="36"/>
  <c r="AG30" i="36"/>
  <c r="AH30" i="36"/>
  <c r="Z30" i="36"/>
  <c r="L30" i="36"/>
  <c r="E2" i="35"/>
  <c r="D2" i="35"/>
  <c r="C2" i="35"/>
  <c r="AH29" i="35" l="1"/>
  <c r="AG29" i="35"/>
  <c r="AF29" i="35"/>
  <c r="AE29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AH28" i="35"/>
  <c r="AG28" i="35"/>
  <c r="AF28" i="35"/>
  <c r="AE28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AH27" i="35"/>
  <c r="AG27" i="35"/>
  <c r="AF27" i="35"/>
  <c r="AE27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AH26" i="35"/>
  <c r="AG26" i="35"/>
  <c r="AF26" i="35"/>
  <c r="AE26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AH25" i="35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AH24" i="35"/>
  <c r="AG24" i="35"/>
  <c r="AF24" i="35"/>
  <c r="AE24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AH23" i="35"/>
  <c r="AG23" i="35"/>
  <c r="AF23" i="35"/>
  <c r="AE23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L30" i="35" s="1"/>
  <c r="K23" i="35"/>
  <c r="J23" i="35"/>
  <c r="I23" i="35"/>
  <c r="H23" i="35"/>
  <c r="G23" i="35"/>
  <c r="F23" i="35"/>
  <c r="E23" i="35"/>
  <c r="D23" i="35"/>
  <c r="C23" i="35"/>
  <c r="AH2" i="35"/>
  <c r="AG2" i="35"/>
  <c r="AF2" i="35"/>
  <c r="AE2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K30" i="35" l="1"/>
  <c r="X30" i="35"/>
  <c r="W30" i="35"/>
  <c r="N30" i="35"/>
  <c r="Z30" i="35"/>
  <c r="Q30" i="35"/>
  <c r="M30" i="35"/>
  <c r="U30" i="35"/>
  <c r="Y30" i="35"/>
  <c r="AB30" i="35"/>
  <c r="AA30" i="35"/>
  <c r="R30" i="35"/>
  <c r="G30" i="35"/>
  <c r="AE30" i="35"/>
  <c r="T30" i="35"/>
  <c r="AF30" i="35"/>
  <c r="AG30" i="35"/>
  <c r="J30" i="35"/>
  <c r="F30" i="35"/>
  <c r="P30" i="35"/>
  <c r="I30" i="35"/>
  <c r="S30" i="35"/>
  <c r="H30" i="35"/>
  <c r="O30" i="35"/>
  <c r="V30" i="35"/>
  <c r="AC30" i="35"/>
  <c r="AD30" i="35"/>
  <c r="AH30" i="35"/>
  <c r="D30" i="35"/>
  <c r="C30" i="35"/>
  <c r="E30" i="35"/>
  <c r="AI26" i="34" l="1"/>
  <c r="AI25" i="34"/>
  <c r="AI24" i="34"/>
  <c r="AI27" i="34"/>
  <c r="AI28" i="34"/>
  <c r="AI29" i="34"/>
  <c r="AI23" i="34"/>
  <c r="AH29" i="34" l="1"/>
  <c r="AG29" i="34"/>
  <c r="AF29" i="34"/>
  <c r="AE29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AH28" i="34"/>
  <c r="AG28" i="34"/>
  <c r="AF28" i="34"/>
  <c r="AE28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AH27" i="34"/>
  <c r="AG27" i="34"/>
  <c r="AF27" i="34"/>
  <c r="AE27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AH26" i="34"/>
  <c r="AG26" i="34"/>
  <c r="AF26" i="34"/>
  <c r="AE26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AH25" i="34"/>
  <c r="AG25" i="34"/>
  <c r="AF25" i="34"/>
  <c r="AE25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AH24" i="34"/>
  <c r="AG24" i="34"/>
  <c r="AF24" i="34"/>
  <c r="AE24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AH23" i="34"/>
  <c r="AG23" i="34"/>
  <c r="AF23" i="34"/>
  <c r="AE23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AI2" i="34"/>
  <c r="AH2" i="34"/>
  <c r="AG2" i="34"/>
  <c r="AF2" i="34"/>
  <c r="AE2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F2" i="34"/>
  <c r="E2" i="34"/>
  <c r="D2" i="34"/>
  <c r="C2" i="34"/>
  <c r="AD30" i="34" l="1"/>
  <c r="U30" i="34"/>
  <c r="X30" i="34"/>
  <c r="W30" i="34"/>
  <c r="AG30" i="34"/>
  <c r="P30" i="34"/>
  <c r="V30" i="34"/>
  <c r="H30" i="34"/>
  <c r="T30" i="34"/>
  <c r="AC30" i="34"/>
  <c r="AF30" i="34"/>
  <c r="AA30" i="34"/>
  <c r="AB30" i="34"/>
  <c r="O30" i="34"/>
  <c r="F30" i="34"/>
  <c r="AH30" i="34"/>
  <c r="G30" i="34"/>
  <c r="Z30" i="34"/>
  <c r="Y30" i="34"/>
  <c r="I30" i="34"/>
  <c r="J30" i="34"/>
  <c r="AE30" i="34"/>
  <c r="K30" i="34"/>
  <c r="L30" i="34"/>
  <c r="AI30" i="34"/>
  <c r="S30" i="34"/>
  <c r="D30" i="34"/>
  <c r="C30" i="34"/>
  <c r="E30" i="34"/>
  <c r="R30" i="34"/>
  <c r="Q30" i="34"/>
  <c r="M30" i="34"/>
  <c r="N30" i="34"/>
  <c r="AK24" i="26"/>
  <c r="AJ24" i="26"/>
  <c r="AI24" i="26"/>
  <c r="AH24" i="26"/>
  <c r="AG24" i="26"/>
  <c r="AF24" i="26"/>
  <c r="AE24" i="26"/>
  <c r="AD24" i="26"/>
  <c r="AC24" i="26"/>
  <c r="AB24" i="26"/>
  <c r="AA24" i="26"/>
  <c r="Z24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3" i="26"/>
  <c r="B22" i="26"/>
  <c r="B21" i="26"/>
  <c r="B20" i="26"/>
  <c r="AB19" i="25"/>
  <c r="AB20" i="25"/>
  <c r="AB21" i="25"/>
  <c r="AB22" i="25"/>
  <c r="B24" i="26"/>
  <c r="F1" i="26"/>
  <c r="E1" i="26"/>
  <c r="D1" i="26"/>
  <c r="C1" i="26"/>
  <c r="B1" i="26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AF22" i="25"/>
  <c r="AE22" i="25"/>
  <c r="AD22" i="25"/>
  <c r="AC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AF21" i="25"/>
  <c r="AE21" i="25"/>
  <c r="AD21" i="25"/>
  <c r="AC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AF20" i="25"/>
  <c r="AE20" i="25"/>
  <c r="AD20" i="25"/>
  <c r="AC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AF19" i="25"/>
  <c r="AE19" i="25"/>
  <c r="AD19" i="25"/>
  <c r="AC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22" i="25"/>
  <c r="B21" i="25"/>
  <c r="B20" i="25"/>
  <c r="B19" i="25"/>
  <c r="B23" i="25"/>
  <c r="N24" i="25" l="1"/>
  <c r="AB24" i="25"/>
  <c r="Q24" i="25"/>
  <c r="R24" i="25"/>
  <c r="P24" i="25"/>
  <c r="AA24" i="25"/>
  <c r="Z24" i="25"/>
  <c r="E24" i="25"/>
  <c r="AC24" i="25"/>
  <c r="C24" i="25"/>
  <c r="S24" i="25"/>
  <c r="F24" i="25"/>
  <c r="J25" i="26"/>
  <c r="Y24" i="25"/>
  <c r="D24" i="25"/>
  <c r="O24" i="25"/>
  <c r="AE24" i="25"/>
  <c r="M24" i="25"/>
  <c r="F25" i="26"/>
  <c r="S25" i="26"/>
  <c r="U25" i="26"/>
  <c r="W25" i="26"/>
  <c r="AC25" i="26"/>
  <c r="Y25" i="26"/>
  <c r="C25" i="26"/>
  <c r="D25" i="26"/>
  <c r="AB25" i="26"/>
  <c r="AF25" i="26"/>
  <c r="R25" i="26"/>
  <c r="Z25" i="26"/>
  <c r="AA25" i="26"/>
  <c r="AE25" i="26"/>
  <c r="X25" i="26"/>
  <c r="E25" i="26"/>
  <c r="B25" i="26"/>
  <c r="H25" i="26"/>
  <c r="K25" i="26"/>
  <c r="L25" i="26"/>
  <c r="AH25" i="26"/>
  <c r="AG25" i="26"/>
  <c r="AI25" i="26"/>
  <c r="AJ25" i="26"/>
  <c r="AK25" i="26"/>
  <c r="AD25" i="26"/>
  <c r="V25" i="26"/>
  <c r="T25" i="26"/>
  <c r="O25" i="26"/>
  <c r="P25" i="26"/>
  <c r="N25" i="26"/>
  <c r="M25" i="26"/>
  <c r="I25" i="26"/>
  <c r="G25" i="26"/>
  <c r="Q25" i="26"/>
  <c r="AD24" i="25"/>
  <c r="B24" i="25"/>
  <c r="T24" i="25"/>
  <c r="U24" i="25"/>
  <c r="J24" i="25"/>
  <c r="W24" i="25"/>
  <c r="L24" i="25"/>
  <c r="X24" i="25"/>
  <c r="H24" i="25"/>
  <c r="AF24" i="25"/>
  <c r="I24" i="25"/>
  <c r="V24" i="25"/>
  <c r="K24" i="25"/>
  <c r="G24" i="25"/>
  <c r="AK1" i="26" l="1"/>
  <c r="AJ1" i="26"/>
  <c r="AI1" i="26"/>
  <c r="AH1" i="26"/>
  <c r="AG1" i="26"/>
  <c r="AF1" i="26"/>
  <c r="AE1" i="26"/>
  <c r="AD1" i="26"/>
  <c r="AC1" i="26"/>
  <c r="AB1" i="26"/>
  <c r="AA1" i="26"/>
  <c r="Z1" i="26"/>
  <c r="Y1" i="26"/>
  <c r="X1" i="26"/>
  <c r="W1" i="26"/>
  <c r="V1" i="26"/>
  <c r="U1" i="26"/>
  <c r="T1" i="26"/>
  <c r="S1" i="26"/>
  <c r="R1" i="26"/>
  <c r="Q1" i="26"/>
  <c r="P1" i="26"/>
  <c r="O1" i="26"/>
  <c r="N1" i="26"/>
  <c r="M1" i="26"/>
  <c r="L1" i="26"/>
  <c r="K1" i="26"/>
  <c r="J1" i="26"/>
  <c r="I1" i="26"/>
  <c r="H1" i="26"/>
  <c r="G1" i="26"/>
  <c r="AF1" i="25"/>
  <c r="AE1" i="25"/>
  <c r="AD1" i="25"/>
  <c r="AC1" i="25"/>
  <c r="AB1" i="25"/>
  <c r="AA1" i="25"/>
  <c r="Z1" i="25"/>
  <c r="Y1" i="25"/>
  <c r="X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M1" i="22" l="1"/>
  <c r="AL1" i="22"/>
  <c r="AK1" i="22"/>
  <c r="AJ1" i="22"/>
  <c r="D1" i="22"/>
  <c r="C1" i="22"/>
  <c r="B1" i="22"/>
  <c r="AH1" i="18" l="1"/>
  <c r="AG1" i="18"/>
  <c r="AF1" i="18"/>
  <c r="B1" i="21"/>
  <c r="C1" i="21"/>
  <c r="D1" i="21"/>
  <c r="AG1" i="19" l="1"/>
  <c r="AF1" i="19"/>
  <c r="AE1" i="19"/>
  <c r="AI1" i="22" l="1"/>
  <c r="AH1" i="22"/>
  <c r="AG1" i="22"/>
  <c r="AF1" i="22"/>
  <c r="AE1" i="22"/>
  <c r="AD1" i="22"/>
  <c r="AC1" i="22"/>
  <c r="AB1" i="22"/>
  <c r="AA1" i="22"/>
  <c r="Z1" i="22"/>
  <c r="Y1" i="22"/>
  <c r="X1" i="22"/>
  <c r="W1" i="22"/>
  <c r="V1" i="22"/>
  <c r="U1" i="22"/>
  <c r="T1" i="22"/>
  <c r="S1" i="22"/>
  <c r="R1" i="22"/>
  <c r="Q1" i="22"/>
  <c r="P1" i="22"/>
  <c r="O1" i="22"/>
  <c r="N1" i="22"/>
  <c r="M1" i="22"/>
  <c r="L1" i="22"/>
  <c r="K1" i="22"/>
  <c r="J1" i="22"/>
  <c r="I1" i="22"/>
  <c r="H1" i="22"/>
  <c r="G1" i="22"/>
  <c r="F1" i="22"/>
  <c r="E1" i="22"/>
  <c r="AD1" i="19" l="1"/>
  <c r="AF1" i="21" l="1"/>
  <c r="AE1" i="21"/>
  <c r="AD1" i="21"/>
  <c r="AC1" i="21"/>
  <c r="AB1" i="21"/>
  <c r="AA1" i="21"/>
  <c r="Z1" i="21"/>
  <c r="Y1" i="21"/>
  <c r="X1" i="21"/>
  <c r="W1" i="21"/>
  <c r="V1" i="21"/>
  <c r="U1" i="21"/>
  <c r="T1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AC1" i="19" l="1"/>
  <c r="AB1" i="19"/>
  <c r="AA1" i="19"/>
  <c r="Z1" i="19"/>
  <c r="Y1" i="19"/>
  <c r="X1" i="19"/>
  <c r="W1" i="19"/>
  <c r="V1" i="19"/>
  <c r="U1" i="19"/>
  <c r="T1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F1" i="15" l="1"/>
  <c r="AE1" i="15"/>
  <c r="AE1" i="18" l="1"/>
  <c r="AD1" i="18"/>
  <c r="AC1" i="18"/>
  <c r="AB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1" i="18"/>
  <c r="B1" i="18"/>
  <c r="S1" i="15"/>
  <c r="R1" i="15"/>
  <c r="AG1" i="13" l="1"/>
  <c r="AF1" i="13"/>
  <c r="AE1" i="13"/>
  <c r="C1" i="17" l="1"/>
  <c r="B1" i="17"/>
  <c r="AG1" i="17"/>
  <c r="AF1" i="17"/>
  <c r="AE1" i="17"/>
  <c r="AD1" i="17"/>
  <c r="AC1" i="17"/>
  <c r="AB1" i="17"/>
  <c r="AA1" i="17"/>
  <c r="Z1" i="17"/>
  <c r="Y1" i="17"/>
  <c r="X1" i="17"/>
  <c r="W1" i="17"/>
  <c r="V1" i="17"/>
  <c r="U1" i="17"/>
  <c r="T1" i="17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AC1" i="13" l="1"/>
  <c r="AB1" i="13"/>
  <c r="AD1" i="15" l="1"/>
  <c r="AC1" i="15"/>
  <c r="AB1" i="15"/>
  <c r="AA1" i="15"/>
  <c r="Z1" i="15"/>
  <c r="Y1" i="15"/>
  <c r="X1" i="15"/>
  <c r="W1" i="15"/>
  <c r="V1" i="15"/>
  <c r="U1" i="15"/>
  <c r="T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I1" i="13" l="1"/>
  <c r="B1" i="13"/>
  <c r="B1" i="12" l="1"/>
  <c r="D1" i="13" l="1"/>
  <c r="E1" i="13"/>
  <c r="F1" i="13"/>
  <c r="G1" i="13"/>
  <c r="H1" i="13"/>
  <c r="J1" i="13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X1" i="13"/>
  <c r="Y1" i="13"/>
  <c r="Z1" i="13"/>
  <c r="AA1" i="13"/>
  <c r="C1" i="13"/>
  <c r="AD1" i="12" l="1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C1" i="11" l="1"/>
  <c r="B1" i="11"/>
  <c r="AF1" i="11" l="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AE1" i="2" l="1"/>
  <c r="AD1" i="2"/>
  <c r="AC1" i="2"/>
  <c r="AB1" i="2"/>
  <c r="AF1" i="9" l="1"/>
  <c r="AG1" i="9"/>
  <c r="AH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</calcChain>
</file>

<file path=xl/sharedStrings.xml><?xml version="1.0" encoding="utf-8"?>
<sst xmlns="http://schemas.openxmlformats.org/spreadsheetml/2006/main" count="11624" uniqueCount="308">
  <si>
    <t>Associates Name</t>
  </si>
  <si>
    <t>Saifullah Shaikh</t>
  </si>
  <si>
    <t>C</t>
  </si>
  <si>
    <t>WMS</t>
  </si>
  <si>
    <t>WO</t>
  </si>
  <si>
    <t>PL</t>
  </si>
  <si>
    <t>MS</t>
  </si>
  <si>
    <t>Siva Swamy Nulu</t>
  </si>
  <si>
    <t>NST3</t>
  </si>
  <si>
    <t>Rakesh R</t>
  </si>
  <si>
    <t>NST7</t>
  </si>
  <si>
    <t>WNST7</t>
  </si>
  <si>
    <t>Somshekar Dixit</t>
  </si>
  <si>
    <t>Pranay Prakash</t>
  </si>
  <si>
    <t>Ashraf U Zama</t>
  </si>
  <si>
    <t>Avdhoot Potnis</t>
  </si>
  <si>
    <t>GS</t>
  </si>
  <si>
    <t>GS1</t>
  </si>
  <si>
    <t>Vinod Reddy</t>
  </si>
  <si>
    <t>Mamali Samantray</t>
  </si>
  <si>
    <t>Ganesh Kamble</t>
  </si>
  <si>
    <t>Venkata L</t>
  </si>
  <si>
    <t>Gayathri S</t>
  </si>
  <si>
    <t>Color Legends</t>
  </si>
  <si>
    <t>General Shift</t>
  </si>
  <si>
    <t>Morning shift (F3)</t>
  </si>
  <si>
    <t>Night Shift(T3)</t>
  </si>
  <si>
    <t>Night Shift(T7)</t>
  </si>
  <si>
    <t>Weekend Morning(F1)</t>
  </si>
  <si>
    <t>Weekend General(GS)</t>
  </si>
  <si>
    <t>WGS</t>
  </si>
  <si>
    <t>Weekend Night Shift(N7)</t>
  </si>
  <si>
    <t>Planned Leave</t>
  </si>
  <si>
    <t>Unplanned Leave</t>
  </si>
  <si>
    <t>UPL</t>
  </si>
  <si>
    <t>Comp-offs</t>
  </si>
  <si>
    <t>Company Holiday</t>
  </si>
  <si>
    <t>H</t>
  </si>
  <si>
    <t>Week Off</t>
  </si>
  <si>
    <t>ASS2</t>
  </si>
  <si>
    <t>WASS2</t>
  </si>
  <si>
    <t>ASS1</t>
  </si>
  <si>
    <t>WASS1</t>
  </si>
  <si>
    <t>Sreekanth Reddy</t>
  </si>
  <si>
    <t xml:space="preserve">Kanchan </t>
  </si>
  <si>
    <t>Ashutosh</t>
  </si>
  <si>
    <t>Bisal</t>
  </si>
  <si>
    <t>Afternoon Shift(S1)</t>
  </si>
  <si>
    <t>Afternoon Shift(S2)</t>
  </si>
  <si>
    <t>Weekend Afternoon(S1)</t>
  </si>
  <si>
    <t>Weekend Afternoon(S2)</t>
  </si>
  <si>
    <t>Email ID</t>
  </si>
  <si>
    <t>59001_FS</t>
  </si>
  <si>
    <t>Saifullah</t>
  </si>
  <si>
    <t xml:space="preserve">saifullah.shaikh@capgemini.com </t>
  </si>
  <si>
    <t>71496_FS</t>
  </si>
  <si>
    <t>Rakesh</t>
  </si>
  <si>
    <t>rakesh.b.r@capgemini.com</t>
  </si>
  <si>
    <t>74072_FS</t>
  </si>
  <si>
    <t>SivaSwamy</t>
  </si>
  <si>
    <t>siva.swamy-nulu@capgemini.com</t>
  </si>
  <si>
    <t>105096_FS</t>
  </si>
  <si>
    <t>Somshekhar</t>
  </si>
  <si>
    <t>somshekhar.dixit@capgemini.com</t>
  </si>
  <si>
    <t>116101_IN</t>
  </si>
  <si>
    <t>Vinod</t>
  </si>
  <si>
    <t>103839_FS</t>
  </si>
  <si>
    <t>md-ashraf.u-zama@capgemini.com</t>
  </si>
  <si>
    <t>183947_FS</t>
  </si>
  <si>
    <t>Avdhoot</t>
  </si>
  <si>
    <t>avdhoot.potnis@capgemini.com</t>
  </si>
  <si>
    <t>Kanchan Pathare</t>
  </si>
  <si>
    <t>kanchan-sambhaji.pathare@capgemini.com</t>
  </si>
  <si>
    <t>46027125_FS</t>
  </si>
  <si>
    <t>Venkata Lakili</t>
  </si>
  <si>
    <t>venkata.lakili@capgemini.com</t>
  </si>
  <si>
    <t>46041450_FS</t>
  </si>
  <si>
    <t>sreekanth.reddy-mungala@capgemini.com</t>
  </si>
  <si>
    <t> 46029952_FS</t>
  </si>
  <si>
    <t> Gayathri S</t>
  </si>
  <si>
    <t>gayathri.h.s@capgemini.com</t>
  </si>
  <si>
    <t>Sneha</t>
  </si>
  <si>
    <t>46045351_FS</t>
  </si>
  <si>
    <t xml:space="preserve">Pattnaik, Ashutosh </t>
  </si>
  <si>
    <t>ashutosh.a.pattnaik@capgemini.com</t>
  </si>
  <si>
    <t>Munish Kumar</t>
  </si>
  <si>
    <t>Ashutosh P</t>
  </si>
  <si>
    <t>Sneha N</t>
  </si>
  <si>
    <t>Shubham Mahajan</t>
  </si>
  <si>
    <t>Aayushi C</t>
  </si>
  <si>
    <t>Optional Holidays</t>
  </si>
  <si>
    <t>Senior con</t>
  </si>
  <si>
    <t>Ascon</t>
  </si>
  <si>
    <t>Software engineer</t>
  </si>
  <si>
    <t>Designation</t>
  </si>
  <si>
    <t>OH</t>
  </si>
  <si>
    <t>CG ID</t>
  </si>
  <si>
    <t>Associate Name</t>
  </si>
  <si>
    <t>Current Location (City)</t>
  </si>
  <si>
    <t>State</t>
  </si>
  <si>
    <t>Ashutosh Pattnaik</t>
  </si>
  <si>
    <t>Bhubaneswar</t>
  </si>
  <si>
    <t>Odisha</t>
  </si>
  <si>
    <t>Kurnool</t>
  </si>
  <si>
    <t>Andhra Pradesh</t>
  </si>
  <si>
    <t xml:space="preserve">Vinod Kumar Reddy </t>
  </si>
  <si>
    <t>Pune</t>
  </si>
  <si>
    <t>Maharashtra</t>
  </si>
  <si>
    <t>Tiruppur</t>
  </si>
  <si>
    <t>Tamil Nadu</t>
  </si>
  <si>
    <t>Punjab</t>
  </si>
  <si>
    <t>Visakhapatnam</t>
  </si>
  <si>
    <t>Md Ashraf U Zama</t>
  </si>
  <si>
    <t>Vijayawada</t>
  </si>
  <si>
    <t>Khargone</t>
  </si>
  <si>
    <t>Madhya Pradesh</t>
  </si>
  <si>
    <t>Mumbai</t>
  </si>
  <si>
    <t>Udupi</t>
  </si>
  <si>
    <t>Karnataka</t>
  </si>
  <si>
    <t>Somshekhar Dixit</t>
  </si>
  <si>
    <t>shajahapur </t>
  </si>
  <si>
    <t>UttarPradesh</t>
  </si>
  <si>
    <t>Sneha Navade</t>
  </si>
  <si>
    <t>Parbhani</t>
  </si>
  <si>
    <t>Mon</t>
  </si>
  <si>
    <t>sneha.santoshrao-navade@capgemini.com</t>
  </si>
  <si>
    <r>
      <t> </t>
    </r>
    <r>
      <rPr>
        <sz val="10.5"/>
        <color rgb="FF242424"/>
        <rFont val="Segoe UI"/>
        <family val="2"/>
      </rPr>
      <t>46103795</t>
    </r>
  </si>
  <si>
    <t>munish.kumar@capgemini.com</t>
  </si>
  <si>
    <r>
      <t> </t>
    </r>
    <r>
      <rPr>
        <sz val="10.5"/>
        <color rgb="FF242424"/>
        <rFont val="Segoe UI"/>
        <family val="2"/>
      </rPr>
      <t>46122508</t>
    </r>
  </si>
  <si>
    <t>shubham.a.mahajan@capgemini.com</t>
  </si>
  <si>
    <t>Employee ID</t>
  </si>
  <si>
    <t>GGID</t>
  </si>
  <si>
    <t>Employee Name</t>
  </si>
  <si>
    <t>National Holiday date</t>
  </si>
  <si>
    <t>In time</t>
  </si>
  <si>
    <t>Out Time</t>
  </si>
  <si>
    <t>Total Hours</t>
  </si>
  <si>
    <t>1st May 2022</t>
  </si>
  <si>
    <t> Ashutosh Pattnaik</t>
  </si>
  <si>
    <t> 13.00</t>
  </si>
  <si>
    <t> 22.30</t>
  </si>
  <si>
    <t>Clarity Timesheet Approval Date (mm-dd-yyyy)</t>
  </si>
  <si>
    <t>Sneha Santoshrao Navade</t>
  </si>
  <si>
    <t> 9:00</t>
  </si>
  <si>
    <t> VINOD KUMAR REDDY REDDYVARI</t>
  </si>
  <si>
    <t> 09:22</t>
  </si>
  <si>
    <t>Lakili Venkata Ramana</t>
  </si>
  <si>
    <t> 46045351</t>
  </si>
  <si>
    <t> 1438409</t>
  </si>
  <si>
    <t> Submitted, but not yet approved</t>
  </si>
  <si>
    <t>Reporting achor/base location</t>
  </si>
  <si>
    <t>Hyderabad</t>
  </si>
  <si>
    <t>Vikroli</t>
  </si>
  <si>
    <t>AS</t>
  </si>
  <si>
    <t>WAS1</t>
  </si>
  <si>
    <t>Sr. No.</t>
  </si>
  <si>
    <t>Shift Lead</t>
  </si>
  <si>
    <t>Shift Timing(CST)</t>
  </si>
  <si>
    <t>Backup Associates</t>
  </si>
  <si>
    <t>Shift</t>
  </si>
  <si>
    <t>Rakesh R/Avdhoot Potnis</t>
  </si>
  <si>
    <t>8:30 PM - 5 AM</t>
  </si>
  <si>
    <t>Avdhoot Potnis/Mahesh Halkanche/Venkata Lakili/Gayathri S</t>
  </si>
  <si>
    <t>Shift 1</t>
  </si>
  <si>
    <t>Saifullah Shaikh/Vinod Reddy</t>
  </si>
  <si>
    <t>3:30 AM - 1 PM</t>
  </si>
  <si>
    <t>Vinod Reddy/Kanchan Pathare/Sreekanth Reddy Munagala/Munish Kumar</t>
  </si>
  <si>
    <t>Shift 2</t>
  </si>
  <si>
    <t>Sachin Dalvi /Siva Swamy Nulu </t>
  </si>
  <si>
    <t>Siva Swamy Nulu </t>
  </si>
  <si>
    <t>Ashraf U Zama/Somshekar Dixit</t>
  </si>
  <si>
    <t>11:30 AM - 9 PM</t>
  </si>
  <si>
    <t>Somshekar Dixit/Shubham Mahajan/Ashutosh Pattnaik/Sneha Navade</t>
  </si>
  <si>
    <t>Shift 3</t>
  </si>
  <si>
    <t>Siva Swamy Nulu/Sachin Dalvi </t>
  </si>
  <si>
    <t>9:30 AM - 7 PM</t>
  </si>
  <si>
    <t>Sachin Dalvi </t>
  </si>
  <si>
    <t>Morning Shift (7.00 am to 4.30 pm)</t>
  </si>
  <si>
    <t>Afternoon Shift (2.00 pm to 11.30 pm)</t>
  </si>
  <si>
    <t>General shift/GS1/Monitoring Shift (9.00 am to 6.30 pm)</t>
  </si>
  <si>
    <t>Night Shift(10.00 pm to 7.30 pm)</t>
  </si>
  <si>
    <t>Monitoring Shift(10.00 pm to 7.30 pm)</t>
  </si>
  <si>
    <t>Total Strength</t>
  </si>
  <si>
    <t>Mahesh H</t>
  </si>
  <si>
    <t>Ashraf zama</t>
  </si>
  <si>
    <t>Venkata</t>
  </si>
  <si>
    <t>Gayathri</t>
  </si>
  <si>
    <t>Mahesh</t>
  </si>
  <si>
    <t>Kanchan</t>
  </si>
  <si>
    <t>Sreekanth</t>
  </si>
  <si>
    <t>Munish</t>
  </si>
  <si>
    <t>Ashraf</t>
  </si>
  <si>
    <t>Shubham</t>
  </si>
  <si>
    <t>Ashuthosh</t>
  </si>
  <si>
    <t xml:space="preserve">Leave plan </t>
  </si>
  <si>
    <t>WFO dates</t>
  </si>
  <si>
    <t>Pool 1</t>
  </si>
  <si>
    <t>Pool 2</t>
  </si>
  <si>
    <t>Pool 3</t>
  </si>
  <si>
    <t>Flexible</t>
  </si>
  <si>
    <t>Mahesh Halkanche</t>
  </si>
  <si>
    <t>MS Shift</t>
  </si>
  <si>
    <t>AS Shift</t>
  </si>
  <si>
    <t>NS Shift</t>
  </si>
  <si>
    <t>GS Shift</t>
  </si>
  <si>
    <t>Week/Comp Off</t>
  </si>
  <si>
    <t>Plan Leave</t>
  </si>
  <si>
    <t>Total</t>
  </si>
  <si>
    <t>Senior Software engineer</t>
  </si>
  <si>
    <t>Mukesh Halkanche</t>
  </si>
  <si>
    <t>Consultant</t>
  </si>
  <si>
    <t>mahesh.halkanche@capgemini.com</t>
  </si>
  <si>
    <t>Color Legend</t>
  </si>
  <si>
    <t>Morning Shift</t>
  </si>
  <si>
    <t>Afternoon Shift</t>
  </si>
  <si>
    <t>Night Shift</t>
  </si>
  <si>
    <t>Work from Office Shift</t>
  </si>
  <si>
    <t>Holiday</t>
  </si>
  <si>
    <t>OCT</t>
  </si>
  <si>
    <t>3-4, 13-23</t>
  </si>
  <si>
    <t>24-28</t>
  </si>
  <si>
    <t>5,22-23</t>
  </si>
  <si>
    <t>5,24,26</t>
  </si>
  <si>
    <t>5-9,26</t>
  </si>
  <si>
    <t>Excemption</t>
  </si>
  <si>
    <t>27</t>
  </si>
  <si>
    <t>26-31</t>
  </si>
  <si>
    <t>7-8,24-25</t>
  </si>
  <si>
    <t>2-6 Oct</t>
  </si>
  <si>
    <t>27,28</t>
  </si>
  <si>
    <t>9,30-31</t>
  </si>
  <si>
    <t>4,6,10,11,17,18</t>
  </si>
  <si>
    <t>No leave plan</t>
  </si>
  <si>
    <t>2-7 Oct</t>
  </si>
  <si>
    <t>24-26</t>
  </si>
  <si>
    <t>18-21</t>
  </si>
  <si>
    <t>10-15 Oct</t>
  </si>
  <si>
    <t>12-13,18-21</t>
  </si>
  <si>
    <t>13-14,20-21</t>
  </si>
  <si>
    <t>Pending comp off dates</t>
  </si>
  <si>
    <t>Count</t>
  </si>
  <si>
    <t>Aug - 15,20,27,31
Sep - 4,11,18,25</t>
  </si>
  <si>
    <t>Sep - 3,10</t>
  </si>
  <si>
    <t>Aug - 14,15,28
Sep- 04,11,17,18,24,25</t>
  </si>
  <si>
    <t>Sep -10,17,24</t>
  </si>
  <si>
    <t>Sep - 024</t>
  </si>
  <si>
    <t>Aug -27
Sep - 03,11,18,24</t>
  </si>
  <si>
    <t>Sep - 10,17,24</t>
  </si>
  <si>
    <t>Sep -4, 25</t>
  </si>
  <si>
    <t>Aug- 27,31
Sep - 03,10,17,23</t>
  </si>
  <si>
    <t>Sep- 27,28</t>
  </si>
  <si>
    <t>Sep -18,25</t>
  </si>
  <si>
    <t>Sep - 025</t>
  </si>
  <si>
    <t>Sreekrishna Kota</t>
  </si>
  <si>
    <t>Co Holiday/Op Holiday</t>
  </si>
  <si>
    <t>6,7,10,11</t>
  </si>
  <si>
    <t>Chennai</t>
  </si>
  <si>
    <t>Noida</t>
  </si>
  <si>
    <t>Ludhiana</t>
  </si>
  <si>
    <t>Sree hari krishna</t>
  </si>
  <si>
    <t>AS1</t>
  </si>
  <si>
    <t>Global Group ID</t>
  </si>
  <si>
    <t>Local Employee ID</t>
  </si>
  <si>
    <t>Leave Type</t>
  </si>
  <si>
    <t>Leave Availed Year</t>
  </si>
  <si>
    <t>Carry forward</t>
  </si>
  <si>
    <t>Leave lapsed</t>
  </si>
  <si>
    <t>Leave credit</t>
  </si>
  <si>
    <t>Leave debit</t>
  </si>
  <si>
    <t>Leave balance</t>
  </si>
  <si>
    <t>Comp off Balance</t>
  </si>
  <si>
    <t>In lieu date</t>
  </si>
  <si>
    <t>Shaikh Saifullah Abdullah</t>
  </si>
  <si>
    <t>Privilege Leave</t>
  </si>
  <si>
    <t>Sep : 18,24,25</t>
  </si>
  <si>
    <t>Oct : 01,02,08,16,23,24,29</t>
  </si>
  <si>
    <t>R Rakesh N</t>
  </si>
  <si>
    <t>Sep : 18,25</t>
  </si>
  <si>
    <t>Oct : 02,04,15,22,24,29</t>
  </si>
  <si>
    <t>U Zama Md Ashraf</t>
  </si>
  <si>
    <t>Oct : 8,24,30</t>
  </si>
  <si>
    <t>Potnis Avdhoot</t>
  </si>
  <si>
    <t>Oct  : 5, 8, 9, 16, 23</t>
  </si>
  <si>
    <t>Halkanche Mahesh Vijaykumar</t>
  </si>
  <si>
    <t>Dixit Somshekhar</t>
  </si>
  <si>
    <t>S Gayathri</t>
  </si>
  <si>
    <t>Oct : 16,22,29</t>
  </si>
  <si>
    <t>Reddy Munagala Sreekanth</t>
  </si>
  <si>
    <t>Oct : 01,09,16,22</t>
  </si>
  <si>
    <t>Pathare Kanchan Sambhaji</t>
  </si>
  <si>
    <t>Oct : 08,09,15,22,23,24</t>
  </si>
  <si>
    <t>Navade Sneha Santoshrao</t>
  </si>
  <si>
    <t>Oct 15,22,23</t>
  </si>
  <si>
    <t>Oct 23,24,30</t>
  </si>
  <si>
    <t>Oct :  01,08,15,16,24,26, 29</t>
  </si>
  <si>
    <t>Oct: 8,15,22</t>
  </si>
  <si>
    <t>-</t>
  </si>
  <si>
    <t xml:space="preserve">2022
</t>
  </si>
  <si>
    <t>Oct:1,5,8,23,24,29,30</t>
  </si>
  <si>
    <t>Oct: 29,30</t>
  </si>
  <si>
    <t>Sreekrishna, Kota Maruthi Surya</t>
  </si>
  <si>
    <t>no</t>
  </si>
  <si>
    <t>yes</t>
  </si>
  <si>
    <t>NA</t>
  </si>
  <si>
    <t>did not fill yet</t>
  </si>
  <si>
    <t>Naveen Goud</t>
  </si>
  <si>
    <t>Akhila 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</si>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</sst>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6100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.5"/>
      <color rgb="FF242424"/>
      <name val="Segoe UI"/>
      <family val="2"/>
    </font>
    <font>
      <sz val="11.5"/>
      <color rgb="FF000000"/>
      <name val="Segoe UI"/>
      <family val="2"/>
    </font>
    <font>
      <b/>
      <sz val="10"/>
      <color rgb="FF000000"/>
      <name val="Calibri"/>
      <family val="2"/>
      <scheme val="minor"/>
    </font>
    <font>
      <sz val="11"/>
      <color theme="4" tint="0.79998168889431442"/>
      <name val="Calibri"/>
      <family val="2"/>
    </font>
    <font>
      <sz val="11"/>
      <color theme="5" tint="0.79998168889431442"/>
      <name val="Calibri"/>
      <family val="2"/>
    </font>
    <font>
      <sz val="11"/>
      <color rgb="FFFF0000"/>
      <name val="Arial"/>
      <family val="2"/>
    </font>
    <font>
      <sz val="8"/>
      <color rgb="FF242424"/>
      <name val="Segoe UI"/>
      <family val="2"/>
    </font>
    <font>
      <sz val="11"/>
      <color rgb="FF9C0006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46D0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38">
    <xf numFmtId="0" fontId="0" fillId="0" borderId="0" xfId="0"/>
    <xf numFmtId="0" fontId="0" fillId="0" borderId="1" xfId="0" applyFont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/>
    <xf numFmtId="0" fontId="1" fillId="5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3" fillId="0" borderId="1" xfId="0" applyFont="1" applyBorder="1"/>
    <xf numFmtId="0" fontId="8" fillId="15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0" fontId="2" fillId="8" borderId="1" xfId="0" applyFont="1" applyFill="1" applyBorder="1" applyAlignment="1">
      <alignment horizontal="center"/>
    </xf>
    <xf numFmtId="0" fontId="0" fillId="16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0" borderId="1" xfId="0" applyFont="1" applyBorder="1" applyAlignment="1"/>
    <xf numFmtId="16" fontId="5" fillId="2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/>
    <xf numFmtId="0" fontId="6" fillId="3" borderId="2" xfId="0" applyFont="1" applyFill="1" applyBorder="1" applyAlignment="1"/>
    <xf numFmtId="0" fontId="6" fillId="3" borderId="6" xfId="0" applyFont="1" applyFill="1" applyBorder="1" applyAlignment="1"/>
    <xf numFmtId="0" fontId="6" fillId="3" borderId="7" xfId="0" applyFont="1" applyFill="1" applyBorder="1" applyAlignment="1"/>
    <xf numFmtId="0" fontId="6" fillId="3" borderId="5" xfId="0" applyFont="1" applyFill="1" applyBorder="1" applyAlignment="1"/>
    <xf numFmtId="0" fontId="1" fillId="5" borderId="5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0" fillId="10" borderId="2" xfId="0" applyFont="1" applyFill="1" applyBorder="1" applyAlignment="1">
      <alignment horizontal="center"/>
    </xf>
    <xf numFmtId="0" fontId="0" fillId="11" borderId="2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0" fillId="0" borderId="0" xfId="0" applyFont="1"/>
    <xf numFmtId="0" fontId="6" fillId="13" borderId="6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0" fillId="11" borderId="5" xfId="0" applyFont="1" applyFill="1" applyBorder="1" applyAlignment="1">
      <alignment horizontal="center"/>
    </xf>
    <xf numFmtId="16" fontId="5" fillId="2" borderId="2" xfId="0" applyNumberFormat="1" applyFont="1" applyFill="1" applyBorder="1" applyAlignment="1">
      <alignment horizontal="right"/>
    </xf>
    <xf numFmtId="0" fontId="1" fillId="5" borderId="2" xfId="0" applyFont="1" applyFill="1" applyBorder="1" applyAlignment="1">
      <alignment horizontal="center"/>
    </xf>
    <xf numFmtId="0" fontId="0" fillId="8" borderId="2" xfId="0" applyFont="1" applyFill="1" applyBorder="1" applyAlignment="1">
      <alignment horizontal="center"/>
    </xf>
    <xf numFmtId="16" fontId="5" fillId="2" borderId="5" xfId="0" applyNumberFormat="1" applyFont="1" applyFill="1" applyBorder="1" applyAlignment="1">
      <alignment horizontal="right"/>
    </xf>
    <xf numFmtId="0" fontId="0" fillId="10" borderId="5" xfId="0" applyFont="1" applyFill="1" applyBorder="1" applyAlignment="1">
      <alignment horizontal="center"/>
    </xf>
    <xf numFmtId="0" fontId="0" fillId="8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16" fontId="5" fillId="2" borderId="6" xfId="0" applyNumberFormat="1" applyFont="1" applyFill="1" applyBorder="1" applyAlignment="1">
      <alignment horizontal="right"/>
    </xf>
    <xf numFmtId="16" fontId="5" fillId="2" borderId="7" xfId="0" applyNumberFormat="1" applyFont="1" applyFill="1" applyBorder="1" applyAlignment="1">
      <alignment horizontal="right"/>
    </xf>
    <xf numFmtId="0" fontId="1" fillId="5" borderId="7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0" fillId="11" borderId="6" xfId="0" applyFont="1" applyFill="1" applyBorder="1" applyAlignment="1">
      <alignment horizontal="center"/>
    </xf>
    <xf numFmtId="0" fontId="0" fillId="11" borderId="7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/>
    </xf>
    <xf numFmtId="0" fontId="7" fillId="4" borderId="2" xfId="0" applyFont="1" applyFill="1" applyBorder="1" applyAlignment="1"/>
    <xf numFmtId="0" fontId="6" fillId="8" borderId="1" xfId="0" applyFont="1" applyFill="1" applyBorder="1" applyAlignment="1">
      <alignment horizontal="center"/>
    </xf>
    <xf numFmtId="0" fontId="7" fillId="4" borderId="10" xfId="0" applyFont="1" applyFill="1" applyBorder="1" applyAlignment="1"/>
    <xf numFmtId="0" fontId="0" fillId="0" borderId="1" xfId="0" applyBorder="1"/>
    <xf numFmtId="0" fontId="3" fillId="0" borderId="0" xfId="0" applyFont="1" applyBorder="1"/>
    <xf numFmtId="16" fontId="0" fillId="19" borderId="1" xfId="0" applyNumberFormat="1" applyFill="1" applyBorder="1"/>
    <xf numFmtId="0" fontId="13" fillId="20" borderId="1" xfId="0" applyFont="1" applyFill="1" applyBorder="1" applyAlignment="1">
      <alignment vertical="center" wrapText="1"/>
    </xf>
    <xf numFmtId="0" fontId="14" fillId="2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/>
    <xf numFmtId="0" fontId="14" fillId="0" borderId="1" xfId="0" applyFont="1" applyBorder="1"/>
    <xf numFmtId="0" fontId="16" fillId="20" borderId="1" xfId="0" applyFont="1" applyFill="1" applyBorder="1" applyAlignment="1">
      <alignment vertical="center" wrapText="1"/>
    </xf>
    <xf numFmtId="0" fontId="10" fillId="17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2" fillId="17" borderId="1" xfId="1" applyFill="1" applyBorder="1" applyAlignment="1">
      <alignment vertical="center"/>
    </xf>
    <xf numFmtId="0" fontId="18" fillId="20" borderId="1" xfId="0" applyFont="1" applyFill="1" applyBorder="1" applyAlignment="1">
      <alignment vertical="center"/>
    </xf>
    <xf numFmtId="0" fontId="8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/>
    </xf>
    <xf numFmtId="0" fontId="0" fillId="19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 vertical="center"/>
    </xf>
    <xf numFmtId="20" fontId="16" fillId="22" borderId="1" xfId="0" applyNumberFormat="1" applyFont="1" applyFill="1" applyBorder="1" applyAlignment="1">
      <alignment horizontal="center" vertical="center"/>
    </xf>
    <xf numFmtId="14" fontId="16" fillId="22" borderId="1" xfId="0" applyNumberFormat="1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/>
    </xf>
    <xf numFmtId="20" fontId="15" fillId="22" borderId="1" xfId="0" applyNumberFormat="1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 vertical="center" wrapText="1"/>
    </xf>
    <xf numFmtId="12" fontId="16" fillId="22" borderId="1" xfId="0" applyNumberFormat="1" applyFont="1" applyFill="1" applyBorder="1" applyAlignment="1">
      <alignment horizontal="center" vertical="center" wrapText="1"/>
    </xf>
    <xf numFmtId="20" fontId="16" fillId="22" borderId="1" xfId="0" applyNumberFormat="1" applyFont="1" applyFill="1" applyBorder="1" applyAlignment="1">
      <alignment horizontal="center" vertical="center" wrapText="1"/>
    </xf>
    <xf numFmtId="20" fontId="16" fillId="20" borderId="1" xfId="0" applyNumberFormat="1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 wrapText="1"/>
    </xf>
    <xf numFmtId="20" fontId="15" fillId="0" borderId="1" xfId="0" applyNumberFormat="1" applyFont="1" applyBorder="1" applyAlignment="1">
      <alignment horizontal="center"/>
    </xf>
    <xf numFmtId="0" fontId="19" fillId="22" borderId="1" xfId="0" applyFont="1" applyFill="1" applyBorder="1" applyAlignment="1">
      <alignment horizontal="center" vertical="center"/>
    </xf>
    <xf numFmtId="0" fontId="15" fillId="0" borderId="1" xfId="0" applyFont="1" applyFill="1" applyBorder="1"/>
    <xf numFmtId="0" fontId="14" fillId="0" borderId="1" xfId="0" applyFont="1" applyFill="1" applyBorder="1"/>
    <xf numFmtId="0" fontId="20" fillId="21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0" fillId="0" borderId="0" xfId="0" applyFont="1" applyBorder="1"/>
    <xf numFmtId="0" fontId="0" fillId="0" borderId="0" xfId="0" applyFont="1" applyFill="1" applyBorder="1"/>
    <xf numFmtId="0" fontId="0" fillId="23" borderId="2" xfId="0" applyFill="1" applyBorder="1" applyAlignment="1">
      <alignment horizontal="left" vertical="top"/>
    </xf>
    <xf numFmtId="0" fontId="0" fillId="13" borderId="1" xfId="0" applyFill="1" applyBorder="1" applyAlignment="1">
      <alignment horizontal="right" vertical="top"/>
    </xf>
    <xf numFmtId="0" fontId="24" fillId="5" borderId="2" xfId="0" applyFont="1" applyFill="1" applyBorder="1" applyAlignment="1">
      <alignment horizontal="left" vertical="top"/>
    </xf>
    <xf numFmtId="0" fontId="24" fillId="5" borderId="1" xfId="0" applyFont="1" applyFill="1" applyBorder="1" applyAlignment="1">
      <alignment horizontal="right" vertical="top"/>
    </xf>
    <xf numFmtId="0" fontId="0" fillId="24" borderId="2" xfId="0" applyFill="1" applyBorder="1" applyAlignment="1">
      <alignment horizontal="left" vertical="top"/>
    </xf>
    <xf numFmtId="0" fontId="0" fillId="24" borderId="1" xfId="0" applyFill="1" applyBorder="1" applyAlignment="1">
      <alignment horizontal="right" vertical="top"/>
    </xf>
    <xf numFmtId="0" fontId="6" fillId="25" borderId="11" xfId="0" applyFont="1" applyFill="1" applyBorder="1" applyAlignment="1">
      <alignment horizontal="left" vertical="top"/>
    </xf>
    <xf numFmtId="0" fontId="6" fillId="25" borderId="1" xfId="0" applyFont="1" applyFill="1" applyBorder="1" applyAlignment="1">
      <alignment horizontal="right" vertical="top"/>
    </xf>
    <xf numFmtId="0" fontId="6" fillId="26" borderId="1" xfId="0" applyFont="1" applyFill="1" applyBorder="1" applyAlignment="1">
      <alignment horizontal="left" vertical="top"/>
    </xf>
    <xf numFmtId="0" fontId="6" fillId="26" borderId="1" xfId="0" applyFont="1" applyFill="1" applyBorder="1" applyAlignment="1">
      <alignment horizontal="right" vertical="top"/>
    </xf>
    <xf numFmtId="0" fontId="0" fillId="27" borderId="1" xfId="0" applyFill="1" applyBorder="1" applyAlignment="1">
      <alignment horizontal="left" vertical="top"/>
    </xf>
    <xf numFmtId="0" fontId="0" fillId="27" borderId="1" xfId="0" applyFill="1" applyBorder="1" applyAlignment="1">
      <alignment horizontal="right" vertical="top"/>
    </xf>
    <xf numFmtId="0" fontId="7" fillId="4" borderId="0" xfId="0" applyFont="1" applyFill="1" applyBorder="1" applyAlignment="1"/>
    <xf numFmtId="0" fontId="6" fillId="21" borderId="0" xfId="0" applyFont="1" applyFill="1" applyBorder="1" applyAlignment="1">
      <alignment horizontal="center"/>
    </xf>
    <xf numFmtId="0" fontId="8" fillId="21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/>
    </xf>
    <xf numFmtId="0" fontId="23" fillId="20" borderId="1" xfId="0" applyFont="1" applyFill="1" applyBorder="1" applyAlignment="1">
      <alignment vertical="center"/>
    </xf>
    <xf numFmtId="49" fontId="0" fillId="0" borderId="1" xfId="0" applyNumberFormat="1" applyBorder="1"/>
    <xf numFmtId="0" fontId="3" fillId="8" borderId="1" xfId="0" applyFont="1" applyFill="1" applyBorder="1"/>
    <xf numFmtId="0" fontId="25" fillId="2" borderId="1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4" xfId="0" applyFont="1" applyFill="1" applyBorder="1" applyAlignment="1"/>
    <xf numFmtId="0" fontId="26" fillId="28" borderId="15" xfId="0" applyFont="1" applyFill="1" applyBorder="1" applyAlignment="1"/>
    <xf numFmtId="0" fontId="6" fillId="29" borderId="16" xfId="0" applyFont="1" applyFill="1" applyBorder="1" applyAlignment="1">
      <alignment horizontal="center"/>
    </xf>
    <xf numFmtId="0" fontId="8" fillId="28" borderId="16" xfId="0" applyFont="1" applyFill="1" applyBorder="1" applyAlignment="1">
      <alignment horizontal="center" vertical="center"/>
    </xf>
    <xf numFmtId="0" fontId="6" fillId="29" borderId="13" xfId="0" applyFont="1" applyFill="1" applyBorder="1" applyAlignment="1">
      <alignment horizontal="center"/>
    </xf>
    <xf numFmtId="0" fontId="0" fillId="31" borderId="13" xfId="0" applyFont="1" applyFill="1" applyBorder="1" applyAlignment="1">
      <alignment horizontal="center"/>
    </xf>
    <xf numFmtId="0" fontId="8" fillId="15" borderId="16" xfId="0" applyFont="1" applyFill="1" applyBorder="1" applyAlignment="1">
      <alignment horizontal="center" vertical="center"/>
    </xf>
    <xf numFmtId="0" fontId="0" fillId="31" borderId="16" xfId="0" applyFont="1" applyFill="1" applyBorder="1" applyAlignment="1">
      <alignment horizontal="center"/>
    </xf>
    <xf numFmtId="0" fontId="8" fillId="15" borderId="13" xfId="0" applyFont="1" applyFill="1" applyBorder="1" applyAlignment="1">
      <alignment horizontal="center" vertical="center"/>
    </xf>
    <xf numFmtId="0" fontId="26" fillId="28" borderId="17" xfId="0" applyFont="1" applyFill="1" applyBorder="1" applyAlignment="1"/>
    <xf numFmtId="0" fontId="8" fillId="28" borderId="13" xfId="0" applyFont="1" applyFill="1" applyBorder="1" applyAlignment="1">
      <alignment horizontal="center" vertical="center"/>
    </xf>
    <xf numFmtId="0" fontId="0" fillId="31" borderId="12" xfId="0" applyFont="1" applyFill="1" applyBorder="1" applyAlignment="1">
      <alignment horizontal="center"/>
    </xf>
    <xf numFmtId="0" fontId="7" fillId="28" borderId="18" xfId="0" applyFont="1" applyFill="1" applyBorder="1" applyAlignment="1"/>
    <xf numFmtId="0" fontId="6" fillId="29" borderId="12" xfId="0" applyFont="1" applyFill="1" applyBorder="1" applyAlignment="1">
      <alignment horizontal="center"/>
    </xf>
    <xf numFmtId="0" fontId="8" fillId="28" borderId="12" xfId="0" applyFont="1" applyFill="1" applyBorder="1" applyAlignment="1">
      <alignment horizontal="center" vertical="center"/>
    </xf>
    <xf numFmtId="0" fontId="8" fillId="15" borderId="12" xfId="0" applyFont="1" applyFill="1" applyBorder="1" applyAlignment="1">
      <alignment horizontal="center" vertical="center"/>
    </xf>
    <xf numFmtId="0" fontId="7" fillId="28" borderId="2" xfId="0" applyFont="1" applyFill="1" applyBorder="1" applyAlignment="1"/>
    <xf numFmtId="0" fontId="6" fillId="29" borderId="1" xfId="0" applyFont="1" applyFill="1" applyBorder="1" applyAlignment="1">
      <alignment horizontal="center"/>
    </xf>
    <xf numFmtId="0" fontId="0" fillId="32" borderId="1" xfId="0" applyFont="1" applyFill="1" applyBorder="1" applyAlignment="1">
      <alignment horizontal="center"/>
    </xf>
    <xf numFmtId="0" fontId="0" fillId="31" borderId="1" xfId="0" applyFont="1" applyFill="1" applyBorder="1" applyAlignment="1">
      <alignment horizontal="center"/>
    </xf>
    <xf numFmtId="0" fontId="6" fillId="33" borderId="1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8" fillId="28" borderId="1" xfId="0" applyFont="1" applyFill="1" applyBorder="1" applyAlignment="1">
      <alignment horizontal="center" vertical="center"/>
    </xf>
    <xf numFmtId="0" fontId="0" fillId="10" borderId="16" xfId="0" applyFont="1" applyFill="1" applyBorder="1" applyAlignment="1">
      <alignment horizontal="center"/>
    </xf>
    <xf numFmtId="0" fontId="0" fillId="10" borderId="13" xfId="0" applyFont="1" applyFill="1" applyBorder="1" applyAlignment="1">
      <alignment horizontal="center"/>
    </xf>
    <xf numFmtId="0" fontId="6" fillId="13" borderId="16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0" fontId="0" fillId="10" borderId="12" xfId="0" applyFont="1" applyFill="1" applyBorder="1" applyAlignment="1">
      <alignment horizontal="center"/>
    </xf>
    <xf numFmtId="0" fontId="26" fillId="28" borderId="0" xfId="0" applyFont="1" applyFill="1" applyBorder="1" applyAlignment="1"/>
    <xf numFmtId="0" fontId="3" fillId="8" borderId="0" xfId="0" applyFont="1" applyFill="1"/>
    <xf numFmtId="0" fontId="8" fillId="21" borderId="16" xfId="0" applyFont="1" applyFill="1" applyBorder="1" applyAlignment="1">
      <alignment horizontal="center" vertical="center"/>
    </xf>
    <xf numFmtId="0" fontId="8" fillId="21" borderId="13" xfId="0" applyFont="1" applyFill="1" applyBorder="1" applyAlignment="1">
      <alignment horizontal="center" vertical="center"/>
    </xf>
    <xf numFmtId="0" fontId="8" fillId="21" borderId="12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/>
    </xf>
    <xf numFmtId="0" fontId="1" fillId="21" borderId="12" xfId="0" applyFont="1" applyFill="1" applyBorder="1" applyAlignment="1">
      <alignment horizontal="center"/>
    </xf>
    <xf numFmtId="0" fontId="1" fillId="21" borderId="13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6" fillId="28" borderId="3" xfId="0" applyFont="1" applyFill="1" applyBorder="1" applyAlignment="1"/>
    <xf numFmtId="0" fontId="26" fillId="28" borderId="8" xfId="0" applyFont="1" applyFill="1" applyBorder="1" applyAlignment="1"/>
    <xf numFmtId="0" fontId="6" fillId="13" borderId="13" xfId="0" applyFont="1" applyFill="1" applyBorder="1" applyAlignment="1">
      <alignment horizontal="center"/>
    </xf>
    <xf numFmtId="0" fontId="7" fillId="28" borderId="12" xfId="0" applyFont="1" applyFill="1" applyBorder="1" applyAlignment="1"/>
    <xf numFmtId="0" fontId="7" fillId="28" borderId="1" xfId="0" applyFont="1" applyFill="1" applyBorder="1" applyAlignment="1"/>
    <xf numFmtId="0" fontId="0" fillId="0" borderId="14" xfId="0" applyBorder="1"/>
    <xf numFmtId="0" fontId="10" fillId="17" borderId="19" xfId="0" applyFont="1" applyFill="1" applyBorder="1" applyAlignment="1">
      <alignment horizontal="center" vertical="center"/>
    </xf>
    <xf numFmtId="0" fontId="18" fillId="20" borderId="19" xfId="0" applyFont="1" applyFill="1" applyBorder="1" applyAlignment="1">
      <alignment vertical="center"/>
    </xf>
    <xf numFmtId="0" fontId="1" fillId="21" borderId="16" xfId="0" applyFont="1" applyFill="1" applyBorder="1" applyAlignment="1">
      <alignment horizontal="center"/>
    </xf>
    <xf numFmtId="0" fontId="6" fillId="13" borderId="12" xfId="0" applyFont="1" applyFill="1" applyBorder="1" applyAlignment="1">
      <alignment horizontal="center"/>
    </xf>
    <xf numFmtId="0" fontId="8" fillId="30" borderId="16" xfId="0" applyFont="1" applyFill="1" applyBorder="1" applyAlignment="1">
      <alignment horizontal="center" vertical="center"/>
    </xf>
    <xf numFmtId="0" fontId="0" fillId="34" borderId="0" xfId="0" applyFill="1"/>
    <xf numFmtId="0" fontId="0" fillId="32" borderId="13" xfId="0" applyFont="1" applyFill="1" applyBorder="1" applyAlignment="1">
      <alignment horizontal="center"/>
    </xf>
    <xf numFmtId="0" fontId="6" fillId="3" borderId="20" xfId="0" applyFont="1" applyFill="1" applyBorder="1" applyAlignment="1"/>
    <xf numFmtId="0" fontId="6" fillId="33" borderId="16" xfId="0" applyFont="1" applyFill="1" applyBorder="1" applyAlignment="1">
      <alignment horizontal="center"/>
    </xf>
    <xf numFmtId="0" fontId="6" fillId="29" borderId="4" xfId="0" applyFont="1" applyFill="1" applyBorder="1" applyAlignment="1">
      <alignment horizontal="center"/>
    </xf>
    <xf numFmtId="0" fontId="8" fillId="15" borderId="22" xfId="0" applyFont="1" applyFill="1" applyBorder="1" applyAlignment="1">
      <alignment horizontal="center" vertical="center"/>
    </xf>
    <xf numFmtId="0" fontId="0" fillId="10" borderId="9" xfId="0" applyFont="1" applyFill="1" applyBorder="1" applyAlignment="1">
      <alignment horizontal="center"/>
    </xf>
    <xf numFmtId="0" fontId="1" fillId="12" borderId="21" xfId="0" applyFont="1" applyFill="1" applyBorder="1" applyAlignment="1">
      <alignment horizontal="center"/>
    </xf>
    <xf numFmtId="0" fontId="8" fillId="15" borderId="9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/>
    </xf>
    <xf numFmtId="0" fontId="0" fillId="10" borderId="22" xfId="0" applyFont="1" applyFill="1" applyBorder="1" applyAlignment="1">
      <alignment horizontal="center"/>
    </xf>
    <xf numFmtId="0" fontId="6" fillId="29" borderId="9" xfId="0" applyFont="1" applyFill="1" applyBorder="1" applyAlignment="1">
      <alignment horizontal="center"/>
    </xf>
    <xf numFmtId="0" fontId="0" fillId="31" borderId="2" xfId="0" applyFont="1" applyFill="1" applyBorder="1" applyAlignment="1">
      <alignment horizontal="center"/>
    </xf>
    <xf numFmtId="16" fontId="0" fillId="35" borderId="1" xfId="0" applyNumberFormat="1" applyFill="1" applyBorder="1"/>
    <xf numFmtId="0" fontId="0" fillId="36" borderId="0" xfId="0" applyFill="1"/>
    <xf numFmtId="0" fontId="1" fillId="21" borderId="4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22" fillId="4" borderId="1" xfId="0" applyFont="1" applyFill="1" applyBorder="1" applyAlignment="1"/>
    <xf numFmtId="0" fontId="6" fillId="3" borderId="14" xfId="0" applyFont="1" applyFill="1" applyBorder="1"/>
    <xf numFmtId="0" fontId="26" fillId="28" borderId="3" xfId="0" applyFont="1" applyFill="1" applyBorder="1"/>
    <xf numFmtId="0" fontId="0" fillId="31" borderId="16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31" borderId="4" xfId="0" applyFill="1" applyBorder="1" applyAlignment="1">
      <alignment horizontal="center"/>
    </xf>
    <xf numFmtId="0" fontId="26" fillId="28" borderId="8" xfId="0" applyFont="1" applyFill="1" applyBorder="1"/>
    <xf numFmtId="0" fontId="0" fillId="31" borderId="13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32" borderId="13" xfId="0" applyFill="1" applyBorder="1" applyAlignment="1">
      <alignment horizontal="center"/>
    </xf>
    <xf numFmtId="0" fontId="7" fillId="28" borderId="12" xfId="0" applyFont="1" applyFill="1" applyBorder="1"/>
    <xf numFmtId="0" fontId="0" fillId="31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7" fillId="28" borderId="1" xfId="0" applyFont="1" applyFill="1" applyBorder="1"/>
    <xf numFmtId="0" fontId="0" fillId="32" borderId="1" xfId="0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0" fontId="8" fillId="28" borderId="4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/>
    </xf>
    <xf numFmtId="0" fontId="26" fillId="28" borderId="0" xfId="0" applyFont="1" applyFill="1"/>
    <xf numFmtId="0" fontId="1" fillId="11" borderId="1" xfId="0" applyFont="1" applyFill="1" applyBorder="1" applyAlignment="1">
      <alignment horizontal="center"/>
    </xf>
    <xf numFmtId="0" fontId="7" fillId="8" borderId="1" xfId="0" applyFont="1" applyFill="1" applyBorder="1" applyAlignment="1"/>
    <xf numFmtId="0" fontId="7" fillId="4" borderId="19" xfId="0" applyFont="1" applyFill="1" applyBorder="1" applyAlignment="1"/>
    <xf numFmtId="0" fontId="6" fillId="21" borderId="1" xfId="0" applyFont="1" applyFill="1" applyBorder="1" applyAlignment="1">
      <alignment vertical="center" wrapText="1"/>
    </xf>
    <xf numFmtId="0" fontId="6" fillId="20" borderId="1" xfId="0" applyFont="1" applyFill="1" applyBorder="1" applyAlignment="1">
      <alignment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right" vertical="center" wrapText="1"/>
    </xf>
    <xf numFmtId="0" fontId="6" fillId="3" borderId="1" xfId="0" applyFont="1" applyFill="1" applyBorder="1"/>
    <xf numFmtId="0" fontId="0" fillId="31" borderId="4" xfId="0" applyFont="1" applyFill="1" applyBorder="1" applyAlignment="1">
      <alignment horizontal="center"/>
    </xf>
    <xf numFmtId="0" fontId="26" fillId="28" borderId="1" xfId="0" applyFont="1" applyFill="1" applyBorder="1"/>
    <xf numFmtId="0" fontId="0" fillId="36" borderId="1" xfId="0" applyFill="1" applyBorder="1" applyAlignment="1">
      <alignment horizontal="center"/>
    </xf>
    <xf numFmtId="0" fontId="6" fillId="3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5" borderId="23" xfId="0" applyFill="1" applyBorder="1" applyAlignment="1">
      <alignment horizontal="center"/>
    </xf>
    <xf numFmtId="0" fontId="6" fillId="20" borderId="14" xfId="0" applyFont="1" applyFill="1" applyBorder="1" applyAlignment="1">
      <alignment horizontal="center" vertical="center" wrapText="1"/>
    </xf>
    <xf numFmtId="0" fontId="6" fillId="20" borderId="12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vertical="center" wrapText="1"/>
    </xf>
    <xf numFmtId="0" fontId="6" fillId="20" borderId="1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mailto:venkata.lakili@capgemini.com" TargetMode="External"/><Relationship Id="rId3" Type="http://schemas.openxmlformats.org/officeDocument/2006/relationships/hyperlink" Target="mailto:somshekhar.dixit@capgemini.com" TargetMode="External"/><Relationship Id="rId7" Type="http://schemas.openxmlformats.org/officeDocument/2006/relationships/hyperlink" Target="mailto:kanchan-sambhaji.pathare@capgemini.com" TargetMode="External"/><Relationship Id="rId2" Type="http://schemas.openxmlformats.org/officeDocument/2006/relationships/hyperlink" Target="mailto:siva.swamy-nulu@capgemini.com" TargetMode="External"/><Relationship Id="rId1" Type="http://schemas.openxmlformats.org/officeDocument/2006/relationships/hyperlink" Target="mailto:rakesh.b.r@capgemini.com" TargetMode="External"/><Relationship Id="rId6" Type="http://schemas.openxmlformats.org/officeDocument/2006/relationships/hyperlink" Target="mailto:md-ashraf.u-zama@capgemini.com" TargetMode="External"/><Relationship Id="rId11" Type="http://schemas.openxmlformats.org/officeDocument/2006/relationships/printerSettings" Target="../printerSettings/printerSettings19.bin"/><Relationship Id="rId5" Type="http://schemas.openxmlformats.org/officeDocument/2006/relationships/hyperlink" Target="mailto:saifullah.shaikh@capgemini.com" TargetMode="External"/><Relationship Id="rId10" Type="http://schemas.openxmlformats.org/officeDocument/2006/relationships/hyperlink" Target="mailto:sreekanth.reddy-mungala@capgemini.com" TargetMode="External"/><Relationship Id="rId4" Type="http://schemas.openxmlformats.org/officeDocument/2006/relationships/hyperlink" Target="mailto:avdhoot.potnis@capgemini.com" TargetMode="External"/><Relationship Id="rId9" Type="http://schemas.openxmlformats.org/officeDocument/2006/relationships/hyperlink" Target="mailto:gayathri.h.s@capgemini.com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"/>
  <sheetViews>
    <sheetView topLeftCell="A16" zoomScale="75" zoomScaleNormal="75" workbookViewId="0">
      <pane xSplit="1" topLeftCell="B1" activePane="topRight" state="frozen"/>
      <selection pane="topRight" activeCell="A44" sqref="A44:B59"/>
    </sheetView>
  </sheetViews>
  <sheetFormatPr defaultColWidth="9.1796875" defaultRowHeight="14.5" x14ac:dyDescent="0.35"/>
  <cols>
    <col min="1" max="1" width="26.1796875" style="45" bestFit="1" customWidth="1"/>
    <col min="2" max="4" width="9.26953125" style="45" customWidth="1"/>
    <col min="5" max="9" width="7.54296875" style="45" customWidth="1"/>
    <col min="10" max="11" width="9.26953125" style="45" customWidth="1"/>
    <col min="12" max="16" width="7.26953125" style="45" customWidth="1"/>
    <col min="17" max="18" width="9.26953125" style="45" customWidth="1"/>
    <col min="19" max="20" width="7.26953125" style="45" customWidth="1"/>
    <col min="21" max="22" width="7.26953125" style="45" bestFit="1" customWidth="1"/>
    <col min="23" max="25" width="6.453125" style="45" bestFit="1" customWidth="1"/>
    <col min="26" max="26" width="7.54296875" style="45" customWidth="1"/>
    <col min="27" max="27" width="6.453125" style="45" bestFit="1" customWidth="1"/>
    <col min="28" max="28" width="7.26953125" style="45" bestFit="1" customWidth="1"/>
    <col min="29" max="30" width="7.54296875" style="45" customWidth="1"/>
    <col min="31" max="31" width="6.453125" style="45" bestFit="1" customWidth="1"/>
    <col min="32" max="16384" width="9.1796875" style="45"/>
  </cols>
  <sheetData>
    <row r="1" spans="1:31" ht="15" customHeight="1" x14ac:dyDescent="0.35">
      <c r="A1" s="30"/>
      <c r="B1" s="2" t="str">
        <f t="shared" ref="B1:AE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3" t="str">
        <f t="shared" si="0"/>
        <v>Fri</v>
      </c>
      <c r="G1" s="4" t="str">
        <f t="shared" si="0"/>
        <v>Sat</v>
      </c>
      <c r="H1" s="5" t="str">
        <f t="shared" si="0"/>
        <v>Sun</v>
      </c>
      <c r="I1" s="6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3" t="str">
        <f t="shared" si="0"/>
        <v>Fri</v>
      </c>
      <c r="N1" s="4" t="str">
        <f t="shared" si="0"/>
        <v>Sat</v>
      </c>
      <c r="O1" s="5" t="str">
        <f t="shared" si="0"/>
        <v>Sun</v>
      </c>
      <c r="P1" s="6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3" t="str">
        <f t="shared" si="0"/>
        <v>Fri</v>
      </c>
      <c r="U1" s="4" t="str">
        <f t="shared" si="0"/>
        <v>Sat</v>
      </c>
      <c r="V1" s="5" t="str">
        <f t="shared" si="0"/>
        <v>Sun</v>
      </c>
      <c r="W1" s="6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3" t="str">
        <f t="shared" si="0"/>
        <v>Fri</v>
      </c>
      <c r="AB1" s="4" t="str">
        <f t="shared" si="0"/>
        <v>Sat</v>
      </c>
      <c r="AC1" s="5" t="str">
        <f t="shared" si="0"/>
        <v>Sun</v>
      </c>
      <c r="AD1" s="6" t="str">
        <f t="shared" si="0"/>
        <v>Mon</v>
      </c>
      <c r="AE1" s="2" t="str">
        <f t="shared" si="0"/>
        <v>Tue</v>
      </c>
    </row>
    <row r="2" spans="1:31" x14ac:dyDescent="0.35">
      <c r="A2" s="7" t="s">
        <v>0</v>
      </c>
      <c r="B2" s="31">
        <v>44501</v>
      </c>
      <c r="C2" s="31">
        <v>44502</v>
      </c>
      <c r="D2" s="31">
        <v>44503</v>
      </c>
      <c r="E2" s="31">
        <v>44504</v>
      </c>
      <c r="F2" s="31">
        <v>44505</v>
      </c>
      <c r="G2" s="31">
        <v>44506</v>
      </c>
      <c r="H2" s="31">
        <v>44507</v>
      </c>
      <c r="I2" s="31">
        <v>44508</v>
      </c>
      <c r="J2" s="31">
        <v>44509</v>
      </c>
      <c r="K2" s="31">
        <v>44510</v>
      </c>
      <c r="L2" s="31">
        <v>44511</v>
      </c>
      <c r="M2" s="31">
        <v>44512</v>
      </c>
      <c r="N2" s="31">
        <v>44513</v>
      </c>
      <c r="O2" s="31">
        <v>44514</v>
      </c>
      <c r="P2" s="31">
        <v>44515</v>
      </c>
      <c r="Q2" s="31">
        <v>44516</v>
      </c>
      <c r="R2" s="31">
        <v>44517</v>
      </c>
      <c r="S2" s="31">
        <v>44518</v>
      </c>
      <c r="T2" s="31">
        <v>44519</v>
      </c>
      <c r="U2" s="31">
        <v>44520</v>
      </c>
      <c r="V2" s="31">
        <v>44521</v>
      </c>
      <c r="W2" s="31">
        <v>44522</v>
      </c>
      <c r="X2" s="31">
        <v>44523</v>
      </c>
      <c r="Y2" s="31">
        <v>44524</v>
      </c>
      <c r="Z2" s="31">
        <v>44525</v>
      </c>
      <c r="AA2" s="31">
        <v>44526</v>
      </c>
      <c r="AB2" s="31">
        <v>44527</v>
      </c>
      <c r="AC2" s="31">
        <v>44528</v>
      </c>
      <c r="AD2" s="31">
        <v>44529</v>
      </c>
      <c r="AE2" s="31">
        <v>44530</v>
      </c>
    </row>
    <row r="3" spans="1:31" x14ac:dyDescent="0.35">
      <c r="A3" s="8"/>
      <c r="B3" s="32"/>
      <c r="C3" s="32"/>
      <c r="D3" s="32"/>
      <c r="E3" s="32"/>
      <c r="F3" s="33"/>
      <c r="G3" s="34"/>
      <c r="H3" s="35"/>
      <c r="I3" s="36"/>
      <c r="J3" s="32"/>
      <c r="K3" s="32"/>
      <c r="L3" s="32"/>
      <c r="M3" s="33"/>
      <c r="N3" s="34"/>
      <c r="O3" s="35"/>
      <c r="P3" s="36"/>
      <c r="Q3" s="32"/>
      <c r="R3" s="32"/>
      <c r="S3" s="32"/>
      <c r="T3" s="33"/>
      <c r="U3" s="33"/>
      <c r="V3" s="35"/>
      <c r="W3" s="36"/>
      <c r="X3" s="32"/>
      <c r="Y3" s="32"/>
      <c r="Z3" s="32"/>
      <c r="AA3" s="33"/>
      <c r="AB3" s="34"/>
      <c r="AC3" s="35"/>
      <c r="AD3" s="36"/>
      <c r="AE3" s="32"/>
    </row>
    <row r="4" spans="1:31" x14ac:dyDescent="0.35">
      <c r="A4" s="9" t="s">
        <v>1</v>
      </c>
      <c r="B4" s="11" t="s">
        <v>2</v>
      </c>
      <c r="C4" s="41" t="s">
        <v>6</v>
      </c>
      <c r="D4" s="11" t="s">
        <v>2</v>
      </c>
      <c r="E4" s="10" t="s">
        <v>40</v>
      </c>
      <c r="F4" s="11" t="s">
        <v>2</v>
      </c>
      <c r="G4" s="10" t="s">
        <v>40</v>
      </c>
      <c r="H4" s="10" t="s">
        <v>40</v>
      </c>
      <c r="I4" s="41" t="s">
        <v>6</v>
      </c>
      <c r="J4" s="11" t="s">
        <v>2</v>
      </c>
      <c r="K4" s="39" t="s">
        <v>8</v>
      </c>
      <c r="L4" s="39" t="s">
        <v>8</v>
      </c>
      <c r="M4" s="39" t="s">
        <v>8</v>
      </c>
      <c r="N4" s="15" t="s">
        <v>4</v>
      </c>
      <c r="O4" s="10" t="s">
        <v>40</v>
      </c>
      <c r="P4" s="39" t="s">
        <v>8</v>
      </c>
      <c r="Q4" s="39" t="s">
        <v>8</v>
      </c>
      <c r="R4" s="11" t="s">
        <v>2</v>
      </c>
      <c r="S4" s="37" t="s">
        <v>39</v>
      </c>
      <c r="T4" s="37" t="s">
        <v>39</v>
      </c>
      <c r="U4" s="47" t="s">
        <v>4</v>
      </c>
      <c r="V4" s="20" t="s">
        <v>42</v>
      </c>
      <c r="W4" s="13" t="s">
        <v>5</v>
      </c>
      <c r="X4" s="11" t="s">
        <v>2</v>
      </c>
      <c r="Y4" s="11" t="s">
        <v>2</v>
      </c>
      <c r="Z4" s="37" t="s">
        <v>39</v>
      </c>
      <c r="AA4" s="37" t="s">
        <v>39</v>
      </c>
      <c r="AB4" s="10" t="s">
        <v>40</v>
      </c>
      <c r="AC4" s="10" t="s">
        <v>40</v>
      </c>
      <c r="AD4" s="12" t="s">
        <v>2</v>
      </c>
      <c r="AE4" s="12" t="s">
        <v>2</v>
      </c>
    </row>
    <row r="5" spans="1:31" x14ac:dyDescent="0.35">
      <c r="A5" s="9" t="s">
        <v>7</v>
      </c>
      <c r="B5" s="37" t="s">
        <v>39</v>
      </c>
      <c r="C5" s="37" t="s">
        <v>39</v>
      </c>
      <c r="D5" s="37" t="s">
        <v>39</v>
      </c>
      <c r="E5" s="28" t="s">
        <v>37</v>
      </c>
      <c r="F5" s="37" t="s">
        <v>39</v>
      </c>
      <c r="G5" s="15" t="s">
        <v>4</v>
      </c>
      <c r="H5" s="15" t="s">
        <v>4</v>
      </c>
      <c r="I5" s="37" t="s">
        <v>39</v>
      </c>
      <c r="J5" s="37" t="s">
        <v>39</v>
      </c>
      <c r="K5" s="37" t="s">
        <v>39</v>
      </c>
      <c r="L5" s="37" t="s">
        <v>39</v>
      </c>
      <c r="M5" s="37" t="s">
        <v>39</v>
      </c>
      <c r="N5" s="10" t="s">
        <v>40</v>
      </c>
      <c r="O5" s="15" t="s">
        <v>4</v>
      </c>
      <c r="P5" s="11" t="s">
        <v>2</v>
      </c>
      <c r="Q5" s="37" t="s">
        <v>39</v>
      </c>
      <c r="R5" s="37" t="s">
        <v>39</v>
      </c>
      <c r="S5" s="39" t="s">
        <v>8</v>
      </c>
      <c r="T5" s="39" t="s">
        <v>8</v>
      </c>
      <c r="U5" s="15" t="s">
        <v>4</v>
      </c>
      <c r="V5" s="15" t="s">
        <v>4</v>
      </c>
      <c r="W5" s="37" t="s">
        <v>39</v>
      </c>
      <c r="X5" s="37" t="s">
        <v>39</v>
      </c>
      <c r="Y5" s="37" t="s">
        <v>39</v>
      </c>
      <c r="Z5" s="39" t="s">
        <v>8</v>
      </c>
      <c r="AA5" s="39" t="s">
        <v>8</v>
      </c>
      <c r="AB5" s="15" t="s">
        <v>4</v>
      </c>
      <c r="AC5" s="15" t="s">
        <v>4</v>
      </c>
      <c r="AD5" s="37" t="s">
        <v>39</v>
      </c>
      <c r="AE5" s="37" t="s">
        <v>39</v>
      </c>
    </row>
    <row r="6" spans="1:31" x14ac:dyDescent="0.35">
      <c r="A6" s="9" t="s">
        <v>9</v>
      </c>
      <c r="B6" s="41" t="s">
        <v>6</v>
      </c>
      <c r="C6" s="11" t="s">
        <v>2</v>
      </c>
      <c r="D6" s="41" t="s">
        <v>6</v>
      </c>
      <c r="E6" s="28" t="s">
        <v>37</v>
      </c>
      <c r="F6" s="11" t="s">
        <v>2</v>
      </c>
      <c r="G6" s="15" t="s">
        <v>4</v>
      </c>
      <c r="H6" s="17" t="s">
        <v>11</v>
      </c>
      <c r="I6" s="17" t="s">
        <v>10</v>
      </c>
      <c r="J6" s="17" t="s">
        <v>10</v>
      </c>
      <c r="K6" s="11" t="s">
        <v>2</v>
      </c>
      <c r="L6" s="41" t="s">
        <v>6</v>
      </c>
      <c r="M6" s="13" t="s">
        <v>5</v>
      </c>
      <c r="N6" s="47" t="s">
        <v>4</v>
      </c>
      <c r="O6" s="47" t="s">
        <v>4</v>
      </c>
      <c r="P6" s="41" t="s">
        <v>6</v>
      </c>
      <c r="Q6" s="41" t="s">
        <v>6</v>
      </c>
      <c r="R6" s="17" t="s">
        <v>10</v>
      </c>
      <c r="S6" s="17" t="s">
        <v>10</v>
      </c>
      <c r="T6" s="17" t="s">
        <v>10</v>
      </c>
      <c r="U6" s="17" t="s">
        <v>11</v>
      </c>
      <c r="V6" s="17" t="s">
        <v>11</v>
      </c>
      <c r="W6" s="17" t="s">
        <v>10</v>
      </c>
      <c r="X6" s="17" t="s">
        <v>10</v>
      </c>
      <c r="Y6" s="13" t="s">
        <v>5</v>
      </c>
      <c r="Z6" s="13" t="s">
        <v>5</v>
      </c>
      <c r="AA6" s="13" t="s">
        <v>5</v>
      </c>
      <c r="AB6" s="17" t="s">
        <v>11</v>
      </c>
      <c r="AC6" s="17" t="s">
        <v>11</v>
      </c>
      <c r="AD6" s="17" t="s">
        <v>10</v>
      </c>
      <c r="AE6" s="17" t="s">
        <v>10</v>
      </c>
    </row>
    <row r="7" spans="1:31" x14ac:dyDescent="0.35">
      <c r="A7" s="9" t="s">
        <v>12</v>
      </c>
      <c r="B7" s="11" t="s">
        <v>2</v>
      </c>
      <c r="C7" s="41" t="s">
        <v>6</v>
      </c>
      <c r="D7" s="19" t="s">
        <v>41</v>
      </c>
      <c r="E7" s="28" t="s">
        <v>37</v>
      </c>
      <c r="F7" s="41" t="s">
        <v>6</v>
      </c>
      <c r="G7" s="15" t="s">
        <v>4</v>
      </c>
      <c r="H7" s="15" t="s">
        <v>4</v>
      </c>
      <c r="I7" s="41" t="s">
        <v>6</v>
      </c>
      <c r="J7" s="17" t="s">
        <v>10</v>
      </c>
      <c r="K7" s="17" t="s">
        <v>10</v>
      </c>
      <c r="L7" s="17" t="s">
        <v>10</v>
      </c>
      <c r="M7" s="17" t="s">
        <v>10</v>
      </c>
      <c r="N7" s="15" t="s">
        <v>4</v>
      </c>
      <c r="O7" s="15" t="s">
        <v>4</v>
      </c>
      <c r="P7" s="37" t="s">
        <v>39</v>
      </c>
      <c r="Q7" s="41" t="s">
        <v>6</v>
      </c>
      <c r="R7" s="41" t="s">
        <v>6</v>
      </c>
      <c r="S7" s="11" t="s">
        <v>2</v>
      </c>
      <c r="T7" s="11" t="s">
        <v>2</v>
      </c>
      <c r="U7" s="20" t="s">
        <v>42</v>
      </c>
      <c r="V7" s="20" t="s">
        <v>42</v>
      </c>
      <c r="W7" s="11" t="s">
        <v>2</v>
      </c>
      <c r="X7" s="11" t="s">
        <v>2</v>
      </c>
      <c r="Y7" s="13" t="s">
        <v>5</v>
      </c>
      <c r="Z7" s="17" t="s">
        <v>10</v>
      </c>
      <c r="AA7" s="17" t="s">
        <v>10</v>
      </c>
      <c r="AB7" s="17" t="s">
        <v>11</v>
      </c>
      <c r="AC7" s="17" t="s">
        <v>11</v>
      </c>
      <c r="AD7" s="12" t="s">
        <v>2</v>
      </c>
      <c r="AE7" s="12" t="s">
        <v>2</v>
      </c>
    </row>
    <row r="8" spans="1:31" x14ac:dyDescent="0.35">
      <c r="A8" s="9" t="s">
        <v>13</v>
      </c>
      <c r="B8" s="40" t="s">
        <v>10</v>
      </c>
      <c r="C8" s="11" t="s">
        <v>2</v>
      </c>
      <c r="D8" s="11" t="s">
        <v>2</v>
      </c>
      <c r="E8" s="21" t="s">
        <v>42</v>
      </c>
      <c r="F8" s="19" t="s">
        <v>41</v>
      </c>
      <c r="G8" s="42" t="s">
        <v>3</v>
      </c>
      <c r="H8" s="42" t="s">
        <v>3</v>
      </c>
      <c r="I8" s="11" t="s">
        <v>2</v>
      </c>
      <c r="J8" s="41" t="s">
        <v>6</v>
      </c>
      <c r="K8" s="41" t="s">
        <v>6</v>
      </c>
      <c r="L8" s="11" t="s">
        <v>2</v>
      </c>
      <c r="M8" s="41" t="s">
        <v>6</v>
      </c>
      <c r="N8" s="18" t="s">
        <v>3</v>
      </c>
      <c r="O8" s="18" t="s">
        <v>3</v>
      </c>
      <c r="P8" s="17" t="s">
        <v>10</v>
      </c>
      <c r="Q8" s="17" t="s">
        <v>10</v>
      </c>
      <c r="R8" s="11" t="s">
        <v>2</v>
      </c>
      <c r="S8" s="19" t="s">
        <v>41</v>
      </c>
      <c r="T8" s="19" t="s">
        <v>41</v>
      </c>
      <c r="U8" s="15" t="s">
        <v>4</v>
      </c>
      <c r="V8" s="15" t="s">
        <v>4</v>
      </c>
      <c r="W8" s="18" t="s">
        <v>6</v>
      </c>
      <c r="X8" s="18" t="s">
        <v>6</v>
      </c>
      <c r="Y8" s="18" t="s">
        <v>6</v>
      </c>
      <c r="Z8" s="18" t="s">
        <v>6</v>
      </c>
      <c r="AA8" s="11" t="s">
        <v>2</v>
      </c>
      <c r="AB8" s="15" t="s">
        <v>4</v>
      </c>
      <c r="AC8" s="18" t="s">
        <v>3</v>
      </c>
      <c r="AD8" s="18" t="s">
        <v>6</v>
      </c>
      <c r="AE8" s="18" t="s">
        <v>6</v>
      </c>
    </row>
    <row r="9" spans="1:31" x14ac:dyDescent="0.35">
      <c r="A9" s="9" t="s">
        <v>14</v>
      </c>
      <c r="B9" s="11" t="s">
        <v>2</v>
      </c>
      <c r="C9" s="40" t="s">
        <v>10</v>
      </c>
      <c r="D9" s="40" t="s">
        <v>10</v>
      </c>
      <c r="E9" s="17" t="s">
        <v>11</v>
      </c>
      <c r="F9" s="40" t="s">
        <v>10</v>
      </c>
      <c r="G9" s="17" t="s">
        <v>11</v>
      </c>
      <c r="H9" s="15" t="s">
        <v>4</v>
      </c>
      <c r="I9" s="11" t="s">
        <v>2</v>
      </c>
      <c r="J9" s="41" t="s">
        <v>6</v>
      </c>
      <c r="K9" s="41" t="s">
        <v>6</v>
      </c>
      <c r="L9" s="13" t="s">
        <v>5</v>
      </c>
      <c r="M9" s="13" t="s">
        <v>5</v>
      </c>
      <c r="N9" s="47" t="s">
        <v>4</v>
      </c>
      <c r="O9" s="47" t="s">
        <v>4</v>
      </c>
      <c r="P9" s="13" t="s">
        <v>5</v>
      </c>
      <c r="Q9" s="13" t="s">
        <v>5</v>
      </c>
      <c r="R9" s="13" t="s">
        <v>5</v>
      </c>
      <c r="S9" s="41" t="s">
        <v>6</v>
      </c>
      <c r="T9" s="41" t="s">
        <v>6</v>
      </c>
      <c r="U9" s="18" t="s">
        <v>3</v>
      </c>
      <c r="V9" s="18" t="s">
        <v>3</v>
      </c>
      <c r="W9" s="18" t="s">
        <v>6</v>
      </c>
      <c r="X9" s="11" t="s">
        <v>2</v>
      </c>
      <c r="Y9" s="18" t="s">
        <v>6</v>
      </c>
      <c r="Z9" s="18" t="s">
        <v>6</v>
      </c>
      <c r="AA9" s="18" t="s">
        <v>6</v>
      </c>
      <c r="AB9" s="18" t="s">
        <v>3</v>
      </c>
      <c r="AC9" s="15" t="s">
        <v>4</v>
      </c>
      <c r="AD9" s="12" t="s">
        <v>2</v>
      </c>
      <c r="AE9" s="12" t="s">
        <v>2</v>
      </c>
    </row>
    <row r="10" spans="1:31" x14ac:dyDescent="0.35">
      <c r="A10" s="9" t="s">
        <v>15</v>
      </c>
      <c r="B10" s="40" t="s">
        <v>10</v>
      </c>
      <c r="C10" s="40" t="s">
        <v>10</v>
      </c>
      <c r="D10" s="11" t="s">
        <v>2</v>
      </c>
      <c r="E10" s="42" t="s">
        <v>3</v>
      </c>
      <c r="F10" s="13" t="s">
        <v>5</v>
      </c>
      <c r="G10" s="15" t="s">
        <v>4</v>
      </c>
      <c r="H10" s="21" t="s">
        <v>42</v>
      </c>
      <c r="I10" s="19" t="s">
        <v>41</v>
      </c>
      <c r="J10" s="19" t="s">
        <v>41</v>
      </c>
      <c r="K10" s="19" t="s">
        <v>41</v>
      </c>
      <c r="L10" s="11" t="s">
        <v>2</v>
      </c>
      <c r="M10" s="11" t="s">
        <v>2</v>
      </c>
      <c r="N10" s="17" t="s">
        <v>11</v>
      </c>
      <c r="O10" s="17" t="s">
        <v>11</v>
      </c>
      <c r="P10" s="17" t="s">
        <v>10</v>
      </c>
      <c r="Q10" s="17" t="s">
        <v>10</v>
      </c>
      <c r="R10" s="11" t="s">
        <v>2</v>
      </c>
      <c r="S10" s="11" t="s">
        <v>2</v>
      </c>
      <c r="T10" s="17" t="s">
        <v>10</v>
      </c>
      <c r="U10" s="17" t="s">
        <v>11</v>
      </c>
      <c r="V10" s="17" t="s">
        <v>11</v>
      </c>
      <c r="W10" s="17" t="s">
        <v>10</v>
      </c>
      <c r="X10" s="17" t="s">
        <v>10</v>
      </c>
      <c r="Y10" s="17" t="s">
        <v>10</v>
      </c>
      <c r="Z10" s="11" t="s">
        <v>2</v>
      </c>
      <c r="AA10" s="13" t="s">
        <v>5</v>
      </c>
      <c r="AB10" s="15" t="s">
        <v>4</v>
      </c>
      <c r="AC10" s="15" t="s">
        <v>4</v>
      </c>
      <c r="AD10" s="18" t="s">
        <v>6</v>
      </c>
      <c r="AE10" s="18" t="s">
        <v>6</v>
      </c>
    </row>
    <row r="11" spans="1:31" x14ac:dyDescent="0.35">
      <c r="A11" s="9" t="s">
        <v>18</v>
      </c>
      <c r="B11" s="11" t="s">
        <v>2</v>
      </c>
      <c r="C11" s="23" t="s">
        <v>17</v>
      </c>
      <c r="D11" s="18" t="s">
        <v>6</v>
      </c>
      <c r="E11" s="42" t="s">
        <v>3</v>
      </c>
      <c r="F11" s="41" t="s">
        <v>6</v>
      </c>
      <c r="G11" s="42" t="s">
        <v>3</v>
      </c>
      <c r="H11" s="42" t="s">
        <v>3</v>
      </c>
      <c r="I11" s="11" t="s">
        <v>2</v>
      </c>
      <c r="J11" s="11" t="s">
        <v>2</v>
      </c>
      <c r="K11" s="19" t="s">
        <v>41</v>
      </c>
      <c r="L11" s="19" t="s">
        <v>41</v>
      </c>
      <c r="M11" s="41" t="s">
        <v>6</v>
      </c>
      <c r="N11" s="21" t="s">
        <v>42</v>
      </c>
      <c r="O11" s="18" t="s">
        <v>3</v>
      </c>
      <c r="P11" s="11" t="s">
        <v>2</v>
      </c>
      <c r="Q11" s="11" t="s">
        <v>2</v>
      </c>
      <c r="R11" s="41" t="s">
        <v>6</v>
      </c>
      <c r="S11" s="41" t="s">
        <v>6</v>
      </c>
      <c r="T11" s="41" t="s">
        <v>6</v>
      </c>
      <c r="U11" s="47" t="s">
        <v>4</v>
      </c>
      <c r="V11" s="47" t="s">
        <v>4</v>
      </c>
      <c r="W11" s="12" t="s">
        <v>2</v>
      </c>
      <c r="X11" s="19" t="s">
        <v>41</v>
      </c>
      <c r="Y11" s="17" t="s">
        <v>10</v>
      </c>
      <c r="Z11" s="17" t="s">
        <v>10</v>
      </c>
      <c r="AA11" s="17" t="s">
        <v>10</v>
      </c>
      <c r="AB11" s="15" t="s">
        <v>4</v>
      </c>
      <c r="AC11" s="15" t="s">
        <v>4</v>
      </c>
      <c r="AD11" s="12" t="s">
        <v>2</v>
      </c>
      <c r="AE11" s="19" t="s">
        <v>41</v>
      </c>
    </row>
    <row r="12" spans="1:31" x14ac:dyDescent="0.35">
      <c r="A12" s="9" t="s">
        <v>19</v>
      </c>
      <c r="B12" s="18" t="s">
        <v>6</v>
      </c>
      <c r="C12" s="13" t="s">
        <v>5</v>
      </c>
      <c r="D12" s="13" t="s">
        <v>5</v>
      </c>
      <c r="E12" s="28" t="s">
        <v>37</v>
      </c>
      <c r="F12" s="13" t="s">
        <v>5</v>
      </c>
      <c r="G12" s="15" t="s">
        <v>4</v>
      </c>
      <c r="H12" s="15" t="s">
        <v>4</v>
      </c>
      <c r="I12" s="18" t="s">
        <v>6</v>
      </c>
      <c r="J12" s="18" t="s">
        <v>6</v>
      </c>
      <c r="K12" s="11" t="s">
        <v>2</v>
      </c>
      <c r="L12" s="18" t="s">
        <v>6</v>
      </c>
      <c r="M12" s="41" t="s">
        <v>6</v>
      </c>
      <c r="N12" s="18" t="s">
        <v>3</v>
      </c>
      <c r="O12" s="47" t="s">
        <v>4</v>
      </c>
      <c r="P12" s="13" t="s">
        <v>5</v>
      </c>
      <c r="Q12" s="13" t="s">
        <v>5</v>
      </c>
      <c r="R12" s="18" t="s">
        <v>6</v>
      </c>
      <c r="S12" s="13" t="s">
        <v>5</v>
      </c>
      <c r="T12" s="13" t="s">
        <v>5</v>
      </c>
      <c r="U12" s="47" t="s">
        <v>4</v>
      </c>
      <c r="V12" s="18" t="s">
        <v>3</v>
      </c>
      <c r="W12" s="18" t="s">
        <v>6</v>
      </c>
      <c r="X12" s="23" t="s">
        <v>17</v>
      </c>
      <c r="Y12" s="12" t="s">
        <v>2</v>
      </c>
      <c r="Z12" s="18" t="s">
        <v>6</v>
      </c>
      <c r="AA12" s="18" t="s">
        <v>6</v>
      </c>
      <c r="AB12" s="18" t="s">
        <v>3</v>
      </c>
      <c r="AC12" s="18" t="s">
        <v>3</v>
      </c>
      <c r="AD12" s="12" t="s">
        <v>2</v>
      </c>
      <c r="AE12" s="12" t="s">
        <v>2</v>
      </c>
    </row>
    <row r="13" spans="1:31" ht="14.15" customHeight="1" x14ac:dyDescent="0.35">
      <c r="A13" s="9" t="s">
        <v>20</v>
      </c>
      <c r="B13" s="19" t="s">
        <v>41</v>
      </c>
      <c r="C13" s="19" t="s">
        <v>41</v>
      </c>
      <c r="D13" s="23" t="s">
        <v>17</v>
      </c>
      <c r="E13" s="42" t="s">
        <v>3</v>
      </c>
      <c r="F13" s="41" t="s">
        <v>6</v>
      </c>
      <c r="G13" s="21" t="s">
        <v>42</v>
      </c>
      <c r="H13" s="15" t="s">
        <v>4</v>
      </c>
      <c r="I13" s="11" t="s">
        <v>2</v>
      </c>
      <c r="J13" s="18" t="s">
        <v>6</v>
      </c>
      <c r="K13" s="13" t="s">
        <v>5</v>
      </c>
      <c r="L13" s="19" t="s">
        <v>41</v>
      </c>
      <c r="M13" s="19" t="s">
        <v>41</v>
      </c>
      <c r="N13" s="17" t="s">
        <v>11</v>
      </c>
      <c r="O13" s="17" t="s">
        <v>11</v>
      </c>
      <c r="P13" s="13" t="s">
        <v>5</v>
      </c>
      <c r="Q13" s="13" t="s">
        <v>5</v>
      </c>
      <c r="R13" s="19" t="s">
        <v>41</v>
      </c>
      <c r="S13" s="19" t="s">
        <v>41</v>
      </c>
      <c r="T13" s="19" t="s">
        <v>41</v>
      </c>
      <c r="U13" s="46" t="s">
        <v>30</v>
      </c>
      <c r="V13" s="15" t="s">
        <v>4</v>
      </c>
      <c r="W13" s="19" t="s">
        <v>41</v>
      </c>
      <c r="X13" s="13" t="s">
        <v>5</v>
      </c>
      <c r="Y13" s="18" t="s">
        <v>6</v>
      </c>
      <c r="Z13" s="18" t="s">
        <v>6</v>
      </c>
      <c r="AA13" s="18" t="s">
        <v>6</v>
      </c>
      <c r="AB13" s="15" t="s">
        <v>4</v>
      </c>
      <c r="AC13" s="15" t="s">
        <v>4</v>
      </c>
      <c r="AD13" s="18" t="s">
        <v>6</v>
      </c>
      <c r="AE13" s="18" t="s">
        <v>6</v>
      </c>
    </row>
    <row r="14" spans="1:31" ht="14.15" customHeight="1" x14ac:dyDescent="0.35">
      <c r="A14" s="9" t="s">
        <v>21</v>
      </c>
      <c r="B14" s="19" t="s">
        <v>41</v>
      </c>
      <c r="C14" s="11" t="s">
        <v>2</v>
      </c>
      <c r="D14" s="18" t="s">
        <v>6</v>
      </c>
      <c r="E14" s="21" t="s">
        <v>42</v>
      </c>
      <c r="F14" s="11" t="s">
        <v>2</v>
      </c>
      <c r="G14" s="17" t="s">
        <v>11</v>
      </c>
      <c r="H14" s="17" t="s">
        <v>11</v>
      </c>
      <c r="I14" s="17" t="s">
        <v>10</v>
      </c>
      <c r="J14" s="13" t="s">
        <v>5</v>
      </c>
      <c r="K14" s="17" t="s">
        <v>10</v>
      </c>
      <c r="L14" s="17" t="s">
        <v>10</v>
      </c>
      <c r="M14" s="17" t="s">
        <v>10</v>
      </c>
      <c r="N14" s="15" t="s">
        <v>4</v>
      </c>
      <c r="O14" s="15" t="s">
        <v>4</v>
      </c>
      <c r="P14" s="19" t="s">
        <v>41</v>
      </c>
      <c r="Q14" s="19" t="s">
        <v>41</v>
      </c>
      <c r="R14" s="11" t="s">
        <v>2</v>
      </c>
      <c r="S14" s="11" t="s">
        <v>2</v>
      </c>
      <c r="T14" s="41" t="s">
        <v>6</v>
      </c>
      <c r="U14" s="18" t="s">
        <v>3</v>
      </c>
      <c r="V14" s="15" t="s">
        <v>4</v>
      </c>
      <c r="W14" s="11" t="s">
        <v>2</v>
      </c>
      <c r="X14" s="18" t="s">
        <v>6</v>
      </c>
      <c r="Y14" s="19" t="s">
        <v>41</v>
      </c>
      <c r="Z14" s="19" t="s">
        <v>41</v>
      </c>
      <c r="AA14" s="11" t="s">
        <v>2</v>
      </c>
      <c r="AB14" s="46" t="s">
        <v>30</v>
      </c>
      <c r="AC14" s="15" t="s">
        <v>4</v>
      </c>
      <c r="AD14" s="17" t="s">
        <v>10</v>
      </c>
      <c r="AE14" s="17" t="s">
        <v>10</v>
      </c>
    </row>
    <row r="15" spans="1:31" x14ac:dyDescent="0.35">
      <c r="A15" s="9" t="s">
        <v>22</v>
      </c>
      <c r="B15" s="13" t="s">
        <v>5</v>
      </c>
      <c r="C15" s="13" t="s">
        <v>5</v>
      </c>
      <c r="D15" s="13" t="s">
        <v>5</v>
      </c>
      <c r="E15" s="28" t="s">
        <v>37</v>
      </c>
      <c r="F15" s="13" t="s">
        <v>5</v>
      </c>
      <c r="G15" s="15" t="s">
        <v>4</v>
      </c>
      <c r="H15" s="15" t="s">
        <v>4</v>
      </c>
      <c r="I15" s="13" t="s">
        <v>5</v>
      </c>
      <c r="J15" s="13" t="s">
        <v>5</v>
      </c>
      <c r="K15" s="41" t="s">
        <v>6</v>
      </c>
      <c r="L15" s="41" t="s">
        <v>6</v>
      </c>
      <c r="M15" s="41" t="s">
        <v>6</v>
      </c>
      <c r="N15" s="46" t="s">
        <v>30</v>
      </c>
      <c r="O15" s="21" t="s">
        <v>42</v>
      </c>
      <c r="P15" s="11" t="s">
        <v>2</v>
      </c>
      <c r="Q15" s="11" t="s">
        <v>2</v>
      </c>
      <c r="R15" s="19" t="s">
        <v>41</v>
      </c>
      <c r="S15" s="19" t="s">
        <v>41</v>
      </c>
      <c r="T15" s="13" t="s">
        <v>5</v>
      </c>
      <c r="U15" s="15" t="s">
        <v>4</v>
      </c>
      <c r="V15" s="15" t="s">
        <v>4</v>
      </c>
      <c r="W15" s="18" t="s">
        <v>6</v>
      </c>
      <c r="X15" s="18" t="s">
        <v>6</v>
      </c>
      <c r="Y15" s="12" t="s">
        <v>2</v>
      </c>
      <c r="Z15" s="19" t="s">
        <v>41</v>
      </c>
      <c r="AA15" s="19" t="s">
        <v>41</v>
      </c>
      <c r="AB15" s="15" t="s">
        <v>4</v>
      </c>
      <c r="AC15" s="15" t="s">
        <v>4</v>
      </c>
      <c r="AD15" s="19" t="s">
        <v>41</v>
      </c>
      <c r="AE15" s="19" t="s">
        <v>41</v>
      </c>
    </row>
    <row r="16" spans="1:31" x14ac:dyDescent="0.35">
      <c r="A16" s="9" t="s">
        <v>43</v>
      </c>
      <c r="B16" s="39" t="s">
        <v>8</v>
      </c>
      <c r="C16" s="39" t="s">
        <v>8</v>
      </c>
      <c r="D16" s="40" t="s">
        <v>10</v>
      </c>
      <c r="E16" s="17" t="s">
        <v>11</v>
      </c>
      <c r="F16" s="40" t="s">
        <v>10</v>
      </c>
      <c r="G16" s="15" t="s">
        <v>4</v>
      </c>
      <c r="H16" s="15" t="s">
        <v>4</v>
      </c>
      <c r="I16" s="19" t="s">
        <v>41</v>
      </c>
      <c r="J16" s="19" t="s">
        <v>41</v>
      </c>
      <c r="K16" s="18" t="s">
        <v>6</v>
      </c>
      <c r="L16" s="18" t="s">
        <v>6</v>
      </c>
      <c r="M16" s="23" t="s">
        <v>17</v>
      </c>
      <c r="N16" s="15" t="s">
        <v>4</v>
      </c>
      <c r="O16" s="15" t="s">
        <v>4</v>
      </c>
      <c r="P16" s="18" t="s">
        <v>6</v>
      </c>
      <c r="Q16" s="19" t="s">
        <v>41</v>
      </c>
      <c r="R16" s="17" t="s">
        <v>10</v>
      </c>
      <c r="S16" s="17" t="s">
        <v>10</v>
      </c>
      <c r="T16" s="11" t="s">
        <v>2</v>
      </c>
      <c r="U16" s="20" t="s">
        <v>42</v>
      </c>
      <c r="V16" s="15" t="s">
        <v>4</v>
      </c>
      <c r="W16" s="11" t="s">
        <v>2</v>
      </c>
      <c r="X16" s="19" t="s">
        <v>41</v>
      </c>
      <c r="Y16" s="19" t="s">
        <v>41</v>
      </c>
      <c r="Z16" s="11" t="s">
        <v>2</v>
      </c>
      <c r="AA16" s="11" t="s">
        <v>2</v>
      </c>
      <c r="AB16" s="20" t="s">
        <v>42</v>
      </c>
      <c r="AC16" s="20" t="s">
        <v>42</v>
      </c>
      <c r="AD16" s="39" t="s">
        <v>8</v>
      </c>
      <c r="AE16" s="39" t="s">
        <v>8</v>
      </c>
    </row>
    <row r="17" spans="1:31" x14ac:dyDescent="0.35">
      <c r="A17" s="9" t="s">
        <v>44</v>
      </c>
      <c r="B17" s="18" t="s">
        <v>6</v>
      </c>
      <c r="C17" s="18" t="s">
        <v>6</v>
      </c>
      <c r="D17" s="19" t="s">
        <v>41</v>
      </c>
      <c r="E17" s="28" t="s">
        <v>37</v>
      </c>
      <c r="F17" s="19" t="s">
        <v>41</v>
      </c>
      <c r="G17" s="15" t="s">
        <v>4</v>
      </c>
      <c r="H17" s="15" t="s">
        <v>4</v>
      </c>
      <c r="I17" s="27" t="s">
        <v>34</v>
      </c>
      <c r="J17" s="23" t="s">
        <v>17</v>
      </c>
      <c r="K17" s="19" t="s">
        <v>41</v>
      </c>
      <c r="L17" s="19" t="s">
        <v>41</v>
      </c>
      <c r="M17" s="19" t="s">
        <v>41</v>
      </c>
      <c r="N17" s="15" t="s">
        <v>4</v>
      </c>
      <c r="O17" s="15" t="s">
        <v>4</v>
      </c>
      <c r="P17" s="18" t="s">
        <v>6</v>
      </c>
      <c r="Q17" s="18" t="s">
        <v>6</v>
      </c>
      <c r="R17" s="18" t="s">
        <v>6</v>
      </c>
      <c r="S17" s="18" t="s">
        <v>6</v>
      </c>
      <c r="T17" s="18" t="s">
        <v>6</v>
      </c>
      <c r="U17" s="15" t="s">
        <v>4</v>
      </c>
      <c r="V17" s="15" t="s">
        <v>4</v>
      </c>
      <c r="W17" s="19" t="s">
        <v>41</v>
      </c>
      <c r="X17" s="19" t="s">
        <v>41</v>
      </c>
      <c r="Y17" s="19" t="s">
        <v>41</v>
      </c>
      <c r="Z17" s="19" t="s">
        <v>41</v>
      </c>
      <c r="AA17" s="19" t="s">
        <v>41</v>
      </c>
      <c r="AB17" s="15" t="s">
        <v>4</v>
      </c>
      <c r="AC17" s="15" t="s">
        <v>4</v>
      </c>
      <c r="AD17" s="19" t="s">
        <v>41</v>
      </c>
      <c r="AE17" s="18" t="s">
        <v>6</v>
      </c>
    </row>
    <row r="18" spans="1:31" x14ac:dyDescent="0.35">
      <c r="A18" s="9" t="s">
        <v>45</v>
      </c>
      <c r="B18" s="18" t="s">
        <v>6</v>
      </c>
      <c r="C18" s="18" t="s">
        <v>6</v>
      </c>
      <c r="D18" s="18" t="s">
        <v>6</v>
      </c>
      <c r="E18" s="28" t="s">
        <v>37</v>
      </c>
      <c r="F18" s="41" t="s">
        <v>6</v>
      </c>
      <c r="G18" s="15" t="s">
        <v>4</v>
      </c>
      <c r="H18" s="38" t="s">
        <v>4</v>
      </c>
      <c r="I18" s="18" t="s">
        <v>6</v>
      </c>
      <c r="J18" s="19" t="s">
        <v>41</v>
      </c>
      <c r="K18" s="19" t="s">
        <v>41</v>
      </c>
      <c r="L18" s="23" t="s">
        <v>17</v>
      </c>
      <c r="M18" s="23" t="s">
        <v>17</v>
      </c>
      <c r="N18" s="15" t="s">
        <v>4</v>
      </c>
      <c r="O18" s="38" t="s">
        <v>4</v>
      </c>
      <c r="P18" s="18" t="s">
        <v>6</v>
      </c>
      <c r="Q18" s="18" t="s">
        <v>6</v>
      </c>
      <c r="R18" s="23" t="s">
        <v>17</v>
      </c>
      <c r="S18" s="18" t="s">
        <v>6</v>
      </c>
      <c r="T18" s="19" t="s">
        <v>41</v>
      </c>
      <c r="U18" s="15" t="s">
        <v>4</v>
      </c>
      <c r="V18" s="38" t="s">
        <v>4</v>
      </c>
      <c r="W18" s="18" t="s">
        <v>6</v>
      </c>
      <c r="X18" s="18" t="s">
        <v>6</v>
      </c>
      <c r="Y18" s="18" t="s">
        <v>6</v>
      </c>
      <c r="Z18" s="18" t="s">
        <v>6</v>
      </c>
      <c r="AA18" s="18" t="s">
        <v>6</v>
      </c>
      <c r="AB18" s="15" t="s">
        <v>4</v>
      </c>
      <c r="AC18" s="38" t="s">
        <v>4</v>
      </c>
      <c r="AD18" s="19" t="s">
        <v>41</v>
      </c>
      <c r="AE18" s="19" t="s">
        <v>41</v>
      </c>
    </row>
    <row r="19" spans="1:31" ht="15" thickBot="1" x14ac:dyDescent="0.4">
      <c r="A19" s="9" t="s">
        <v>46</v>
      </c>
      <c r="B19" s="19" t="s">
        <v>41</v>
      </c>
      <c r="C19" s="19" t="s">
        <v>41</v>
      </c>
      <c r="D19" s="19" t="s">
        <v>41</v>
      </c>
      <c r="E19" s="28" t="s">
        <v>37</v>
      </c>
      <c r="F19" s="19" t="s">
        <v>41</v>
      </c>
      <c r="G19" s="43" t="s">
        <v>4</v>
      </c>
      <c r="H19" s="44" t="s">
        <v>4</v>
      </c>
      <c r="I19" s="39" t="s">
        <v>8</v>
      </c>
      <c r="J19" s="39" t="s">
        <v>8</v>
      </c>
      <c r="K19" s="11" t="s">
        <v>2</v>
      </c>
      <c r="L19" s="23" t="s">
        <v>17</v>
      </c>
      <c r="M19" s="19" t="s">
        <v>41</v>
      </c>
      <c r="N19" s="43" t="s">
        <v>4</v>
      </c>
      <c r="O19" s="44" t="s">
        <v>4</v>
      </c>
      <c r="P19" s="19" t="s">
        <v>41</v>
      </c>
      <c r="Q19" s="19" t="s">
        <v>41</v>
      </c>
      <c r="R19" s="19" t="s">
        <v>41</v>
      </c>
      <c r="S19" s="23" t="s">
        <v>17</v>
      </c>
      <c r="T19" s="19" t="s">
        <v>41</v>
      </c>
      <c r="U19" s="43" t="s">
        <v>4</v>
      </c>
      <c r="V19" s="44" t="s">
        <v>4</v>
      </c>
      <c r="W19" s="39" t="s">
        <v>8</v>
      </c>
      <c r="X19" s="39" t="s">
        <v>8</v>
      </c>
      <c r="Y19" s="39" t="s">
        <v>8</v>
      </c>
      <c r="Z19" s="11" t="s">
        <v>2</v>
      </c>
      <c r="AA19" s="19" t="s">
        <v>41</v>
      </c>
      <c r="AB19" s="43" t="s">
        <v>4</v>
      </c>
      <c r="AC19" s="44" t="s">
        <v>4</v>
      </c>
      <c r="AD19" s="18" t="s">
        <v>6</v>
      </c>
      <c r="AE19" s="23" t="s">
        <v>17</v>
      </c>
    </row>
    <row r="21" spans="1:31" x14ac:dyDescent="0.35">
      <c r="A21" s="24" t="s">
        <v>23</v>
      </c>
      <c r="B21" s="1"/>
    </row>
    <row r="22" spans="1:31" x14ac:dyDescent="0.35">
      <c r="A22" s="1" t="s">
        <v>24</v>
      </c>
      <c r="B22" s="22" t="s">
        <v>16</v>
      </c>
    </row>
    <row r="23" spans="1:31" x14ac:dyDescent="0.35">
      <c r="A23" s="1" t="s">
        <v>25</v>
      </c>
      <c r="B23" s="25" t="s">
        <v>6</v>
      </c>
    </row>
    <row r="24" spans="1:31" x14ac:dyDescent="0.35">
      <c r="A24" s="1" t="s">
        <v>47</v>
      </c>
      <c r="B24" s="19" t="s">
        <v>41</v>
      </c>
    </row>
    <row r="25" spans="1:31" x14ac:dyDescent="0.35">
      <c r="A25" s="1" t="s">
        <v>48</v>
      </c>
      <c r="B25" s="10" t="s">
        <v>39</v>
      </c>
    </row>
    <row r="26" spans="1:31" x14ac:dyDescent="0.35">
      <c r="A26" s="26" t="s">
        <v>26</v>
      </c>
      <c r="B26" s="16" t="s">
        <v>8</v>
      </c>
    </row>
    <row r="27" spans="1:31" x14ac:dyDescent="0.35">
      <c r="A27" s="26" t="s">
        <v>27</v>
      </c>
      <c r="B27" s="17" t="s">
        <v>10</v>
      </c>
    </row>
    <row r="28" spans="1:31" x14ac:dyDescent="0.35">
      <c r="A28" s="26" t="s">
        <v>28</v>
      </c>
      <c r="B28" s="14" t="s">
        <v>3</v>
      </c>
    </row>
    <row r="29" spans="1:31" x14ac:dyDescent="0.35">
      <c r="A29" s="26" t="s">
        <v>29</v>
      </c>
      <c r="B29" s="22" t="s">
        <v>30</v>
      </c>
    </row>
    <row r="30" spans="1:31" x14ac:dyDescent="0.35">
      <c r="A30" s="26" t="s">
        <v>49</v>
      </c>
      <c r="B30" s="19" t="s">
        <v>42</v>
      </c>
    </row>
    <row r="31" spans="1:31" x14ac:dyDescent="0.35">
      <c r="A31" s="26" t="s">
        <v>50</v>
      </c>
      <c r="B31" s="10" t="s">
        <v>40</v>
      </c>
    </row>
    <row r="32" spans="1:31" x14ac:dyDescent="0.35">
      <c r="A32" s="26" t="s">
        <v>31</v>
      </c>
      <c r="B32" s="17" t="s">
        <v>11</v>
      </c>
    </row>
    <row r="33" spans="1:2" x14ac:dyDescent="0.35">
      <c r="A33" s="26" t="s">
        <v>32</v>
      </c>
      <c r="B33" s="13" t="s">
        <v>5</v>
      </c>
    </row>
    <row r="34" spans="1:2" x14ac:dyDescent="0.35">
      <c r="A34" s="26" t="s">
        <v>33</v>
      </c>
      <c r="B34" s="27" t="s">
        <v>34</v>
      </c>
    </row>
    <row r="35" spans="1:2" x14ac:dyDescent="0.35">
      <c r="A35" s="26" t="s">
        <v>35</v>
      </c>
      <c r="B35" s="12" t="s">
        <v>2</v>
      </c>
    </row>
    <row r="36" spans="1:2" x14ac:dyDescent="0.35">
      <c r="A36" s="26" t="s">
        <v>36</v>
      </c>
      <c r="B36" s="28" t="s">
        <v>37</v>
      </c>
    </row>
    <row r="37" spans="1:2" x14ac:dyDescent="0.35">
      <c r="A37" s="26" t="s">
        <v>38</v>
      </c>
      <c r="B37" s="2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8"/>
  <sheetViews>
    <sheetView zoomScale="80" zoomScaleNormal="80" workbookViewId="0">
      <pane xSplit="1" topLeftCell="E1" activePane="topRight" state="frozen"/>
      <selection pane="topRight" activeCell="N4" sqref="N4"/>
    </sheetView>
  </sheetViews>
  <sheetFormatPr defaultColWidth="9.1796875" defaultRowHeight="14.5" x14ac:dyDescent="0.35"/>
  <cols>
    <col min="1" max="1" width="21.81640625" style="45" bestFit="1" customWidth="1"/>
    <col min="2" max="2" width="7.1796875" style="45" customWidth="1"/>
    <col min="3" max="4" width="6.90625" style="45" customWidth="1"/>
    <col min="5" max="6" width="7.1796875" style="45" customWidth="1"/>
    <col min="7" max="7" width="7.54296875" style="45" customWidth="1"/>
    <col min="8" max="11" width="6.90625" style="45" customWidth="1"/>
    <col min="12" max="13" width="7.1796875" style="45" customWidth="1"/>
    <col min="14" max="14" width="7.26953125" style="45" customWidth="1"/>
    <col min="15" max="16" width="9.26953125" style="45" customWidth="1"/>
    <col min="17" max="17" width="7.26953125" style="45" customWidth="1"/>
    <col min="18" max="18" width="6.90625" style="45" customWidth="1"/>
    <col min="19" max="19" width="7.54296875" style="45" customWidth="1"/>
    <col min="20" max="20" width="7.26953125" style="45" customWidth="1"/>
    <col min="21" max="21" width="7.54296875" style="45" customWidth="1"/>
    <col min="22" max="23" width="9.26953125" style="45" customWidth="1"/>
    <col min="24" max="24" width="7.54296875" style="45" customWidth="1"/>
    <col min="25" max="25" width="9.26953125" style="45" customWidth="1"/>
    <col min="26" max="26" width="7.54296875" style="45" customWidth="1"/>
    <col min="27" max="27" width="7.1796875" style="45" bestFit="1" customWidth="1"/>
    <col min="28" max="28" width="7.54296875" style="45" customWidth="1"/>
    <col min="29" max="29" width="9.26953125" style="45" customWidth="1"/>
    <col min="30" max="33" width="9.1796875" style="45" customWidth="1"/>
    <col min="34" max="34" width="7.1796875" style="45" customWidth="1"/>
    <col min="35" max="35" width="9.1796875" style="45" customWidth="1"/>
    <col min="36" max="16384" width="9.1796875" style="45"/>
  </cols>
  <sheetData>
    <row r="1" spans="1:34" ht="15" customHeight="1" x14ac:dyDescent="0.35">
      <c r="A1" s="30"/>
      <c r="B1" s="2" t="str">
        <f t="shared" ref="B1:AH1" si="0">TEXT(B2,"ddd")</f>
        <v>Wed</v>
      </c>
      <c r="C1" s="2" t="str">
        <f t="shared" si="0"/>
        <v>Thu</v>
      </c>
      <c r="D1" s="3" t="str">
        <f t="shared" si="0"/>
        <v>Fri</v>
      </c>
      <c r="E1" s="4" t="str">
        <f t="shared" si="0"/>
        <v>Sat</v>
      </c>
      <c r="F1" s="5" t="str">
        <f t="shared" si="0"/>
        <v>Sun</v>
      </c>
      <c r="G1" s="6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3" t="str">
        <f t="shared" si="0"/>
        <v>Fri</v>
      </c>
      <c r="L1" s="4" t="str">
        <f t="shared" si="0"/>
        <v>Sat</v>
      </c>
      <c r="M1" s="5" t="str">
        <f t="shared" si="0"/>
        <v>Sun</v>
      </c>
      <c r="N1" s="6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3" t="str">
        <f t="shared" si="0"/>
        <v>Fri</v>
      </c>
      <c r="S1" s="4" t="str">
        <f t="shared" si="0"/>
        <v>Sat</v>
      </c>
      <c r="T1" s="5" t="str">
        <f t="shared" si="0"/>
        <v>Sun</v>
      </c>
      <c r="U1" s="6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3" t="str">
        <f t="shared" si="0"/>
        <v>Fri</v>
      </c>
      <c r="Z1" s="4" t="str">
        <f t="shared" si="0"/>
        <v>Sat</v>
      </c>
      <c r="AA1" s="5" t="str">
        <f t="shared" si="0"/>
        <v>Sun</v>
      </c>
      <c r="AB1" s="6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3" t="str">
        <f t="shared" si="0"/>
        <v>Fri</v>
      </c>
      <c r="AG1" s="4" t="str">
        <f t="shared" si="0"/>
        <v>Sat</v>
      </c>
      <c r="AH1" s="5" t="str">
        <f t="shared" si="0"/>
        <v>Sun</v>
      </c>
    </row>
    <row r="2" spans="1:34" x14ac:dyDescent="0.35">
      <c r="A2" s="7" t="s">
        <v>0</v>
      </c>
      <c r="B2" s="31">
        <v>44531</v>
      </c>
      <c r="C2" s="31">
        <v>44532</v>
      </c>
      <c r="D2" s="50">
        <v>44533</v>
      </c>
      <c r="E2" s="58">
        <v>44534</v>
      </c>
      <c r="F2" s="59">
        <v>44535</v>
      </c>
      <c r="G2" s="53">
        <v>44536</v>
      </c>
      <c r="H2" s="31">
        <v>44537</v>
      </c>
      <c r="I2" s="31">
        <v>44538</v>
      </c>
      <c r="J2" s="31">
        <v>44539</v>
      </c>
      <c r="K2" s="50">
        <v>44540</v>
      </c>
      <c r="L2" s="58">
        <v>44541</v>
      </c>
      <c r="M2" s="59">
        <v>44542</v>
      </c>
      <c r="N2" s="53">
        <v>44543</v>
      </c>
      <c r="O2" s="31">
        <v>44544</v>
      </c>
      <c r="P2" s="31">
        <v>44545</v>
      </c>
      <c r="Q2" s="31">
        <v>44546</v>
      </c>
      <c r="R2" s="50">
        <v>44547</v>
      </c>
      <c r="S2" s="58">
        <v>44548</v>
      </c>
      <c r="T2" s="59">
        <v>44549</v>
      </c>
      <c r="U2" s="53">
        <v>44550</v>
      </c>
      <c r="V2" s="31">
        <v>44551</v>
      </c>
      <c r="W2" s="31">
        <v>44552</v>
      </c>
      <c r="X2" s="31">
        <v>44553</v>
      </c>
      <c r="Y2" s="50">
        <v>44554</v>
      </c>
      <c r="Z2" s="58">
        <v>44555</v>
      </c>
      <c r="AA2" s="59">
        <v>44556</v>
      </c>
      <c r="AB2" s="53">
        <v>44557</v>
      </c>
      <c r="AC2" s="31">
        <v>44558</v>
      </c>
      <c r="AD2" s="31">
        <v>44559</v>
      </c>
      <c r="AE2" s="31">
        <v>44560</v>
      </c>
      <c r="AF2" s="50">
        <v>44561</v>
      </c>
      <c r="AG2" s="58">
        <v>44562</v>
      </c>
      <c r="AH2" s="59">
        <v>44563</v>
      </c>
    </row>
    <row r="3" spans="1:34" x14ac:dyDescent="0.35">
      <c r="A3" s="8"/>
      <c r="B3" s="32"/>
      <c r="C3" s="32"/>
      <c r="D3" s="33"/>
      <c r="E3" s="34"/>
      <c r="F3" s="35"/>
      <c r="G3" s="36"/>
      <c r="H3" s="32"/>
      <c r="I3" s="32"/>
      <c r="J3" s="32"/>
      <c r="K3" s="33"/>
      <c r="L3" s="34"/>
      <c r="M3" s="35"/>
      <c r="N3" s="36"/>
      <c r="O3" s="32"/>
      <c r="P3" s="32"/>
      <c r="Q3" s="32"/>
      <c r="R3" s="33"/>
      <c r="S3" s="34"/>
      <c r="T3" s="35"/>
      <c r="U3" s="36"/>
      <c r="V3" s="32"/>
      <c r="W3" s="32"/>
      <c r="X3" s="32"/>
      <c r="Y3" s="33"/>
      <c r="Z3" s="34"/>
      <c r="AA3" s="35"/>
      <c r="AB3" s="36"/>
      <c r="AC3" s="32"/>
      <c r="AD3" s="32"/>
      <c r="AE3" s="32"/>
      <c r="AF3" s="33"/>
      <c r="AG3" s="34"/>
      <c r="AH3" s="35"/>
    </row>
    <row r="4" spans="1:34" x14ac:dyDescent="0.35">
      <c r="A4" s="9" t="s">
        <v>1</v>
      </c>
      <c r="B4" s="10" t="s">
        <v>39</v>
      </c>
      <c r="C4" s="11" t="s">
        <v>2</v>
      </c>
      <c r="D4" s="18" t="s">
        <v>6</v>
      </c>
      <c r="E4" s="15" t="s">
        <v>4</v>
      </c>
      <c r="F4" s="60" t="s">
        <v>40</v>
      </c>
      <c r="G4" s="13" t="s">
        <v>5</v>
      </c>
      <c r="H4" s="13" t="s">
        <v>5</v>
      </c>
      <c r="I4" s="13" t="s">
        <v>5</v>
      </c>
      <c r="J4" s="13" t="s">
        <v>5</v>
      </c>
      <c r="K4" s="52" t="s">
        <v>5</v>
      </c>
      <c r="L4" s="38" t="s">
        <v>4</v>
      </c>
      <c r="M4" s="38" t="s">
        <v>4</v>
      </c>
      <c r="N4" s="54" t="s">
        <v>8</v>
      </c>
      <c r="O4" s="16" t="s">
        <v>8</v>
      </c>
      <c r="P4" s="16" t="s">
        <v>8</v>
      </c>
      <c r="Q4" s="16" t="s">
        <v>8</v>
      </c>
      <c r="R4" s="56" t="s">
        <v>2</v>
      </c>
      <c r="S4" s="61" t="s">
        <v>40</v>
      </c>
      <c r="T4" s="60" t="s">
        <v>40</v>
      </c>
      <c r="U4" s="11" t="s">
        <v>2</v>
      </c>
      <c r="V4" s="10" t="s">
        <v>39</v>
      </c>
      <c r="W4" s="10" t="s">
        <v>39</v>
      </c>
      <c r="X4" s="10" t="s">
        <v>39</v>
      </c>
      <c r="Y4" s="11" t="s">
        <v>2</v>
      </c>
      <c r="Z4" s="61" t="s">
        <v>40</v>
      </c>
      <c r="AA4" s="60" t="s">
        <v>40</v>
      </c>
      <c r="AB4" s="41" t="s">
        <v>6</v>
      </c>
      <c r="AC4" s="16" t="s">
        <v>8</v>
      </c>
      <c r="AD4" s="16" t="s">
        <v>8</v>
      </c>
      <c r="AE4" s="12" t="s">
        <v>2</v>
      </c>
      <c r="AF4" s="51" t="s">
        <v>39</v>
      </c>
      <c r="AG4" s="10" t="s">
        <v>40</v>
      </c>
      <c r="AH4" s="10" t="s">
        <v>40</v>
      </c>
    </row>
    <row r="5" spans="1:34" x14ac:dyDescent="0.35">
      <c r="A5" s="9" t="s">
        <v>7</v>
      </c>
      <c r="B5" s="11" t="s">
        <v>2</v>
      </c>
      <c r="C5" s="10" t="s">
        <v>39</v>
      </c>
      <c r="D5" s="51" t="s">
        <v>39</v>
      </c>
      <c r="E5" s="61" t="s">
        <v>40</v>
      </c>
      <c r="F5" s="38" t="s">
        <v>4</v>
      </c>
      <c r="G5" s="37" t="s">
        <v>39</v>
      </c>
      <c r="H5" s="10" t="s">
        <v>39</v>
      </c>
      <c r="I5" s="10" t="s">
        <v>39</v>
      </c>
      <c r="J5" s="10" t="s">
        <v>39</v>
      </c>
      <c r="K5" s="51" t="s">
        <v>39</v>
      </c>
      <c r="L5" s="61" t="s">
        <v>40</v>
      </c>
      <c r="M5" s="38" t="s">
        <v>4</v>
      </c>
      <c r="N5" s="10" t="s">
        <v>39</v>
      </c>
      <c r="O5" s="56" t="s">
        <v>2</v>
      </c>
      <c r="P5" s="13" t="s">
        <v>5</v>
      </c>
      <c r="Q5" s="13" t="s">
        <v>5</v>
      </c>
      <c r="R5" s="13" t="s">
        <v>5</v>
      </c>
      <c r="S5" s="15" t="s">
        <v>4</v>
      </c>
      <c r="T5" s="15" t="s">
        <v>4</v>
      </c>
      <c r="U5" s="55" t="s">
        <v>5</v>
      </c>
      <c r="V5" s="13" t="s">
        <v>5</v>
      </c>
      <c r="W5" s="13" t="s">
        <v>5</v>
      </c>
      <c r="X5" s="13" t="s">
        <v>5</v>
      </c>
      <c r="Y5" s="52" t="s">
        <v>5</v>
      </c>
      <c r="Z5" s="15" t="s">
        <v>4</v>
      </c>
      <c r="AA5" s="15" t="s">
        <v>4</v>
      </c>
      <c r="AB5" s="51" t="s">
        <v>39</v>
      </c>
      <c r="AC5" s="23" t="s">
        <v>17</v>
      </c>
      <c r="AD5" s="23" t="s">
        <v>17</v>
      </c>
      <c r="AE5" s="52" t="s">
        <v>5</v>
      </c>
      <c r="AF5" s="52" t="s">
        <v>5</v>
      </c>
      <c r="AG5" s="29" t="s">
        <v>4</v>
      </c>
      <c r="AH5" s="29" t="s">
        <v>4</v>
      </c>
    </row>
    <row r="6" spans="1:34" x14ac:dyDescent="0.35">
      <c r="A6" s="9" t="s">
        <v>9</v>
      </c>
      <c r="B6" s="17" t="s">
        <v>10</v>
      </c>
      <c r="C6" s="17" t="s">
        <v>10</v>
      </c>
      <c r="D6" s="52" t="s">
        <v>5</v>
      </c>
      <c r="E6" s="38" t="s">
        <v>4</v>
      </c>
      <c r="F6" s="38" t="s">
        <v>4</v>
      </c>
      <c r="G6" s="55" t="s">
        <v>5</v>
      </c>
      <c r="H6" s="13" t="s">
        <v>5</v>
      </c>
      <c r="I6" s="13" t="s">
        <v>5</v>
      </c>
      <c r="J6" s="17" t="s">
        <v>10</v>
      </c>
      <c r="K6" s="40" t="s">
        <v>10</v>
      </c>
      <c r="L6" s="63" t="s">
        <v>11</v>
      </c>
      <c r="M6" s="38" t="s">
        <v>4</v>
      </c>
      <c r="N6" s="49" t="s">
        <v>10</v>
      </c>
      <c r="O6" s="56" t="s">
        <v>2</v>
      </c>
      <c r="P6" s="56" t="s">
        <v>2</v>
      </c>
      <c r="Q6" s="17" t="s">
        <v>10</v>
      </c>
      <c r="R6" s="17" t="s">
        <v>10</v>
      </c>
      <c r="S6" s="63" t="s">
        <v>11</v>
      </c>
      <c r="T6" s="64" t="s">
        <v>11</v>
      </c>
      <c r="U6" s="17" t="s">
        <v>10</v>
      </c>
      <c r="V6" s="12" t="s">
        <v>2</v>
      </c>
      <c r="W6" s="12" t="s">
        <v>2</v>
      </c>
      <c r="X6" s="14" t="s">
        <v>6</v>
      </c>
      <c r="Y6" s="18" t="s">
        <v>6</v>
      </c>
      <c r="Z6" s="42" t="s">
        <v>3</v>
      </c>
      <c r="AA6" s="65" t="s">
        <v>3</v>
      </c>
      <c r="AB6" s="56" t="s">
        <v>2</v>
      </c>
      <c r="AC6" s="14" t="s">
        <v>6</v>
      </c>
      <c r="AD6" s="14" t="s">
        <v>6</v>
      </c>
      <c r="AE6" s="14" t="s">
        <v>6</v>
      </c>
      <c r="AF6" s="18" t="s">
        <v>6</v>
      </c>
      <c r="AG6" s="25" t="s">
        <v>3</v>
      </c>
      <c r="AH6" s="68" t="s">
        <v>4</v>
      </c>
    </row>
    <row r="7" spans="1:34" x14ac:dyDescent="0.35">
      <c r="A7" s="9" t="s">
        <v>12</v>
      </c>
      <c r="B7" s="14" t="s">
        <v>6</v>
      </c>
      <c r="C7" s="14" t="s">
        <v>6</v>
      </c>
      <c r="D7" s="12" t="s">
        <v>2</v>
      </c>
      <c r="E7" s="14" t="s">
        <v>3</v>
      </c>
      <c r="F7" s="14" t="s">
        <v>3</v>
      </c>
      <c r="G7" s="41" t="s">
        <v>6</v>
      </c>
      <c r="H7" s="12" t="s">
        <v>2</v>
      </c>
      <c r="I7" s="14" t="s">
        <v>6</v>
      </c>
      <c r="J7" s="14" t="s">
        <v>6</v>
      </c>
      <c r="K7" s="18" t="s">
        <v>6</v>
      </c>
      <c r="L7" s="15" t="s">
        <v>4</v>
      </c>
      <c r="M7" s="38" t="s">
        <v>4</v>
      </c>
      <c r="N7" s="41" t="s">
        <v>6</v>
      </c>
      <c r="O7" s="17" t="s">
        <v>10</v>
      </c>
      <c r="P7" s="17" t="s">
        <v>10</v>
      </c>
      <c r="Q7" s="56" t="s">
        <v>2</v>
      </c>
      <c r="R7" s="40" t="s">
        <v>10</v>
      </c>
      <c r="S7" s="15" t="s">
        <v>4</v>
      </c>
      <c r="T7" s="64" t="s">
        <v>11</v>
      </c>
      <c r="U7" s="49" t="s">
        <v>10</v>
      </c>
      <c r="V7" s="17" t="s">
        <v>10</v>
      </c>
      <c r="W7" s="12" t="s">
        <v>2</v>
      </c>
      <c r="X7" s="19" t="s">
        <v>41</v>
      </c>
      <c r="Y7" s="48" t="s">
        <v>41</v>
      </c>
      <c r="Z7" s="42" t="s">
        <v>3</v>
      </c>
      <c r="AA7" s="65" t="s">
        <v>3</v>
      </c>
      <c r="AB7" s="12" t="s">
        <v>2</v>
      </c>
      <c r="AC7" s="12" t="s">
        <v>2</v>
      </c>
      <c r="AD7" s="17" t="s">
        <v>10</v>
      </c>
      <c r="AE7" s="17" t="s">
        <v>10</v>
      </c>
      <c r="AF7" s="40" t="s">
        <v>10</v>
      </c>
      <c r="AG7" s="17" t="s">
        <v>11</v>
      </c>
      <c r="AH7" s="17" t="s">
        <v>11</v>
      </c>
    </row>
    <row r="8" spans="1:34" x14ac:dyDescent="0.35">
      <c r="A8" s="9" t="s">
        <v>13</v>
      </c>
      <c r="B8" s="12" t="s">
        <v>2</v>
      </c>
      <c r="C8" s="12" t="s">
        <v>2</v>
      </c>
      <c r="D8" s="40" t="s">
        <v>10</v>
      </c>
      <c r="E8" s="63" t="s">
        <v>11</v>
      </c>
      <c r="F8" s="64" t="s">
        <v>11</v>
      </c>
      <c r="G8" s="49" t="s">
        <v>10</v>
      </c>
      <c r="H8" s="17" t="s">
        <v>10</v>
      </c>
      <c r="I8" s="12" t="s">
        <v>2</v>
      </c>
      <c r="J8" s="12" t="s">
        <v>2</v>
      </c>
      <c r="K8" s="19" t="s">
        <v>41</v>
      </c>
      <c r="L8" s="42" t="s">
        <v>3</v>
      </c>
      <c r="M8" s="61" t="s">
        <v>40</v>
      </c>
      <c r="N8" s="56" t="s">
        <v>2</v>
      </c>
      <c r="O8" s="57" t="s">
        <v>41</v>
      </c>
      <c r="P8" s="57" t="s">
        <v>41</v>
      </c>
      <c r="Q8" s="57" t="s">
        <v>41</v>
      </c>
      <c r="R8" s="57" t="s">
        <v>41</v>
      </c>
      <c r="S8" s="15" t="s">
        <v>4</v>
      </c>
      <c r="T8" s="38" t="s">
        <v>4</v>
      </c>
      <c r="U8" s="14" t="s">
        <v>6</v>
      </c>
      <c r="V8" s="14" t="s">
        <v>6</v>
      </c>
      <c r="W8" s="14" t="s">
        <v>6</v>
      </c>
      <c r="X8" s="19" t="s">
        <v>41</v>
      </c>
      <c r="Y8" s="48" t="s">
        <v>41</v>
      </c>
      <c r="Z8" s="15" t="s">
        <v>4</v>
      </c>
      <c r="AA8" s="38" t="s">
        <v>4</v>
      </c>
      <c r="AB8" s="49" t="s">
        <v>10</v>
      </c>
      <c r="AC8" s="17" t="s">
        <v>10</v>
      </c>
      <c r="AD8" s="12" t="s">
        <v>2</v>
      </c>
      <c r="AE8" s="19" t="s">
        <v>41</v>
      </c>
      <c r="AF8" s="12" t="s">
        <v>2</v>
      </c>
      <c r="AG8" s="25" t="s">
        <v>3</v>
      </c>
      <c r="AH8" s="29" t="s">
        <v>4</v>
      </c>
    </row>
    <row r="9" spans="1:34" x14ac:dyDescent="0.35">
      <c r="A9" s="9" t="s">
        <v>14</v>
      </c>
      <c r="B9" s="18" t="s">
        <v>6</v>
      </c>
      <c r="C9" s="18" t="s">
        <v>6</v>
      </c>
      <c r="D9" s="13" t="s">
        <v>5</v>
      </c>
      <c r="E9" s="38" t="s">
        <v>4</v>
      </c>
      <c r="F9" s="38" t="s">
        <v>4</v>
      </c>
      <c r="G9" s="13" t="s">
        <v>5</v>
      </c>
      <c r="H9" s="14" t="s">
        <v>6</v>
      </c>
      <c r="I9" s="14" t="s">
        <v>6</v>
      </c>
      <c r="J9" s="14" t="s">
        <v>6</v>
      </c>
      <c r="K9" s="18" t="s">
        <v>6</v>
      </c>
      <c r="L9" s="38" t="s">
        <v>4</v>
      </c>
      <c r="M9" s="42" t="s">
        <v>3</v>
      </c>
      <c r="N9" s="55" t="s">
        <v>5</v>
      </c>
      <c r="O9" s="14" t="s">
        <v>6</v>
      </c>
      <c r="P9" s="14" t="s">
        <v>6</v>
      </c>
      <c r="Q9" s="14" t="s">
        <v>6</v>
      </c>
      <c r="R9" s="18" t="s">
        <v>6</v>
      </c>
      <c r="S9" s="42" t="s">
        <v>3</v>
      </c>
      <c r="T9" s="65" t="s">
        <v>3</v>
      </c>
      <c r="U9" s="57" t="s">
        <v>41</v>
      </c>
      <c r="V9" s="12" t="s">
        <v>2</v>
      </c>
      <c r="W9" s="17" t="s">
        <v>10</v>
      </c>
      <c r="X9" s="17" t="s">
        <v>10</v>
      </c>
      <c r="Y9" s="40" t="s">
        <v>10</v>
      </c>
      <c r="Z9" s="63" t="s">
        <v>11</v>
      </c>
      <c r="AA9" s="64" t="s">
        <v>11</v>
      </c>
      <c r="AB9" s="55" t="s">
        <v>5</v>
      </c>
      <c r="AC9" s="13" t="s">
        <v>5</v>
      </c>
      <c r="AD9" s="13" t="s">
        <v>5</v>
      </c>
      <c r="AE9" s="13" t="s">
        <v>5</v>
      </c>
      <c r="AF9" s="52" t="s">
        <v>5</v>
      </c>
      <c r="AG9" s="68" t="s">
        <v>4</v>
      </c>
      <c r="AH9" s="68" t="s">
        <v>4</v>
      </c>
    </row>
    <row r="10" spans="1:34" x14ac:dyDescent="0.35">
      <c r="A10" s="9" t="s">
        <v>15</v>
      </c>
      <c r="B10" s="19" t="s">
        <v>41</v>
      </c>
      <c r="C10" s="12" t="s">
        <v>2</v>
      </c>
      <c r="D10" s="11" t="s">
        <v>2</v>
      </c>
      <c r="E10" s="63" t="s">
        <v>11</v>
      </c>
      <c r="F10" s="64" t="s">
        <v>11</v>
      </c>
      <c r="G10" s="49" t="s">
        <v>10</v>
      </c>
      <c r="H10" s="17" t="s">
        <v>10</v>
      </c>
      <c r="I10" s="17" t="s">
        <v>10</v>
      </c>
      <c r="J10" s="12" t="s">
        <v>2</v>
      </c>
      <c r="K10" s="11" t="s">
        <v>2</v>
      </c>
      <c r="L10" s="46" t="s">
        <v>30</v>
      </c>
      <c r="M10" s="64" t="s">
        <v>11</v>
      </c>
      <c r="N10" s="56" t="s">
        <v>2</v>
      </c>
      <c r="O10" s="19" t="s">
        <v>41</v>
      </c>
      <c r="P10" s="19" t="s">
        <v>41</v>
      </c>
      <c r="Q10" s="19" t="s">
        <v>41</v>
      </c>
      <c r="R10" s="48" t="s">
        <v>41</v>
      </c>
      <c r="S10" s="15" t="s">
        <v>4</v>
      </c>
      <c r="T10" s="15" t="s">
        <v>4</v>
      </c>
      <c r="U10" s="14" t="s">
        <v>6</v>
      </c>
      <c r="V10" s="14" t="s">
        <v>6</v>
      </c>
      <c r="W10" s="14" t="s">
        <v>6</v>
      </c>
      <c r="X10" s="12" t="s">
        <v>2</v>
      </c>
      <c r="Y10" s="40" t="s">
        <v>10</v>
      </c>
      <c r="Z10" s="63" t="s">
        <v>11</v>
      </c>
      <c r="AA10" s="64" t="s">
        <v>11</v>
      </c>
      <c r="AB10" s="49" t="s">
        <v>10</v>
      </c>
      <c r="AC10" s="17" t="s">
        <v>10</v>
      </c>
      <c r="AD10" s="12" t="s">
        <v>2</v>
      </c>
      <c r="AE10" s="19" t="s">
        <v>41</v>
      </c>
      <c r="AF10" s="14" t="s">
        <v>6</v>
      </c>
      <c r="AG10" s="68" t="s">
        <v>4</v>
      </c>
      <c r="AH10" s="25" t="s">
        <v>3</v>
      </c>
    </row>
    <row r="11" spans="1:34" x14ac:dyDescent="0.35">
      <c r="A11" s="9" t="s">
        <v>18</v>
      </c>
      <c r="B11" s="12" t="s">
        <v>2</v>
      </c>
      <c r="C11" s="19" t="s">
        <v>41</v>
      </c>
      <c r="D11" s="48" t="s">
        <v>41</v>
      </c>
      <c r="E11" s="20" t="s">
        <v>42</v>
      </c>
      <c r="F11" s="21" t="s">
        <v>42</v>
      </c>
      <c r="G11" s="57" t="s">
        <v>41</v>
      </c>
      <c r="H11" s="19" t="s">
        <v>41</v>
      </c>
      <c r="I11" s="12" t="s">
        <v>2</v>
      </c>
      <c r="J11" s="19" t="s">
        <v>41</v>
      </c>
      <c r="K11" s="19" t="s">
        <v>41</v>
      </c>
      <c r="L11" s="15" t="s">
        <v>4</v>
      </c>
      <c r="M11" s="38" t="s">
        <v>4</v>
      </c>
      <c r="N11" s="41" t="s">
        <v>6</v>
      </c>
      <c r="O11" s="14" t="s">
        <v>6</v>
      </c>
      <c r="P11" s="14" t="s">
        <v>6</v>
      </c>
      <c r="Q11" s="14" t="s">
        <v>6</v>
      </c>
      <c r="R11" s="18" t="s">
        <v>6</v>
      </c>
      <c r="S11" s="15" t="s">
        <v>4</v>
      </c>
      <c r="T11" s="38" t="s">
        <v>4</v>
      </c>
      <c r="U11" s="23" t="s">
        <v>17</v>
      </c>
      <c r="V11" s="17" t="s">
        <v>10</v>
      </c>
      <c r="W11" s="17" t="s">
        <v>10</v>
      </c>
      <c r="X11" s="17" t="s">
        <v>10</v>
      </c>
      <c r="Y11" s="11" t="s">
        <v>2</v>
      </c>
      <c r="Z11" s="20" t="s">
        <v>42</v>
      </c>
      <c r="AA11" s="21" t="s">
        <v>42</v>
      </c>
      <c r="AB11" s="56" t="s">
        <v>2</v>
      </c>
      <c r="AC11" s="19" t="s">
        <v>41</v>
      </c>
      <c r="AD11" s="19" t="s">
        <v>41</v>
      </c>
      <c r="AE11" s="14" t="s">
        <v>6</v>
      </c>
      <c r="AF11" s="14" t="s">
        <v>6</v>
      </c>
      <c r="AG11" s="29" t="s">
        <v>4</v>
      </c>
      <c r="AH11" s="25" t="s">
        <v>3</v>
      </c>
    </row>
    <row r="12" spans="1:34" ht="14.15" customHeight="1" x14ac:dyDescent="0.35">
      <c r="A12" s="9" t="s">
        <v>21</v>
      </c>
      <c r="B12" s="12" t="s">
        <v>2</v>
      </c>
      <c r="C12" s="12" t="s">
        <v>2</v>
      </c>
      <c r="D12" s="18" t="s">
        <v>6</v>
      </c>
      <c r="E12" s="42" t="s">
        <v>3</v>
      </c>
      <c r="F12" s="65" t="s">
        <v>3</v>
      </c>
      <c r="G12" s="57" t="s">
        <v>41</v>
      </c>
      <c r="H12" s="12" t="s">
        <v>2</v>
      </c>
      <c r="I12" s="17" t="s">
        <v>10</v>
      </c>
      <c r="J12" s="17" t="s">
        <v>10</v>
      </c>
      <c r="K12" s="40" t="s">
        <v>10</v>
      </c>
      <c r="L12" s="15" t="s">
        <v>4</v>
      </c>
      <c r="M12" s="38" t="s">
        <v>4</v>
      </c>
      <c r="N12" s="55" t="s">
        <v>5</v>
      </c>
      <c r="O12" s="55" t="s">
        <v>5</v>
      </c>
      <c r="P12" s="17" t="s">
        <v>10</v>
      </c>
      <c r="Q12" s="17" t="s">
        <v>10</v>
      </c>
      <c r="R12" s="16" t="s">
        <v>8</v>
      </c>
      <c r="S12" s="63" t="s">
        <v>11</v>
      </c>
      <c r="T12" s="62" t="s">
        <v>4</v>
      </c>
      <c r="U12" s="19" t="s">
        <v>41</v>
      </c>
      <c r="V12" s="19" t="s">
        <v>41</v>
      </c>
      <c r="W12" s="19" t="s">
        <v>41</v>
      </c>
      <c r="X12" s="14" t="s">
        <v>6</v>
      </c>
      <c r="Y12" s="18" t="s">
        <v>6</v>
      </c>
      <c r="Z12" s="15" t="s">
        <v>4</v>
      </c>
      <c r="AA12" s="38" t="s">
        <v>4</v>
      </c>
      <c r="AB12" s="19" t="s">
        <v>41</v>
      </c>
      <c r="AC12" s="12" t="s">
        <v>2</v>
      </c>
      <c r="AD12" s="17" t="s">
        <v>10</v>
      </c>
      <c r="AE12" s="17" t="s">
        <v>10</v>
      </c>
      <c r="AF12" s="40" t="s">
        <v>10</v>
      </c>
      <c r="AG12" s="17" t="s">
        <v>11</v>
      </c>
      <c r="AH12" s="17" t="s">
        <v>11</v>
      </c>
    </row>
    <row r="13" spans="1:34" x14ac:dyDescent="0.35">
      <c r="A13" s="9" t="s">
        <v>43</v>
      </c>
      <c r="B13" s="17" t="s">
        <v>10</v>
      </c>
      <c r="C13" s="17" t="s">
        <v>10</v>
      </c>
      <c r="D13" s="40" t="s">
        <v>10</v>
      </c>
      <c r="E13" s="15" t="s">
        <v>4</v>
      </c>
      <c r="F13" s="38" t="s">
        <v>4</v>
      </c>
      <c r="G13" s="41" t="s">
        <v>6</v>
      </c>
      <c r="H13" s="11" t="s">
        <v>2</v>
      </c>
      <c r="I13" s="19" t="s">
        <v>41</v>
      </c>
      <c r="J13" s="16" t="s">
        <v>8</v>
      </c>
      <c r="K13" s="16" t="s">
        <v>8</v>
      </c>
      <c r="L13" s="63" t="s">
        <v>11</v>
      </c>
      <c r="M13" s="64" t="s">
        <v>11</v>
      </c>
      <c r="N13" s="49" t="s">
        <v>10</v>
      </c>
      <c r="O13" s="17" t="s">
        <v>10</v>
      </c>
      <c r="P13" s="12" t="s">
        <v>2</v>
      </c>
      <c r="Q13" s="12" t="s">
        <v>2</v>
      </c>
      <c r="R13" s="18" t="s">
        <v>6</v>
      </c>
      <c r="S13" s="20" t="s">
        <v>42</v>
      </c>
      <c r="T13" s="21" t="s">
        <v>42</v>
      </c>
      <c r="U13" s="19" t="s">
        <v>41</v>
      </c>
      <c r="V13" s="19" t="s">
        <v>41</v>
      </c>
      <c r="W13" s="12" t="s">
        <v>2</v>
      </c>
      <c r="X13" s="19" t="s">
        <v>41</v>
      </c>
      <c r="Y13" s="23" t="s">
        <v>17</v>
      </c>
      <c r="Z13" s="15" t="s">
        <v>4</v>
      </c>
      <c r="AA13" s="38" t="s">
        <v>4</v>
      </c>
      <c r="AB13" s="41" t="s">
        <v>6</v>
      </c>
      <c r="AC13" s="19" t="s">
        <v>41</v>
      </c>
      <c r="AD13" s="12" t="s">
        <v>2</v>
      </c>
      <c r="AE13" s="41" t="s">
        <v>6</v>
      </c>
      <c r="AF13" s="19" t="s">
        <v>41</v>
      </c>
      <c r="AG13" s="21" t="s">
        <v>42</v>
      </c>
      <c r="AH13" s="29" t="s">
        <v>4</v>
      </c>
    </row>
    <row r="14" spans="1:34" x14ac:dyDescent="0.35">
      <c r="A14" s="9" t="s">
        <v>45</v>
      </c>
      <c r="B14" s="19" t="s">
        <v>41</v>
      </c>
      <c r="C14" s="19" t="s">
        <v>41</v>
      </c>
      <c r="D14" s="48" t="s">
        <v>41</v>
      </c>
      <c r="E14" s="38" t="s">
        <v>4</v>
      </c>
      <c r="F14" s="38" t="s">
        <v>4</v>
      </c>
      <c r="G14" s="55" t="s">
        <v>5</v>
      </c>
      <c r="H14" s="13" t="s">
        <v>5</v>
      </c>
      <c r="I14" s="13" t="s">
        <v>5</v>
      </c>
      <c r="J14" s="13" t="s">
        <v>5</v>
      </c>
      <c r="K14" s="52" t="s">
        <v>5</v>
      </c>
      <c r="L14" s="38" t="s">
        <v>4</v>
      </c>
      <c r="M14" s="38" t="s">
        <v>4</v>
      </c>
      <c r="N14" s="19" t="s">
        <v>41</v>
      </c>
      <c r="O14" s="19" t="s">
        <v>41</v>
      </c>
      <c r="P14" s="19" t="s">
        <v>41</v>
      </c>
      <c r="Q14" s="19" t="s">
        <v>41</v>
      </c>
      <c r="R14" s="19" t="s">
        <v>41</v>
      </c>
      <c r="S14" s="15" t="s">
        <v>4</v>
      </c>
      <c r="T14" s="38" t="s">
        <v>4</v>
      </c>
      <c r="U14" s="14" t="s">
        <v>6</v>
      </c>
      <c r="V14" s="14" t="s">
        <v>6</v>
      </c>
      <c r="W14" s="13" t="s">
        <v>5</v>
      </c>
      <c r="X14" s="13" t="s">
        <v>5</v>
      </c>
      <c r="Y14" s="52" t="s">
        <v>5</v>
      </c>
      <c r="Z14" s="15" t="s">
        <v>4</v>
      </c>
      <c r="AA14" s="15" t="s">
        <v>4</v>
      </c>
      <c r="AB14" s="13" t="s">
        <v>5</v>
      </c>
      <c r="AC14" s="13" t="s">
        <v>5</v>
      </c>
      <c r="AD14" s="19" t="s">
        <v>41</v>
      </c>
      <c r="AE14" s="19" t="s">
        <v>41</v>
      </c>
      <c r="AF14" s="48" t="s">
        <v>41</v>
      </c>
      <c r="AG14" s="29" t="s">
        <v>4</v>
      </c>
      <c r="AH14" s="29" t="s">
        <v>4</v>
      </c>
    </row>
    <row r="15" spans="1:34" x14ac:dyDescent="0.35">
      <c r="A15" s="9" t="s">
        <v>46</v>
      </c>
      <c r="B15" s="16" t="s">
        <v>8</v>
      </c>
      <c r="C15" s="16" t="s">
        <v>8</v>
      </c>
      <c r="D15" s="16" t="s">
        <v>8</v>
      </c>
      <c r="E15" s="15" t="s">
        <v>4</v>
      </c>
      <c r="F15" s="38" t="s">
        <v>4</v>
      </c>
      <c r="G15" s="57" t="s">
        <v>41</v>
      </c>
      <c r="H15" s="23" t="s">
        <v>17</v>
      </c>
      <c r="I15" s="14" t="s">
        <v>6</v>
      </c>
      <c r="J15" s="14" t="s">
        <v>6</v>
      </c>
      <c r="K15" s="18" t="s">
        <v>6</v>
      </c>
      <c r="L15" s="15" t="s">
        <v>4</v>
      </c>
      <c r="M15" s="38" t="s">
        <v>4</v>
      </c>
      <c r="N15" s="57" t="s">
        <v>41</v>
      </c>
      <c r="O15" s="55" t="s">
        <v>5</v>
      </c>
      <c r="P15" s="57" t="s">
        <v>41</v>
      </c>
      <c r="Q15" s="13" t="s">
        <v>5</v>
      </c>
      <c r="R15" s="52" t="s">
        <v>5</v>
      </c>
      <c r="S15" s="38" t="s">
        <v>4</v>
      </c>
      <c r="T15" s="38" t="s">
        <v>4</v>
      </c>
      <c r="U15" s="55" t="s">
        <v>5</v>
      </c>
      <c r="V15" s="13" t="s">
        <v>5</v>
      </c>
      <c r="W15" s="19" t="s">
        <v>41</v>
      </c>
      <c r="X15" s="16" t="s">
        <v>8</v>
      </c>
      <c r="Y15" s="16" t="s">
        <v>8</v>
      </c>
      <c r="Z15" s="15" t="s">
        <v>4</v>
      </c>
      <c r="AA15" s="15" t="s">
        <v>4</v>
      </c>
      <c r="AB15" s="55" t="s">
        <v>5</v>
      </c>
      <c r="AC15" s="13" t="s">
        <v>5</v>
      </c>
      <c r="AD15" s="13" t="s">
        <v>5</v>
      </c>
      <c r="AE15" s="13" t="s">
        <v>5</v>
      </c>
      <c r="AF15" s="52" t="s">
        <v>5</v>
      </c>
      <c r="AG15" s="29" t="s">
        <v>4</v>
      </c>
      <c r="AH15" s="29" t="s">
        <v>4</v>
      </c>
    </row>
    <row r="16" spans="1:34" x14ac:dyDescent="0.35">
      <c r="A16" s="9" t="s">
        <v>22</v>
      </c>
      <c r="B16" s="12" t="s">
        <v>2</v>
      </c>
      <c r="C16" s="19" t="s">
        <v>41</v>
      </c>
      <c r="D16" s="48" t="s">
        <v>41</v>
      </c>
      <c r="E16" s="15" t="s">
        <v>4</v>
      </c>
      <c r="F16" s="38" t="s">
        <v>4</v>
      </c>
      <c r="G16" s="41" t="s">
        <v>6</v>
      </c>
      <c r="H16" s="14" t="s">
        <v>6</v>
      </c>
      <c r="I16" s="19" t="s">
        <v>41</v>
      </c>
      <c r="J16" s="23" t="s">
        <v>17</v>
      </c>
      <c r="K16" s="12" t="s">
        <v>2</v>
      </c>
      <c r="L16" s="20" t="s">
        <v>42</v>
      </c>
      <c r="M16" s="21" t="s">
        <v>42</v>
      </c>
      <c r="N16" s="56" t="s">
        <v>2</v>
      </c>
      <c r="O16" s="14" t="s">
        <v>6</v>
      </c>
      <c r="P16" s="14" t="s">
        <v>6</v>
      </c>
      <c r="Q16" s="19" t="s">
        <v>41</v>
      </c>
      <c r="R16" s="48" t="s">
        <v>41</v>
      </c>
      <c r="S16" s="15" t="s">
        <v>4</v>
      </c>
      <c r="T16" s="38" t="s">
        <v>4</v>
      </c>
      <c r="U16" s="13" t="s">
        <v>5</v>
      </c>
      <c r="V16" s="13" t="s">
        <v>5</v>
      </c>
      <c r="W16" s="13" t="s">
        <v>5</v>
      </c>
      <c r="X16" s="13" t="s">
        <v>5</v>
      </c>
      <c r="Y16" s="13" t="s">
        <v>5</v>
      </c>
      <c r="Z16" s="15" t="s">
        <v>4</v>
      </c>
      <c r="AA16" s="38" t="s">
        <v>4</v>
      </c>
      <c r="AB16" s="41" t="s">
        <v>6</v>
      </c>
      <c r="AC16" s="19" t="s">
        <v>41</v>
      </c>
      <c r="AD16" s="19" t="s">
        <v>41</v>
      </c>
      <c r="AE16" s="19" t="s">
        <v>41</v>
      </c>
      <c r="AF16" s="19" t="s">
        <v>41</v>
      </c>
      <c r="AG16" s="29" t="s">
        <v>4</v>
      </c>
      <c r="AH16" s="19" t="s">
        <v>42</v>
      </c>
    </row>
    <row r="17" spans="1:34" x14ac:dyDescent="0.35">
      <c r="A17" s="9" t="s">
        <v>19</v>
      </c>
      <c r="B17" s="14" t="s">
        <v>6</v>
      </c>
      <c r="C17" s="18" t="s">
        <v>6</v>
      </c>
      <c r="D17" s="18" t="s">
        <v>6</v>
      </c>
      <c r="E17" s="15" t="s">
        <v>4</v>
      </c>
      <c r="F17" s="38" t="s">
        <v>4</v>
      </c>
      <c r="G17" s="41" t="s">
        <v>6</v>
      </c>
      <c r="H17" s="14" t="s">
        <v>6</v>
      </c>
      <c r="I17" s="12" t="s">
        <v>2</v>
      </c>
      <c r="J17" s="14" t="s">
        <v>6</v>
      </c>
      <c r="K17" s="18" t="s">
        <v>6</v>
      </c>
      <c r="L17" s="42" t="s">
        <v>3</v>
      </c>
      <c r="M17" s="65" t="s">
        <v>3</v>
      </c>
      <c r="N17" s="41" t="s">
        <v>6</v>
      </c>
      <c r="O17" s="12" t="s">
        <v>2</v>
      </c>
      <c r="P17" s="12" t="s">
        <v>2</v>
      </c>
      <c r="Q17" s="14" t="s">
        <v>6</v>
      </c>
      <c r="R17" s="18" t="s">
        <v>6</v>
      </c>
      <c r="S17" s="42" t="s">
        <v>3</v>
      </c>
      <c r="T17" s="65" t="s">
        <v>3</v>
      </c>
      <c r="U17" s="56" t="s">
        <v>2</v>
      </c>
      <c r="V17" s="14" t="s">
        <v>6</v>
      </c>
      <c r="W17" s="14" t="s">
        <v>6</v>
      </c>
      <c r="X17" s="14" t="s">
        <v>6</v>
      </c>
      <c r="Y17" s="18" t="s">
        <v>6</v>
      </c>
      <c r="Z17" s="15" t="s">
        <v>4</v>
      </c>
      <c r="AA17" s="15" t="s">
        <v>4</v>
      </c>
      <c r="AB17" s="14" t="s">
        <v>6</v>
      </c>
      <c r="AC17" s="14" t="s">
        <v>6</v>
      </c>
      <c r="AD17" s="14" t="s">
        <v>6</v>
      </c>
      <c r="AE17" s="13" t="s">
        <v>5</v>
      </c>
      <c r="AF17" s="52" t="s">
        <v>5</v>
      </c>
      <c r="AG17" s="29" t="s">
        <v>4</v>
      </c>
      <c r="AH17" s="29" t="s">
        <v>4</v>
      </c>
    </row>
    <row r="18" spans="1:34" ht="15" thickBot="1" x14ac:dyDescent="0.4">
      <c r="A18" s="9" t="s">
        <v>44</v>
      </c>
      <c r="B18" s="14" t="s">
        <v>6</v>
      </c>
      <c r="C18" s="14" t="s">
        <v>6</v>
      </c>
      <c r="D18" s="18" t="s">
        <v>6</v>
      </c>
      <c r="E18" s="66" t="s">
        <v>30</v>
      </c>
      <c r="F18" s="44" t="s">
        <v>4</v>
      </c>
      <c r="G18" s="56" t="s">
        <v>2</v>
      </c>
      <c r="H18" s="19" t="s">
        <v>41</v>
      </c>
      <c r="I18" s="19" t="s">
        <v>41</v>
      </c>
      <c r="J18" s="48" t="s">
        <v>41</v>
      </c>
      <c r="K18" s="48" t="s">
        <v>41</v>
      </c>
      <c r="L18" s="43" t="s">
        <v>4</v>
      </c>
      <c r="M18" s="44" t="s">
        <v>4</v>
      </c>
      <c r="N18" s="41" t="s">
        <v>6</v>
      </c>
      <c r="O18" s="14" t="s">
        <v>6</v>
      </c>
      <c r="P18" s="14" t="s">
        <v>6</v>
      </c>
      <c r="Q18" s="14" t="s">
        <v>6</v>
      </c>
      <c r="R18" s="12" t="s">
        <v>2</v>
      </c>
      <c r="S18" s="66" t="s">
        <v>30</v>
      </c>
      <c r="T18" s="44" t="s">
        <v>4</v>
      </c>
      <c r="U18" s="19" t="s">
        <v>41</v>
      </c>
      <c r="V18" s="19" t="s">
        <v>41</v>
      </c>
      <c r="W18" s="19" t="s">
        <v>41</v>
      </c>
      <c r="X18" s="12" t="s">
        <v>2</v>
      </c>
      <c r="Y18" s="48" t="s">
        <v>41</v>
      </c>
      <c r="Z18" s="66" t="s">
        <v>30</v>
      </c>
      <c r="AA18" s="44" t="s">
        <v>4</v>
      </c>
      <c r="AB18" s="19" t="s">
        <v>41</v>
      </c>
      <c r="AC18" s="14" t="s">
        <v>6</v>
      </c>
      <c r="AD18" s="14" t="s">
        <v>6</v>
      </c>
      <c r="AE18" s="14" t="s">
        <v>6</v>
      </c>
      <c r="AF18" s="18" t="s">
        <v>6</v>
      </c>
      <c r="AG18" s="29" t="s">
        <v>4</v>
      </c>
      <c r="AH18" s="29" t="s">
        <v>4</v>
      </c>
    </row>
    <row r="20" spans="1:34" x14ac:dyDescent="0.35">
      <c r="A20" s="24" t="s">
        <v>23</v>
      </c>
    </row>
    <row r="21" spans="1:34" x14ac:dyDescent="0.35">
      <c r="A21" s="1" t="s">
        <v>24</v>
      </c>
      <c r="B21" s="22" t="s">
        <v>16</v>
      </c>
    </row>
    <row r="22" spans="1:34" x14ac:dyDescent="0.35">
      <c r="A22" s="1" t="s">
        <v>25</v>
      </c>
      <c r="B22" s="25" t="s">
        <v>6</v>
      </c>
    </row>
    <row r="23" spans="1:34" x14ac:dyDescent="0.35">
      <c r="A23" s="1" t="s">
        <v>47</v>
      </c>
      <c r="B23" s="19" t="s">
        <v>41</v>
      </c>
    </row>
    <row r="24" spans="1:34" x14ac:dyDescent="0.35">
      <c r="A24" s="1" t="s">
        <v>48</v>
      </c>
      <c r="B24" s="10" t="s">
        <v>39</v>
      </c>
    </row>
    <row r="25" spans="1:34" x14ac:dyDescent="0.35">
      <c r="A25" s="26" t="s">
        <v>26</v>
      </c>
      <c r="B25" s="16" t="s">
        <v>8</v>
      </c>
    </row>
    <row r="26" spans="1:34" x14ac:dyDescent="0.35">
      <c r="A26" s="26" t="s">
        <v>27</v>
      </c>
      <c r="B26" s="17" t="s">
        <v>10</v>
      </c>
    </row>
    <row r="27" spans="1:34" x14ac:dyDescent="0.35">
      <c r="A27" s="26" t="s">
        <v>28</v>
      </c>
      <c r="B27" s="14" t="s">
        <v>3</v>
      </c>
    </row>
    <row r="28" spans="1:34" x14ac:dyDescent="0.35">
      <c r="A28" s="26" t="s">
        <v>29</v>
      </c>
      <c r="B28" s="22" t="s">
        <v>30</v>
      </c>
    </row>
    <row r="29" spans="1:34" x14ac:dyDescent="0.35">
      <c r="A29" s="26" t="s">
        <v>49</v>
      </c>
      <c r="B29" s="19" t="s">
        <v>42</v>
      </c>
    </row>
    <row r="30" spans="1:34" x14ac:dyDescent="0.35">
      <c r="A30" s="26" t="s">
        <v>50</v>
      </c>
      <c r="B30" s="10" t="s">
        <v>40</v>
      </c>
    </row>
    <row r="31" spans="1:34" x14ac:dyDescent="0.35">
      <c r="A31" s="26" t="s">
        <v>31</v>
      </c>
      <c r="B31" s="17" t="s">
        <v>11</v>
      </c>
    </row>
    <row r="32" spans="1:34" x14ac:dyDescent="0.35">
      <c r="A32" s="26" t="s">
        <v>32</v>
      </c>
      <c r="B32" s="13" t="s">
        <v>5</v>
      </c>
    </row>
    <row r="33" spans="1:2" x14ac:dyDescent="0.35">
      <c r="A33" s="26" t="s">
        <v>33</v>
      </c>
      <c r="B33" s="27" t="s">
        <v>34</v>
      </c>
    </row>
    <row r="34" spans="1:2" x14ac:dyDescent="0.35">
      <c r="A34" s="26" t="s">
        <v>35</v>
      </c>
      <c r="B34" s="12" t="s">
        <v>2</v>
      </c>
    </row>
    <row r="35" spans="1:2" x14ac:dyDescent="0.35">
      <c r="A35" s="26" t="s">
        <v>36</v>
      </c>
      <c r="B35" s="28" t="s">
        <v>37</v>
      </c>
    </row>
    <row r="36" spans="1:2" x14ac:dyDescent="0.35">
      <c r="A36" s="26" t="s">
        <v>38</v>
      </c>
      <c r="B36" s="29" t="s">
        <v>4</v>
      </c>
    </row>
    <row r="37" spans="1:2" x14ac:dyDescent="0.35">
      <c r="A37" s="26" t="s">
        <v>36</v>
      </c>
      <c r="B37" s="28" t="s">
        <v>37</v>
      </c>
    </row>
    <row r="38" spans="1:2" x14ac:dyDescent="0.35">
      <c r="A38" s="26" t="s">
        <v>38</v>
      </c>
      <c r="B38" s="29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7"/>
  <sheetViews>
    <sheetView zoomScale="80" zoomScaleNormal="80" workbookViewId="0">
      <pane xSplit="1" topLeftCell="I1" activePane="topRight" state="frozen"/>
      <selection pane="topRight" activeCell="U15" sqref="U15"/>
    </sheetView>
  </sheetViews>
  <sheetFormatPr defaultColWidth="9.1796875" defaultRowHeight="14.5" x14ac:dyDescent="0.35"/>
  <cols>
    <col min="1" max="1" width="26.1796875" style="45" bestFit="1" customWidth="1"/>
    <col min="2" max="4" width="7.1796875" style="45" customWidth="1"/>
    <col min="5" max="8" width="6.453125" style="45" customWidth="1"/>
    <col min="9" max="10" width="7.1796875" style="45" customWidth="1"/>
    <col min="11" max="15" width="6.453125" style="45" customWidth="1"/>
    <col min="16" max="17" width="7.1796875" style="45" customWidth="1"/>
    <col min="18" max="22" width="6.453125" style="45" customWidth="1"/>
    <col min="23" max="23" width="7.1796875" style="45" customWidth="1"/>
    <col min="24" max="24" width="7.54296875" style="45" customWidth="1"/>
    <col min="25" max="25" width="6.453125" style="45" bestFit="1" customWidth="1"/>
    <col min="26" max="27" width="7.54296875" style="45" customWidth="1"/>
    <col min="28" max="29" width="6.453125" style="45" bestFit="1" customWidth="1"/>
    <col min="30" max="31" width="7.1796875" style="45" bestFit="1" customWidth="1"/>
    <col min="32" max="32" width="6.453125" style="45" bestFit="1" customWidth="1"/>
    <col min="33" max="33" width="9.1796875" style="45" customWidth="1"/>
    <col min="34" max="16384" width="9.1796875" style="45"/>
  </cols>
  <sheetData>
    <row r="1" spans="1:32" ht="15" customHeight="1" x14ac:dyDescent="0.35">
      <c r="A1" s="30"/>
      <c r="B1" s="4" t="str">
        <f t="shared" ref="B1:C1" si="0">TEXT(B2,"ddd")</f>
        <v>Sat</v>
      </c>
      <c r="C1" s="5" t="str">
        <f t="shared" si="0"/>
        <v>Sun</v>
      </c>
      <c r="D1" s="3" t="str">
        <f t="shared" ref="D1:AF1" si="1">TEXT(D2,"ddd")</f>
        <v>Mon</v>
      </c>
      <c r="E1" s="4" t="str">
        <f t="shared" si="1"/>
        <v>Tue</v>
      </c>
      <c r="F1" s="5" t="str">
        <f t="shared" si="1"/>
        <v>Wed</v>
      </c>
      <c r="G1" s="6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3" t="str">
        <f t="shared" si="1"/>
        <v>Mon</v>
      </c>
      <c r="L1" s="4" t="str">
        <f t="shared" si="1"/>
        <v>Tue</v>
      </c>
      <c r="M1" s="5" t="str">
        <f t="shared" si="1"/>
        <v>Wed</v>
      </c>
      <c r="N1" s="6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3" t="str">
        <f t="shared" si="1"/>
        <v>Mon</v>
      </c>
      <c r="S1" s="4" t="str">
        <f t="shared" si="1"/>
        <v>Tue</v>
      </c>
      <c r="T1" s="5" t="str">
        <f t="shared" si="1"/>
        <v>Wed</v>
      </c>
      <c r="U1" s="6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3" t="str">
        <f t="shared" si="1"/>
        <v>Mon</v>
      </c>
      <c r="Z1" s="4" t="str">
        <f t="shared" si="1"/>
        <v>Tue</v>
      </c>
      <c r="AA1" s="5" t="str">
        <f t="shared" si="1"/>
        <v>Wed</v>
      </c>
      <c r="AB1" s="6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3" t="str">
        <f t="shared" si="1"/>
        <v>Mon</v>
      </c>
    </row>
    <row r="2" spans="1:32" x14ac:dyDescent="0.35">
      <c r="A2" s="7" t="s">
        <v>0</v>
      </c>
      <c r="B2" s="58">
        <v>44562</v>
      </c>
      <c r="C2" s="59">
        <v>44563</v>
      </c>
      <c r="D2" s="59">
        <v>44564</v>
      </c>
      <c r="E2" s="59">
        <v>44565</v>
      </c>
      <c r="F2" s="59">
        <v>44566</v>
      </c>
      <c r="G2" s="59">
        <v>44567</v>
      </c>
      <c r="H2" s="59">
        <v>44568</v>
      </c>
      <c r="I2" s="59">
        <v>44569</v>
      </c>
      <c r="J2" s="59">
        <v>44570</v>
      </c>
      <c r="K2" s="59">
        <v>44571</v>
      </c>
      <c r="L2" s="59">
        <v>44572</v>
      </c>
      <c r="M2" s="59">
        <v>44573</v>
      </c>
      <c r="N2" s="59">
        <v>44574</v>
      </c>
      <c r="O2" s="59">
        <v>44575</v>
      </c>
      <c r="P2" s="59">
        <v>44576</v>
      </c>
      <c r="Q2" s="59">
        <v>44577</v>
      </c>
      <c r="R2" s="59">
        <v>44578</v>
      </c>
      <c r="S2" s="59">
        <v>44579</v>
      </c>
      <c r="T2" s="59">
        <v>44580</v>
      </c>
      <c r="U2" s="59">
        <v>44581</v>
      </c>
      <c r="V2" s="59">
        <v>44582</v>
      </c>
      <c r="W2" s="59">
        <v>44583</v>
      </c>
      <c r="X2" s="59">
        <v>44584</v>
      </c>
      <c r="Y2" s="59">
        <v>44585</v>
      </c>
      <c r="Z2" s="59">
        <v>44586</v>
      </c>
      <c r="AA2" s="59">
        <v>44587</v>
      </c>
      <c r="AB2" s="59">
        <v>44588</v>
      </c>
      <c r="AC2" s="59">
        <v>44589</v>
      </c>
      <c r="AD2" s="59">
        <v>44590</v>
      </c>
      <c r="AE2" s="59">
        <v>44591</v>
      </c>
      <c r="AF2" s="59">
        <v>44592</v>
      </c>
    </row>
    <row r="3" spans="1:32" x14ac:dyDescent="0.35">
      <c r="A3" s="8"/>
      <c r="B3" s="34"/>
      <c r="C3" s="35"/>
      <c r="D3" s="33"/>
      <c r="E3" s="34"/>
      <c r="F3" s="35"/>
      <c r="G3" s="36"/>
      <c r="H3" s="32"/>
      <c r="I3" s="32"/>
      <c r="J3" s="32"/>
      <c r="K3" s="33"/>
      <c r="L3" s="34"/>
      <c r="M3" s="35"/>
      <c r="N3" s="36"/>
      <c r="O3" s="32"/>
      <c r="P3" s="32"/>
      <c r="Q3" s="32"/>
      <c r="R3" s="33"/>
      <c r="S3" s="34"/>
      <c r="T3" s="35"/>
      <c r="U3" s="36"/>
      <c r="V3" s="32"/>
      <c r="W3" s="32"/>
      <c r="X3" s="32"/>
      <c r="Y3" s="33"/>
      <c r="Z3" s="34"/>
      <c r="AA3" s="35"/>
      <c r="AB3" s="36"/>
      <c r="AC3" s="32"/>
      <c r="AD3" s="32"/>
      <c r="AE3" s="32"/>
      <c r="AF3" s="33"/>
    </row>
    <row r="4" spans="1:32" x14ac:dyDescent="0.35">
      <c r="A4" s="67" t="s">
        <v>1</v>
      </c>
      <c r="B4" s="10" t="s">
        <v>40</v>
      </c>
      <c r="C4" s="10" t="s">
        <v>40</v>
      </c>
      <c r="D4" s="11" t="s">
        <v>2</v>
      </c>
      <c r="E4" s="10" t="s">
        <v>39</v>
      </c>
      <c r="F4" s="10" t="s">
        <v>39</v>
      </c>
      <c r="G4" s="10" t="s">
        <v>39</v>
      </c>
      <c r="H4" s="11" t="s">
        <v>2</v>
      </c>
      <c r="I4" s="60" t="s">
        <v>40</v>
      </c>
      <c r="J4" s="60" t="s">
        <v>40</v>
      </c>
      <c r="K4" s="11" t="s">
        <v>2</v>
      </c>
      <c r="L4" s="25" t="s">
        <v>6</v>
      </c>
      <c r="M4" s="10" t="s">
        <v>39</v>
      </c>
      <c r="N4" s="10" t="s">
        <v>39</v>
      </c>
      <c r="O4" s="10" t="s">
        <v>39</v>
      </c>
      <c r="P4" s="60" t="s">
        <v>40</v>
      </c>
      <c r="Q4" s="29" t="s">
        <v>4</v>
      </c>
      <c r="R4" s="16" t="s">
        <v>8</v>
      </c>
      <c r="S4" s="16" t="s">
        <v>8</v>
      </c>
      <c r="T4" s="16" t="s">
        <v>8</v>
      </c>
      <c r="U4" s="16" t="s">
        <v>8</v>
      </c>
      <c r="V4" s="11" t="s">
        <v>2</v>
      </c>
      <c r="W4" s="60" t="s">
        <v>40</v>
      </c>
      <c r="X4" s="29" t="s">
        <v>4</v>
      </c>
      <c r="Y4" s="10" t="s">
        <v>39</v>
      </c>
      <c r="Z4" s="11" t="s">
        <v>2</v>
      </c>
      <c r="AA4" s="60" t="s">
        <v>40</v>
      </c>
      <c r="AB4" s="16" t="s">
        <v>8</v>
      </c>
      <c r="AC4" s="11" t="s">
        <v>2</v>
      </c>
      <c r="AD4" s="60" t="s">
        <v>40</v>
      </c>
      <c r="AE4" s="25" t="s">
        <v>3</v>
      </c>
      <c r="AF4" s="11" t="s">
        <v>2</v>
      </c>
    </row>
    <row r="5" spans="1:32" x14ac:dyDescent="0.35">
      <c r="A5" s="67" t="s">
        <v>9</v>
      </c>
      <c r="B5" s="25" t="s">
        <v>3</v>
      </c>
      <c r="C5" s="68" t="s">
        <v>4</v>
      </c>
      <c r="D5" s="55" t="s">
        <v>5</v>
      </c>
      <c r="E5" s="55" t="s">
        <v>5</v>
      </c>
      <c r="F5" s="55" t="s">
        <v>5</v>
      </c>
      <c r="G5" s="40" t="s">
        <v>10</v>
      </c>
      <c r="H5" s="40" t="s">
        <v>10</v>
      </c>
      <c r="I5" s="17" t="s">
        <v>11</v>
      </c>
      <c r="J5" s="17" t="s">
        <v>11</v>
      </c>
      <c r="K5" s="54" t="s">
        <v>8</v>
      </c>
      <c r="L5" s="17" t="s">
        <v>10</v>
      </c>
      <c r="M5" s="17" t="s">
        <v>10</v>
      </c>
      <c r="N5" s="17" t="s">
        <v>10</v>
      </c>
      <c r="O5" s="17" t="s">
        <v>10</v>
      </c>
      <c r="P5" s="17" t="s">
        <v>11</v>
      </c>
      <c r="Q5" s="17" t="s">
        <v>11</v>
      </c>
      <c r="R5" s="12" t="s">
        <v>2</v>
      </c>
      <c r="S5" s="12" t="s">
        <v>2</v>
      </c>
      <c r="T5" s="25" t="s">
        <v>6</v>
      </c>
      <c r="U5" s="19" t="s">
        <v>41</v>
      </c>
      <c r="V5" s="25" t="s">
        <v>6</v>
      </c>
      <c r="W5" s="29" t="s">
        <v>4</v>
      </c>
      <c r="X5" s="17" t="s">
        <v>11</v>
      </c>
      <c r="Y5" s="40" t="s">
        <v>10</v>
      </c>
      <c r="Z5" s="40" t="s">
        <v>10</v>
      </c>
      <c r="AA5" s="40" t="s">
        <v>10</v>
      </c>
      <c r="AB5" s="11" t="s">
        <v>2</v>
      </c>
      <c r="AC5" s="11" t="s">
        <v>2</v>
      </c>
      <c r="AD5" s="17" t="s">
        <v>11</v>
      </c>
      <c r="AE5" s="17" t="s">
        <v>11</v>
      </c>
      <c r="AF5" s="17" t="s">
        <v>10</v>
      </c>
    </row>
    <row r="6" spans="1:32" x14ac:dyDescent="0.35">
      <c r="A6" s="67" t="s">
        <v>12</v>
      </c>
      <c r="B6" s="17" t="s">
        <v>11</v>
      </c>
      <c r="C6" s="17" t="s">
        <v>11</v>
      </c>
      <c r="D6" s="11" t="s">
        <v>2</v>
      </c>
      <c r="E6" s="11" t="s">
        <v>2</v>
      </c>
      <c r="F6" s="25" t="s">
        <v>6</v>
      </c>
      <c r="G6" s="25" t="s">
        <v>6</v>
      </c>
      <c r="H6" s="25" t="s">
        <v>6</v>
      </c>
      <c r="I6" s="29" t="s">
        <v>4</v>
      </c>
      <c r="J6" s="29" t="s">
        <v>4</v>
      </c>
      <c r="K6" s="27" t="s">
        <v>34</v>
      </c>
      <c r="L6" s="27" t="s">
        <v>34</v>
      </c>
      <c r="M6" s="27" t="s">
        <v>34</v>
      </c>
      <c r="N6" s="27" t="s">
        <v>34</v>
      </c>
      <c r="O6" s="27" t="s">
        <v>34</v>
      </c>
      <c r="P6" s="29" t="s">
        <v>4</v>
      </c>
      <c r="Q6" s="29" t="s">
        <v>4</v>
      </c>
      <c r="R6" s="40" t="s">
        <v>10</v>
      </c>
      <c r="S6" s="40" t="s">
        <v>10</v>
      </c>
      <c r="T6" s="40" t="s">
        <v>10</v>
      </c>
      <c r="U6" s="12" t="s">
        <v>2</v>
      </c>
      <c r="V6" s="40" t="s">
        <v>10</v>
      </c>
      <c r="W6" s="17" t="s">
        <v>11</v>
      </c>
      <c r="X6" s="17" t="s">
        <v>11</v>
      </c>
      <c r="Y6" s="12" t="s">
        <v>2</v>
      </c>
      <c r="Z6" s="12" t="s">
        <v>2</v>
      </c>
      <c r="AA6" s="25" t="s">
        <v>3</v>
      </c>
      <c r="AB6" s="25" t="s">
        <v>6</v>
      </c>
      <c r="AC6" s="25" t="s">
        <v>6</v>
      </c>
      <c r="AD6" s="29" t="s">
        <v>4</v>
      </c>
      <c r="AE6" s="29" t="s">
        <v>4</v>
      </c>
      <c r="AF6" s="25" t="s">
        <v>6</v>
      </c>
    </row>
    <row r="7" spans="1:32" x14ac:dyDescent="0.35">
      <c r="A7" s="67" t="s">
        <v>13</v>
      </c>
      <c r="B7" s="25" t="s">
        <v>3</v>
      </c>
      <c r="C7" s="29" t="s">
        <v>4</v>
      </c>
      <c r="D7" s="25" t="s">
        <v>6</v>
      </c>
      <c r="E7" s="25" t="s">
        <v>6</v>
      </c>
      <c r="F7" s="11" t="s">
        <v>2</v>
      </c>
      <c r="G7" s="11" t="s">
        <v>2</v>
      </c>
      <c r="H7" s="40" t="s">
        <v>10</v>
      </c>
      <c r="I7" s="17" t="s">
        <v>11</v>
      </c>
      <c r="J7" s="17" t="s">
        <v>11</v>
      </c>
      <c r="K7" s="40" t="s">
        <v>10</v>
      </c>
      <c r="L7" s="11" t="s">
        <v>2</v>
      </c>
      <c r="M7" s="19" t="s">
        <v>41</v>
      </c>
      <c r="N7" s="19" t="s">
        <v>41</v>
      </c>
      <c r="O7" s="19" t="s">
        <v>41</v>
      </c>
      <c r="P7" s="25" t="s">
        <v>3</v>
      </c>
      <c r="Q7" s="25" t="s">
        <v>3</v>
      </c>
      <c r="R7" s="12" t="s">
        <v>2</v>
      </c>
      <c r="S7" s="25" t="s">
        <v>6</v>
      </c>
      <c r="T7" s="19" t="s">
        <v>41</v>
      </c>
      <c r="U7" s="25" t="s">
        <v>6</v>
      </c>
      <c r="V7" s="19" t="s">
        <v>41</v>
      </c>
      <c r="W7" s="25" t="s">
        <v>3</v>
      </c>
      <c r="X7" s="29" t="s">
        <v>4</v>
      </c>
      <c r="Y7" s="25" t="s">
        <v>6</v>
      </c>
      <c r="Z7" s="25" t="s">
        <v>6</v>
      </c>
      <c r="AA7" s="25" t="s">
        <v>3</v>
      </c>
      <c r="AB7" s="40" t="s">
        <v>10</v>
      </c>
      <c r="AC7" s="40" t="s">
        <v>10</v>
      </c>
      <c r="AD7" s="29" t="s">
        <v>4</v>
      </c>
      <c r="AE7" s="29" t="s">
        <v>4</v>
      </c>
      <c r="AF7" s="25" t="s">
        <v>6</v>
      </c>
    </row>
    <row r="8" spans="1:32" x14ac:dyDescent="0.35">
      <c r="A8" s="67" t="s">
        <v>14</v>
      </c>
      <c r="B8" s="68" t="s">
        <v>4</v>
      </c>
      <c r="C8" s="68" t="s">
        <v>4</v>
      </c>
      <c r="D8" s="19" t="s">
        <v>41</v>
      </c>
      <c r="E8" s="40" t="s">
        <v>10</v>
      </c>
      <c r="F8" s="40" t="s">
        <v>10</v>
      </c>
      <c r="G8" s="11" t="s">
        <v>2</v>
      </c>
      <c r="H8" s="11" t="s">
        <v>2</v>
      </c>
      <c r="I8" s="25" t="s">
        <v>3</v>
      </c>
      <c r="J8" s="25" t="s">
        <v>3</v>
      </c>
      <c r="K8" s="25" t="s">
        <v>6</v>
      </c>
      <c r="L8" s="11" t="s">
        <v>2</v>
      </c>
      <c r="M8" s="25" t="s">
        <v>6</v>
      </c>
      <c r="N8" s="25" t="s">
        <v>6</v>
      </c>
      <c r="O8" s="25" t="s">
        <v>6</v>
      </c>
      <c r="P8" s="21" t="s">
        <v>42</v>
      </c>
      <c r="Q8" s="21" t="s">
        <v>42</v>
      </c>
      <c r="R8" s="25" t="s">
        <v>6</v>
      </c>
      <c r="S8" s="55" t="s">
        <v>5</v>
      </c>
      <c r="T8" s="55" t="s">
        <v>5</v>
      </c>
      <c r="U8" s="55" t="s">
        <v>5</v>
      </c>
      <c r="V8" s="55" t="s">
        <v>5</v>
      </c>
      <c r="W8" s="68" t="s">
        <v>4</v>
      </c>
      <c r="X8" s="68" t="s">
        <v>4</v>
      </c>
      <c r="Y8" s="55" t="s">
        <v>5</v>
      </c>
      <c r="Z8" s="19" t="s">
        <v>41</v>
      </c>
      <c r="AA8" s="21" t="s">
        <v>42</v>
      </c>
      <c r="AB8" s="19" t="s">
        <v>41</v>
      </c>
      <c r="AC8" s="19" t="s">
        <v>41</v>
      </c>
      <c r="AD8" s="25" t="s">
        <v>3</v>
      </c>
      <c r="AE8" s="29" t="s">
        <v>4</v>
      </c>
      <c r="AF8" s="19" t="s">
        <v>41</v>
      </c>
    </row>
    <row r="9" spans="1:32" x14ac:dyDescent="0.35">
      <c r="A9" s="67" t="s">
        <v>15</v>
      </c>
      <c r="B9" s="68" t="s">
        <v>4</v>
      </c>
      <c r="C9" s="25" t="s">
        <v>3</v>
      </c>
      <c r="D9" s="40" t="s">
        <v>10</v>
      </c>
      <c r="E9" s="40" t="s">
        <v>10</v>
      </c>
      <c r="F9" s="40" t="s">
        <v>10</v>
      </c>
      <c r="G9" s="40" t="s">
        <v>10</v>
      </c>
      <c r="H9" s="16" t="s">
        <v>8</v>
      </c>
      <c r="I9" s="68" t="s">
        <v>4</v>
      </c>
      <c r="J9" s="68" t="s">
        <v>4</v>
      </c>
      <c r="K9" s="55" t="s">
        <v>5</v>
      </c>
      <c r="L9" s="55" t="s">
        <v>5</v>
      </c>
      <c r="M9" s="55" t="s">
        <v>5</v>
      </c>
      <c r="N9" s="55" t="s">
        <v>5</v>
      </c>
      <c r="O9" s="55" t="s">
        <v>5</v>
      </c>
      <c r="P9" s="68" t="s">
        <v>4</v>
      </c>
      <c r="Q9" s="68" t="s">
        <v>4</v>
      </c>
      <c r="R9" s="40" t="s">
        <v>10</v>
      </c>
      <c r="S9" s="40" t="s">
        <v>10</v>
      </c>
      <c r="T9" s="40" t="s">
        <v>10</v>
      </c>
      <c r="U9" s="40" t="s">
        <v>10</v>
      </c>
      <c r="V9" s="12" t="s">
        <v>2</v>
      </c>
      <c r="W9" s="29" t="s">
        <v>4</v>
      </c>
      <c r="X9" s="25" t="s">
        <v>3</v>
      </c>
      <c r="Y9" s="19" t="s">
        <v>41</v>
      </c>
      <c r="Z9" s="19" t="s">
        <v>41</v>
      </c>
      <c r="AA9" s="13" t="s">
        <v>37</v>
      </c>
      <c r="AB9" s="25" t="s">
        <v>6</v>
      </c>
      <c r="AC9" s="25" t="s">
        <v>6</v>
      </c>
      <c r="AD9" s="21" t="s">
        <v>42</v>
      </c>
      <c r="AE9" s="21" t="s">
        <v>42</v>
      </c>
      <c r="AF9" s="11" t="s">
        <v>2</v>
      </c>
    </row>
    <row r="10" spans="1:32" x14ac:dyDescent="0.35">
      <c r="A10" s="67" t="s">
        <v>18</v>
      </c>
      <c r="B10" s="29" t="s">
        <v>4</v>
      </c>
      <c r="C10" s="25" t="s">
        <v>3</v>
      </c>
      <c r="D10" s="19" t="s">
        <v>41</v>
      </c>
      <c r="E10" s="19" t="s">
        <v>41</v>
      </c>
      <c r="F10" s="19" t="s">
        <v>41</v>
      </c>
      <c r="G10" s="19" t="s">
        <v>41</v>
      </c>
      <c r="H10" s="19" t="s">
        <v>41</v>
      </c>
      <c r="I10" s="68" t="s">
        <v>4</v>
      </c>
      <c r="J10" s="68" t="s">
        <v>4</v>
      </c>
      <c r="K10" s="55" t="s">
        <v>5</v>
      </c>
      <c r="L10" s="55" t="s">
        <v>5</v>
      </c>
      <c r="M10" s="55" t="s">
        <v>5</v>
      </c>
      <c r="N10" s="55" t="s">
        <v>5</v>
      </c>
      <c r="O10" s="13" t="s">
        <v>37</v>
      </c>
      <c r="P10" s="68" t="s">
        <v>4</v>
      </c>
      <c r="Q10" s="68" t="s">
        <v>4</v>
      </c>
      <c r="R10" s="19" t="s">
        <v>41</v>
      </c>
      <c r="S10" s="19" t="s">
        <v>41</v>
      </c>
      <c r="T10" s="27" t="s">
        <v>34</v>
      </c>
      <c r="U10" s="27" t="s">
        <v>34</v>
      </c>
      <c r="V10" s="19" t="s">
        <v>41</v>
      </c>
      <c r="W10" s="29" t="s">
        <v>4</v>
      </c>
      <c r="X10" s="21" t="s">
        <v>42</v>
      </c>
      <c r="Y10" s="12" t="s">
        <v>2</v>
      </c>
      <c r="Z10" s="25" t="s">
        <v>6</v>
      </c>
      <c r="AA10" s="13" t="s">
        <v>37</v>
      </c>
      <c r="AB10" s="19" t="s">
        <v>41</v>
      </c>
      <c r="AC10" s="19" t="s">
        <v>41</v>
      </c>
      <c r="AD10" s="25" t="s">
        <v>3</v>
      </c>
      <c r="AE10" s="29" t="s">
        <v>4</v>
      </c>
      <c r="AF10" s="11" t="s">
        <v>2</v>
      </c>
    </row>
    <row r="11" spans="1:32" ht="14.15" customHeight="1" x14ac:dyDescent="0.35">
      <c r="A11" s="67" t="s">
        <v>21</v>
      </c>
      <c r="B11" s="17" t="s">
        <v>11</v>
      </c>
      <c r="C11" s="17" t="s">
        <v>11</v>
      </c>
      <c r="D11" s="40" t="s">
        <v>10</v>
      </c>
      <c r="E11" s="11" t="s">
        <v>2</v>
      </c>
      <c r="F11" s="11" t="s">
        <v>2</v>
      </c>
      <c r="G11" s="25" t="s">
        <v>6</v>
      </c>
      <c r="H11" s="25" t="s">
        <v>6</v>
      </c>
      <c r="I11" s="25" t="s">
        <v>3</v>
      </c>
      <c r="J11" s="25" t="s">
        <v>3</v>
      </c>
      <c r="K11" s="19" t="s">
        <v>41</v>
      </c>
      <c r="L11" s="19" t="s">
        <v>41</v>
      </c>
      <c r="M11" s="55" t="s">
        <v>5</v>
      </c>
      <c r="N11" s="55" t="s">
        <v>5</v>
      </c>
      <c r="O11" s="55" t="s">
        <v>5</v>
      </c>
      <c r="P11" s="68" t="s">
        <v>4</v>
      </c>
      <c r="Q11" s="68" t="s">
        <v>4</v>
      </c>
      <c r="R11" s="19" t="s">
        <v>41</v>
      </c>
      <c r="S11" s="19" t="s">
        <v>41</v>
      </c>
      <c r="T11" s="11" t="s">
        <v>2</v>
      </c>
      <c r="U11" s="40" t="s">
        <v>10</v>
      </c>
      <c r="V11" s="40" t="s">
        <v>10</v>
      </c>
      <c r="W11" s="17" t="s">
        <v>11</v>
      </c>
      <c r="X11" s="29" t="s">
        <v>4</v>
      </c>
      <c r="Y11" s="25" t="s">
        <v>6</v>
      </c>
      <c r="Z11" s="25" t="s">
        <v>6</v>
      </c>
      <c r="AA11" s="13" t="s">
        <v>37</v>
      </c>
      <c r="AB11" s="12" t="s">
        <v>2</v>
      </c>
      <c r="AC11" s="17" t="s">
        <v>10</v>
      </c>
      <c r="AD11" s="17" t="s">
        <v>11</v>
      </c>
      <c r="AE11" s="17" t="s">
        <v>11</v>
      </c>
      <c r="AF11" s="17" t="s">
        <v>10</v>
      </c>
    </row>
    <row r="12" spans="1:32" x14ac:dyDescent="0.35">
      <c r="A12" s="67" t="s">
        <v>43</v>
      </c>
      <c r="B12" s="21" t="s">
        <v>42</v>
      </c>
      <c r="C12" s="29" t="s">
        <v>4</v>
      </c>
      <c r="D12" s="25" t="s">
        <v>6</v>
      </c>
      <c r="E12" s="25" t="s">
        <v>6</v>
      </c>
      <c r="F12" s="23" t="s">
        <v>17</v>
      </c>
      <c r="G12" s="19" t="s">
        <v>41</v>
      </c>
      <c r="H12" s="19" t="s">
        <v>41</v>
      </c>
      <c r="I12" s="29" t="s">
        <v>4</v>
      </c>
      <c r="J12" s="29" t="s">
        <v>4</v>
      </c>
      <c r="K12" s="17" t="s">
        <v>10</v>
      </c>
      <c r="L12" s="17" t="s">
        <v>10</v>
      </c>
      <c r="M12" s="17" t="s">
        <v>10</v>
      </c>
      <c r="N12" s="17" t="s">
        <v>10</v>
      </c>
      <c r="O12" s="17" t="s">
        <v>10</v>
      </c>
      <c r="P12" s="29" t="s">
        <v>4</v>
      </c>
      <c r="Q12" s="21" t="s">
        <v>42</v>
      </c>
      <c r="R12" s="25" t="s">
        <v>6</v>
      </c>
      <c r="S12" s="25" t="s">
        <v>6</v>
      </c>
      <c r="T12" s="25" t="s">
        <v>6</v>
      </c>
      <c r="U12" s="25" t="s">
        <v>6</v>
      </c>
      <c r="V12" s="11" t="s">
        <v>2</v>
      </c>
      <c r="W12" s="21" t="s">
        <v>42</v>
      </c>
      <c r="X12" s="21" t="s">
        <v>42</v>
      </c>
      <c r="Y12" s="40" t="s">
        <v>10</v>
      </c>
      <c r="Z12" s="40" t="s">
        <v>10</v>
      </c>
      <c r="AA12" s="17" t="s">
        <v>11</v>
      </c>
      <c r="AB12" s="40" t="s">
        <v>10</v>
      </c>
      <c r="AC12" s="12" t="s">
        <v>2</v>
      </c>
      <c r="AD12" s="29" t="s">
        <v>4</v>
      </c>
      <c r="AE12" s="21" t="s">
        <v>42</v>
      </c>
      <c r="AF12" s="19" t="s">
        <v>41</v>
      </c>
    </row>
    <row r="13" spans="1:32" ht="15" thickBot="1" x14ac:dyDescent="0.4">
      <c r="A13" s="67" t="s">
        <v>45</v>
      </c>
      <c r="B13" s="29" t="s">
        <v>4</v>
      </c>
      <c r="C13" s="29" t="s">
        <v>4</v>
      </c>
      <c r="D13" s="23" t="s">
        <v>17</v>
      </c>
      <c r="E13" s="25" t="s">
        <v>6</v>
      </c>
      <c r="F13" s="25" t="s">
        <v>6</v>
      </c>
      <c r="G13" s="25" t="s">
        <v>6</v>
      </c>
      <c r="H13" s="25" t="s">
        <v>6</v>
      </c>
      <c r="I13" s="29" t="s">
        <v>4</v>
      </c>
      <c r="J13" s="29" t="s">
        <v>4</v>
      </c>
      <c r="K13" s="25" t="s">
        <v>6</v>
      </c>
      <c r="L13" s="25" t="s">
        <v>6</v>
      </c>
      <c r="M13" s="25" t="s">
        <v>6</v>
      </c>
      <c r="N13" s="11" t="s">
        <v>2</v>
      </c>
      <c r="O13" s="11" t="s">
        <v>2</v>
      </c>
      <c r="P13" s="17" t="s">
        <v>11</v>
      </c>
      <c r="Q13" s="17" t="s">
        <v>11</v>
      </c>
      <c r="R13" s="11" t="s">
        <v>2</v>
      </c>
      <c r="S13" s="19" t="s">
        <v>41</v>
      </c>
      <c r="T13" s="19" t="s">
        <v>41</v>
      </c>
      <c r="U13" s="19" t="s">
        <v>41</v>
      </c>
      <c r="V13" s="25" t="s">
        <v>6</v>
      </c>
      <c r="W13" s="66" t="s">
        <v>30</v>
      </c>
      <c r="X13" s="29" t="s">
        <v>4</v>
      </c>
      <c r="Y13" s="25" t="s">
        <v>6</v>
      </c>
      <c r="Z13" s="25" t="s">
        <v>6</v>
      </c>
      <c r="AA13" s="28" t="s">
        <v>37</v>
      </c>
      <c r="AB13" s="19" t="s">
        <v>41</v>
      </c>
      <c r="AC13" s="19" t="s">
        <v>41</v>
      </c>
      <c r="AD13" s="66" t="s">
        <v>30</v>
      </c>
      <c r="AE13" s="29" t="s">
        <v>4</v>
      </c>
      <c r="AF13" s="11" t="s">
        <v>2</v>
      </c>
    </row>
    <row r="14" spans="1:32" x14ac:dyDescent="0.35">
      <c r="A14" s="67" t="s">
        <v>22</v>
      </c>
      <c r="B14" s="29" t="s">
        <v>4</v>
      </c>
      <c r="C14" s="19" t="s">
        <v>42</v>
      </c>
      <c r="D14" s="11" t="s">
        <v>2</v>
      </c>
      <c r="E14" s="23" t="s">
        <v>17</v>
      </c>
      <c r="F14" s="25" t="s">
        <v>6</v>
      </c>
      <c r="G14" s="11" t="s">
        <v>2</v>
      </c>
      <c r="H14" s="19" t="s">
        <v>41</v>
      </c>
      <c r="I14" s="19" t="s">
        <v>42</v>
      </c>
      <c r="J14" s="19" t="s">
        <v>42</v>
      </c>
      <c r="K14" s="19" t="s">
        <v>41</v>
      </c>
      <c r="L14" s="19" t="s">
        <v>41</v>
      </c>
      <c r="M14" s="11" t="s">
        <v>2</v>
      </c>
      <c r="N14" s="25" t="s">
        <v>6</v>
      </c>
      <c r="O14" s="25" t="s">
        <v>6</v>
      </c>
      <c r="P14" s="25" t="s">
        <v>3</v>
      </c>
      <c r="Q14" s="25" t="s">
        <v>3</v>
      </c>
      <c r="R14" s="23" t="s">
        <v>17</v>
      </c>
      <c r="S14" s="12" t="s">
        <v>2</v>
      </c>
      <c r="T14" s="12" t="s">
        <v>2</v>
      </c>
      <c r="U14" s="25" t="s">
        <v>6</v>
      </c>
      <c r="V14" s="25" t="s">
        <v>6</v>
      </c>
      <c r="W14" s="29" t="s">
        <v>4</v>
      </c>
      <c r="X14" s="29" t="s">
        <v>4</v>
      </c>
      <c r="Y14" s="19" t="s">
        <v>41</v>
      </c>
      <c r="Z14" s="19" t="s">
        <v>41</v>
      </c>
      <c r="AA14" s="13" t="s">
        <v>37</v>
      </c>
      <c r="AB14" s="25" t="s">
        <v>6</v>
      </c>
      <c r="AC14" s="25" t="s">
        <v>6</v>
      </c>
      <c r="AD14" s="29" t="s">
        <v>4</v>
      </c>
      <c r="AE14" s="25" t="s">
        <v>3</v>
      </c>
      <c r="AF14" s="25" t="s">
        <v>6</v>
      </c>
    </row>
    <row r="15" spans="1:32" ht="15" thickBot="1" x14ac:dyDescent="0.4">
      <c r="A15" s="67" t="s">
        <v>19</v>
      </c>
      <c r="B15" s="29" t="s">
        <v>4</v>
      </c>
      <c r="C15" s="29" t="s">
        <v>4</v>
      </c>
      <c r="D15" s="25" t="s">
        <v>6</v>
      </c>
      <c r="E15" s="55" t="s">
        <v>5</v>
      </c>
      <c r="F15" s="55" t="s">
        <v>5</v>
      </c>
      <c r="G15" s="25" t="s">
        <v>6</v>
      </c>
      <c r="H15" s="25" t="s">
        <v>6</v>
      </c>
      <c r="I15" s="66" t="s">
        <v>30</v>
      </c>
      <c r="J15" s="29" t="s">
        <v>4</v>
      </c>
      <c r="K15" s="25" t="s">
        <v>6</v>
      </c>
      <c r="L15" s="25" t="s">
        <v>6</v>
      </c>
      <c r="M15" s="25" t="s">
        <v>6</v>
      </c>
      <c r="N15" s="25" t="s">
        <v>6</v>
      </c>
      <c r="O15" s="25" t="s">
        <v>6</v>
      </c>
      <c r="P15" s="29" t="s">
        <v>4</v>
      </c>
      <c r="Q15" s="29" t="s">
        <v>4</v>
      </c>
      <c r="R15" s="25" t="s">
        <v>6</v>
      </c>
      <c r="S15" s="25" t="s">
        <v>6</v>
      </c>
      <c r="T15" s="25" t="s">
        <v>6</v>
      </c>
      <c r="U15" s="27" t="s">
        <v>34</v>
      </c>
      <c r="V15" s="12" t="s">
        <v>2</v>
      </c>
      <c r="W15" s="25" t="s">
        <v>3</v>
      </c>
      <c r="X15" s="25" t="s">
        <v>3</v>
      </c>
      <c r="Y15" s="25" t="s">
        <v>6</v>
      </c>
      <c r="Z15" s="12" t="s">
        <v>2</v>
      </c>
      <c r="AA15" s="28" t="s">
        <v>37</v>
      </c>
      <c r="AB15" s="25" t="s">
        <v>6</v>
      </c>
      <c r="AC15" s="25" t="s">
        <v>6</v>
      </c>
      <c r="AD15" s="29" t="s">
        <v>4</v>
      </c>
      <c r="AE15" s="29" t="s">
        <v>4</v>
      </c>
      <c r="AF15" s="19" t="s">
        <v>41</v>
      </c>
    </row>
    <row r="16" spans="1:32" ht="15" thickBot="1" x14ac:dyDescent="0.4">
      <c r="A16" s="67" t="s">
        <v>44</v>
      </c>
      <c r="B16" s="29" t="s">
        <v>4</v>
      </c>
      <c r="C16" s="29" t="s">
        <v>4</v>
      </c>
      <c r="D16" s="19" t="s">
        <v>41</v>
      </c>
      <c r="E16" s="19" t="s">
        <v>41</v>
      </c>
      <c r="F16" s="19" t="s">
        <v>41</v>
      </c>
      <c r="G16" s="19" t="s">
        <v>41</v>
      </c>
      <c r="H16" s="19" t="s">
        <v>41</v>
      </c>
      <c r="I16" s="29" t="s">
        <v>4</v>
      </c>
      <c r="J16" s="29" t="s">
        <v>4</v>
      </c>
      <c r="K16" s="19" t="s">
        <v>41</v>
      </c>
      <c r="L16" s="19" t="s">
        <v>41</v>
      </c>
      <c r="M16" s="19" t="s">
        <v>41</v>
      </c>
      <c r="N16" s="19" t="s">
        <v>41</v>
      </c>
      <c r="O16" s="19" t="s">
        <v>41</v>
      </c>
      <c r="P16" s="66" t="s">
        <v>30</v>
      </c>
      <c r="Q16" s="29" t="s">
        <v>4</v>
      </c>
      <c r="R16" s="19" t="s">
        <v>41</v>
      </c>
      <c r="S16" s="23" t="s">
        <v>17</v>
      </c>
      <c r="T16" s="19" t="s">
        <v>41</v>
      </c>
      <c r="U16" s="19" t="s">
        <v>41</v>
      </c>
      <c r="V16" s="19" t="s">
        <v>41</v>
      </c>
      <c r="W16" s="29" t="s">
        <v>4</v>
      </c>
      <c r="X16" s="29" t="s">
        <v>4</v>
      </c>
      <c r="Y16" s="19" t="s">
        <v>41</v>
      </c>
      <c r="Z16" s="19" t="s">
        <v>41</v>
      </c>
      <c r="AA16" s="66" t="s">
        <v>30</v>
      </c>
      <c r="AB16" s="19" t="s">
        <v>41</v>
      </c>
      <c r="AC16" s="19" t="s">
        <v>41</v>
      </c>
      <c r="AD16" s="29" t="s">
        <v>4</v>
      </c>
      <c r="AE16" s="29" t="s">
        <v>4</v>
      </c>
      <c r="AF16" s="19" t="s">
        <v>41</v>
      </c>
    </row>
    <row r="17" spans="1:32" x14ac:dyDescent="0.35">
      <c r="A17" s="69" t="s">
        <v>81</v>
      </c>
      <c r="B17" s="29" t="s">
        <v>4</v>
      </c>
      <c r="C17" s="29" t="s">
        <v>4</v>
      </c>
      <c r="D17" s="22" t="s">
        <v>16</v>
      </c>
      <c r="E17" s="22" t="s">
        <v>16</v>
      </c>
      <c r="F17" s="22" t="s">
        <v>16</v>
      </c>
      <c r="G17" s="22" t="s">
        <v>16</v>
      </c>
      <c r="H17" s="22" t="s">
        <v>16</v>
      </c>
      <c r="I17" s="29" t="s">
        <v>4</v>
      </c>
      <c r="J17" s="29" t="s">
        <v>4</v>
      </c>
      <c r="K17" s="22" t="s">
        <v>16</v>
      </c>
      <c r="L17" s="22" t="s">
        <v>16</v>
      </c>
      <c r="M17" s="22" t="s">
        <v>16</v>
      </c>
      <c r="N17" s="22" t="s">
        <v>16</v>
      </c>
      <c r="O17" s="22" t="s">
        <v>16</v>
      </c>
      <c r="P17" s="29" t="s">
        <v>4</v>
      </c>
      <c r="Q17" s="29" t="s">
        <v>4</v>
      </c>
      <c r="R17" s="22" t="s">
        <v>16</v>
      </c>
      <c r="S17" s="22" t="s">
        <v>16</v>
      </c>
      <c r="T17" s="22" t="s">
        <v>16</v>
      </c>
      <c r="U17" s="22" t="s">
        <v>16</v>
      </c>
      <c r="V17" s="22" t="s">
        <v>16</v>
      </c>
      <c r="W17" s="29" t="s">
        <v>4</v>
      </c>
      <c r="X17" s="29" t="s">
        <v>4</v>
      </c>
      <c r="Y17" s="22" t="s">
        <v>16</v>
      </c>
      <c r="Z17" s="22" t="s">
        <v>16</v>
      </c>
      <c r="AA17" s="28" t="s">
        <v>37</v>
      </c>
      <c r="AB17" s="22" t="s">
        <v>16</v>
      </c>
      <c r="AC17" s="22" t="s">
        <v>16</v>
      </c>
      <c r="AD17" s="29" t="s">
        <v>4</v>
      </c>
      <c r="AE17" s="29" t="s">
        <v>4</v>
      </c>
      <c r="AF17" s="22" t="s">
        <v>16</v>
      </c>
    </row>
    <row r="19" spans="1:32" x14ac:dyDescent="0.35">
      <c r="A19" s="24" t="s">
        <v>23</v>
      </c>
    </row>
    <row r="20" spans="1:32" x14ac:dyDescent="0.35">
      <c r="A20" s="1" t="s">
        <v>24</v>
      </c>
      <c r="B20" s="22" t="s">
        <v>16</v>
      </c>
      <c r="D20" s="22" t="s">
        <v>16</v>
      </c>
    </row>
    <row r="21" spans="1:32" x14ac:dyDescent="0.35">
      <c r="A21" s="1" t="s">
        <v>25</v>
      </c>
      <c r="B21" s="25" t="s">
        <v>6</v>
      </c>
      <c r="D21" s="25" t="s">
        <v>6</v>
      </c>
    </row>
    <row r="22" spans="1:32" x14ac:dyDescent="0.35">
      <c r="A22" s="1" t="s">
        <v>47</v>
      </c>
      <c r="B22" s="19" t="s">
        <v>41</v>
      </c>
      <c r="D22" s="19" t="s">
        <v>41</v>
      </c>
    </row>
    <row r="23" spans="1:32" x14ac:dyDescent="0.35">
      <c r="A23" s="1" t="s">
        <v>48</v>
      </c>
      <c r="B23" s="10" t="s">
        <v>39</v>
      </c>
      <c r="D23" s="10" t="s">
        <v>39</v>
      </c>
    </row>
    <row r="24" spans="1:32" x14ac:dyDescent="0.35">
      <c r="A24" s="26" t="s">
        <v>26</v>
      </c>
      <c r="B24" s="16" t="s">
        <v>8</v>
      </c>
      <c r="D24" s="16" t="s">
        <v>8</v>
      </c>
    </row>
    <row r="25" spans="1:32" x14ac:dyDescent="0.35">
      <c r="A25" s="26" t="s">
        <v>27</v>
      </c>
      <c r="B25" s="17" t="s">
        <v>10</v>
      </c>
      <c r="D25" s="17" t="s">
        <v>10</v>
      </c>
    </row>
    <row r="26" spans="1:32" x14ac:dyDescent="0.35">
      <c r="A26" s="26" t="s">
        <v>28</v>
      </c>
      <c r="B26" s="14" t="s">
        <v>3</v>
      </c>
      <c r="D26" s="14" t="s">
        <v>3</v>
      </c>
    </row>
    <row r="27" spans="1:32" x14ac:dyDescent="0.35">
      <c r="A27" s="26" t="s">
        <v>29</v>
      </c>
      <c r="B27" s="22" t="s">
        <v>30</v>
      </c>
      <c r="D27" s="22" t="s">
        <v>30</v>
      </c>
    </row>
    <row r="28" spans="1:32" x14ac:dyDescent="0.35">
      <c r="A28" s="26" t="s">
        <v>49</v>
      </c>
      <c r="B28" s="19" t="s">
        <v>42</v>
      </c>
      <c r="D28" s="19" t="s">
        <v>42</v>
      </c>
    </row>
    <row r="29" spans="1:32" x14ac:dyDescent="0.35">
      <c r="A29" s="26" t="s">
        <v>50</v>
      </c>
      <c r="B29" s="10" t="s">
        <v>40</v>
      </c>
      <c r="D29" s="10" t="s">
        <v>40</v>
      </c>
    </row>
    <row r="30" spans="1:32" x14ac:dyDescent="0.35">
      <c r="A30" s="26" t="s">
        <v>31</v>
      </c>
      <c r="B30" s="17" t="s">
        <v>11</v>
      </c>
      <c r="D30" s="17" t="s">
        <v>11</v>
      </c>
    </row>
    <row r="31" spans="1:32" x14ac:dyDescent="0.35">
      <c r="A31" s="26" t="s">
        <v>32</v>
      </c>
      <c r="B31" s="13" t="s">
        <v>5</v>
      </c>
      <c r="D31" s="13" t="s">
        <v>5</v>
      </c>
    </row>
    <row r="32" spans="1:32" x14ac:dyDescent="0.35">
      <c r="A32" s="26" t="s">
        <v>33</v>
      </c>
      <c r="B32" s="27" t="s">
        <v>34</v>
      </c>
      <c r="D32" s="27" t="s">
        <v>34</v>
      </c>
    </row>
    <row r="33" spans="1:4" x14ac:dyDescent="0.35">
      <c r="A33" s="26" t="s">
        <v>35</v>
      </c>
      <c r="B33" s="12" t="s">
        <v>2</v>
      </c>
      <c r="D33" s="12" t="s">
        <v>2</v>
      </c>
    </row>
    <row r="34" spans="1:4" x14ac:dyDescent="0.35">
      <c r="A34" s="26" t="s">
        <v>36</v>
      </c>
      <c r="B34" s="28" t="s">
        <v>37</v>
      </c>
      <c r="D34" s="28" t="s">
        <v>37</v>
      </c>
    </row>
    <row r="35" spans="1:4" x14ac:dyDescent="0.35">
      <c r="A35" s="26" t="s">
        <v>38</v>
      </c>
      <c r="B35" s="29" t="s">
        <v>4</v>
      </c>
      <c r="D35" s="29" t="s">
        <v>4</v>
      </c>
    </row>
    <row r="36" spans="1:4" x14ac:dyDescent="0.35">
      <c r="A36" s="26" t="s">
        <v>36</v>
      </c>
      <c r="B36" s="28" t="s">
        <v>37</v>
      </c>
      <c r="D36" s="28" t="s">
        <v>37</v>
      </c>
    </row>
    <row r="37" spans="1:4" x14ac:dyDescent="0.35">
      <c r="A37" s="26" t="s">
        <v>38</v>
      </c>
      <c r="B37" s="29" t="s">
        <v>4</v>
      </c>
      <c r="D37" s="29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9"/>
  <sheetViews>
    <sheetView zoomScale="80" zoomScaleNormal="80" workbookViewId="0">
      <pane xSplit="1" topLeftCell="C1" activePane="topRight" state="frozen"/>
      <selection pane="topRight" activeCell="D10" sqref="D10"/>
    </sheetView>
  </sheetViews>
  <sheetFormatPr defaultColWidth="9.1796875" defaultRowHeight="14.5" x14ac:dyDescent="0.35"/>
  <cols>
    <col min="1" max="1" width="26.1796875" style="45" bestFit="1" customWidth="1"/>
    <col min="2" max="2" width="6.453125" style="45" hidden="1" customWidth="1"/>
    <col min="3" max="3" width="7.1796875" style="45" customWidth="1"/>
    <col min="4" max="6" width="6.81640625" style="45" customWidth="1"/>
    <col min="7" max="8" width="7.1796875" style="45" customWidth="1"/>
    <col min="9" max="13" width="6.81640625" style="45" customWidth="1"/>
    <col min="14" max="15" width="7.1796875" style="45" customWidth="1"/>
    <col min="16" max="17" width="9.26953125" style="45" customWidth="1"/>
    <col min="18" max="19" width="7.26953125" style="45" customWidth="1"/>
    <col min="20" max="20" width="7.54296875" style="45" customWidth="1"/>
    <col min="21" max="21" width="7.26953125" style="45" customWidth="1"/>
    <col min="22" max="22" width="7.54296875" style="45" customWidth="1"/>
    <col min="23" max="24" width="9.26953125" style="45" customWidth="1"/>
    <col min="25" max="25" width="7.54296875" style="45" customWidth="1"/>
    <col min="26" max="26" width="9.26953125" style="45" customWidth="1"/>
    <col min="27" max="29" width="7.54296875" style="45" customWidth="1"/>
    <col min="30" max="30" width="9.26953125" style="45" customWidth="1"/>
    <col min="31" max="34" width="9.1796875" style="45" customWidth="1"/>
    <col min="35" max="16384" width="9.1796875" style="45"/>
  </cols>
  <sheetData>
    <row r="1" spans="1:30" ht="15" customHeight="1" x14ac:dyDescent="0.35">
      <c r="A1" s="30"/>
      <c r="B1" s="3" t="str">
        <f t="shared" ref="B1" si="0">TEXT(B2,"ddd")</f>
        <v>Mon</v>
      </c>
      <c r="C1" s="4" t="str">
        <f t="shared" ref="C1:AD1" si="1">TEXT(C2,"ddd")</f>
        <v>Tue</v>
      </c>
      <c r="D1" s="5" t="str">
        <f t="shared" si="1"/>
        <v>Wed</v>
      </c>
      <c r="E1" s="3" t="str">
        <f t="shared" si="1"/>
        <v>Thu</v>
      </c>
      <c r="F1" s="4" t="str">
        <f t="shared" si="1"/>
        <v>Fri</v>
      </c>
      <c r="G1" s="5" t="str">
        <f t="shared" si="1"/>
        <v>Sat</v>
      </c>
      <c r="H1" s="6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3" t="str">
        <f t="shared" si="1"/>
        <v>Thu</v>
      </c>
      <c r="M1" s="4" t="str">
        <f t="shared" si="1"/>
        <v>Fri</v>
      </c>
      <c r="N1" s="5" t="str">
        <f t="shared" si="1"/>
        <v>Sat</v>
      </c>
      <c r="O1" s="6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3" t="str">
        <f t="shared" si="1"/>
        <v>Thu</v>
      </c>
      <c r="T1" s="4" t="str">
        <f t="shared" si="1"/>
        <v>Fri</v>
      </c>
      <c r="U1" s="5" t="str">
        <f t="shared" si="1"/>
        <v>Sat</v>
      </c>
      <c r="V1" s="6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3" t="str">
        <f t="shared" si="1"/>
        <v>Thu</v>
      </c>
      <c r="AA1" s="4" t="str">
        <f t="shared" si="1"/>
        <v>Fri</v>
      </c>
      <c r="AB1" s="5" t="str">
        <f t="shared" si="1"/>
        <v>Sat</v>
      </c>
      <c r="AC1" s="6" t="str">
        <f t="shared" si="1"/>
        <v>Sun</v>
      </c>
      <c r="AD1" s="2" t="str">
        <f t="shared" si="1"/>
        <v>Mon</v>
      </c>
    </row>
    <row r="2" spans="1:30" x14ac:dyDescent="0.35">
      <c r="A2" s="7" t="s">
        <v>0</v>
      </c>
      <c r="B2" s="59">
        <v>44592</v>
      </c>
      <c r="C2" s="58">
        <v>44593</v>
      </c>
      <c r="D2" s="58">
        <v>44594</v>
      </c>
      <c r="E2" s="58">
        <v>44595</v>
      </c>
      <c r="F2" s="58">
        <v>44596</v>
      </c>
      <c r="G2" s="58">
        <v>44597</v>
      </c>
      <c r="H2" s="58">
        <v>44598</v>
      </c>
      <c r="I2" s="58">
        <v>44599</v>
      </c>
      <c r="J2" s="58">
        <v>44600</v>
      </c>
      <c r="K2" s="58">
        <v>44601</v>
      </c>
      <c r="L2" s="58">
        <v>44602</v>
      </c>
      <c r="M2" s="58">
        <v>44603</v>
      </c>
      <c r="N2" s="58">
        <v>44604</v>
      </c>
      <c r="O2" s="58">
        <v>44605</v>
      </c>
      <c r="P2" s="58">
        <v>44606</v>
      </c>
      <c r="Q2" s="58">
        <v>44607</v>
      </c>
      <c r="R2" s="58">
        <v>44608</v>
      </c>
      <c r="S2" s="58">
        <v>44609</v>
      </c>
      <c r="T2" s="58">
        <v>44610</v>
      </c>
      <c r="U2" s="58">
        <v>44611</v>
      </c>
      <c r="V2" s="58">
        <v>44612</v>
      </c>
      <c r="W2" s="58">
        <v>44613</v>
      </c>
      <c r="X2" s="58">
        <v>44614</v>
      </c>
      <c r="Y2" s="58">
        <v>44615</v>
      </c>
      <c r="Z2" s="58">
        <v>44616</v>
      </c>
      <c r="AA2" s="58">
        <v>44617</v>
      </c>
      <c r="AB2" s="58">
        <v>44618</v>
      </c>
      <c r="AC2" s="58">
        <v>44619</v>
      </c>
      <c r="AD2" s="58">
        <v>44620</v>
      </c>
    </row>
    <row r="3" spans="1:30" x14ac:dyDescent="0.35">
      <c r="A3" s="8"/>
      <c r="B3" s="33"/>
      <c r="C3" s="34"/>
      <c r="D3" s="35"/>
      <c r="E3" s="33"/>
      <c r="F3" s="34"/>
      <c r="G3" s="35"/>
      <c r="H3" s="36"/>
      <c r="I3" s="32"/>
      <c r="J3" s="32"/>
      <c r="K3" s="32"/>
      <c r="L3" s="33"/>
      <c r="M3" s="34"/>
      <c r="N3" s="35"/>
      <c r="O3" s="36"/>
      <c r="P3" s="32"/>
      <c r="Q3" s="32"/>
      <c r="R3" s="32"/>
      <c r="S3" s="33"/>
      <c r="T3" s="34"/>
      <c r="U3" s="35"/>
      <c r="V3" s="36"/>
      <c r="W3" s="32"/>
      <c r="X3" s="32"/>
      <c r="Y3" s="32"/>
      <c r="Z3" s="33"/>
      <c r="AA3" s="34"/>
      <c r="AB3" s="35"/>
      <c r="AC3" s="36"/>
      <c r="AD3" s="32"/>
    </row>
    <row r="4" spans="1:30" x14ac:dyDescent="0.35">
      <c r="A4" s="9" t="s">
        <v>1</v>
      </c>
      <c r="B4" s="11" t="s">
        <v>2</v>
      </c>
      <c r="C4" s="13" t="s">
        <v>5</v>
      </c>
      <c r="D4" s="13" t="s">
        <v>5</v>
      </c>
      <c r="E4" s="13" t="s">
        <v>5</v>
      </c>
      <c r="F4" s="13" t="s">
        <v>5</v>
      </c>
      <c r="G4" s="29" t="s">
        <v>4</v>
      </c>
      <c r="H4" s="29" t="s">
        <v>4</v>
      </c>
      <c r="I4" s="10" t="s">
        <v>39</v>
      </c>
      <c r="J4" s="16" t="s">
        <v>8</v>
      </c>
      <c r="K4" s="16" t="s">
        <v>8</v>
      </c>
      <c r="L4" s="16" t="s">
        <v>8</v>
      </c>
      <c r="M4" s="12" t="s">
        <v>2</v>
      </c>
      <c r="N4" s="60" t="s">
        <v>40</v>
      </c>
      <c r="O4" s="25" t="s">
        <v>3</v>
      </c>
      <c r="P4" s="10" t="s">
        <v>39</v>
      </c>
      <c r="Q4" s="10" t="s">
        <v>39</v>
      </c>
      <c r="R4" s="16" t="s">
        <v>8</v>
      </c>
      <c r="S4" s="16" t="s">
        <v>8</v>
      </c>
      <c r="T4" s="12" t="s">
        <v>2</v>
      </c>
      <c r="U4" s="60" t="s">
        <v>40</v>
      </c>
      <c r="V4" s="60" t="s">
        <v>40</v>
      </c>
      <c r="W4" s="25" t="s">
        <v>6</v>
      </c>
      <c r="X4" s="12" t="s">
        <v>2</v>
      </c>
      <c r="Y4" s="19" t="s">
        <v>41</v>
      </c>
      <c r="Z4" s="19" t="s">
        <v>41</v>
      </c>
      <c r="AA4" s="12" t="s">
        <v>2</v>
      </c>
      <c r="AB4" s="60" t="s">
        <v>40</v>
      </c>
      <c r="AC4" s="60" t="s">
        <v>40</v>
      </c>
      <c r="AD4" s="12" t="s">
        <v>2</v>
      </c>
    </row>
    <row r="5" spans="1:30" x14ac:dyDescent="0.35">
      <c r="A5" s="9" t="s">
        <v>9</v>
      </c>
      <c r="B5" s="17" t="s">
        <v>10</v>
      </c>
      <c r="C5" s="17" t="s">
        <v>10</v>
      </c>
      <c r="D5" s="11" t="s">
        <v>2</v>
      </c>
      <c r="E5" s="25" t="s">
        <v>6</v>
      </c>
      <c r="F5" s="25" t="s">
        <v>6</v>
      </c>
      <c r="G5" s="17" t="s">
        <v>11</v>
      </c>
      <c r="H5" s="17" t="s">
        <v>11</v>
      </c>
      <c r="I5" s="17" t="s">
        <v>10</v>
      </c>
      <c r="J5" s="12" t="s">
        <v>2</v>
      </c>
      <c r="K5" s="25" t="s">
        <v>6</v>
      </c>
      <c r="L5" s="25" t="s">
        <v>6</v>
      </c>
      <c r="M5" s="25" t="s">
        <v>6</v>
      </c>
      <c r="N5" s="68" t="s">
        <v>4</v>
      </c>
      <c r="O5" s="17" t="s">
        <v>11</v>
      </c>
      <c r="P5" s="17" t="s">
        <v>10</v>
      </c>
      <c r="Q5" s="17" t="s">
        <v>10</v>
      </c>
      <c r="R5" s="13" t="s">
        <v>5</v>
      </c>
      <c r="S5" s="13" t="s">
        <v>5</v>
      </c>
      <c r="T5" s="13" t="s">
        <v>5</v>
      </c>
      <c r="U5" s="68" t="s">
        <v>4</v>
      </c>
      <c r="V5" s="68" t="s">
        <v>4</v>
      </c>
      <c r="W5" s="13" t="s">
        <v>5</v>
      </c>
      <c r="X5" s="17" t="s">
        <v>10</v>
      </c>
      <c r="Y5" s="17" t="s">
        <v>10</v>
      </c>
      <c r="Z5" s="17" t="s">
        <v>10</v>
      </c>
      <c r="AA5" s="17" t="s">
        <v>10</v>
      </c>
      <c r="AB5" s="68" t="s">
        <v>4</v>
      </c>
      <c r="AC5" s="17" t="s">
        <v>11</v>
      </c>
      <c r="AD5" s="17" t="s">
        <v>10</v>
      </c>
    </row>
    <row r="6" spans="1:30" x14ac:dyDescent="0.35">
      <c r="A6" s="9" t="s">
        <v>12</v>
      </c>
      <c r="B6" s="25" t="s">
        <v>6</v>
      </c>
      <c r="C6" s="25" t="s">
        <v>6</v>
      </c>
      <c r="D6" s="19" t="s">
        <v>41</v>
      </c>
      <c r="E6" s="13" t="s">
        <v>5</v>
      </c>
      <c r="F6" s="13" t="s">
        <v>5</v>
      </c>
      <c r="G6" s="29" t="s">
        <v>4</v>
      </c>
      <c r="H6" s="29" t="s">
        <v>4</v>
      </c>
      <c r="I6" s="13" t="s">
        <v>5</v>
      </c>
      <c r="J6" s="13" t="s">
        <v>5</v>
      </c>
      <c r="K6" s="13" t="s">
        <v>5</v>
      </c>
      <c r="L6" s="17" t="s">
        <v>10</v>
      </c>
      <c r="M6" s="17" t="s">
        <v>10</v>
      </c>
      <c r="N6" s="17" t="s">
        <v>11</v>
      </c>
      <c r="O6" s="17" t="s">
        <v>11</v>
      </c>
      <c r="P6" s="12" t="s">
        <v>2</v>
      </c>
      <c r="Q6" s="12" t="s">
        <v>2</v>
      </c>
      <c r="R6" s="25" t="s">
        <v>6</v>
      </c>
      <c r="S6" s="25" t="s">
        <v>6</v>
      </c>
      <c r="T6" s="25" t="s">
        <v>6</v>
      </c>
      <c r="U6" s="25" t="s">
        <v>3</v>
      </c>
      <c r="V6" s="25" t="s">
        <v>3</v>
      </c>
      <c r="W6" s="12" t="s">
        <v>2</v>
      </c>
      <c r="X6" s="25" t="s">
        <v>6</v>
      </c>
      <c r="Y6" s="25" t="s">
        <v>6</v>
      </c>
      <c r="Z6" s="25" t="s">
        <v>6</v>
      </c>
      <c r="AA6" s="25" t="s">
        <v>6</v>
      </c>
      <c r="AB6" s="17" t="s">
        <v>11</v>
      </c>
      <c r="AC6" s="29" t="s">
        <v>4</v>
      </c>
      <c r="AD6" s="25" t="s">
        <v>6</v>
      </c>
    </row>
    <row r="7" spans="1:30" x14ac:dyDescent="0.35">
      <c r="A7" s="9" t="s">
        <v>13</v>
      </c>
      <c r="B7" s="25" t="s">
        <v>6</v>
      </c>
      <c r="C7" s="25" t="s">
        <v>6</v>
      </c>
      <c r="D7" s="17" t="s">
        <v>10</v>
      </c>
      <c r="E7" s="17" t="s">
        <v>10</v>
      </c>
      <c r="F7" s="17" t="s">
        <v>10</v>
      </c>
      <c r="G7" s="29" t="s">
        <v>4</v>
      </c>
      <c r="H7" s="29" t="s">
        <v>4</v>
      </c>
      <c r="I7" s="25" t="s">
        <v>6</v>
      </c>
      <c r="J7" s="25" t="s">
        <v>6</v>
      </c>
      <c r="K7" s="19" t="s">
        <v>41</v>
      </c>
      <c r="L7" s="12" t="s">
        <v>2</v>
      </c>
      <c r="M7" s="19" t="s">
        <v>41</v>
      </c>
      <c r="N7" s="21" t="s">
        <v>42</v>
      </c>
      <c r="O7" s="21" t="s">
        <v>42</v>
      </c>
      <c r="P7" s="12" t="s">
        <v>2</v>
      </c>
      <c r="Q7" s="10" t="s">
        <v>39</v>
      </c>
      <c r="R7" s="17" t="s">
        <v>10</v>
      </c>
      <c r="S7" s="17" t="s">
        <v>10</v>
      </c>
      <c r="T7" s="17" t="s">
        <v>10</v>
      </c>
      <c r="U7" s="29" t="s">
        <v>4</v>
      </c>
      <c r="V7" s="29" t="s">
        <v>4</v>
      </c>
      <c r="W7" s="19" t="s">
        <v>41</v>
      </c>
      <c r="X7" s="19" t="s">
        <v>41</v>
      </c>
      <c r="Y7" s="19" t="s">
        <v>41</v>
      </c>
      <c r="Z7" s="12" t="s">
        <v>2</v>
      </c>
      <c r="AA7" s="25" t="s">
        <v>6</v>
      </c>
      <c r="AB7" s="25" t="s">
        <v>3</v>
      </c>
      <c r="AC7" s="25" t="s">
        <v>3</v>
      </c>
      <c r="AD7" s="12" t="s">
        <v>2</v>
      </c>
    </row>
    <row r="8" spans="1:30" x14ac:dyDescent="0.35">
      <c r="A8" s="9" t="s">
        <v>14</v>
      </c>
      <c r="B8" s="19" t="s">
        <v>41</v>
      </c>
      <c r="C8" s="19" t="s">
        <v>41</v>
      </c>
      <c r="D8" s="25" t="s">
        <v>6</v>
      </c>
      <c r="E8" s="11" t="s">
        <v>2</v>
      </c>
      <c r="F8" s="19" t="s">
        <v>41</v>
      </c>
      <c r="G8" s="25" t="s">
        <v>3</v>
      </c>
      <c r="H8" s="25" t="s">
        <v>3</v>
      </c>
      <c r="I8" s="25" t="s">
        <v>6</v>
      </c>
      <c r="J8" s="17" t="s">
        <v>10</v>
      </c>
      <c r="K8" s="17" t="s">
        <v>10</v>
      </c>
      <c r="L8" s="12" t="s">
        <v>2</v>
      </c>
      <c r="M8" s="19" t="s">
        <v>41</v>
      </c>
      <c r="N8" s="21" t="s">
        <v>42</v>
      </c>
      <c r="O8" s="25" t="s">
        <v>3</v>
      </c>
      <c r="P8" s="12" t="s">
        <v>2</v>
      </c>
      <c r="Q8" s="25" t="s">
        <v>6</v>
      </c>
      <c r="R8" s="25" t="s">
        <v>6</v>
      </c>
      <c r="S8" s="19" t="s">
        <v>41</v>
      </c>
      <c r="T8" s="19" t="s">
        <v>41</v>
      </c>
      <c r="U8" s="68" t="s">
        <v>4</v>
      </c>
      <c r="V8" s="68" t="s">
        <v>4</v>
      </c>
      <c r="W8" s="13" t="s">
        <v>5</v>
      </c>
      <c r="X8" s="19" t="s">
        <v>41</v>
      </c>
      <c r="Y8" s="25" t="s">
        <v>6</v>
      </c>
      <c r="Z8" s="25" t="s">
        <v>6</v>
      </c>
      <c r="AA8" s="13" t="s">
        <v>5</v>
      </c>
      <c r="AB8" s="68" t="s">
        <v>4</v>
      </c>
      <c r="AC8" s="68" t="s">
        <v>4</v>
      </c>
      <c r="AD8" s="13" t="s">
        <v>5</v>
      </c>
    </row>
    <row r="9" spans="1:30" x14ac:dyDescent="0.35">
      <c r="A9" s="9" t="s">
        <v>15</v>
      </c>
      <c r="B9" s="11" t="s">
        <v>2</v>
      </c>
      <c r="C9" s="11" t="s">
        <v>2</v>
      </c>
      <c r="D9" s="25" t="s">
        <v>6</v>
      </c>
      <c r="E9" s="19" t="s">
        <v>41</v>
      </c>
      <c r="F9" s="19" t="s">
        <v>41</v>
      </c>
      <c r="G9" s="21" t="s">
        <v>42</v>
      </c>
      <c r="H9" s="21" t="s">
        <v>42</v>
      </c>
      <c r="I9" s="12" t="s">
        <v>2</v>
      </c>
      <c r="J9" s="19" t="s">
        <v>41</v>
      </c>
      <c r="K9" s="19" t="s">
        <v>41</v>
      </c>
      <c r="L9" s="19" t="s">
        <v>41</v>
      </c>
      <c r="M9" s="19" t="s">
        <v>41</v>
      </c>
      <c r="N9" s="29" t="s">
        <v>4</v>
      </c>
      <c r="O9" s="29" t="s">
        <v>4</v>
      </c>
      <c r="P9" s="25" t="s">
        <v>6</v>
      </c>
      <c r="Q9" s="25" t="s">
        <v>6</v>
      </c>
      <c r="R9" s="19" t="s">
        <v>41</v>
      </c>
      <c r="S9" s="12" t="s">
        <v>2</v>
      </c>
      <c r="T9" s="25" t="s">
        <v>6</v>
      </c>
      <c r="U9" s="17" t="s">
        <v>11</v>
      </c>
      <c r="V9" s="17" t="s">
        <v>11</v>
      </c>
      <c r="W9" s="17" t="s">
        <v>10</v>
      </c>
      <c r="X9" s="17" t="s">
        <v>10</v>
      </c>
      <c r="Y9" s="17" t="s">
        <v>10</v>
      </c>
      <c r="Z9" s="12" t="s">
        <v>2</v>
      </c>
      <c r="AA9" s="19" t="s">
        <v>41</v>
      </c>
      <c r="AB9" s="29" t="s">
        <v>4</v>
      </c>
      <c r="AC9" s="29" t="s">
        <v>4</v>
      </c>
      <c r="AD9" s="19" t="s">
        <v>41</v>
      </c>
    </row>
    <row r="10" spans="1:30" x14ac:dyDescent="0.35">
      <c r="A10" s="9" t="s">
        <v>18</v>
      </c>
      <c r="B10" s="11" t="s">
        <v>2</v>
      </c>
      <c r="C10" s="19" t="s">
        <v>41</v>
      </c>
      <c r="D10" s="22" t="s">
        <v>16</v>
      </c>
      <c r="E10" s="25" t="s">
        <v>6</v>
      </c>
      <c r="F10" s="25" t="s">
        <v>6</v>
      </c>
      <c r="G10" s="21" t="s">
        <v>42</v>
      </c>
      <c r="H10" s="21" t="s">
        <v>42</v>
      </c>
      <c r="I10" s="11" t="s">
        <v>2</v>
      </c>
      <c r="J10" s="25" t="s">
        <v>6</v>
      </c>
      <c r="K10" s="25" t="s">
        <v>6</v>
      </c>
      <c r="L10" s="25" t="s">
        <v>6</v>
      </c>
      <c r="M10" s="25" t="s">
        <v>6</v>
      </c>
      <c r="N10" s="29" t="s">
        <v>4</v>
      </c>
      <c r="O10" s="21" t="s">
        <v>42</v>
      </c>
      <c r="P10" s="25" t="s">
        <v>6</v>
      </c>
      <c r="Q10" s="17" t="s">
        <v>10</v>
      </c>
      <c r="R10" s="17" t="s">
        <v>10</v>
      </c>
      <c r="S10" s="17" t="s">
        <v>10</v>
      </c>
      <c r="T10" s="17" t="s">
        <v>10</v>
      </c>
      <c r="U10" s="29" t="s">
        <v>4</v>
      </c>
      <c r="V10" s="29" t="s">
        <v>4</v>
      </c>
      <c r="W10" s="19" t="s">
        <v>41</v>
      </c>
      <c r="X10" s="19" t="s">
        <v>41</v>
      </c>
      <c r="Y10" s="12" t="s">
        <v>2</v>
      </c>
      <c r="Z10" s="12" t="s">
        <v>2</v>
      </c>
      <c r="AA10" s="19" t="s">
        <v>41</v>
      </c>
      <c r="AB10" s="21" t="s">
        <v>42</v>
      </c>
      <c r="AC10" s="21" t="s">
        <v>42</v>
      </c>
      <c r="AD10" s="25" t="s">
        <v>6</v>
      </c>
    </row>
    <row r="11" spans="1:30" ht="14.15" customHeight="1" thickBot="1" x14ac:dyDescent="0.4">
      <c r="A11" s="9" t="s">
        <v>21</v>
      </c>
      <c r="B11" s="17" t="s">
        <v>10</v>
      </c>
      <c r="C11" s="11" t="s">
        <v>2</v>
      </c>
      <c r="D11" s="19" t="s">
        <v>41</v>
      </c>
      <c r="E11" s="19" t="s">
        <v>41</v>
      </c>
      <c r="F11" s="17" t="s">
        <v>10</v>
      </c>
      <c r="G11" s="17" t="s">
        <v>11</v>
      </c>
      <c r="H11" s="17" t="s">
        <v>11</v>
      </c>
      <c r="I11" s="17" t="s">
        <v>10</v>
      </c>
      <c r="J11" s="11" t="s">
        <v>2</v>
      </c>
      <c r="K11" s="19" t="s">
        <v>41</v>
      </c>
      <c r="L11" s="19" t="s">
        <v>41</v>
      </c>
      <c r="M11" s="19" t="s">
        <v>41</v>
      </c>
      <c r="N11" s="25" t="s">
        <v>3</v>
      </c>
      <c r="O11" s="29" t="s">
        <v>4</v>
      </c>
      <c r="P11" s="13" t="s">
        <v>5</v>
      </c>
      <c r="Q11" s="19" t="s">
        <v>41</v>
      </c>
      <c r="R11" s="19" t="s">
        <v>41</v>
      </c>
      <c r="S11" s="19" t="s">
        <v>41</v>
      </c>
      <c r="T11" s="19" t="s">
        <v>41</v>
      </c>
      <c r="U11" s="66" t="s">
        <v>30</v>
      </c>
      <c r="V11" s="29" t="s">
        <v>4</v>
      </c>
      <c r="W11" s="25" t="s">
        <v>6</v>
      </c>
      <c r="X11" s="25" t="s">
        <v>6</v>
      </c>
      <c r="Y11" s="12" t="s">
        <v>2</v>
      </c>
      <c r="Z11" s="17" t="s">
        <v>10</v>
      </c>
      <c r="AA11" s="17" t="s">
        <v>10</v>
      </c>
      <c r="AB11" s="17" t="s">
        <v>11</v>
      </c>
      <c r="AC11" s="17" t="s">
        <v>11</v>
      </c>
      <c r="AD11" s="17" t="s">
        <v>10</v>
      </c>
    </row>
    <row r="12" spans="1:30" x14ac:dyDescent="0.35">
      <c r="A12" s="9" t="s">
        <v>43</v>
      </c>
      <c r="B12" s="19" t="s">
        <v>41</v>
      </c>
      <c r="C12" s="19" t="s">
        <v>41</v>
      </c>
      <c r="D12" s="19" t="s">
        <v>41</v>
      </c>
      <c r="E12" s="11" t="s">
        <v>2</v>
      </c>
      <c r="F12" s="25" t="s">
        <v>6</v>
      </c>
      <c r="G12" s="25" t="s">
        <v>3</v>
      </c>
      <c r="H12" s="29" t="s">
        <v>4</v>
      </c>
      <c r="I12" s="19" t="s">
        <v>41</v>
      </c>
      <c r="J12" s="17" t="s">
        <v>10</v>
      </c>
      <c r="K12" s="17" t="s">
        <v>10</v>
      </c>
      <c r="L12" s="17" t="s">
        <v>10</v>
      </c>
      <c r="M12" s="13" t="s">
        <v>5</v>
      </c>
      <c r="N12" s="68" t="s">
        <v>4</v>
      </c>
      <c r="O12" s="68" t="s">
        <v>4</v>
      </c>
      <c r="P12" s="19" t="s">
        <v>41</v>
      </c>
      <c r="Q12" s="25" t="s">
        <v>6</v>
      </c>
      <c r="R12" s="25" t="s">
        <v>6</v>
      </c>
      <c r="S12" s="12" t="s">
        <v>2</v>
      </c>
      <c r="T12" s="12" t="s">
        <v>2</v>
      </c>
      <c r="U12" s="17" t="s">
        <v>11</v>
      </c>
      <c r="V12" s="17" t="s">
        <v>11</v>
      </c>
      <c r="W12" s="17" t="s">
        <v>10</v>
      </c>
      <c r="X12" s="12" t="s">
        <v>2</v>
      </c>
      <c r="Y12" s="19" t="s">
        <v>41</v>
      </c>
      <c r="Z12" s="19" t="s">
        <v>41</v>
      </c>
      <c r="AA12" s="12" t="s">
        <v>2</v>
      </c>
      <c r="AB12" s="25" t="s">
        <v>3</v>
      </c>
      <c r="AC12" s="25" t="s">
        <v>3</v>
      </c>
      <c r="AD12" s="23" t="s">
        <v>17</v>
      </c>
    </row>
    <row r="13" spans="1:30" x14ac:dyDescent="0.35">
      <c r="A13" s="9" t="s">
        <v>86</v>
      </c>
      <c r="B13" s="11" t="s">
        <v>2</v>
      </c>
      <c r="C13" s="17" t="s">
        <v>10</v>
      </c>
      <c r="D13" s="17" t="s">
        <v>10</v>
      </c>
      <c r="E13" s="17" t="s">
        <v>10</v>
      </c>
      <c r="F13" s="13" t="s">
        <v>5</v>
      </c>
      <c r="G13" s="29" t="s">
        <v>4</v>
      </c>
      <c r="H13" s="29" t="s">
        <v>4</v>
      </c>
      <c r="I13" s="13" t="s">
        <v>5</v>
      </c>
      <c r="J13" s="13" t="s">
        <v>5</v>
      </c>
      <c r="K13" s="13" t="s">
        <v>5</v>
      </c>
      <c r="L13" s="19" t="s">
        <v>41</v>
      </c>
      <c r="M13" s="17" t="s">
        <v>10</v>
      </c>
      <c r="N13" s="17" t="s">
        <v>11</v>
      </c>
      <c r="O13" s="29" t="s">
        <v>4</v>
      </c>
      <c r="P13" s="17" t="s">
        <v>10</v>
      </c>
      <c r="Q13" s="12" t="s">
        <v>2</v>
      </c>
      <c r="R13" s="19" t="s">
        <v>41</v>
      </c>
      <c r="S13" s="19" t="s">
        <v>41</v>
      </c>
      <c r="T13" s="19" t="s">
        <v>41</v>
      </c>
      <c r="U13" s="21" t="s">
        <v>42</v>
      </c>
      <c r="V13" s="21" t="s">
        <v>42</v>
      </c>
      <c r="W13" s="12" t="s">
        <v>2</v>
      </c>
      <c r="X13" s="25" t="s">
        <v>6</v>
      </c>
      <c r="Y13" s="25" t="s">
        <v>6</v>
      </c>
      <c r="Z13" s="25" t="s">
        <v>6</v>
      </c>
      <c r="AA13" s="25" t="s">
        <v>6</v>
      </c>
      <c r="AB13" s="29" t="s">
        <v>4</v>
      </c>
      <c r="AC13" s="29" t="s">
        <v>4</v>
      </c>
      <c r="AD13" s="19" t="s">
        <v>41</v>
      </c>
    </row>
    <row r="14" spans="1:30" x14ac:dyDescent="0.35">
      <c r="A14" s="9" t="s">
        <v>22</v>
      </c>
      <c r="B14" s="25" t="s">
        <v>6</v>
      </c>
      <c r="C14" s="25" t="s">
        <v>6</v>
      </c>
      <c r="D14" s="11" t="s">
        <v>2</v>
      </c>
      <c r="E14" s="25" t="s">
        <v>6</v>
      </c>
      <c r="F14" s="11" t="s">
        <v>2</v>
      </c>
      <c r="G14" s="29" t="s">
        <v>4</v>
      </c>
      <c r="H14" s="25" t="s">
        <v>3</v>
      </c>
      <c r="I14" s="25" t="s">
        <v>6</v>
      </c>
      <c r="J14" s="25" t="s">
        <v>6</v>
      </c>
      <c r="K14" s="11" t="s">
        <v>2</v>
      </c>
      <c r="L14" s="25" t="s">
        <v>6</v>
      </c>
      <c r="M14" s="25" t="s">
        <v>6</v>
      </c>
      <c r="N14" s="29" t="s">
        <v>4</v>
      </c>
      <c r="O14" s="29" t="s">
        <v>4</v>
      </c>
      <c r="P14" s="19" t="s">
        <v>41</v>
      </c>
      <c r="Q14" s="19" t="s">
        <v>41</v>
      </c>
      <c r="R14" s="19" t="s">
        <v>41</v>
      </c>
      <c r="S14" s="25" t="s">
        <v>6</v>
      </c>
      <c r="T14" s="12" t="s">
        <v>2</v>
      </c>
      <c r="U14" s="25" t="s">
        <v>3</v>
      </c>
      <c r="V14" s="25" t="s">
        <v>3</v>
      </c>
      <c r="W14" s="25" t="s">
        <v>6</v>
      </c>
      <c r="X14" s="12" t="s">
        <v>2</v>
      </c>
      <c r="Y14" s="12" t="s">
        <v>2</v>
      </c>
      <c r="Z14" s="19" t="s">
        <v>41</v>
      </c>
      <c r="AA14" s="19" t="s">
        <v>41</v>
      </c>
      <c r="AB14" s="29" t="s">
        <v>4</v>
      </c>
      <c r="AC14" s="29" t="s">
        <v>4</v>
      </c>
      <c r="AD14" s="19" t="s">
        <v>41</v>
      </c>
    </row>
    <row r="15" spans="1:30" ht="15" thickBot="1" x14ac:dyDescent="0.4">
      <c r="A15" s="9" t="s">
        <v>71</v>
      </c>
      <c r="B15" s="19" t="s">
        <v>41</v>
      </c>
      <c r="C15" s="19" t="s">
        <v>41</v>
      </c>
      <c r="D15" s="25" t="s">
        <v>6</v>
      </c>
      <c r="E15" s="19" t="s">
        <v>41</v>
      </c>
      <c r="F15" s="19" t="s">
        <v>41</v>
      </c>
      <c r="G15" s="66" t="s">
        <v>30</v>
      </c>
      <c r="H15" s="29" t="s">
        <v>4</v>
      </c>
      <c r="I15" s="19" t="s">
        <v>41</v>
      </c>
      <c r="J15" s="19" t="s">
        <v>41</v>
      </c>
      <c r="K15" s="25" t="s">
        <v>6</v>
      </c>
      <c r="L15" s="19" t="s">
        <v>41</v>
      </c>
      <c r="M15" s="11" t="s">
        <v>2</v>
      </c>
      <c r="N15" s="66" t="s">
        <v>30</v>
      </c>
      <c r="O15" s="29" t="s">
        <v>4</v>
      </c>
      <c r="P15" s="25" t="s">
        <v>6</v>
      </c>
      <c r="Q15" s="13" t="s">
        <v>5</v>
      </c>
      <c r="R15" s="13" t="s">
        <v>5</v>
      </c>
      <c r="S15" s="13" t="s">
        <v>5</v>
      </c>
      <c r="T15" s="13" t="s">
        <v>5</v>
      </c>
      <c r="U15" s="68" t="s">
        <v>4</v>
      </c>
      <c r="V15" s="68" t="s">
        <v>4</v>
      </c>
      <c r="W15" s="19" t="s">
        <v>41</v>
      </c>
      <c r="X15" s="19" t="s">
        <v>41</v>
      </c>
      <c r="Y15" s="19" t="s">
        <v>41</v>
      </c>
      <c r="Z15" s="19" t="s">
        <v>41</v>
      </c>
      <c r="AA15" s="19" t="s">
        <v>41</v>
      </c>
      <c r="AB15" s="66" t="s">
        <v>30</v>
      </c>
      <c r="AC15" s="29" t="s">
        <v>4</v>
      </c>
      <c r="AD15" s="12" t="s">
        <v>2</v>
      </c>
    </row>
    <row r="16" spans="1:30" x14ac:dyDescent="0.35">
      <c r="A16" s="9" t="s">
        <v>87</v>
      </c>
      <c r="B16" s="22" t="s">
        <v>16</v>
      </c>
      <c r="C16" s="22" t="s">
        <v>16</v>
      </c>
      <c r="D16" s="27" t="s">
        <v>34</v>
      </c>
      <c r="E16" s="22" t="s">
        <v>16</v>
      </c>
      <c r="F16" s="22" t="s">
        <v>16</v>
      </c>
      <c r="G16" s="29" t="s">
        <v>4</v>
      </c>
      <c r="H16" s="29" t="s">
        <v>4</v>
      </c>
      <c r="I16" s="22" t="s">
        <v>16</v>
      </c>
      <c r="J16" s="22" t="s">
        <v>16</v>
      </c>
      <c r="K16" s="22" t="s">
        <v>16</v>
      </c>
      <c r="L16" s="22" t="s">
        <v>16</v>
      </c>
      <c r="M16" s="22" t="s">
        <v>16</v>
      </c>
      <c r="N16" s="29" t="s">
        <v>4</v>
      </c>
      <c r="O16" s="29" t="s">
        <v>4</v>
      </c>
      <c r="P16" s="25" t="s">
        <v>6</v>
      </c>
      <c r="Q16" s="25" t="s">
        <v>6</v>
      </c>
      <c r="R16" s="25" t="s">
        <v>6</v>
      </c>
      <c r="S16" s="25" t="s">
        <v>6</v>
      </c>
      <c r="T16" s="25" t="s">
        <v>6</v>
      </c>
      <c r="U16" s="29" t="s">
        <v>4</v>
      </c>
      <c r="V16" s="29" t="s">
        <v>4</v>
      </c>
      <c r="W16" s="19" t="s">
        <v>41</v>
      </c>
      <c r="X16" s="25" t="s">
        <v>6</v>
      </c>
      <c r="Y16" s="25" t="s">
        <v>6</v>
      </c>
      <c r="Z16" s="25" t="s">
        <v>6</v>
      </c>
      <c r="AA16" s="25" t="s">
        <v>6</v>
      </c>
      <c r="AB16" s="29" t="s">
        <v>4</v>
      </c>
      <c r="AC16" s="29" t="s">
        <v>4</v>
      </c>
      <c r="AD16" s="25" t="s">
        <v>6</v>
      </c>
    </row>
    <row r="17" spans="1:30" x14ac:dyDescent="0.35">
      <c r="A17" s="9" t="s">
        <v>85</v>
      </c>
      <c r="B17" s="22" t="s">
        <v>16</v>
      </c>
      <c r="C17" s="22" t="s">
        <v>16</v>
      </c>
      <c r="D17" s="22" t="s">
        <v>16</v>
      </c>
      <c r="E17" s="22" t="s">
        <v>16</v>
      </c>
      <c r="F17" s="22" t="s">
        <v>16</v>
      </c>
      <c r="G17" s="29" t="s">
        <v>4</v>
      </c>
      <c r="H17" s="29" t="s">
        <v>4</v>
      </c>
      <c r="I17" s="22" t="s">
        <v>16</v>
      </c>
      <c r="J17" s="22" t="s">
        <v>16</v>
      </c>
      <c r="K17" s="22" t="s">
        <v>16</v>
      </c>
      <c r="L17" s="22" t="s">
        <v>16</v>
      </c>
      <c r="M17" s="22" t="s">
        <v>16</v>
      </c>
      <c r="N17" s="29" t="s">
        <v>4</v>
      </c>
      <c r="O17" s="29" t="s">
        <v>4</v>
      </c>
      <c r="P17" s="22" t="s">
        <v>16</v>
      </c>
      <c r="Q17" s="22" t="s">
        <v>16</v>
      </c>
      <c r="R17" s="22" t="s">
        <v>16</v>
      </c>
      <c r="S17" s="22" t="s">
        <v>16</v>
      </c>
      <c r="T17" s="22" t="s">
        <v>16</v>
      </c>
      <c r="U17" s="29" t="s">
        <v>4</v>
      </c>
      <c r="V17" s="29" t="s">
        <v>4</v>
      </c>
      <c r="W17" s="22" t="s">
        <v>16</v>
      </c>
      <c r="X17" s="22" t="s">
        <v>16</v>
      </c>
      <c r="Y17" s="22" t="s">
        <v>16</v>
      </c>
      <c r="Z17" s="22" t="s">
        <v>16</v>
      </c>
      <c r="AA17" s="22" t="s">
        <v>16</v>
      </c>
      <c r="AB17" s="29" t="s">
        <v>4</v>
      </c>
      <c r="AC17" s="29" t="s">
        <v>4</v>
      </c>
      <c r="AD17" s="22" t="s">
        <v>16</v>
      </c>
    </row>
    <row r="18" spans="1:30" x14ac:dyDescent="0.35">
      <c r="A18" s="9" t="s">
        <v>88</v>
      </c>
      <c r="B18" s="22" t="s">
        <v>16</v>
      </c>
      <c r="C18" s="22" t="s">
        <v>16</v>
      </c>
      <c r="D18" s="22" t="s">
        <v>16</v>
      </c>
      <c r="E18" s="22" t="s">
        <v>16</v>
      </c>
      <c r="F18" s="22" t="s">
        <v>16</v>
      </c>
      <c r="G18" s="29" t="s">
        <v>4</v>
      </c>
      <c r="H18" s="29" t="s">
        <v>4</v>
      </c>
      <c r="I18" s="22" t="s">
        <v>16</v>
      </c>
      <c r="J18" s="22" t="s">
        <v>16</v>
      </c>
      <c r="K18" s="22" t="s">
        <v>16</v>
      </c>
      <c r="L18" s="22" t="s">
        <v>16</v>
      </c>
      <c r="M18" s="22" t="s">
        <v>16</v>
      </c>
      <c r="N18" s="29" t="s">
        <v>4</v>
      </c>
      <c r="O18" s="29" t="s">
        <v>4</v>
      </c>
      <c r="P18" s="22" t="s">
        <v>16</v>
      </c>
      <c r="Q18" s="22" t="s">
        <v>16</v>
      </c>
      <c r="R18" s="22" t="s">
        <v>16</v>
      </c>
      <c r="S18" s="22" t="s">
        <v>16</v>
      </c>
      <c r="T18" s="22" t="s">
        <v>16</v>
      </c>
      <c r="U18" s="29" t="s">
        <v>4</v>
      </c>
      <c r="V18" s="29" t="s">
        <v>4</v>
      </c>
      <c r="W18" s="22" t="s">
        <v>16</v>
      </c>
      <c r="X18" s="22" t="s">
        <v>16</v>
      </c>
      <c r="Y18" s="22" t="s">
        <v>16</v>
      </c>
      <c r="Z18" s="22" t="s">
        <v>16</v>
      </c>
      <c r="AA18" s="22" t="s">
        <v>16</v>
      </c>
      <c r="AB18" s="29" t="s">
        <v>4</v>
      </c>
      <c r="AC18" s="29" t="s">
        <v>4</v>
      </c>
      <c r="AD18" s="22" t="s">
        <v>16</v>
      </c>
    </row>
    <row r="19" spans="1:30" x14ac:dyDescent="0.35">
      <c r="A19" s="9" t="s">
        <v>89</v>
      </c>
      <c r="B19" s="22" t="s">
        <v>16</v>
      </c>
      <c r="C19" s="22" t="s">
        <v>16</v>
      </c>
      <c r="D19" s="22" t="s">
        <v>16</v>
      </c>
      <c r="E19" s="22" t="s">
        <v>16</v>
      </c>
      <c r="F19" s="22" t="s">
        <v>16</v>
      </c>
      <c r="G19" s="29" t="s">
        <v>4</v>
      </c>
      <c r="H19" s="29" t="s">
        <v>4</v>
      </c>
      <c r="I19" s="22" t="s">
        <v>16</v>
      </c>
      <c r="J19" s="22" t="s">
        <v>16</v>
      </c>
      <c r="K19" s="22" t="s">
        <v>16</v>
      </c>
      <c r="L19" s="22" t="s">
        <v>16</v>
      </c>
      <c r="M19" s="22" t="s">
        <v>16</v>
      </c>
      <c r="N19" s="29" t="s">
        <v>4</v>
      </c>
      <c r="O19" s="29" t="s">
        <v>4</v>
      </c>
      <c r="P19" s="22" t="s">
        <v>16</v>
      </c>
      <c r="Q19" s="22" t="s">
        <v>16</v>
      </c>
      <c r="R19" s="22" t="s">
        <v>16</v>
      </c>
      <c r="S19" s="22" t="s">
        <v>16</v>
      </c>
      <c r="T19" s="22" t="s">
        <v>16</v>
      </c>
      <c r="U19" s="29" t="s">
        <v>4</v>
      </c>
      <c r="V19" s="29" t="s">
        <v>4</v>
      </c>
      <c r="W19" s="22" t="s">
        <v>16</v>
      </c>
      <c r="X19" s="22" t="s">
        <v>16</v>
      </c>
      <c r="Y19" s="22" t="s">
        <v>16</v>
      </c>
      <c r="Z19" s="22" t="s">
        <v>16</v>
      </c>
      <c r="AA19" s="22" t="s">
        <v>16</v>
      </c>
      <c r="AB19" s="29" t="s">
        <v>4</v>
      </c>
      <c r="AC19" s="29" t="s">
        <v>4</v>
      </c>
      <c r="AD19" s="22" t="s">
        <v>16</v>
      </c>
    </row>
    <row r="21" spans="1:30" x14ac:dyDescent="0.35">
      <c r="A21" s="24" t="s">
        <v>23</v>
      </c>
      <c r="B21" s="71"/>
    </row>
    <row r="22" spans="1:30" x14ac:dyDescent="0.35">
      <c r="A22" s="1" t="s">
        <v>24</v>
      </c>
      <c r="B22" s="1"/>
      <c r="C22" s="22" t="s">
        <v>16</v>
      </c>
    </row>
    <row r="23" spans="1:30" x14ac:dyDescent="0.35">
      <c r="A23" s="1" t="s">
        <v>25</v>
      </c>
      <c r="B23" s="1"/>
      <c r="C23" s="25" t="s">
        <v>6</v>
      </c>
    </row>
    <row r="24" spans="1:30" x14ac:dyDescent="0.35">
      <c r="A24" s="1" t="s">
        <v>47</v>
      </c>
      <c r="B24" s="1"/>
      <c r="C24" s="19" t="s">
        <v>41</v>
      </c>
    </row>
    <row r="25" spans="1:30" x14ac:dyDescent="0.35">
      <c r="A25" s="1" t="s">
        <v>48</v>
      </c>
      <c r="B25" s="1"/>
      <c r="C25" s="10" t="s">
        <v>39</v>
      </c>
    </row>
    <row r="26" spans="1:30" x14ac:dyDescent="0.35">
      <c r="A26" s="26" t="s">
        <v>26</v>
      </c>
      <c r="B26" s="26"/>
      <c r="C26" s="16" t="s">
        <v>8</v>
      </c>
    </row>
    <row r="27" spans="1:30" x14ac:dyDescent="0.35">
      <c r="A27" s="26" t="s">
        <v>27</v>
      </c>
      <c r="B27" s="26"/>
      <c r="C27" s="17" t="s">
        <v>10</v>
      </c>
    </row>
    <row r="28" spans="1:30" x14ac:dyDescent="0.35">
      <c r="A28" s="26" t="s">
        <v>28</v>
      </c>
      <c r="B28" s="26"/>
      <c r="C28" s="14" t="s">
        <v>3</v>
      </c>
    </row>
    <row r="29" spans="1:30" x14ac:dyDescent="0.35">
      <c r="A29" s="26" t="s">
        <v>29</v>
      </c>
      <c r="B29" s="26"/>
      <c r="C29" s="22" t="s">
        <v>30</v>
      </c>
    </row>
    <row r="30" spans="1:30" x14ac:dyDescent="0.35">
      <c r="A30" s="26" t="s">
        <v>49</v>
      </c>
      <c r="B30" s="26"/>
      <c r="C30" s="19" t="s">
        <v>42</v>
      </c>
    </row>
    <row r="31" spans="1:30" x14ac:dyDescent="0.35">
      <c r="A31" s="26" t="s">
        <v>50</v>
      </c>
      <c r="B31" s="26"/>
      <c r="C31" s="10" t="s">
        <v>40</v>
      </c>
    </row>
    <row r="32" spans="1:30" x14ac:dyDescent="0.35">
      <c r="A32" s="26" t="s">
        <v>31</v>
      </c>
      <c r="B32" s="26"/>
      <c r="C32" s="17" t="s">
        <v>11</v>
      </c>
    </row>
    <row r="33" spans="1:3" x14ac:dyDescent="0.35">
      <c r="A33" s="26" t="s">
        <v>32</v>
      </c>
      <c r="B33" s="26"/>
      <c r="C33" s="13" t="s">
        <v>5</v>
      </c>
    </row>
    <row r="34" spans="1:3" x14ac:dyDescent="0.35">
      <c r="A34" s="26" t="s">
        <v>33</v>
      </c>
      <c r="B34" s="26"/>
      <c r="C34" s="27" t="s">
        <v>34</v>
      </c>
    </row>
    <row r="35" spans="1:3" x14ac:dyDescent="0.35">
      <c r="A35" s="26" t="s">
        <v>35</v>
      </c>
      <c r="B35" s="26"/>
      <c r="C35" s="12" t="s">
        <v>2</v>
      </c>
    </row>
    <row r="36" spans="1:3" x14ac:dyDescent="0.35">
      <c r="A36" s="26" t="s">
        <v>36</v>
      </c>
      <c r="B36" s="26"/>
      <c r="C36" s="28" t="s">
        <v>37</v>
      </c>
    </row>
    <row r="37" spans="1:3" x14ac:dyDescent="0.35">
      <c r="A37" s="26" t="s">
        <v>38</v>
      </c>
      <c r="B37" s="26"/>
      <c r="C37" s="29" t="s">
        <v>4</v>
      </c>
    </row>
    <row r="38" spans="1:3" x14ac:dyDescent="0.35">
      <c r="A38" s="26" t="s">
        <v>36</v>
      </c>
      <c r="B38" s="26"/>
      <c r="C38" s="28" t="s">
        <v>37</v>
      </c>
    </row>
    <row r="39" spans="1:3" x14ac:dyDescent="0.35">
      <c r="A39" s="26" t="s">
        <v>38</v>
      </c>
      <c r="B39" s="26"/>
      <c r="C39" s="29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9"/>
  <sheetViews>
    <sheetView zoomScale="80" zoomScaleNormal="80" workbookViewId="0">
      <pane xSplit="1" topLeftCell="M1" activePane="topRight" state="frozen"/>
      <selection pane="topRight" activeCell="AF17" sqref="AF17"/>
    </sheetView>
  </sheetViews>
  <sheetFormatPr defaultColWidth="9.1796875" defaultRowHeight="14.5" x14ac:dyDescent="0.35"/>
  <cols>
    <col min="1" max="1" width="26.1796875" style="45" bestFit="1" customWidth="1"/>
    <col min="2" max="2" width="6.81640625" style="45" customWidth="1"/>
    <col min="3" max="4" width="7.1796875" style="45" customWidth="1"/>
    <col min="5" max="5" width="7.54296875" style="45" customWidth="1"/>
    <col min="6" max="7" width="9.26953125" style="45" customWidth="1"/>
    <col min="8" max="12" width="7.26953125" style="45" customWidth="1"/>
    <col min="13" max="14" width="9.26953125" style="45" customWidth="1"/>
    <col min="15" max="16" width="7.26953125" style="45" customWidth="1"/>
    <col min="17" max="17" width="7.54296875" style="45" customWidth="1"/>
    <col min="18" max="18" width="7.26953125" style="45" customWidth="1"/>
    <col min="19" max="19" width="7.54296875" style="45" customWidth="1"/>
    <col min="20" max="21" width="9.26953125" style="45" customWidth="1"/>
    <col min="22" max="22" width="7.54296875" style="45" customWidth="1"/>
    <col min="23" max="23" width="9.26953125" style="45" customWidth="1"/>
    <col min="24" max="26" width="7.54296875" style="45" customWidth="1"/>
    <col min="27" max="27" width="9.26953125" style="45" customWidth="1"/>
    <col min="28" max="30" width="6.7265625" style="45" customWidth="1"/>
    <col min="31" max="33" width="9.1796875" style="45" customWidth="1"/>
    <col min="34" max="16384" width="9.1796875" style="45"/>
  </cols>
  <sheetData>
    <row r="1" spans="1:33" ht="15" customHeight="1" x14ac:dyDescent="0.35">
      <c r="A1" s="30"/>
      <c r="B1" s="2" t="str">
        <f t="shared" ref="B1" si="0">TEXT(B2,"ddd")</f>
        <v>Mon</v>
      </c>
      <c r="C1" s="4" t="str">
        <f t="shared" ref="C1:AC1" si="1">TEXT(C2,"ddd")</f>
        <v>Tue</v>
      </c>
      <c r="D1" s="4" t="str">
        <f t="shared" si="1"/>
        <v>Wed</v>
      </c>
      <c r="E1" s="4" t="str">
        <f t="shared" si="1"/>
        <v>Thu</v>
      </c>
      <c r="F1" s="4" t="str">
        <f t="shared" si="1"/>
        <v>Fri</v>
      </c>
      <c r="G1" s="4" t="str">
        <f t="shared" si="1"/>
        <v>Sat</v>
      </c>
      <c r="H1" s="4" t="str">
        <f t="shared" si="1"/>
        <v>Sun</v>
      </c>
      <c r="I1" s="4" t="str">
        <f t="shared" si="1"/>
        <v>Mon</v>
      </c>
      <c r="J1" s="4" t="str">
        <f t="shared" si="1"/>
        <v>Tue</v>
      </c>
      <c r="K1" s="4" t="str">
        <f t="shared" si="1"/>
        <v>Wed</v>
      </c>
      <c r="L1" s="4" t="str">
        <f t="shared" si="1"/>
        <v>Thu</v>
      </c>
      <c r="M1" s="4" t="str">
        <f t="shared" si="1"/>
        <v>Fri</v>
      </c>
      <c r="N1" s="4" t="str">
        <f t="shared" si="1"/>
        <v>Sat</v>
      </c>
      <c r="O1" s="4" t="str">
        <f t="shared" si="1"/>
        <v>Sun</v>
      </c>
      <c r="P1" s="4" t="str">
        <f t="shared" si="1"/>
        <v>Mon</v>
      </c>
      <c r="Q1" s="4" t="str">
        <f t="shared" si="1"/>
        <v>Tue</v>
      </c>
      <c r="R1" s="4" t="str">
        <f t="shared" si="1"/>
        <v>Wed</v>
      </c>
      <c r="S1" s="4" t="str">
        <f t="shared" si="1"/>
        <v>Thu</v>
      </c>
      <c r="T1" s="4" t="str">
        <f t="shared" si="1"/>
        <v>Fri</v>
      </c>
      <c r="U1" s="4" t="str">
        <f t="shared" si="1"/>
        <v>Sat</v>
      </c>
      <c r="V1" s="4" t="str">
        <f t="shared" si="1"/>
        <v>Sun</v>
      </c>
      <c r="W1" s="4" t="str">
        <f t="shared" si="1"/>
        <v>Mon</v>
      </c>
      <c r="X1" s="4" t="str">
        <f t="shared" si="1"/>
        <v>Tue</v>
      </c>
      <c r="Y1" s="4" t="str">
        <f t="shared" si="1"/>
        <v>Wed</v>
      </c>
      <c r="Z1" s="4" t="str">
        <f t="shared" si="1"/>
        <v>Thu</v>
      </c>
      <c r="AA1" s="4" t="str">
        <f t="shared" si="1"/>
        <v>Fri</v>
      </c>
      <c r="AB1" s="4" t="str">
        <f t="shared" si="1"/>
        <v>Sat</v>
      </c>
      <c r="AC1" s="4" t="str">
        <f t="shared" si="1"/>
        <v>Sun</v>
      </c>
      <c r="AD1" s="4" t="s">
        <v>124</v>
      </c>
      <c r="AE1" s="4" t="str">
        <f t="shared" ref="AE1:AG1" si="2">TEXT(AE2,"ddd")</f>
        <v>Tue</v>
      </c>
      <c r="AF1" s="4" t="str">
        <f t="shared" si="2"/>
        <v>Wed</v>
      </c>
      <c r="AG1" s="4" t="str">
        <f t="shared" si="2"/>
        <v>Thu</v>
      </c>
    </row>
    <row r="2" spans="1:33" x14ac:dyDescent="0.35">
      <c r="A2" s="7" t="s">
        <v>0</v>
      </c>
      <c r="B2" s="58">
        <v>44620</v>
      </c>
      <c r="C2" s="58">
        <v>44621</v>
      </c>
      <c r="D2" s="58">
        <v>44622</v>
      </c>
      <c r="E2" s="58">
        <v>44623</v>
      </c>
      <c r="F2" s="58">
        <v>44624</v>
      </c>
      <c r="G2" s="58">
        <v>44625</v>
      </c>
      <c r="H2" s="58">
        <v>44626</v>
      </c>
      <c r="I2" s="58">
        <v>44627</v>
      </c>
      <c r="J2" s="58">
        <v>44628</v>
      </c>
      <c r="K2" s="58">
        <v>44629</v>
      </c>
      <c r="L2" s="58">
        <v>44630</v>
      </c>
      <c r="M2" s="58">
        <v>44631</v>
      </c>
      <c r="N2" s="58">
        <v>44632</v>
      </c>
      <c r="O2" s="58">
        <v>44633</v>
      </c>
      <c r="P2" s="58">
        <v>44634</v>
      </c>
      <c r="Q2" s="58">
        <v>44635</v>
      </c>
      <c r="R2" s="58">
        <v>44636</v>
      </c>
      <c r="S2" s="58">
        <v>44637</v>
      </c>
      <c r="T2" s="58">
        <v>44638</v>
      </c>
      <c r="U2" s="58">
        <v>44639</v>
      </c>
      <c r="V2" s="58">
        <v>44640</v>
      </c>
      <c r="W2" s="58">
        <v>44641</v>
      </c>
      <c r="X2" s="58">
        <v>44642</v>
      </c>
      <c r="Y2" s="58">
        <v>44643</v>
      </c>
      <c r="Z2" s="58">
        <v>44644</v>
      </c>
      <c r="AA2" s="58">
        <v>44645</v>
      </c>
      <c r="AB2" s="58">
        <v>44646</v>
      </c>
      <c r="AC2" s="58">
        <v>44647</v>
      </c>
      <c r="AD2" s="58">
        <v>44648</v>
      </c>
      <c r="AE2" s="58">
        <v>44649</v>
      </c>
      <c r="AF2" s="58">
        <v>44650</v>
      </c>
      <c r="AG2" s="58">
        <v>44651</v>
      </c>
    </row>
    <row r="3" spans="1:33" x14ac:dyDescent="0.35">
      <c r="A3" s="8"/>
      <c r="B3" s="32"/>
      <c r="C3" s="34"/>
      <c r="D3" s="35"/>
      <c r="E3" s="33"/>
      <c r="F3" s="34"/>
      <c r="G3" s="35"/>
      <c r="H3" s="36"/>
      <c r="I3" s="32"/>
      <c r="J3" s="32"/>
      <c r="K3" s="32"/>
      <c r="L3" s="33"/>
      <c r="M3" s="34"/>
      <c r="N3" s="35"/>
      <c r="O3" s="36"/>
      <c r="P3" s="32"/>
      <c r="Q3" s="32"/>
      <c r="R3" s="32"/>
      <c r="S3" s="33"/>
      <c r="T3" s="34"/>
      <c r="U3" s="35"/>
      <c r="V3" s="36"/>
      <c r="W3" s="32"/>
      <c r="X3" s="32"/>
      <c r="Y3" s="32"/>
      <c r="Z3" s="33"/>
      <c r="AA3" s="34"/>
      <c r="AB3" s="35"/>
      <c r="AC3" s="36"/>
      <c r="AD3" s="32"/>
      <c r="AE3" s="32"/>
      <c r="AF3" s="32"/>
      <c r="AG3" s="32"/>
    </row>
    <row r="4" spans="1:33" x14ac:dyDescent="0.35">
      <c r="A4" s="9" t="s">
        <v>1</v>
      </c>
      <c r="B4" s="12" t="s">
        <v>2</v>
      </c>
      <c r="C4" s="60" t="s">
        <v>40</v>
      </c>
      <c r="D4" s="16" t="s">
        <v>8</v>
      </c>
      <c r="E4" s="16" t="s">
        <v>8</v>
      </c>
      <c r="F4" s="16" t="s">
        <v>8</v>
      </c>
      <c r="G4" s="29" t="s">
        <v>4</v>
      </c>
      <c r="H4" s="60" t="s">
        <v>40</v>
      </c>
      <c r="I4" s="12" t="s">
        <v>2</v>
      </c>
      <c r="J4" s="10" t="s">
        <v>39</v>
      </c>
      <c r="K4" s="10" t="s">
        <v>39</v>
      </c>
      <c r="L4" s="10" t="s">
        <v>39</v>
      </c>
      <c r="M4" s="12" t="s">
        <v>2</v>
      </c>
      <c r="N4" s="60" t="s">
        <v>40</v>
      </c>
      <c r="O4" s="25" t="s">
        <v>3</v>
      </c>
      <c r="P4" s="16" t="s">
        <v>8</v>
      </c>
      <c r="Q4" s="16" t="s">
        <v>8</v>
      </c>
      <c r="R4" s="12" t="s">
        <v>2</v>
      </c>
      <c r="S4" s="10" t="s">
        <v>39</v>
      </c>
      <c r="T4" s="25" t="s">
        <v>3</v>
      </c>
      <c r="U4" s="60" t="s">
        <v>40</v>
      </c>
      <c r="V4" s="60" t="s">
        <v>40</v>
      </c>
      <c r="W4" s="12" t="s">
        <v>2</v>
      </c>
      <c r="X4" s="10" t="s">
        <v>39</v>
      </c>
      <c r="Y4" s="25" t="s">
        <v>6</v>
      </c>
      <c r="Z4" s="10" t="s">
        <v>39</v>
      </c>
      <c r="AA4" s="13" t="s">
        <v>5</v>
      </c>
      <c r="AB4" s="68" t="s">
        <v>4</v>
      </c>
      <c r="AC4" s="68" t="s">
        <v>4</v>
      </c>
      <c r="AD4" s="13" t="s">
        <v>5</v>
      </c>
      <c r="AE4" s="10" t="s">
        <v>39</v>
      </c>
      <c r="AF4" s="10" t="s">
        <v>39</v>
      </c>
      <c r="AG4" s="22" t="s">
        <v>16</v>
      </c>
    </row>
    <row r="5" spans="1:33" x14ac:dyDescent="0.35">
      <c r="A5" s="9" t="s">
        <v>9</v>
      </c>
      <c r="B5" s="17" t="s">
        <v>10</v>
      </c>
      <c r="C5" s="17" t="s">
        <v>11</v>
      </c>
      <c r="D5" s="12" t="s">
        <v>2</v>
      </c>
      <c r="E5" s="25" t="s">
        <v>6</v>
      </c>
      <c r="F5" s="25" t="s">
        <v>6</v>
      </c>
      <c r="G5" s="25" t="s">
        <v>3</v>
      </c>
      <c r="H5" s="17" t="s">
        <v>11</v>
      </c>
      <c r="I5" s="17" t="s">
        <v>10</v>
      </c>
      <c r="J5" s="17" t="s">
        <v>10</v>
      </c>
      <c r="K5" s="17" t="s">
        <v>10</v>
      </c>
      <c r="L5" s="12" t="s">
        <v>2</v>
      </c>
      <c r="M5" s="13" t="s">
        <v>5</v>
      </c>
      <c r="N5" s="68" t="s">
        <v>4</v>
      </c>
      <c r="O5" s="68" t="s">
        <v>4</v>
      </c>
      <c r="P5" s="13" t="s">
        <v>5</v>
      </c>
      <c r="Q5" s="13" t="s">
        <v>5</v>
      </c>
      <c r="R5" s="17" t="s">
        <v>10</v>
      </c>
      <c r="S5" s="13" t="s">
        <v>5</v>
      </c>
      <c r="T5" s="25" t="s">
        <v>3</v>
      </c>
      <c r="U5" s="25" t="s">
        <v>3</v>
      </c>
      <c r="V5" s="17" t="s">
        <v>11</v>
      </c>
      <c r="W5" s="17" t="s">
        <v>10</v>
      </c>
      <c r="X5" s="17" t="s">
        <v>10</v>
      </c>
      <c r="Y5" s="17" t="s">
        <v>10</v>
      </c>
      <c r="Z5" s="17" t="s">
        <v>10</v>
      </c>
      <c r="AA5" s="12" t="s">
        <v>2</v>
      </c>
      <c r="AB5" s="25" t="s">
        <v>3</v>
      </c>
      <c r="AC5" s="25" t="s">
        <v>3</v>
      </c>
      <c r="AD5" s="25" t="s">
        <v>6</v>
      </c>
      <c r="AE5" s="12" t="s">
        <v>2</v>
      </c>
      <c r="AF5" s="25" t="s">
        <v>6</v>
      </c>
      <c r="AG5" s="25" t="s">
        <v>6</v>
      </c>
    </row>
    <row r="6" spans="1:33" x14ac:dyDescent="0.35">
      <c r="A6" s="9" t="s">
        <v>12</v>
      </c>
      <c r="B6" s="25" t="s">
        <v>6</v>
      </c>
      <c r="C6" s="25" t="s">
        <v>3</v>
      </c>
      <c r="D6" s="25" t="s">
        <v>6</v>
      </c>
      <c r="E6" s="12" t="s">
        <v>2</v>
      </c>
      <c r="F6" s="12" t="s">
        <v>2</v>
      </c>
      <c r="G6" s="29" t="s">
        <v>4</v>
      </c>
      <c r="H6" s="29" t="s">
        <v>4</v>
      </c>
      <c r="I6" s="25" t="s">
        <v>6</v>
      </c>
      <c r="J6" s="13" t="s">
        <v>95</v>
      </c>
      <c r="K6" s="10" t="s">
        <v>41</v>
      </c>
      <c r="L6" s="17" t="s">
        <v>10</v>
      </c>
      <c r="M6" s="17" t="s">
        <v>10</v>
      </c>
      <c r="N6" s="29" t="s">
        <v>4</v>
      </c>
      <c r="O6" s="60" t="s">
        <v>42</v>
      </c>
      <c r="P6" s="25" t="s">
        <v>6</v>
      </c>
      <c r="Q6" s="25" t="s">
        <v>6</v>
      </c>
      <c r="R6" s="25" t="s">
        <v>6</v>
      </c>
      <c r="S6" s="13" t="s">
        <v>5</v>
      </c>
      <c r="T6" s="28" t="s">
        <v>37</v>
      </c>
      <c r="U6" s="68" t="s">
        <v>4</v>
      </c>
      <c r="V6" s="68" t="s">
        <v>4</v>
      </c>
      <c r="W6" s="25" t="s">
        <v>6</v>
      </c>
      <c r="X6" s="25" t="s">
        <v>6</v>
      </c>
      <c r="Y6" s="12" t="s">
        <v>2</v>
      </c>
      <c r="Z6" s="25" t="s">
        <v>6</v>
      </c>
      <c r="AA6" s="25" t="s">
        <v>6</v>
      </c>
      <c r="AB6" s="60" t="s">
        <v>42</v>
      </c>
      <c r="AC6" s="60" t="s">
        <v>42</v>
      </c>
      <c r="AD6" s="12" t="s">
        <v>2</v>
      </c>
      <c r="AE6" s="17" t="s">
        <v>10</v>
      </c>
      <c r="AF6" s="17" t="s">
        <v>10</v>
      </c>
      <c r="AG6" s="17" t="s">
        <v>10</v>
      </c>
    </row>
    <row r="7" spans="1:33" x14ac:dyDescent="0.35">
      <c r="A7" s="9" t="s">
        <v>13</v>
      </c>
      <c r="B7" s="12" t="s">
        <v>2</v>
      </c>
      <c r="C7" s="60" t="s">
        <v>42</v>
      </c>
      <c r="D7" s="17" t="s">
        <v>10</v>
      </c>
      <c r="E7" s="17" t="s">
        <v>10</v>
      </c>
      <c r="F7" s="17" t="s">
        <v>10</v>
      </c>
      <c r="G7" s="17" t="s">
        <v>11</v>
      </c>
      <c r="H7" s="29" t="s">
        <v>4</v>
      </c>
      <c r="I7" s="12" t="s">
        <v>2</v>
      </c>
      <c r="J7" s="25" t="s">
        <v>6</v>
      </c>
      <c r="K7" s="25" t="s">
        <v>6</v>
      </c>
      <c r="L7" s="25" t="s">
        <v>6</v>
      </c>
      <c r="M7" s="25" t="s">
        <v>6</v>
      </c>
      <c r="N7" s="68" t="s">
        <v>4</v>
      </c>
      <c r="O7" s="68" t="s">
        <v>4</v>
      </c>
      <c r="P7" s="10" t="s">
        <v>41</v>
      </c>
      <c r="Q7" s="10" t="s">
        <v>41</v>
      </c>
      <c r="R7" s="12" t="s">
        <v>2</v>
      </c>
      <c r="S7" s="25" t="s">
        <v>3</v>
      </c>
      <c r="T7" s="60" t="s">
        <v>42</v>
      </c>
      <c r="U7" s="25" t="s">
        <v>3</v>
      </c>
      <c r="V7" s="25" t="s">
        <v>3</v>
      </c>
      <c r="W7" s="12" t="s">
        <v>2</v>
      </c>
      <c r="X7" s="12" t="s">
        <v>2</v>
      </c>
      <c r="Y7" s="13" t="s">
        <v>5</v>
      </c>
      <c r="Z7" s="25" t="s">
        <v>6</v>
      </c>
      <c r="AA7" s="10" t="s">
        <v>41</v>
      </c>
      <c r="AB7" s="29" t="s">
        <v>4</v>
      </c>
      <c r="AC7" s="29" t="s">
        <v>4</v>
      </c>
      <c r="AD7" s="25" t="s">
        <v>6</v>
      </c>
      <c r="AE7" s="25" t="s">
        <v>6</v>
      </c>
      <c r="AF7" s="12" t="s">
        <v>2</v>
      </c>
      <c r="AG7" s="10" t="s">
        <v>41</v>
      </c>
    </row>
    <row r="8" spans="1:33" x14ac:dyDescent="0.35">
      <c r="A8" s="9" t="s">
        <v>14</v>
      </c>
      <c r="B8" s="13" t="s">
        <v>5</v>
      </c>
      <c r="C8" s="13" t="s">
        <v>37</v>
      </c>
      <c r="D8" s="10" t="s">
        <v>41</v>
      </c>
      <c r="E8" s="10" t="s">
        <v>41</v>
      </c>
      <c r="F8" s="10" t="s">
        <v>41</v>
      </c>
      <c r="G8" s="60" t="s">
        <v>42</v>
      </c>
      <c r="H8" s="68" t="s">
        <v>4</v>
      </c>
      <c r="I8" s="13" t="s">
        <v>5</v>
      </c>
      <c r="J8" s="13" t="s">
        <v>5</v>
      </c>
      <c r="K8" s="25" t="s">
        <v>6</v>
      </c>
      <c r="L8" s="25" t="s">
        <v>6</v>
      </c>
      <c r="M8" s="10" t="s">
        <v>41</v>
      </c>
      <c r="N8" s="25" t="s">
        <v>3</v>
      </c>
      <c r="O8" s="60" t="s">
        <v>42</v>
      </c>
      <c r="P8" s="12" t="s">
        <v>2</v>
      </c>
      <c r="Q8" s="10" t="s">
        <v>41</v>
      </c>
      <c r="R8" s="10" t="s">
        <v>41</v>
      </c>
      <c r="S8" s="17" t="s">
        <v>10</v>
      </c>
      <c r="T8" s="17" t="s">
        <v>11</v>
      </c>
      <c r="U8" s="17" t="s">
        <v>11</v>
      </c>
      <c r="V8" s="17" t="s">
        <v>11</v>
      </c>
      <c r="W8" s="13" t="s">
        <v>5</v>
      </c>
      <c r="X8" s="13" t="s">
        <v>5</v>
      </c>
      <c r="Y8" s="13" t="s">
        <v>5</v>
      </c>
      <c r="Z8" s="13" t="s">
        <v>5</v>
      </c>
      <c r="AA8" s="13" t="s">
        <v>5</v>
      </c>
      <c r="AB8" s="29" t="s">
        <v>4</v>
      </c>
      <c r="AC8" s="29" t="s">
        <v>4</v>
      </c>
      <c r="AD8" s="10" t="s">
        <v>41</v>
      </c>
      <c r="AE8" s="10" t="s">
        <v>41</v>
      </c>
      <c r="AF8" s="10" t="s">
        <v>41</v>
      </c>
      <c r="AG8" s="12" t="s">
        <v>2</v>
      </c>
    </row>
    <row r="9" spans="1:33" ht="15" thickBot="1" x14ac:dyDescent="0.4">
      <c r="A9" s="9" t="s">
        <v>15</v>
      </c>
      <c r="B9" s="19" t="s">
        <v>41</v>
      </c>
      <c r="C9" s="17" t="s">
        <v>11</v>
      </c>
      <c r="D9" s="17" t="s">
        <v>10</v>
      </c>
      <c r="E9" s="17" t="s">
        <v>10</v>
      </c>
      <c r="F9" s="17" t="s">
        <v>10</v>
      </c>
      <c r="G9" s="29" t="s">
        <v>4</v>
      </c>
      <c r="H9" s="25" t="s">
        <v>3</v>
      </c>
      <c r="I9" s="10" t="s">
        <v>41</v>
      </c>
      <c r="J9" s="10" t="s">
        <v>41</v>
      </c>
      <c r="K9" s="10" t="s">
        <v>41</v>
      </c>
      <c r="L9" s="12" t="s">
        <v>2</v>
      </c>
      <c r="M9" s="12" t="s">
        <v>2</v>
      </c>
      <c r="N9" s="17" t="s">
        <v>11</v>
      </c>
      <c r="O9" s="17" t="s">
        <v>11</v>
      </c>
      <c r="P9" s="17" t="s">
        <v>10</v>
      </c>
      <c r="Q9" s="17" t="s">
        <v>10</v>
      </c>
      <c r="R9" s="17" t="s">
        <v>10</v>
      </c>
      <c r="S9" s="12" t="s">
        <v>2</v>
      </c>
      <c r="T9" s="28" t="s">
        <v>37</v>
      </c>
      <c r="U9" s="29" t="s">
        <v>4</v>
      </c>
      <c r="V9" s="25" t="s">
        <v>3</v>
      </c>
      <c r="W9" s="25" t="s">
        <v>6</v>
      </c>
      <c r="X9" s="12" t="s">
        <v>2</v>
      </c>
      <c r="Y9" s="25" t="s">
        <v>6</v>
      </c>
      <c r="Z9" s="10" t="s">
        <v>41</v>
      </c>
      <c r="AA9" s="10" t="s">
        <v>41</v>
      </c>
      <c r="AB9" s="66" t="s">
        <v>30</v>
      </c>
      <c r="AC9" s="60" t="s">
        <v>42</v>
      </c>
      <c r="AD9" s="12" t="s">
        <v>2</v>
      </c>
      <c r="AE9" s="12" t="s">
        <v>2</v>
      </c>
      <c r="AF9" s="10" t="s">
        <v>41</v>
      </c>
      <c r="AG9" s="10" t="s">
        <v>41</v>
      </c>
    </row>
    <row r="10" spans="1:33" x14ac:dyDescent="0.35">
      <c r="A10" s="9" t="s">
        <v>18</v>
      </c>
      <c r="B10" s="25" t="s">
        <v>6</v>
      </c>
      <c r="C10" s="13" t="s">
        <v>37</v>
      </c>
      <c r="D10" s="10" t="s">
        <v>41</v>
      </c>
      <c r="E10" s="10" t="s">
        <v>41</v>
      </c>
      <c r="F10" s="10" t="s">
        <v>41</v>
      </c>
      <c r="G10" s="25" t="s">
        <v>3</v>
      </c>
      <c r="H10" s="29" t="s">
        <v>4</v>
      </c>
      <c r="I10" s="25" t="s">
        <v>6</v>
      </c>
      <c r="J10" s="25" t="s">
        <v>6</v>
      </c>
      <c r="K10" s="25" t="s">
        <v>6</v>
      </c>
      <c r="L10" s="12" t="s">
        <v>2</v>
      </c>
      <c r="M10" s="25" t="s">
        <v>6</v>
      </c>
      <c r="N10" s="60" t="s">
        <v>42</v>
      </c>
      <c r="O10" s="29" t="s">
        <v>4</v>
      </c>
      <c r="P10" s="10" t="s">
        <v>41</v>
      </c>
      <c r="Q10" s="12" t="s">
        <v>2</v>
      </c>
      <c r="R10" s="25" t="s">
        <v>6</v>
      </c>
      <c r="S10" s="25" t="s">
        <v>6</v>
      </c>
      <c r="T10" s="25" t="s">
        <v>3</v>
      </c>
      <c r="U10" s="29" t="s">
        <v>4</v>
      </c>
      <c r="V10" s="29" t="s">
        <v>4</v>
      </c>
      <c r="W10" s="10" t="s">
        <v>41</v>
      </c>
      <c r="X10" s="10" t="s">
        <v>41</v>
      </c>
      <c r="Y10" s="10" t="s">
        <v>41</v>
      </c>
      <c r="Z10" s="12" t="s">
        <v>2</v>
      </c>
      <c r="AA10" s="17" t="s">
        <v>10</v>
      </c>
      <c r="AB10" s="17" t="s">
        <v>11</v>
      </c>
      <c r="AC10" s="17" t="s">
        <v>11</v>
      </c>
      <c r="AD10" s="17" t="s">
        <v>10</v>
      </c>
      <c r="AE10" s="12" t="s">
        <v>2</v>
      </c>
      <c r="AF10" s="12" t="s">
        <v>2</v>
      </c>
      <c r="AG10" s="10" t="s">
        <v>41</v>
      </c>
    </row>
    <row r="11" spans="1:33" ht="14.15" customHeight="1" x14ac:dyDescent="0.35">
      <c r="A11" s="9" t="s">
        <v>21</v>
      </c>
      <c r="B11" s="17" t="s">
        <v>10</v>
      </c>
      <c r="C11" s="13" t="s">
        <v>37</v>
      </c>
      <c r="D11" s="12" t="s">
        <v>2</v>
      </c>
      <c r="E11" s="25" t="s">
        <v>6</v>
      </c>
      <c r="F11" s="25" t="s">
        <v>6</v>
      </c>
      <c r="G11" s="60" t="s">
        <v>42</v>
      </c>
      <c r="H11" s="60" t="s">
        <v>42</v>
      </c>
      <c r="I11" s="10" t="s">
        <v>41</v>
      </c>
      <c r="J11" s="12" t="s">
        <v>2</v>
      </c>
      <c r="K11" s="10" t="s">
        <v>41</v>
      </c>
      <c r="L11" s="10" t="s">
        <v>41</v>
      </c>
      <c r="M11" s="10" t="s">
        <v>41</v>
      </c>
      <c r="N11" s="29" t="s">
        <v>4</v>
      </c>
      <c r="O11" s="29" t="s">
        <v>4</v>
      </c>
      <c r="P11" s="25" t="s">
        <v>6</v>
      </c>
      <c r="Q11" s="25" t="s">
        <v>6</v>
      </c>
      <c r="R11" s="25" t="s">
        <v>6</v>
      </c>
      <c r="S11" s="25" t="s">
        <v>6</v>
      </c>
      <c r="T11" s="28" t="s">
        <v>37</v>
      </c>
      <c r="U11" s="60" t="s">
        <v>42</v>
      </c>
      <c r="V11" s="60" t="s">
        <v>42</v>
      </c>
      <c r="W11" s="12" t="s">
        <v>2</v>
      </c>
      <c r="X11" s="17" t="s">
        <v>10</v>
      </c>
      <c r="Y11" s="17" t="s">
        <v>10</v>
      </c>
      <c r="Z11" s="17" t="s">
        <v>10</v>
      </c>
      <c r="AA11" s="17" t="s">
        <v>10</v>
      </c>
      <c r="AB11" s="29" t="s">
        <v>4</v>
      </c>
      <c r="AC11" s="29" t="s">
        <v>4</v>
      </c>
      <c r="AD11" s="17" t="s">
        <v>10</v>
      </c>
      <c r="AE11" s="17" t="s">
        <v>10</v>
      </c>
      <c r="AF11" s="17" t="s">
        <v>10</v>
      </c>
      <c r="AG11" s="17" t="s">
        <v>10</v>
      </c>
    </row>
    <row r="12" spans="1:33" x14ac:dyDescent="0.35">
      <c r="A12" s="9" t="s">
        <v>43</v>
      </c>
      <c r="B12" s="23" t="s">
        <v>17</v>
      </c>
      <c r="C12" s="13" t="s">
        <v>37</v>
      </c>
      <c r="D12" s="25" t="s">
        <v>6</v>
      </c>
      <c r="E12" s="25" t="s">
        <v>6</v>
      </c>
      <c r="F12" s="12" t="s">
        <v>2</v>
      </c>
      <c r="G12" s="17" t="s">
        <v>11</v>
      </c>
      <c r="H12" s="17" t="s">
        <v>11</v>
      </c>
      <c r="I12" s="17" t="s">
        <v>10</v>
      </c>
      <c r="J12" s="17" t="s">
        <v>10</v>
      </c>
      <c r="K12" s="17" t="s">
        <v>10</v>
      </c>
      <c r="L12" s="12" t="s">
        <v>2</v>
      </c>
      <c r="M12" s="10" t="s">
        <v>41</v>
      </c>
      <c r="N12" s="29" t="s">
        <v>4</v>
      </c>
      <c r="O12" s="29" t="s">
        <v>4</v>
      </c>
      <c r="P12" s="10" t="s">
        <v>41</v>
      </c>
      <c r="Q12" s="10" t="s">
        <v>41</v>
      </c>
      <c r="R12" s="10" t="s">
        <v>41</v>
      </c>
      <c r="S12" s="10" t="s">
        <v>41</v>
      </c>
      <c r="T12" s="60" t="s">
        <v>42</v>
      </c>
      <c r="U12" s="29" t="s">
        <v>4</v>
      </c>
      <c r="V12" s="29" t="s">
        <v>4</v>
      </c>
      <c r="W12" s="10" t="s">
        <v>41</v>
      </c>
      <c r="X12" s="25" t="s">
        <v>6</v>
      </c>
      <c r="Y12" s="25" t="s">
        <v>6</v>
      </c>
      <c r="Z12" s="12" t="s">
        <v>2</v>
      </c>
      <c r="AA12" s="12" t="s">
        <v>2</v>
      </c>
      <c r="AB12" s="17" t="s">
        <v>11</v>
      </c>
      <c r="AC12" s="17" t="s">
        <v>11</v>
      </c>
      <c r="AD12" s="12" t="s">
        <v>2</v>
      </c>
      <c r="AE12" s="10" t="s">
        <v>41</v>
      </c>
      <c r="AF12" s="25" t="s">
        <v>6</v>
      </c>
      <c r="AG12" s="25" t="s">
        <v>6</v>
      </c>
    </row>
    <row r="13" spans="1:33" x14ac:dyDescent="0.35">
      <c r="A13" s="9" t="s">
        <v>86</v>
      </c>
      <c r="B13" s="19" t="s">
        <v>41</v>
      </c>
      <c r="C13" s="25" t="s">
        <v>3</v>
      </c>
      <c r="D13" s="25" t="s">
        <v>6</v>
      </c>
      <c r="E13" s="25" t="s">
        <v>6</v>
      </c>
      <c r="F13" s="25" t="s">
        <v>6</v>
      </c>
      <c r="G13" s="29" t="s">
        <v>4</v>
      </c>
      <c r="H13" s="25" t="s">
        <v>3</v>
      </c>
      <c r="I13" s="25" t="s">
        <v>6</v>
      </c>
      <c r="J13" s="25" t="s">
        <v>6</v>
      </c>
      <c r="K13" s="12" t="s">
        <v>2</v>
      </c>
      <c r="L13" s="17" t="s">
        <v>10</v>
      </c>
      <c r="M13" s="17" t="s">
        <v>10</v>
      </c>
      <c r="N13" s="17" t="s">
        <v>11</v>
      </c>
      <c r="O13" s="17" t="s">
        <v>11</v>
      </c>
      <c r="P13" s="17" t="s">
        <v>10</v>
      </c>
      <c r="Q13" s="17" t="s">
        <v>10</v>
      </c>
      <c r="R13" s="12" t="s">
        <v>2</v>
      </c>
      <c r="S13" s="17" t="s">
        <v>10</v>
      </c>
      <c r="T13" s="17" t="s">
        <v>11</v>
      </c>
      <c r="U13" s="17" t="s">
        <v>11</v>
      </c>
      <c r="V13" s="29" t="s">
        <v>4</v>
      </c>
      <c r="W13" s="17" t="s">
        <v>10</v>
      </c>
      <c r="X13" s="12" t="s">
        <v>2</v>
      </c>
      <c r="Y13" s="10" t="s">
        <v>41</v>
      </c>
      <c r="Z13" s="10" t="s">
        <v>41</v>
      </c>
      <c r="AA13" s="10" t="s">
        <v>41</v>
      </c>
      <c r="AB13" s="29" t="s">
        <v>4</v>
      </c>
      <c r="AC13" s="29" t="s">
        <v>4</v>
      </c>
      <c r="AD13" s="10" t="s">
        <v>41</v>
      </c>
      <c r="AE13" s="25" t="s">
        <v>6</v>
      </c>
      <c r="AF13" s="12" t="s">
        <v>2</v>
      </c>
      <c r="AG13" s="25" t="s">
        <v>6</v>
      </c>
    </row>
    <row r="14" spans="1:33" x14ac:dyDescent="0.35">
      <c r="A14" s="9" t="s">
        <v>22</v>
      </c>
      <c r="B14" s="19" t="s">
        <v>41</v>
      </c>
      <c r="C14" s="13" t="s">
        <v>5</v>
      </c>
      <c r="D14" s="10" t="s">
        <v>41</v>
      </c>
      <c r="E14" s="10" t="s">
        <v>41</v>
      </c>
      <c r="F14" s="10" t="s">
        <v>41</v>
      </c>
      <c r="G14" s="29" t="s">
        <v>4</v>
      </c>
      <c r="H14" s="29" t="s">
        <v>4</v>
      </c>
      <c r="I14" s="10" t="s">
        <v>41</v>
      </c>
      <c r="J14" s="10" t="s">
        <v>41</v>
      </c>
      <c r="K14" s="12" t="s">
        <v>2</v>
      </c>
      <c r="L14" s="25" t="s">
        <v>6</v>
      </c>
      <c r="M14" s="25" t="s">
        <v>6</v>
      </c>
      <c r="N14" s="25" t="s">
        <v>3</v>
      </c>
      <c r="O14" s="25" t="s">
        <v>3</v>
      </c>
      <c r="P14" s="12" t="s">
        <v>2</v>
      </c>
      <c r="Q14" s="25" t="s">
        <v>6</v>
      </c>
      <c r="R14" s="10" t="s">
        <v>41</v>
      </c>
      <c r="S14" s="10" t="s">
        <v>41</v>
      </c>
      <c r="T14" s="60" t="s">
        <v>42</v>
      </c>
      <c r="U14" s="29" t="s">
        <v>4</v>
      </c>
      <c r="V14" s="29" t="s">
        <v>4</v>
      </c>
      <c r="W14" s="25" t="s">
        <v>6</v>
      </c>
      <c r="X14" s="25" t="s">
        <v>6</v>
      </c>
      <c r="Y14" s="12" t="s">
        <v>2</v>
      </c>
      <c r="Z14" s="25" t="s">
        <v>6</v>
      </c>
      <c r="AA14" s="25" t="s">
        <v>6</v>
      </c>
      <c r="AB14" s="25" t="s">
        <v>3</v>
      </c>
      <c r="AC14" s="25" t="s">
        <v>3</v>
      </c>
      <c r="AD14" s="12" t="s">
        <v>2</v>
      </c>
      <c r="AE14" s="25" t="s">
        <v>6</v>
      </c>
      <c r="AF14" s="10" t="s">
        <v>41</v>
      </c>
      <c r="AG14" s="25" t="s">
        <v>6</v>
      </c>
    </row>
    <row r="15" spans="1:33" ht="15" thickBot="1" x14ac:dyDescent="0.4">
      <c r="A15" s="9" t="s">
        <v>71</v>
      </c>
      <c r="B15" s="12" t="s">
        <v>2</v>
      </c>
      <c r="C15" s="60" t="s">
        <v>42</v>
      </c>
      <c r="D15" s="10" t="s">
        <v>41</v>
      </c>
      <c r="E15" s="10" t="s">
        <v>41</v>
      </c>
      <c r="F15" s="10" t="s">
        <v>41</v>
      </c>
      <c r="G15" s="66" t="s">
        <v>30</v>
      </c>
      <c r="H15" s="29" t="s">
        <v>4</v>
      </c>
      <c r="I15" s="12" t="s">
        <v>2</v>
      </c>
      <c r="J15" s="10" t="s">
        <v>41</v>
      </c>
      <c r="K15" s="10" t="s">
        <v>41</v>
      </c>
      <c r="L15" s="10" t="s">
        <v>41</v>
      </c>
      <c r="M15" s="10" t="s">
        <v>41</v>
      </c>
      <c r="N15" s="66" t="s">
        <v>30</v>
      </c>
      <c r="O15" s="29" t="s">
        <v>4</v>
      </c>
      <c r="P15" s="13" t="s">
        <v>5</v>
      </c>
      <c r="Q15" s="13" t="s">
        <v>5</v>
      </c>
      <c r="R15" s="13" t="s">
        <v>5</v>
      </c>
      <c r="S15" s="13" t="s">
        <v>5</v>
      </c>
      <c r="T15" s="13" t="s">
        <v>37</v>
      </c>
      <c r="U15" s="68" t="s">
        <v>4</v>
      </c>
      <c r="V15" s="68" t="s">
        <v>4</v>
      </c>
      <c r="W15" s="10" t="s">
        <v>41</v>
      </c>
      <c r="X15" s="10" t="s">
        <v>41</v>
      </c>
      <c r="Y15" s="10" t="s">
        <v>41</v>
      </c>
      <c r="Z15" s="10" t="s">
        <v>41</v>
      </c>
      <c r="AA15" s="10" t="s">
        <v>41</v>
      </c>
      <c r="AB15" s="60" t="s">
        <v>42</v>
      </c>
      <c r="AC15" s="29" t="s">
        <v>4</v>
      </c>
      <c r="AD15" s="10" t="s">
        <v>41</v>
      </c>
      <c r="AE15" s="10" t="s">
        <v>41</v>
      </c>
      <c r="AF15" s="12" t="s">
        <v>2</v>
      </c>
      <c r="AG15" s="10" t="s">
        <v>41</v>
      </c>
    </row>
    <row r="16" spans="1:33" ht="15" thickBot="1" x14ac:dyDescent="0.4">
      <c r="A16" s="9" t="s">
        <v>87</v>
      </c>
      <c r="B16" s="25" t="s">
        <v>6</v>
      </c>
      <c r="C16" s="66" t="s">
        <v>30</v>
      </c>
      <c r="D16" s="25" t="s">
        <v>6</v>
      </c>
      <c r="E16" s="25" t="s">
        <v>6</v>
      </c>
      <c r="F16" s="13" t="s">
        <v>5</v>
      </c>
      <c r="G16" s="29" t="s">
        <v>4</v>
      </c>
      <c r="H16" s="29" t="s">
        <v>4</v>
      </c>
      <c r="I16" s="25" t="s">
        <v>6</v>
      </c>
      <c r="J16" s="25" t="s">
        <v>6</v>
      </c>
      <c r="K16" s="25" t="s">
        <v>6</v>
      </c>
      <c r="L16" s="25" t="s">
        <v>6</v>
      </c>
      <c r="M16" s="25" t="s">
        <v>6</v>
      </c>
      <c r="N16" s="29" t="s">
        <v>4</v>
      </c>
      <c r="O16" s="29" t="s">
        <v>4</v>
      </c>
      <c r="P16" s="25" t="s">
        <v>6</v>
      </c>
      <c r="Q16" s="25" t="s">
        <v>6</v>
      </c>
      <c r="R16" s="25" t="s">
        <v>6</v>
      </c>
      <c r="S16" s="13" t="s">
        <v>5</v>
      </c>
      <c r="T16" s="28" t="s">
        <v>37</v>
      </c>
      <c r="U16" s="66" t="s">
        <v>30</v>
      </c>
      <c r="V16" s="29" t="s">
        <v>4</v>
      </c>
      <c r="W16" s="25" t="s">
        <v>6</v>
      </c>
      <c r="X16" s="25" t="s">
        <v>6</v>
      </c>
      <c r="Y16" s="25" t="s">
        <v>6</v>
      </c>
      <c r="Z16" s="25" t="s">
        <v>6</v>
      </c>
      <c r="AA16" s="25" t="s">
        <v>6</v>
      </c>
      <c r="AB16" s="29" t="s">
        <v>4</v>
      </c>
      <c r="AC16" s="29" t="s">
        <v>4</v>
      </c>
      <c r="AD16" s="27" t="s">
        <v>34</v>
      </c>
      <c r="AE16" s="27" t="s">
        <v>34</v>
      </c>
      <c r="AF16" s="25" t="s">
        <v>6</v>
      </c>
      <c r="AG16" s="25" t="s">
        <v>6</v>
      </c>
    </row>
    <row r="17" spans="1:33" x14ac:dyDescent="0.35">
      <c r="A17" s="9" t="s">
        <v>85</v>
      </c>
      <c r="B17" s="22" t="s">
        <v>16</v>
      </c>
      <c r="C17" s="28" t="s">
        <v>37</v>
      </c>
      <c r="D17" s="22" t="s">
        <v>16</v>
      </c>
      <c r="E17" s="22" t="s">
        <v>16</v>
      </c>
      <c r="F17" s="22" t="s">
        <v>16</v>
      </c>
      <c r="G17" s="29" t="s">
        <v>4</v>
      </c>
      <c r="H17" s="29" t="s">
        <v>4</v>
      </c>
      <c r="I17" s="22" t="s">
        <v>16</v>
      </c>
      <c r="J17" s="22" t="s">
        <v>16</v>
      </c>
      <c r="K17" s="22" t="s">
        <v>16</v>
      </c>
      <c r="L17" s="22" t="s">
        <v>16</v>
      </c>
      <c r="M17" s="22" t="s">
        <v>16</v>
      </c>
      <c r="N17" s="29" t="s">
        <v>4</v>
      </c>
      <c r="O17" s="29" t="s">
        <v>4</v>
      </c>
      <c r="P17" s="25" t="s">
        <v>6</v>
      </c>
      <c r="Q17" s="22" t="s">
        <v>16</v>
      </c>
      <c r="R17" s="10" t="s">
        <v>41</v>
      </c>
      <c r="S17" s="25" t="s">
        <v>6</v>
      </c>
      <c r="T17" s="28" t="s">
        <v>37</v>
      </c>
      <c r="U17" s="29" t="s">
        <v>4</v>
      </c>
      <c r="V17" s="29" t="s">
        <v>4</v>
      </c>
      <c r="W17" s="10" t="s">
        <v>41</v>
      </c>
      <c r="X17" s="10" t="s">
        <v>41</v>
      </c>
      <c r="Y17" s="22" t="s">
        <v>16</v>
      </c>
      <c r="Z17" s="22" t="s">
        <v>16</v>
      </c>
      <c r="AA17" s="22" t="s">
        <v>16</v>
      </c>
      <c r="AB17" s="29" t="s">
        <v>4</v>
      </c>
      <c r="AC17" s="29" t="s">
        <v>4</v>
      </c>
      <c r="AD17" s="10" t="s">
        <v>41</v>
      </c>
      <c r="AE17" s="10" t="s">
        <v>41</v>
      </c>
      <c r="AF17" s="16" t="s">
        <v>8</v>
      </c>
      <c r="AG17" s="16" t="s">
        <v>8</v>
      </c>
    </row>
    <row r="18" spans="1:33" x14ac:dyDescent="0.35">
      <c r="A18" s="9" t="s">
        <v>88</v>
      </c>
      <c r="B18" s="22" t="s">
        <v>16</v>
      </c>
      <c r="C18" s="28" t="s">
        <v>37</v>
      </c>
      <c r="D18" s="22" t="s">
        <v>16</v>
      </c>
      <c r="E18" s="22" t="s">
        <v>16</v>
      </c>
      <c r="F18" s="22" t="s">
        <v>16</v>
      </c>
      <c r="G18" s="29" t="s">
        <v>4</v>
      </c>
      <c r="H18" s="29" t="s">
        <v>4</v>
      </c>
      <c r="I18" s="22" t="s">
        <v>16</v>
      </c>
      <c r="J18" s="22" t="s">
        <v>16</v>
      </c>
      <c r="K18" s="22" t="s">
        <v>16</v>
      </c>
      <c r="L18" s="10" t="s">
        <v>41</v>
      </c>
      <c r="M18" s="22" t="s">
        <v>16</v>
      </c>
      <c r="N18" s="29" t="s">
        <v>4</v>
      </c>
      <c r="O18" s="29" t="s">
        <v>4</v>
      </c>
      <c r="P18" s="10" t="s">
        <v>41</v>
      </c>
      <c r="Q18" s="10" t="s">
        <v>41</v>
      </c>
      <c r="R18" s="16" t="s">
        <v>8</v>
      </c>
      <c r="S18" s="16" t="s">
        <v>8</v>
      </c>
      <c r="T18" s="28" t="s">
        <v>37</v>
      </c>
      <c r="U18" s="29" t="s">
        <v>4</v>
      </c>
      <c r="V18" s="29" t="s">
        <v>4</v>
      </c>
      <c r="W18" s="16" t="s">
        <v>8</v>
      </c>
      <c r="X18" s="16" t="s">
        <v>8</v>
      </c>
      <c r="Y18" s="16" t="s">
        <v>8</v>
      </c>
      <c r="Z18" s="16" t="s">
        <v>8</v>
      </c>
      <c r="AA18" s="16" t="s">
        <v>8</v>
      </c>
      <c r="AB18" s="29" t="s">
        <v>4</v>
      </c>
      <c r="AC18" s="29" t="s">
        <v>4</v>
      </c>
      <c r="AD18" s="25" t="s">
        <v>6</v>
      </c>
      <c r="AE18" s="25" t="s">
        <v>6</v>
      </c>
      <c r="AF18" s="25" t="s">
        <v>6</v>
      </c>
      <c r="AG18" s="22" t="s">
        <v>16</v>
      </c>
    </row>
    <row r="19" spans="1:33" x14ac:dyDescent="0.35">
      <c r="A19" s="9" t="s">
        <v>89</v>
      </c>
      <c r="B19" s="22" t="s">
        <v>16</v>
      </c>
      <c r="C19" s="28" t="s">
        <v>37</v>
      </c>
      <c r="D19" s="22" t="s">
        <v>16</v>
      </c>
      <c r="E19" s="22" t="s">
        <v>16</v>
      </c>
      <c r="F19" s="22" t="s">
        <v>16</v>
      </c>
      <c r="G19" s="29" t="s">
        <v>4</v>
      </c>
      <c r="H19" s="29" t="s">
        <v>4</v>
      </c>
      <c r="I19" s="22" t="s">
        <v>16</v>
      </c>
      <c r="J19" s="13" t="s">
        <v>95</v>
      </c>
      <c r="K19" s="22" t="s">
        <v>16</v>
      </c>
      <c r="L19" s="22" t="s">
        <v>16</v>
      </c>
      <c r="M19" s="22" t="s">
        <v>16</v>
      </c>
      <c r="N19" s="29" t="s">
        <v>4</v>
      </c>
      <c r="O19" s="29" t="s">
        <v>4</v>
      </c>
      <c r="P19" s="22" t="s">
        <v>16</v>
      </c>
      <c r="Q19" s="22" t="s">
        <v>16</v>
      </c>
      <c r="R19" s="22" t="s">
        <v>16</v>
      </c>
      <c r="S19" s="22" t="s">
        <v>16</v>
      </c>
      <c r="T19" s="28" t="s">
        <v>37</v>
      </c>
      <c r="U19" s="29" t="s">
        <v>4</v>
      </c>
      <c r="V19" s="29" t="s">
        <v>4</v>
      </c>
      <c r="W19" s="22" t="s">
        <v>16</v>
      </c>
      <c r="X19" s="22" t="s">
        <v>16</v>
      </c>
      <c r="Y19" s="22" t="s">
        <v>16</v>
      </c>
      <c r="Z19" s="22" t="s">
        <v>16</v>
      </c>
      <c r="AA19" s="25" t="s">
        <v>6</v>
      </c>
      <c r="AB19" s="29" t="s">
        <v>4</v>
      </c>
      <c r="AC19" s="29" t="s">
        <v>4</v>
      </c>
      <c r="AD19" s="25" t="s">
        <v>6</v>
      </c>
      <c r="AE19" s="22" t="s">
        <v>16</v>
      </c>
      <c r="AF19" s="22" t="s">
        <v>16</v>
      </c>
      <c r="AG19" s="22" t="s">
        <v>16</v>
      </c>
    </row>
    <row r="21" spans="1:33" x14ac:dyDescent="0.35">
      <c r="A21" s="24" t="s">
        <v>23</v>
      </c>
    </row>
    <row r="22" spans="1:33" x14ac:dyDescent="0.35">
      <c r="A22" s="1" t="s">
        <v>24</v>
      </c>
    </row>
    <row r="23" spans="1:33" x14ac:dyDescent="0.35">
      <c r="A23" s="1" t="s">
        <v>25</v>
      </c>
    </row>
    <row r="24" spans="1:33" x14ac:dyDescent="0.35">
      <c r="A24" s="1" t="s">
        <v>47</v>
      </c>
    </row>
    <row r="25" spans="1:33" x14ac:dyDescent="0.35">
      <c r="A25" s="1" t="s">
        <v>48</v>
      </c>
    </row>
    <row r="26" spans="1:33" x14ac:dyDescent="0.35">
      <c r="A26" s="26" t="s">
        <v>26</v>
      </c>
    </row>
    <row r="27" spans="1:33" x14ac:dyDescent="0.35">
      <c r="A27" s="26" t="s">
        <v>27</v>
      </c>
    </row>
    <row r="28" spans="1:33" x14ac:dyDescent="0.35">
      <c r="A28" s="26" t="s">
        <v>28</v>
      </c>
    </row>
    <row r="29" spans="1:33" x14ac:dyDescent="0.35">
      <c r="A29" s="26" t="s">
        <v>29</v>
      </c>
    </row>
    <row r="30" spans="1:33" x14ac:dyDescent="0.35">
      <c r="A30" s="26" t="s">
        <v>49</v>
      </c>
    </row>
    <row r="31" spans="1:33" x14ac:dyDescent="0.35">
      <c r="A31" s="26" t="s">
        <v>50</v>
      </c>
    </row>
    <row r="32" spans="1:33" x14ac:dyDescent="0.35">
      <c r="A32" s="26" t="s">
        <v>31</v>
      </c>
    </row>
    <row r="33" spans="1:1" x14ac:dyDescent="0.35">
      <c r="A33" s="26" t="s">
        <v>32</v>
      </c>
    </row>
    <row r="34" spans="1:1" x14ac:dyDescent="0.35">
      <c r="A34" s="26" t="s">
        <v>33</v>
      </c>
    </row>
    <row r="35" spans="1:1" x14ac:dyDescent="0.35">
      <c r="A35" s="26" t="s">
        <v>35</v>
      </c>
    </row>
    <row r="36" spans="1:1" x14ac:dyDescent="0.35">
      <c r="A36" s="26" t="s">
        <v>36</v>
      </c>
    </row>
    <row r="37" spans="1:1" x14ac:dyDescent="0.35">
      <c r="A37" s="26" t="s">
        <v>38</v>
      </c>
    </row>
    <row r="38" spans="1:1" x14ac:dyDescent="0.35">
      <c r="A38" s="26" t="s">
        <v>36</v>
      </c>
    </row>
    <row r="39" spans="1:1" x14ac:dyDescent="0.35">
      <c r="A39" s="26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9"/>
  <sheetViews>
    <sheetView zoomScale="80" zoomScaleNormal="80" workbookViewId="0">
      <pane xSplit="1" topLeftCell="B1" activePane="topRight" state="frozen"/>
      <selection pane="topRight" activeCell="I18" sqref="I18"/>
    </sheetView>
  </sheetViews>
  <sheetFormatPr defaultColWidth="9.1796875" defaultRowHeight="14.5" x14ac:dyDescent="0.35"/>
  <cols>
    <col min="1" max="1" width="26.1796875" style="45" bestFit="1" customWidth="1"/>
    <col min="2" max="2" width="9.26953125" style="45" customWidth="1"/>
    <col min="3" max="4" width="7.1796875" style="45" customWidth="1"/>
    <col min="5" max="5" width="7.26953125" style="45" customWidth="1"/>
    <col min="6" max="6" width="7.54296875" style="45" customWidth="1"/>
    <col min="7" max="7" width="7.26953125" style="45" customWidth="1"/>
    <col min="8" max="8" width="7.54296875" style="45" customWidth="1"/>
    <col min="9" max="10" width="9.26953125" style="45" customWidth="1"/>
    <col min="11" max="11" width="7.54296875" style="45" customWidth="1"/>
    <col min="12" max="12" width="9.26953125" style="45" customWidth="1"/>
    <col min="13" max="15" width="7.54296875" style="45" customWidth="1"/>
    <col min="16" max="16" width="9.26953125" style="45" customWidth="1"/>
    <col min="17" max="19" width="6.7265625" style="45" customWidth="1"/>
    <col min="20" max="32" width="9.1796875" style="45" customWidth="1"/>
    <col min="33" max="16384" width="9.1796875" style="45"/>
  </cols>
  <sheetData>
    <row r="1" spans="1:32" ht="15" customHeight="1" x14ac:dyDescent="0.35">
      <c r="A1" s="30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7" t="s">
        <v>0</v>
      </c>
      <c r="B2" s="31">
        <v>44652</v>
      </c>
      <c r="C2" s="31">
        <v>44653</v>
      </c>
      <c r="D2" s="31">
        <v>44654</v>
      </c>
      <c r="E2" s="31">
        <v>44655</v>
      </c>
      <c r="F2" s="31">
        <v>44656</v>
      </c>
      <c r="G2" s="31">
        <v>44657</v>
      </c>
      <c r="H2" s="31">
        <v>44658</v>
      </c>
      <c r="I2" s="31">
        <v>44659</v>
      </c>
      <c r="J2" s="31">
        <v>44660</v>
      </c>
      <c r="K2" s="31">
        <v>44661</v>
      </c>
      <c r="L2" s="31">
        <v>44662</v>
      </c>
      <c r="M2" s="31">
        <v>44663</v>
      </c>
      <c r="N2" s="31">
        <v>44664</v>
      </c>
      <c r="O2" s="31">
        <v>44665</v>
      </c>
      <c r="P2" s="31">
        <v>44666</v>
      </c>
      <c r="Q2" s="31">
        <v>44667</v>
      </c>
      <c r="R2" s="31">
        <v>44668</v>
      </c>
      <c r="S2" s="31">
        <v>44669</v>
      </c>
      <c r="T2" s="31">
        <v>44670</v>
      </c>
      <c r="U2" s="31">
        <v>44671</v>
      </c>
      <c r="V2" s="31">
        <v>44672</v>
      </c>
      <c r="W2" s="31">
        <v>44673</v>
      </c>
      <c r="X2" s="31">
        <v>44674</v>
      </c>
      <c r="Y2" s="31">
        <v>44675</v>
      </c>
      <c r="Z2" s="31">
        <v>44676</v>
      </c>
      <c r="AA2" s="31">
        <v>44677</v>
      </c>
      <c r="AB2" s="31">
        <v>44678</v>
      </c>
      <c r="AC2" s="31">
        <v>44679</v>
      </c>
      <c r="AD2" s="31">
        <v>44680</v>
      </c>
      <c r="AE2" s="31">
        <v>44681</v>
      </c>
      <c r="AF2" s="31">
        <v>44682</v>
      </c>
    </row>
    <row r="3" spans="1:32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spans="1:32" x14ac:dyDescent="0.35">
      <c r="A4" s="9" t="s">
        <v>1</v>
      </c>
      <c r="B4" s="12" t="s">
        <v>2</v>
      </c>
      <c r="C4" s="25" t="s">
        <v>3</v>
      </c>
      <c r="D4" s="25" t="s">
        <v>3</v>
      </c>
      <c r="E4" s="12" t="s">
        <v>2</v>
      </c>
      <c r="F4" s="25" t="s">
        <v>6</v>
      </c>
      <c r="G4" s="25" t="s">
        <v>6</v>
      </c>
      <c r="H4" s="25" t="s">
        <v>6</v>
      </c>
      <c r="I4" s="12" t="s">
        <v>2</v>
      </c>
      <c r="J4" s="25" t="s">
        <v>3</v>
      </c>
      <c r="K4" s="25" t="s">
        <v>3</v>
      </c>
      <c r="L4" s="25" t="s">
        <v>6</v>
      </c>
      <c r="M4" s="12" t="s">
        <v>2</v>
      </c>
      <c r="N4" s="25" t="s">
        <v>6</v>
      </c>
      <c r="O4" s="25" t="s">
        <v>6</v>
      </c>
      <c r="P4" s="13" t="s">
        <v>95</v>
      </c>
      <c r="Q4" s="25" t="s">
        <v>3</v>
      </c>
      <c r="R4" s="25" t="s">
        <v>3</v>
      </c>
      <c r="S4" s="25" t="s">
        <v>6</v>
      </c>
      <c r="T4" s="25" t="s">
        <v>6</v>
      </c>
      <c r="U4" s="17" t="s">
        <v>10</v>
      </c>
      <c r="V4" s="17" t="s">
        <v>10</v>
      </c>
      <c r="W4" s="12" t="s">
        <v>2</v>
      </c>
      <c r="X4" s="25" t="s">
        <v>3</v>
      </c>
      <c r="Y4" s="25" t="s">
        <v>3</v>
      </c>
      <c r="Z4" s="25" t="s">
        <v>6</v>
      </c>
      <c r="AA4" s="17" t="s">
        <v>10</v>
      </c>
      <c r="AB4" s="17" t="s">
        <v>10</v>
      </c>
      <c r="AC4" s="68" t="s">
        <v>2</v>
      </c>
      <c r="AD4" s="68" t="s">
        <v>2</v>
      </c>
      <c r="AE4" s="60" t="s">
        <v>40</v>
      </c>
      <c r="AF4" s="25" t="s">
        <v>3</v>
      </c>
    </row>
    <row r="5" spans="1:32" x14ac:dyDescent="0.35">
      <c r="A5" s="9" t="s">
        <v>9</v>
      </c>
      <c r="B5" s="25" t="s">
        <v>6</v>
      </c>
      <c r="C5" s="19" t="s">
        <v>42</v>
      </c>
      <c r="D5" s="29" t="s">
        <v>4</v>
      </c>
      <c r="E5" s="25" t="s">
        <v>6</v>
      </c>
      <c r="F5" s="12" t="s">
        <v>2</v>
      </c>
      <c r="G5" s="12" t="s">
        <v>2</v>
      </c>
      <c r="H5" s="13" t="s">
        <v>5</v>
      </c>
      <c r="I5" s="13" t="s">
        <v>5</v>
      </c>
      <c r="J5" s="17" t="s">
        <v>11</v>
      </c>
      <c r="K5" s="17" t="s">
        <v>11</v>
      </c>
      <c r="L5" s="17" t="s">
        <v>10</v>
      </c>
      <c r="M5" s="17" t="s">
        <v>10</v>
      </c>
      <c r="N5" s="17" t="s">
        <v>10</v>
      </c>
      <c r="O5" s="17" t="s">
        <v>10</v>
      </c>
      <c r="P5" s="13" t="s">
        <v>5</v>
      </c>
      <c r="Q5" s="68" t="s">
        <v>4</v>
      </c>
      <c r="R5" s="17" t="s">
        <v>11</v>
      </c>
      <c r="S5" s="17" t="s">
        <v>10</v>
      </c>
      <c r="T5" s="17" t="s">
        <v>10</v>
      </c>
      <c r="U5" s="12" t="s">
        <v>2</v>
      </c>
      <c r="V5" s="25" t="s">
        <v>6</v>
      </c>
      <c r="W5" s="25" t="s">
        <v>6</v>
      </c>
      <c r="X5" s="17" t="s">
        <v>11</v>
      </c>
      <c r="Y5" s="17" t="s">
        <v>11</v>
      </c>
      <c r="Z5" s="17" t="s">
        <v>10</v>
      </c>
      <c r="AA5" s="12" t="s">
        <v>2</v>
      </c>
      <c r="AB5" s="25" t="s">
        <v>6</v>
      </c>
      <c r="AC5" s="25" t="s">
        <v>6</v>
      </c>
      <c r="AD5" s="25" t="s">
        <v>6</v>
      </c>
      <c r="AE5" s="25" t="s">
        <v>3</v>
      </c>
      <c r="AF5" s="19" t="s">
        <v>42</v>
      </c>
    </row>
    <row r="6" spans="1:32" x14ac:dyDescent="0.35">
      <c r="A6" s="9" t="s">
        <v>12</v>
      </c>
      <c r="B6" s="17" t="s">
        <v>10</v>
      </c>
      <c r="C6" s="29" t="s">
        <v>4</v>
      </c>
      <c r="D6" s="29" t="s">
        <v>4</v>
      </c>
      <c r="E6" s="10" t="s">
        <v>41</v>
      </c>
      <c r="F6" s="10" t="s">
        <v>41</v>
      </c>
      <c r="G6" s="10" t="s">
        <v>41</v>
      </c>
      <c r="H6" s="12" t="s">
        <v>2</v>
      </c>
      <c r="I6" s="25" t="s">
        <v>6</v>
      </c>
      <c r="J6" s="19" t="s">
        <v>42</v>
      </c>
      <c r="K6" s="19" t="s">
        <v>42</v>
      </c>
      <c r="L6" s="10" t="s">
        <v>41</v>
      </c>
      <c r="M6" s="12" t="s">
        <v>2</v>
      </c>
      <c r="N6" s="10" t="s">
        <v>41</v>
      </c>
      <c r="O6" s="10" t="s">
        <v>41</v>
      </c>
      <c r="P6" s="25" t="s">
        <v>6</v>
      </c>
      <c r="Q6" s="19" t="s">
        <v>42</v>
      </c>
      <c r="R6" s="29" t="s">
        <v>4</v>
      </c>
      <c r="S6" s="17" t="s">
        <v>10</v>
      </c>
      <c r="T6" s="17" t="s">
        <v>10</v>
      </c>
      <c r="U6" s="17" t="s">
        <v>10</v>
      </c>
      <c r="V6" s="17" t="s">
        <v>10</v>
      </c>
      <c r="W6" s="17" t="s">
        <v>10</v>
      </c>
      <c r="X6" s="29" t="s">
        <v>4</v>
      </c>
      <c r="Y6" s="29" t="s">
        <v>4</v>
      </c>
      <c r="Z6" s="16" t="s">
        <v>8</v>
      </c>
      <c r="AA6" s="16" t="s">
        <v>8</v>
      </c>
      <c r="AB6" s="16" t="s">
        <v>8</v>
      </c>
      <c r="AC6" s="17" t="s">
        <v>10</v>
      </c>
      <c r="AD6" s="17" t="s">
        <v>10</v>
      </c>
      <c r="AE6" s="29" t="s">
        <v>4</v>
      </c>
      <c r="AF6" s="29" t="s">
        <v>4</v>
      </c>
    </row>
    <row r="7" spans="1:32" x14ac:dyDescent="0.35">
      <c r="A7" s="9" t="s">
        <v>13</v>
      </c>
      <c r="B7" s="10" t="s">
        <v>41</v>
      </c>
      <c r="C7" s="29" t="s">
        <v>4</v>
      </c>
      <c r="D7" s="19" t="s">
        <v>42</v>
      </c>
      <c r="E7" s="12" t="s">
        <v>2</v>
      </c>
      <c r="F7" s="10" t="s">
        <v>41</v>
      </c>
      <c r="G7" s="10" t="s">
        <v>41</v>
      </c>
      <c r="H7" s="10" t="s">
        <v>41</v>
      </c>
      <c r="I7" s="10" t="s">
        <v>41</v>
      </c>
      <c r="J7" s="29" t="s">
        <v>4</v>
      </c>
      <c r="K7" s="29" t="s">
        <v>4</v>
      </c>
      <c r="L7" s="10" t="s">
        <v>41</v>
      </c>
      <c r="M7" s="10" t="s">
        <v>41</v>
      </c>
      <c r="N7" s="17" t="s">
        <v>10</v>
      </c>
      <c r="O7" s="17" t="s">
        <v>10</v>
      </c>
      <c r="P7" s="17" t="s">
        <v>10</v>
      </c>
      <c r="Q7" s="17" t="s">
        <v>11</v>
      </c>
      <c r="R7" s="29" t="s">
        <v>4</v>
      </c>
      <c r="S7" s="10" t="s">
        <v>41</v>
      </c>
      <c r="T7" s="10" t="s">
        <v>41</v>
      </c>
      <c r="U7" s="10" t="s">
        <v>41</v>
      </c>
      <c r="V7" s="10" t="s">
        <v>41</v>
      </c>
      <c r="W7" s="12" t="s">
        <v>2</v>
      </c>
      <c r="X7" s="29" t="s">
        <v>4</v>
      </c>
      <c r="Y7" s="19" t="s">
        <v>42</v>
      </c>
      <c r="Z7" s="10" t="s">
        <v>41</v>
      </c>
      <c r="AA7" s="10" t="s">
        <v>41</v>
      </c>
      <c r="AB7" s="12" t="s">
        <v>2</v>
      </c>
      <c r="AC7" s="10" t="s">
        <v>41</v>
      </c>
      <c r="AD7" s="10" t="s">
        <v>41</v>
      </c>
      <c r="AE7" s="29" t="s">
        <v>4</v>
      </c>
      <c r="AF7" s="29" t="s">
        <v>4</v>
      </c>
    </row>
    <row r="8" spans="1:32" x14ac:dyDescent="0.35">
      <c r="A8" s="9" t="s">
        <v>14</v>
      </c>
      <c r="B8" s="10" t="s">
        <v>41</v>
      </c>
      <c r="C8" s="17" t="s">
        <v>11</v>
      </c>
      <c r="D8" s="17" t="s">
        <v>11</v>
      </c>
      <c r="E8" s="17" t="s">
        <v>10</v>
      </c>
      <c r="F8" s="17" t="s">
        <v>10</v>
      </c>
      <c r="G8" s="12" t="s">
        <v>2</v>
      </c>
      <c r="H8" s="17" t="s">
        <v>10</v>
      </c>
      <c r="I8" s="17" t="s">
        <v>10</v>
      </c>
      <c r="J8" s="68" t="s">
        <v>4</v>
      </c>
      <c r="K8" s="68" t="s">
        <v>4</v>
      </c>
      <c r="L8" s="25" t="s">
        <v>6</v>
      </c>
      <c r="M8" s="25" t="s">
        <v>6</v>
      </c>
      <c r="N8" s="25" t="s">
        <v>6</v>
      </c>
      <c r="O8" s="25" t="s">
        <v>6</v>
      </c>
      <c r="P8" s="13" t="s">
        <v>95</v>
      </c>
      <c r="Q8" s="68" t="s">
        <v>4</v>
      </c>
      <c r="R8" s="68" t="s">
        <v>4</v>
      </c>
      <c r="S8" s="13" t="s">
        <v>5</v>
      </c>
      <c r="T8" s="13" t="s">
        <v>5</v>
      </c>
      <c r="U8" s="13" t="s">
        <v>5</v>
      </c>
      <c r="V8" s="10" t="s">
        <v>41</v>
      </c>
      <c r="W8" s="10" t="s">
        <v>41</v>
      </c>
      <c r="X8" s="19" t="s">
        <v>42</v>
      </c>
      <c r="Y8" s="29" t="s">
        <v>4</v>
      </c>
      <c r="Z8" s="25" t="s">
        <v>6</v>
      </c>
      <c r="AA8" s="25" t="s">
        <v>6</v>
      </c>
      <c r="AB8" s="25" t="s">
        <v>6</v>
      </c>
      <c r="AC8" s="10" t="s">
        <v>41</v>
      </c>
      <c r="AD8" s="13" t="s">
        <v>5</v>
      </c>
      <c r="AE8" s="68" t="s">
        <v>4</v>
      </c>
      <c r="AF8" s="68" t="s">
        <v>4</v>
      </c>
    </row>
    <row r="9" spans="1:32" x14ac:dyDescent="0.35">
      <c r="A9" s="9" t="s">
        <v>15</v>
      </c>
      <c r="B9" s="12" t="s">
        <v>2</v>
      </c>
      <c r="C9" s="17" t="s">
        <v>11</v>
      </c>
      <c r="D9" s="17" t="s">
        <v>11</v>
      </c>
      <c r="E9" s="17" t="s">
        <v>10</v>
      </c>
      <c r="F9" s="17" t="s">
        <v>10</v>
      </c>
      <c r="G9" s="17" t="s">
        <v>10</v>
      </c>
      <c r="H9" s="12" t="s">
        <v>2</v>
      </c>
      <c r="I9" s="12" t="s">
        <v>2</v>
      </c>
      <c r="J9" s="19" t="s">
        <v>42</v>
      </c>
      <c r="K9" s="19" t="s">
        <v>42</v>
      </c>
      <c r="L9" s="12" t="s">
        <v>2</v>
      </c>
      <c r="M9" s="10" t="s">
        <v>41</v>
      </c>
      <c r="N9" s="10" t="s">
        <v>41</v>
      </c>
      <c r="O9" s="10" t="s">
        <v>41</v>
      </c>
      <c r="P9" s="19" t="s">
        <v>42</v>
      </c>
      <c r="Q9" s="29" t="s">
        <v>4</v>
      </c>
      <c r="R9" s="29" t="s">
        <v>4</v>
      </c>
      <c r="S9" s="25" t="s">
        <v>6</v>
      </c>
      <c r="T9" s="25" t="s">
        <v>6</v>
      </c>
      <c r="U9" s="25" t="s">
        <v>6</v>
      </c>
      <c r="V9" s="12" t="s">
        <v>2</v>
      </c>
      <c r="W9" s="25" t="s">
        <v>6</v>
      </c>
      <c r="X9" s="25" t="s">
        <v>3</v>
      </c>
      <c r="Y9" s="29" t="s">
        <v>4</v>
      </c>
      <c r="Z9" s="10" t="s">
        <v>41</v>
      </c>
      <c r="AA9" s="10" t="s">
        <v>41</v>
      </c>
      <c r="AB9" s="10" t="s">
        <v>41</v>
      </c>
      <c r="AC9" s="10" t="s">
        <v>41</v>
      </c>
      <c r="AD9" s="10" t="s">
        <v>41</v>
      </c>
      <c r="AE9" s="29" t="s">
        <v>4</v>
      </c>
      <c r="AF9" s="29" t="s">
        <v>4</v>
      </c>
    </row>
    <row r="10" spans="1:32" x14ac:dyDescent="0.35">
      <c r="A10" s="9" t="s">
        <v>18</v>
      </c>
      <c r="B10" s="10" t="s">
        <v>41</v>
      </c>
      <c r="C10" s="68" t="s">
        <v>4</v>
      </c>
      <c r="D10" s="68" t="s">
        <v>4</v>
      </c>
      <c r="E10" s="13" t="s">
        <v>5</v>
      </c>
      <c r="F10" s="10" t="s">
        <v>41</v>
      </c>
      <c r="G10" s="10" t="s">
        <v>41</v>
      </c>
      <c r="H10" s="10" t="s">
        <v>41</v>
      </c>
      <c r="I10" s="10" t="s">
        <v>41</v>
      </c>
      <c r="J10" s="29" t="s">
        <v>4</v>
      </c>
      <c r="K10" s="29" t="s">
        <v>4</v>
      </c>
      <c r="L10" s="10" t="s">
        <v>41</v>
      </c>
      <c r="M10" s="10" t="s">
        <v>41</v>
      </c>
      <c r="N10" s="12" t="s">
        <v>2</v>
      </c>
      <c r="O10" s="12" t="s">
        <v>2</v>
      </c>
      <c r="P10" s="10" t="s">
        <v>41</v>
      </c>
      <c r="Q10" s="29" t="s">
        <v>4</v>
      </c>
      <c r="R10" s="19" t="s">
        <v>42</v>
      </c>
      <c r="S10" s="10" t="s">
        <v>41</v>
      </c>
      <c r="T10" s="10" t="s">
        <v>41</v>
      </c>
      <c r="U10" s="12" t="s">
        <v>2</v>
      </c>
      <c r="V10" s="25" t="s">
        <v>6</v>
      </c>
      <c r="W10" s="19" t="s">
        <v>41</v>
      </c>
      <c r="X10" s="19" t="s">
        <v>42</v>
      </c>
      <c r="Y10" s="29" t="s">
        <v>4</v>
      </c>
      <c r="Z10" s="25" t="s">
        <v>6</v>
      </c>
      <c r="AA10" s="25" t="s">
        <v>6</v>
      </c>
      <c r="AB10" s="12" t="s">
        <v>2</v>
      </c>
      <c r="AC10" s="25" t="s">
        <v>6</v>
      </c>
      <c r="AD10" s="25" t="s">
        <v>6</v>
      </c>
      <c r="AE10" s="17" t="s">
        <v>11</v>
      </c>
      <c r="AF10" s="17" t="s">
        <v>11</v>
      </c>
    </row>
    <row r="11" spans="1:32" ht="14.15" customHeight="1" x14ac:dyDescent="0.35">
      <c r="A11" s="9" t="s">
        <v>21</v>
      </c>
      <c r="B11" s="17" t="s">
        <v>10</v>
      </c>
      <c r="C11" s="29" t="s">
        <v>4</v>
      </c>
      <c r="D11" s="19" t="s">
        <v>42</v>
      </c>
      <c r="E11" s="10" t="s">
        <v>41</v>
      </c>
      <c r="F11" s="10" t="s">
        <v>41</v>
      </c>
      <c r="G11" s="12" t="s">
        <v>2</v>
      </c>
      <c r="H11" s="25" t="s">
        <v>6</v>
      </c>
      <c r="I11" s="25" t="s">
        <v>6</v>
      </c>
      <c r="J11" s="29" t="s">
        <v>4</v>
      </c>
      <c r="K11" s="25" t="s">
        <v>3</v>
      </c>
      <c r="L11" s="12" t="s">
        <v>2</v>
      </c>
      <c r="M11" s="25" t="s">
        <v>6</v>
      </c>
      <c r="N11" s="13" t="s">
        <v>5</v>
      </c>
      <c r="O11" s="13" t="s">
        <v>37</v>
      </c>
      <c r="P11" s="25" t="s">
        <v>6</v>
      </c>
      <c r="Q11" s="19" t="s">
        <v>42</v>
      </c>
      <c r="R11" s="19" t="s">
        <v>42</v>
      </c>
      <c r="S11" s="12" t="s">
        <v>2</v>
      </c>
      <c r="T11" s="10" t="s">
        <v>41</v>
      </c>
      <c r="U11" s="10" t="s">
        <v>41</v>
      </c>
      <c r="V11" s="12" t="s">
        <v>2</v>
      </c>
      <c r="W11" s="17" t="s">
        <v>10</v>
      </c>
      <c r="X11" s="17" t="s">
        <v>11</v>
      </c>
      <c r="Y11" s="17" t="s">
        <v>11</v>
      </c>
      <c r="Z11" s="12" t="s">
        <v>2</v>
      </c>
      <c r="AA11" s="12" t="s">
        <v>2</v>
      </c>
      <c r="AB11" s="10" t="s">
        <v>41</v>
      </c>
      <c r="AC11" s="17" t="s">
        <v>10</v>
      </c>
      <c r="AD11" s="17" t="s">
        <v>10</v>
      </c>
      <c r="AE11" s="17" t="s">
        <v>11</v>
      </c>
      <c r="AF11" s="17" t="s">
        <v>11</v>
      </c>
    </row>
    <row r="12" spans="1:32" x14ac:dyDescent="0.35">
      <c r="A12" s="9" t="s">
        <v>43</v>
      </c>
      <c r="B12" s="25" t="s">
        <v>6</v>
      </c>
      <c r="C12" s="25" t="s">
        <v>3</v>
      </c>
      <c r="D12" s="29" t="s">
        <v>4</v>
      </c>
      <c r="E12" s="10" t="s">
        <v>41</v>
      </c>
      <c r="F12" s="12" t="s">
        <v>2</v>
      </c>
      <c r="G12" s="17" t="s">
        <v>10</v>
      </c>
      <c r="H12" s="17" t="s">
        <v>10</v>
      </c>
      <c r="I12" s="17" t="s">
        <v>10</v>
      </c>
      <c r="J12" s="17" t="s">
        <v>11</v>
      </c>
      <c r="K12" s="17" t="s">
        <v>11</v>
      </c>
      <c r="L12" s="17" t="s">
        <v>10</v>
      </c>
      <c r="M12" s="17" t="s">
        <v>10</v>
      </c>
      <c r="N12" s="12" t="s">
        <v>2</v>
      </c>
      <c r="O12" s="13" t="s">
        <v>95</v>
      </c>
      <c r="P12" s="17" t="s">
        <v>10</v>
      </c>
      <c r="Q12" s="17" t="s">
        <v>11</v>
      </c>
      <c r="R12" s="17" t="s">
        <v>11</v>
      </c>
      <c r="S12" s="12" t="s">
        <v>2</v>
      </c>
      <c r="T12" s="12" t="s">
        <v>2</v>
      </c>
      <c r="U12" s="10" t="s">
        <v>41</v>
      </c>
      <c r="V12" s="10" t="s">
        <v>41</v>
      </c>
      <c r="W12" s="10" t="s">
        <v>41</v>
      </c>
      <c r="X12" s="29" t="s">
        <v>4</v>
      </c>
      <c r="Y12" s="29" t="s">
        <v>4</v>
      </c>
      <c r="Z12" s="10" t="s">
        <v>41</v>
      </c>
      <c r="AA12" s="10" t="s">
        <v>41</v>
      </c>
      <c r="AB12" s="10" t="s">
        <v>41</v>
      </c>
      <c r="AC12" s="25" t="s">
        <v>6</v>
      </c>
      <c r="AD12" s="25" t="s">
        <v>6</v>
      </c>
      <c r="AE12" s="29" t="s">
        <v>4</v>
      </c>
      <c r="AF12" s="29" t="s">
        <v>4</v>
      </c>
    </row>
    <row r="13" spans="1:32" ht="15" thickBot="1" x14ac:dyDescent="0.4">
      <c r="A13" s="9" t="s">
        <v>86</v>
      </c>
      <c r="B13" s="25" t="s">
        <v>6</v>
      </c>
      <c r="C13" s="19" t="s">
        <v>42</v>
      </c>
      <c r="D13" s="25" t="s">
        <v>3</v>
      </c>
      <c r="E13" s="25" t="s">
        <v>6</v>
      </c>
      <c r="F13" s="12" t="s">
        <v>2</v>
      </c>
      <c r="G13" s="25" t="s">
        <v>6</v>
      </c>
      <c r="H13" s="10" t="s">
        <v>41</v>
      </c>
      <c r="I13" s="10" t="s">
        <v>41</v>
      </c>
      <c r="J13" s="29" t="s">
        <v>4</v>
      </c>
      <c r="K13" s="29" t="s">
        <v>4</v>
      </c>
      <c r="L13" s="10" t="s">
        <v>41</v>
      </c>
      <c r="M13" s="10" t="s">
        <v>41</v>
      </c>
      <c r="N13" s="10" t="s">
        <v>41</v>
      </c>
      <c r="O13" s="10" t="s">
        <v>41</v>
      </c>
      <c r="P13" s="13" t="s">
        <v>95</v>
      </c>
      <c r="Q13" s="29" t="s">
        <v>4</v>
      </c>
      <c r="R13" s="29" t="s">
        <v>4</v>
      </c>
      <c r="S13" s="25" t="s">
        <v>6</v>
      </c>
      <c r="T13" s="25" t="s">
        <v>6</v>
      </c>
      <c r="U13" s="25" t="s">
        <v>6</v>
      </c>
      <c r="V13" s="12" t="s">
        <v>2</v>
      </c>
      <c r="W13" s="25" t="s">
        <v>6</v>
      </c>
      <c r="X13" s="66" t="s">
        <v>30</v>
      </c>
      <c r="Y13" s="29" t="s">
        <v>4</v>
      </c>
      <c r="Z13" s="17" t="s">
        <v>10</v>
      </c>
      <c r="AA13" s="17" t="s">
        <v>10</v>
      </c>
      <c r="AB13" s="17" t="s">
        <v>10</v>
      </c>
      <c r="AC13" s="12" t="s">
        <v>2</v>
      </c>
      <c r="AD13" s="12" t="s">
        <v>2</v>
      </c>
      <c r="AE13" s="19" t="s">
        <v>42</v>
      </c>
      <c r="AF13" s="19" t="s">
        <v>42</v>
      </c>
    </row>
    <row r="14" spans="1:32" x14ac:dyDescent="0.35">
      <c r="A14" s="9" t="s">
        <v>22</v>
      </c>
      <c r="B14" s="10" t="s">
        <v>41</v>
      </c>
      <c r="C14" s="29" t="s">
        <v>4</v>
      </c>
      <c r="D14" s="29" t="s">
        <v>4</v>
      </c>
      <c r="E14" s="25" t="s">
        <v>6</v>
      </c>
      <c r="F14" s="25" t="s">
        <v>6</v>
      </c>
      <c r="G14" s="25" t="s">
        <v>6</v>
      </c>
      <c r="H14" s="25" t="s">
        <v>6</v>
      </c>
      <c r="I14" s="25" t="s">
        <v>6</v>
      </c>
      <c r="J14" s="25" t="s">
        <v>3</v>
      </c>
      <c r="K14" s="29" t="s">
        <v>4</v>
      </c>
      <c r="L14" s="25" t="s">
        <v>6</v>
      </c>
      <c r="M14" s="25" t="s">
        <v>6</v>
      </c>
      <c r="N14" s="25" t="s">
        <v>6</v>
      </c>
      <c r="O14" s="13" t="s">
        <v>37</v>
      </c>
      <c r="P14" s="25" t="s">
        <v>3</v>
      </c>
      <c r="Q14" s="25" t="s">
        <v>3</v>
      </c>
      <c r="R14" s="25" t="s">
        <v>3</v>
      </c>
      <c r="S14" s="12" t="s">
        <v>2</v>
      </c>
      <c r="T14" s="12" t="s">
        <v>2</v>
      </c>
      <c r="U14" s="25" t="s">
        <v>6</v>
      </c>
      <c r="V14" s="25" t="s">
        <v>6</v>
      </c>
      <c r="W14" s="10" t="s">
        <v>41</v>
      </c>
      <c r="X14" s="29" t="s">
        <v>4</v>
      </c>
      <c r="Y14" s="25" t="s">
        <v>3</v>
      </c>
      <c r="Z14" s="12" t="s">
        <v>2</v>
      </c>
      <c r="AA14" s="12" t="s">
        <v>2</v>
      </c>
      <c r="AB14" s="25" t="s">
        <v>6</v>
      </c>
      <c r="AC14" s="25" t="s">
        <v>6</v>
      </c>
      <c r="AD14" s="13" t="s">
        <v>5</v>
      </c>
      <c r="AE14" s="68" t="s">
        <v>4</v>
      </c>
      <c r="AF14" s="68" t="s">
        <v>4</v>
      </c>
    </row>
    <row r="15" spans="1:32" ht="15" thickBot="1" x14ac:dyDescent="0.4">
      <c r="A15" s="9" t="s">
        <v>71</v>
      </c>
      <c r="B15" s="22" t="s">
        <v>16</v>
      </c>
      <c r="C15" s="66" t="s">
        <v>30</v>
      </c>
      <c r="D15" s="29" t="s">
        <v>4</v>
      </c>
      <c r="E15" s="10" t="s">
        <v>41</v>
      </c>
      <c r="F15" s="25" t="s">
        <v>6</v>
      </c>
      <c r="G15" s="10" t="s">
        <v>41</v>
      </c>
      <c r="H15" s="10" t="s">
        <v>41</v>
      </c>
      <c r="I15" s="10" t="s">
        <v>41</v>
      </c>
      <c r="J15" s="68" t="s">
        <v>4</v>
      </c>
      <c r="K15" s="29" t="s">
        <v>4</v>
      </c>
      <c r="L15" s="13" t="s">
        <v>5</v>
      </c>
      <c r="M15" s="13" t="s">
        <v>5</v>
      </c>
      <c r="N15" s="13" t="s">
        <v>5</v>
      </c>
      <c r="O15" s="25" t="s">
        <v>6</v>
      </c>
      <c r="P15" s="10" t="s">
        <v>41</v>
      </c>
      <c r="Q15" s="68" t="s">
        <v>4</v>
      </c>
      <c r="R15" s="29" t="s">
        <v>4</v>
      </c>
      <c r="S15" s="10" t="s">
        <v>41</v>
      </c>
      <c r="T15" s="10" t="s">
        <v>41</v>
      </c>
      <c r="U15" s="10" t="s">
        <v>41</v>
      </c>
      <c r="V15" s="10" t="s">
        <v>41</v>
      </c>
      <c r="W15" s="12" t="s">
        <v>2</v>
      </c>
      <c r="X15" s="29" t="s">
        <v>4</v>
      </c>
      <c r="Y15" s="19" t="s">
        <v>42</v>
      </c>
      <c r="Z15" s="10" t="s">
        <v>41</v>
      </c>
      <c r="AA15" s="12" t="s">
        <v>2</v>
      </c>
      <c r="AB15" s="25" t="s">
        <v>6</v>
      </c>
      <c r="AC15" s="10" t="s">
        <v>41</v>
      </c>
      <c r="AD15" s="10" t="s">
        <v>41</v>
      </c>
      <c r="AE15" s="66" t="s">
        <v>30</v>
      </c>
      <c r="AF15" s="29" t="s">
        <v>4</v>
      </c>
    </row>
    <row r="16" spans="1:32" ht="15" thickBot="1" x14ac:dyDescent="0.4">
      <c r="A16" s="9" t="s">
        <v>87</v>
      </c>
      <c r="B16" s="25" t="s">
        <v>6</v>
      </c>
      <c r="C16" s="29" t="s">
        <v>4</v>
      </c>
      <c r="D16" s="29" t="s">
        <v>4</v>
      </c>
      <c r="E16" s="25" t="s">
        <v>6</v>
      </c>
      <c r="F16" s="25" t="s">
        <v>6</v>
      </c>
      <c r="G16" s="25" t="s">
        <v>6</v>
      </c>
      <c r="H16" s="12" t="s">
        <v>2</v>
      </c>
      <c r="I16" s="25" t="s">
        <v>6</v>
      </c>
      <c r="J16" s="66" t="s">
        <v>30</v>
      </c>
      <c r="K16" s="29" t="s">
        <v>4</v>
      </c>
      <c r="L16" s="25" t="s">
        <v>6</v>
      </c>
      <c r="M16" s="25" t="s">
        <v>6</v>
      </c>
      <c r="N16" s="10" t="s">
        <v>41</v>
      </c>
      <c r="O16" s="10" t="s">
        <v>41</v>
      </c>
      <c r="P16" s="10" t="s">
        <v>41</v>
      </c>
      <c r="Q16" s="29" t="s">
        <v>4</v>
      </c>
      <c r="R16" s="29" t="s">
        <v>4</v>
      </c>
      <c r="S16" s="25" t="s">
        <v>6</v>
      </c>
      <c r="T16" s="25" t="s">
        <v>6</v>
      </c>
      <c r="U16" s="25" t="s">
        <v>6</v>
      </c>
      <c r="V16" s="25" t="s">
        <v>6</v>
      </c>
      <c r="W16" s="25" t="s">
        <v>6</v>
      </c>
      <c r="X16" s="29" t="s">
        <v>4</v>
      </c>
      <c r="Y16" s="29" t="s">
        <v>4</v>
      </c>
      <c r="Z16" s="25" t="s">
        <v>6</v>
      </c>
      <c r="AA16" s="25" t="s">
        <v>6</v>
      </c>
      <c r="AB16" s="22" t="s">
        <v>16</v>
      </c>
      <c r="AC16" s="12" t="s">
        <v>2</v>
      </c>
      <c r="AD16" s="25" t="s">
        <v>6</v>
      </c>
      <c r="AE16" s="25" t="s">
        <v>3</v>
      </c>
      <c r="AF16" s="25" t="s">
        <v>3</v>
      </c>
    </row>
    <row r="17" spans="1:32" x14ac:dyDescent="0.35">
      <c r="A17" s="9" t="s">
        <v>85</v>
      </c>
      <c r="B17" s="16" t="s">
        <v>8</v>
      </c>
      <c r="C17" s="29" t="s">
        <v>4</v>
      </c>
      <c r="D17" s="29" t="s">
        <v>4</v>
      </c>
      <c r="E17" s="22" t="s">
        <v>16</v>
      </c>
      <c r="F17" s="22" t="s">
        <v>16</v>
      </c>
      <c r="G17" s="22" t="s">
        <v>16</v>
      </c>
      <c r="H17" s="25" t="s">
        <v>6</v>
      </c>
      <c r="I17" s="22" t="s">
        <v>16</v>
      </c>
      <c r="J17" s="29" t="s">
        <v>4</v>
      </c>
      <c r="K17" s="29" t="s">
        <v>4</v>
      </c>
      <c r="L17" s="16" t="s">
        <v>8</v>
      </c>
      <c r="M17" s="16" t="s">
        <v>8</v>
      </c>
      <c r="N17" s="16" t="s">
        <v>8</v>
      </c>
      <c r="O17" s="16" t="s">
        <v>8</v>
      </c>
      <c r="P17" s="16" t="s">
        <v>8</v>
      </c>
      <c r="Q17" s="29" t="s">
        <v>4</v>
      </c>
      <c r="R17" s="29" t="s">
        <v>4</v>
      </c>
      <c r="S17" s="10" t="s">
        <v>41</v>
      </c>
      <c r="T17" s="22" t="s">
        <v>16</v>
      </c>
      <c r="U17" s="22" t="s">
        <v>16</v>
      </c>
      <c r="V17" s="22" t="s">
        <v>16</v>
      </c>
      <c r="W17" s="22" t="s">
        <v>16</v>
      </c>
      <c r="X17" s="29" t="s">
        <v>4</v>
      </c>
      <c r="Y17" s="29" t="s">
        <v>4</v>
      </c>
      <c r="Z17" s="22" t="s">
        <v>16</v>
      </c>
      <c r="AA17" s="10" t="s">
        <v>41</v>
      </c>
      <c r="AB17" s="22" t="s">
        <v>16</v>
      </c>
      <c r="AC17" s="16" t="s">
        <v>8</v>
      </c>
      <c r="AD17" s="16" t="s">
        <v>8</v>
      </c>
      <c r="AE17" s="29" t="s">
        <v>4</v>
      </c>
      <c r="AF17" s="29" t="s">
        <v>4</v>
      </c>
    </row>
    <row r="18" spans="1:32" ht="15" thickBot="1" x14ac:dyDescent="0.4">
      <c r="A18" s="9" t="s">
        <v>88</v>
      </c>
      <c r="B18" s="22" t="s">
        <v>16</v>
      </c>
      <c r="C18" s="29" t="s">
        <v>4</v>
      </c>
      <c r="D18" s="29" t="s">
        <v>4</v>
      </c>
      <c r="E18" s="16" t="s">
        <v>8</v>
      </c>
      <c r="F18" s="16" t="s">
        <v>8</v>
      </c>
      <c r="G18" s="16" t="s">
        <v>8</v>
      </c>
      <c r="H18" s="16" t="s">
        <v>8</v>
      </c>
      <c r="I18" s="16" t="s">
        <v>8</v>
      </c>
      <c r="J18" s="29" t="s">
        <v>4</v>
      </c>
      <c r="K18" s="29" t="s">
        <v>4</v>
      </c>
      <c r="L18" s="22" t="s">
        <v>16</v>
      </c>
      <c r="M18" s="22" t="s">
        <v>16</v>
      </c>
      <c r="N18" s="13" t="s">
        <v>5</v>
      </c>
      <c r="O18" s="13" t="s">
        <v>95</v>
      </c>
      <c r="P18" s="25" t="s">
        <v>6</v>
      </c>
      <c r="Q18" s="66" t="s">
        <v>30</v>
      </c>
      <c r="R18" s="29" t="s">
        <v>4</v>
      </c>
      <c r="S18" s="16" t="s">
        <v>8</v>
      </c>
      <c r="T18" s="16" t="s">
        <v>8</v>
      </c>
      <c r="U18" s="16" t="s">
        <v>8</v>
      </c>
      <c r="V18" s="16" t="s">
        <v>8</v>
      </c>
      <c r="W18" s="16" t="s">
        <v>8</v>
      </c>
      <c r="X18" s="29" t="s">
        <v>4</v>
      </c>
      <c r="Y18" s="29" t="s">
        <v>4</v>
      </c>
      <c r="Z18" s="22" t="s">
        <v>16</v>
      </c>
      <c r="AA18" s="25" t="s">
        <v>6</v>
      </c>
      <c r="AB18" s="10" t="s">
        <v>41</v>
      </c>
      <c r="AC18" s="22" t="s">
        <v>16</v>
      </c>
      <c r="AD18" s="10" t="s">
        <v>41</v>
      </c>
      <c r="AE18" s="29" t="s">
        <v>4</v>
      </c>
      <c r="AF18" s="29" t="s">
        <v>4</v>
      </c>
    </row>
    <row r="19" spans="1:32" x14ac:dyDescent="0.35">
      <c r="A19" s="9" t="s">
        <v>89</v>
      </c>
      <c r="B19" s="22" t="s">
        <v>16</v>
      </c>
      <c r="C19" s="29" t="s">
        <v>4</v>
      </c>
      <c r="D19" s="29" t="s">
        <v>4</v>
      </c>
      <c r="E19" s="22" t="s">
        <v>16</v>
      </c>
      <c r="F19" s="22" t="s">
        <v>16</v>
      </c>
      <c r="G19" s="22" t="s">
        <v>16</v>
      </c>
      <c r="H19" s="22" t="s">
        <v>16</v>
      </c>
      <c r="I19" s="22" t="s">
        <v>16</v>
      </c>
      <c r="J19" s="29" t="s">
        <v>4</v>
      </c>
      <c r="K19" s="29" t="s">
        <v>4</v>
      </c>
      <c r="L19" s="22" t="s">
        <v>16</v>
      </c>
      <c r="M19" s="22" t="s">
        <v>16</v>
      </c>
      <c r="N19" s="25" t="s">
        <v>6</v>
      </c>
      <c r="O19" s="25" t="s">
        <v>6</v>
      </c>
      <c r="P19" s="13" t="s">
        <v>95</v>
      </c>
      <c r="Q19" s="29" t="s">
        <v>4</v>
      </c>
      <c r="R19" s="29" t="s">
        <v>4</v>
      </c>
      <c r="S19" s="22" t="s">
        <v>16</v>
      </c>
      <c r="T19" s="22" t="s">
        <v>16</v>
      </c>
      <c r="U19" s="22" t="s">
        <v>16</v>
      </c>
      <c r="V19" s="22" t="s">
        <v>16</v>
      </c>
      <c r="W19" s="22" t="s">
        <v>16</v>
      </c>
      <c r="X19" s="29" t="s">
        <v>4</v>
      </c>
      <c r="Y19" s="29" t="s">
        <v>4</v>
      </c>
      <c r="Z19" s="22" t="s">
        <v>16</v>
      </c>
      <c r="AA19" s="22" t="s">
        <v>16</v>
      </c>
      <c r="AB19" s="22" t="s">
        <v>16</v>
      </c>
      <c r="AC19" s="22" t="s">
        <v>16</v>
      </c>
      <c r="AD19" s="22" t="s">
        <v>16</v>
      </c>
      <c r="AE19" s="29" t="s">
        <v>4</v>
      </c>
      <c r="AF19" s="29" t="s">
        <v>4</v>
      </c>
    </row>
    <row r="21" spans="1:32" x14ac:dyDescent="0.35">
      <c r="A21" s="24" t="s">
        <v>23</v>
      </c>
    </row>
    <row r="22" spans="1:32" x14ac:dyDescent="0.35">
      <c r="A22" s="1" t="s">
        <v>24</v>
      </c>
    </row>
    <row r="23" spans="1:32" x14ac:dyDescent="0.35">
      <c r="A23" s="1" t="s">
        <v>25</v>
      </c>
    </row>
    <row r="24" spans="1:32" x14ac:dyDescent="0.35">
      <c r="A24" s="1" t="s">
        <v>47</v>
      </c>
    </row>
    <row r="25" spans="1:32" x14ac:dyDescent="0.35">
      <c r="A25" s="1" t="s">
        <v>48</v>
      </c>
    </row>
    <row r="26" spans="1:32" x14ac:dyDescent="0.35">
      <c r="A26" s="26" t="s">
        <v>26</v>
      </c>
    </row>
    <row r="27" spans="1:32" x14ac:dyDescent="0.35">
      <c r="A27" s="26" t="s">
        <v>27</v>
      </c>
    </row>
    <row r="28" spans="1:32" x14ac:dyDescent="0.35">
      <c r="A28" s="26" t="s">
        <v>28</v>
      </c>
    </row>
    <row r="29" spans="1:32" x14ac:dyDescent="0.35">
      <c r="A29" s="26" t="s">
        <v>29</v>
      </c>
    </row>
    <row r="30" spans="1:32" x14ac:dyDescent="0.35">
      <c r="A30" s="26" t="s">
        <v>49</v>
      </c>
    </row>
    <row r="31" spans="1:32" x14ac:dyDescent="0.35">
      <c r="A31" s="26" t="s">
        <v>50</v>
      </c>
    </row>
    <row r="32" spans="1:32" x14ac:dyDescent="0.35">
      <c r="A32" s="26" t="s">
        <v>31</v>
      </c>
    </row>
    <row r="33" spans="1:1" x14ac:dyDescent="0.35">
      <c r="A33" s="26" t="s">
        <v>32</v>
      </c>
    </row>
    <row r="34" spans="1:1" x14ac:dyDescent="0.35">
      <c r="A34" s="26" t="s">
        <v>33</v>
      </c>
    </row>
    <row r="35" spans="1:1" x14ac:dyDescent="0.35">
      <c r="A35" s="26" t="s">
        <v>35</v>
      </c>
    </row>
    <row r="36" spans="1:1" x14ac:dyDescent="0.35">
      <c r="A36" s="26" t="s">
        <v>36</v>
      </c>
    </row>
    <row r="37" spans="1:1" x14ac:dyDescent="0.35">
      <c r="A37" s="26" t="s">
        <v>38</v>
      </c>
    </row>
    <row r="38" spans="1:1" x14ac:dyDescent="0.35">
      <c r="A38" s="26" t="s">
        <v>36</v>
      </c>
    </row>
    <row r="39" spans="1:1" x14ac:dyDescent="0.35">
      <c r="A39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39"/>
  <sheetViews>
    <sheetView zoomScale="80" zoomScaleNormal="80" workbookViewId="0">
      <pane xSplit="1" topLeftCell="C1" activePane="topRight" state="frozen"/>
      <selection pane="topRight" activeCell="P11" sqref="P11"/>
    </sheetView>
  </sheetViews>
  <sheetFormatPr defaultColWidth="9.1796875" defaultRowHeight="14.5" x14ac:dyDescent="0.35"/>
  <cols>
    <col min="1" max="1" width="30.54296875" style="45" customWidth="1"/>
    <col min="2" max="2" width="7.26953125" style="45" hidden="1" customWidth="1"/>
    <col min="3" max="4" width="7.26953125" style="45" customWidth="1"/>
    <col min="5" max="6" width="9.26953125" style="45" customWidth="1"/>
    <col min="7" max="8" width="7.26953125" style="45" customWidth="1"/>
    <col min="9" max="9" width="7.54296875" style="45" customWidth="1"/>
    <col min="10" max="10" width="7.26953125" style="45" customWidth="1"/>
    <col min="11" max="11" width="7.54296875" style="45" customWidth="1"/>
    <col min="12" max="13" width="9.26953125" style="45" customWidth="1"/>
    <col min="14" max="14" width="7.54296875" style="45" customWidth="1"/>
    <col min="15" max="15" width="9.26953125" style="45" customWidth="1"/>
    <col min="16" max="18" width="7.54296875" style="45" customWidth="1"/>
    <col min="19" max="19" width="9.26953125" style="45" customWidth="1"/>
    <col min="20" max="22" width="6.7265625" style="45" customWidth="1"/>
    <col min="23" max="25" width="9.1796875" style="45" customWidth="1"/>
    <col min="26" max="16384" width="9.1796875" style="45"/>
  </cols>
  <sheetData>
    <row r="1" spans="1:33" ht="15" customHeight="1" x14ac:dyDescent="0.35">
      <c r="A1" s="30"/>
      <c r="B1" s="2" t="str">
        <f t="shared" ref="B1:C1" si="0">TEXT(B2,"ddd")</f>
        <v>Sat</v>
      </c>
      <c r="C1" s="2" t="str">
        <f t="shared" si="0"/>
        <v>Sun</v>
      </c>
      <c r="D1" s="2" t="str">
        <f t="shared" ref="D1:AG1" si="1">TEXT(D2,"ddd")</f>
        <v>Mon</v>
      </c>
      <c r="E1" s="2" t="str">
        <f t="shared" si="1"/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</row>
    <row r="2" spans="1:33" x14ac:dyDescent="0.35">
      <c r="A2" s="7" t="s">
        <v>0</v>
      </c>
      <c r="B2" s="31">
        <v>44681</v>
      </c>
      <c r="C2" s="31">
        <v>44682</v>
      </c>
      <c r="D2" s="31">
        <v>44683</v>
      </c>
      <c r="E2" s="31">
        <v>44684</v>
      </c>
      <c r="F2" s="31">
        <v>44685</v>
      </c>
      <c r="G2" s="31">
        <v>44686</v>
      </c>
      <c r="H2" s="31">
        <v>44687</v>
      </c>
      <c r="I2" s="31">
        <v>44688</v>
      </c>
      <c r="J2" s="31">
        <v>44689</v>
      </c>
      <c r="K2" s="31">
        <v>44690</v>
      </c>
      <c r="L2" s="31">
        <v>44691</v>
      </c>
      <c r="M2" s="31">
        <v>44692</v>
      </c>
      <c r="N2" s="31">
        <v>44693</v>
      </c>
      <c r="O2" s="31">
        <v>44694</v>
      </c>
      <c r="P2" s="31">
        <v>44695</v>
      </c>
      <c r="Q2" s="31">
        <v>44696</v>
      </c>
      <c r="R2" s="31">
        <v>44697</v>
      </c>
      <c r="S2" s="31">
        <v>44698</v>
      </c>
      <c r="T2" s="31">
        <v>44699</v>
      </c>
      <c r="U2" s="31">
        <v>44700</v>
      </c>
      <c r="V2" s="31">
        <v>44701</v>
      </c>
      <c r="W2" s="31">
        <v>44702</v>
      </c>
      <c r="X2" s="31">
        <v>44703</v>
      </c>
      <c r="Y2" s="31">
        <v>44704</v>
      </c>
      <c r="Z2" s="31">
        <v>44705</v>
      </c>
      <c r="AA2" s="31">
        <v>44706</v>
      </c>
      <c r="AB2" s="31">
        <v>44707</v>
      </c>
      <c r="AC2" s="31">
        <v>44708</v>
      </c>
      <c r="AD2" s="31">
        <v>44709</v>
      </c>
      <c r="AE2" s="31">
        <v>44710</v>
      </c>
      <c r="AF2" s="31">
        <v>44711</v>
      </c>
      <c r="AG2" s="31">
        <v>44712</v>
      </c>
    </row>
    <row r="3" spans="1:33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</row>
    <row r="4" spans="1:33" x14ac:dyDescent="0.35">
      <c r="A4" s="67" t="s">
        <v>1</v>
      </c>
      <c r="B4" s="60" t="s">
        <v>40</v>
      </c>
      <c r="C4" s="25" t="s">
        <v>3</v>
      </c>
      <c r="D4" s="12" t="s">
        <v>2</v>
      </c>
      <c r="E4" s="13" t="s">
        <v>37</v>
      </c>
      <c r="F4" s="13" t="s">
        <v>5</v>
      </c>
      <c r="G4" s="13" t="s">
        <v>5</v>
      </c>
      <c r="H4" s="13" t="s">
        <v>5</v>
      </c>
      <c r="I4" s="68" t="s">
        <v>4</v>
      </c>
      <c r="J4" s="68" t="s">
        <v>4</v>
      </c>
      <c r="K4" s="13" t="s">
        <v>5</v>
      </c>
      <c r="L4" s="12" t="s">
        <v>2</v>
      </c>
      <c r="M4" s="12" t="s">
        <v>2</v>
      </c>
      <c r="N4" s="10" t="s">
        <v>41</v>
      </c>
      <c r="O4" s="10" t="s">
        <v>41</v>
      </c>
      <c r="P4" s="19" t="s">
        <v>42</v>
      </c>
      <c r="Q4" s="19" t="s">
        <v>42</v>
      </c>
      <c r="R4" s="10" t="s">
        <v>41</v>
      </c>
      <c r="S4" s="10" t="s">
        <v>41</v>
      </c>
      <c r="T4" s="12" t="s">
        <v>2</v>
      </c>
      <c r="U4" s="10" t="s">
        <v>41</v>
      </c>
      <c r="V4" s="12" t="s">
        <v>2</v>
      </c>
      <c r="W4" s="19" t="s">
        <v>42</v>
      </c>
      <c r="X4" s="19" t="s">
        <v>42</v>
      </c>
      <c r="Y4" s="16" t="s">
        <v>8</v>
      </c>
      <c r="Z4" s="16" t="s">
        <v>8</v>
      </c>
      <c r="AA4" s="16" t="s">
        <v>8</v>
      </c>
      <c r="AB4" s="16" t="s">
        <v>8</v>
      </c>
      <c r="AC4" s="12" t="s">
        <v>2</v>
      </c>
      <c r="AD4" s="19" t="s">
        <v>42</v>
      </c>
      <c r="AE4" s="19" t="s">
        <v>42</v>
      </c>
      <c r="AF4" s="16" t="s">
        <v>8</v>
      </c>
      <c r="AG4" s="16" t="s">
        <v>8</v>
      </c>
    </row>
    <row r="5" spans="1:33" x14ac:dyDescent="0.35">
      <c r="A5" s="67" t="s">
        <v>9</v>
      </c>
      <c r="B5" s="25" t="s">
        <v>3</v>
      </c>
      <c r="C5" s="19" t="s">
        <v>42</v>
      </c>
      <c r="D5" s="25" t="s">
        <v>6</v>
      </c>
      <c r="E5" s="25" t="s">
        <v>3</v>
      </c>
      <c r="F5" s="25" t="s">
        <v>6</v>
      </c>
      <c r="G5" s="22" t="s">
        <v>16</v>
      </c>
      <c r="H5" s="12" t="s">
        <v>2</v>
      </c>
      <c r="I5" s="25" t="s">
        <v>3</v>
      </c>
      <c r="J5" s="17" t="s">
        <v>11</v>
      </c>
      <c r="K5" s="12" t="s">
        <v>2</v>
      </c>
      <c r="L5" s="25" t="s">
        <v>6</v>
      </c>
      <c r="M5" s="25" t="s">
        <v>6</v>
      </c>
      <c r="N5" s="17" t="s">
        <v>10</v>
      </c>
      <c r="O5" s="17" t="s">
        <v>10</v>
      </c>
      <c r="P5" s="68" t="s">
        <v>4</v>
      </c>
      <c r="Q5" s="68" t="s">
        <v>4</v>
      </c>
      <c r="R5" s="17" t="s">
        <v>10</v>
      </c>
      <c r="S5" s="17" t="s">
        <v>10</v>
      </c>
      <c r="T5" s="17" t="s">
        <v>10</v>
      </c>
      <c r="U5" s="17" t="s">
        <v>10</v>
      </c>
      <c r="V5" s="17" t="s">
        <v>10</v>
      </c>
      <c r="W5" s="17" t="s">
        <v>11</v>
      </c>
      <c r="X5" s="17" t="s">
        <v>11</v>
      </c>
      <c r="Y5" s="12" t="s">
        <v>2</v>
      </c>
      <c r="Z5" s="12" t="s">
        <v>2</v>
      </c>
      <c r="AA5" s="25" t="s">
        <v>6</v>
      </c>
      <c r="AB5" s="25" t="s">
        <v>6</v>
      </c>
      <c r="AC5" s="25" t="s">
        <v>6</v>
      </c>
      <c r="AD5" s="25" t="s">
        <v>3</v>
      </c>
      <c r="AE5" s="68" t="s">
        <v>4</v>
      </c>
      <c r="AF5" s="25" t="s">
        <v>6</v>
      </c>
      <c r="AG5" s="25" t="s">
        <v>6</v>
      </c>
    </row>
    <row r="6" spans="1:33" x14ac:dyDescent="0.35">
      <c r="A6" s="67" t="s">
        <v>12</v>
      </c>
      <c r="B6" s="29" t="s">
        <v>4</v>
      </c>
      <c r="C6" s="29" t="s">
        <v>4</v>
      </c>
      <c r="D6" s="10" t="s">
        <v>41</v>
      </c>
      <c r="E6" s="10" t="s">
        <v>41</v>
      </c>
      <c r="F6" s="10" t="s">
        <v>41</v>
      </c>
      <c r="G6" s="10" t="s">
        <v>41</v>
      </c>
      <c r="H6" s="10" t="s">
        <v>41</v>
      </c>
      <c r="I6" s="29" t="s">
        <v>4</v>
      </c>
      <c r="J6" s="25" t="s">
        <v>3</v>
      </c>
      <c r="K6" s="17" t="s">
        <v>10</v>
      </c>
      <c r="L6" s="17" t="s">
        <v>10</v>
      </c>
      <c r="M6" s="17" t="s">
        <v>10</v>
      </c>
      <c r="N6" s="17" t="s">
        <v>10</v>
      </c>
      <c r="O6" s="12" t="s">
        <v>2</v>
      </c>
      <c r="P6" s="17" t="s">
        <v>11</v>
      </c>
      <c r="Q6" s="29" t="s">
        <v>4</v>
      </c>
      <c r="R6" s="25" t="s">
        <v>6</v>
      </c>
      <c r="S6" s="25" t="s">
        <v>6</v>
      </c>
      <c r="T6" s="25" t="s">
        <v>6</v>
      </c>
      <c r="U6" s="25" t="s">
        <v>6</v>
      </c>
      <c r="V6" s="12" t="s">
        <v>2</v>
      </c>
      <c r="W6" s="25" t="s">
        <v>3</v>
      </c>
      <c r="X6" s="25" t="s">
        <v>3</v>
      </c>
      <c r="Y6" s="25" t="s">
        <v>6</v>
      </c>
      <c r="Z6" s="25" t="s">
        <v>6</v>
      </c>
      <c r="AA6" s="13" t="s">
        <v>5</v>
      </c>
      <c r="AB6" s="13" t="s">
        <v>5</v>
      </c>
      <c r="AC6" s="13" t="s">
        <v>5</v>
      </c>
      <c r="AD6" s="68" t="s">
        <v>4</v>
      </c>
      <c r="AE6" s="68" t="s">
        <v>4</v>
      </c>
      <c r="AF6" s="13" t="s">
        <v>5</v>
      </c>
      <c r="AG6" s="13" t="s">
        <v>5</v>
      </c>
    </row>
    <row r="7" spans="1:33" x14ac:dyDescent="0.35">
      <c r="A7" s="67" t="s">
        <v>13</v>
      </c>
      <c r="B7" s="29" t="s">
        <v>4</v>
      </c>
      <c r="C7" s="29" t="s">
        <v>4</v>
      </c>
      <c r="D7" s="22" t="s">
        <v>16</v>
      </c>
      <c r="E7" s="22" t="s">
        <v>16</v>
      </c>
      <c r="F7" s="22" t="s">
        <v>16</v>
      </c>
      <c r="G7" s="22" t="s">
        <v>16</v>
      </c>
      <c r="H7" s="22" t="s">
        <v>16</v>
      </c>
      <c r="I7" s="29" t="s">
        <v>4</v>
      </c>
      <c r="J7" s="29" t="s">
        <v>4</v>
      </c>
      <c r="K7" s="22" t="s">
        <v>16</v>
      </c>
      <c r="L7" s="22" t="s">
        <v>16</v>
      </c>
      <c r="M7" s="22" t="s">
        <v>16</v>
      </c>
      <c r="N7" s="22" t="s">
        <v>16</v>
      </c>
      <c r="O7" s="22" t="s">
        <v>16</v>
      </c>
      <c r="P7" s="29" t="s">
        <v>4</v>
      </c>
      <c r="Q7" s="29" t="s">
        <v>4</v>
      </c>
      <c r="R7" s="22" t="s">
        <v>16</v>
      </c>
      <c r="S7" s="22" t="s">
        <v>16</v>
      </c>
      <c r="T7" s="22" t="s">
        <v>16</v>
      </c>
      <c r="U7" s="22" t="s">
        <v>16</v>
      </c>
      <c r="V7" s="22" t="s">
        <v>16</v>
      </c>
      <c r="W7" s="29" t="s">
        <v>4</v>
      </c>
      <c r="X7" s="29" t="s">
        <v>4</v>
      </c>
      <c r="Y7" s="22" t="s">
        <v>16</v>
      </c>
      <c r="Z7" s="22" t="s">
        <v>16</v>
      </c>
      <c r="AA7" s="22" t="s">
        <v>16</v>
      </c>
      <c r="AB7" s="22" t="s">
        <v>16</v>
      </c>
      <c r="AC7" s="22" t="s">
        <v>16</v>
      </c>
      <c r="AD7" s="29" t="s">
        <v>4</v>
      </c>
      <c r="AE7" s="29" t="s">
        <v>4</v>
      </c>
      <c r="AF7" s="22" t="s">
        <v>16</v>
      </c>
      <c r="AG7" s="22" t="s">
        <v>16</v>
      </c>
    </row>
    <row r="8" spans="1:33" x14ac:dyDescent="0.35">
      <c r="A8" s="67" t="s">
        <v>14</v>
      </c>
      <c r="B8" s="68" t="s">
        <v>4</v>
      </c>
      <c r="C8" s="68" t="s">
        <v>4</v>
      </c>
      <c r="D8" s="13" t="s">
        <v>5</v>
      </c>
      <c r="E8" s="13" t="s">
        <v>37</v>
      </c>
      <c r="F8" s="13" t="s">
        <v>5</v>
      </c>
      <c r="G8" s="25" t="s">
        <v>6</v>
      </c>
      <c r="H8" s="25" t="s">
        <v>6</v>
      </c>
      <c r="I8" s="19" t="s">
        <v>42</v>
      </c>
      <c r="J8" s="19" t="s">
        <v>42</v>
      </c>
      <c r="K8" s="25" t="s">
        <v>6</v>
      </c>
      <c r="L8" s="25" t="s">
        <v>6</v>
      </c>
      <c r="M8" s="12" t="s">
        <v>2</v>
      </c>
      <c r="N8" s="25" t="s">
        <v>6</v>
      </c>
      <c r="O8" s="13" t="s">
        <v>5</v>
      </c>
      <c r="P8" s="68" t="s">
        <v>4</v>
      </c>
      <c r="Q8" s="68" t="s">
        <v>4</v>
      </c>
      <c r="R8" s="13" t="s">
        <v>5</v>
      </c>
      <c r="S8" s="13" t="s">
        <v>5</v>
      </c>
      <c r="T8" s="10" t="s">
        <v>41</v>
      </c>
      <c r="U8" s="10" t="s">
        <v>41</v>
      </c>
      <c r="V8" s="10" t="s">
        <v>41</v>
      </c>
      <c r="W8" s="25" t="s">
        <v>3</v>
      </c>
      <c r="X8" s="29" t="s">
        <v>4</v>
      </c>
      <c r="Y8" s="12" t="s">
        <v>2</v>
      </c>
      <c r="Z8" s="10" t="s">
        <v>41</v>
      </c>
      <c r="AA8" s="17" t="s">
        <v>10</v>
      </c>
      <c r="AB8" s="17" t="s">
        <v>10</v>
      </c>
      <c r="AC8" s="17" t="s">
        <v>10</v>
      </c>
      <c r="AD8" s="17" t="s">
        <v>11</v>
      </c>
      <c r="AE8" s="17" t="s">
        <v>11</v>
      </c>
      <c r="AF8" s="12" t="s">
        <v>2</v>
      </c>
      <c r="AG8" s="12" t="s">
        <v>2</v>
      </c>
    </row>
    <row r="9" spans="1:33" x14ac:dyDescent="0.35">
      <c r="A9" s="67" t="s">
        <v>15</v>
      </c>
      <c r="B9" s="29" t="s">
        <v>4</v>
      </c>
      <c r="C9" s="29" t="s">
        <v>4</v>
      </c>
      <c r="D9" s="17" t="s">
        <v>10</v>
      </c>
      <c r="E9" s="17" t="s">
        <v>10</v>
      </c>
      <c r="F9" s="17" t="s">
        <v>10</v>
      </c>
      <c r="G9" s="17" t="s">
        <v>10</v>
      </c>
      <c r="H9" s="17" t="s">
        <v>10</v>
      </c>
      <c r="I9" s="29" t="s">
        <v>4</v>
      </c>
      <c r="J9" s="29" t="s">
        <v>4</v>
      </c>
      <c r="K9" s="10" t="s">
        <v>41</v>
      </c>
      <c r="L9" s="10" t="s">
        <v>41</v>
      </c>
      <c r="M9" s="10" t="s">
        <v>41</v>
      </c>
      <c r="N9" s="10" t="s">
        <v>41</v>
      </c>
      <c r="O9" s="10" t="s">
        <v>41</v>
      </c>
      <c r="P9" s="29" t="s">
        <v>4</v>
      </c>
      <c r="Q9" s="29" t="s">
        <v>4</v>
      </c>
      <c r="R9" s="25" t="s">
        <v>6</v>
      </c>
      <c r="S9" s="25" t="s">
        <v>6</v>
      </c>
      <c r="T9" s="25" t="s">
        <v>6</v>
      </c>
      <c r="U9" s="12" t="s">
        <v>2</v>
      </c>
      <c r="V9" s="25" t="s">
        <v>6</v>
      </c>
      <c r="W9" s="19" t="s">
        <v>42</v>
      </c>
      <c r="X9" s="19" t="s">
        <v>42</v>
      </c>
      <c r="Y9" s="17" t="s">
        <v>10</v>
      </c>
      <c r="Z9" s="17" t="s">
        <v>10</v>
      </c>
      <c r="AA9" s="12" t="s">
        <v>2</v>
      </c>
      <c r="AB9" s="12" t="s">
        <v>2</v>
      </c>
      <c r="AC9" s="10" t="s">
        <v>41</v>
      </c>
      <c r="AD9" s="19" t="s">
        <v>42</v>
      </c>
      <c r="AE9" s="25" t="s">
        <v>3</v>
      </c>
      <c r="AF9" s="17" t="s">
        <v>10</v>
      </c>
      <c r="AG9" s="17" t="s">
        <v>10</v>
      </c>
    </row>
    <row r="10" spans="1:33" x14ac:dyDescent="0.35">
      <c r="A10" s="67" t="s">
        <v>18</v>
      </c>
      <c r="B10" s="17" t="s">
        <v>11</v>
      </c>
      <c r="C10" s="17" t="s">
        <v>11</v>
      </c>
      <c r="D10" s="17" t="s">
        <v>10</v>
      </c>
      <c r="E10" s="17" t="s">
        <v>10</v>
      </c>
      <c r="F10" s="12" t="s">
        <v>2</v>
      </c>
      <c r="G10" s="10" t="s">
        <v>41</v>
      </c>
      <c r="H10" s="10" t="s">
        <v>41</v>
      </c>
      <c r="I10" s="19" t="s">
        <v>42</v>
      </c>
      <c r="J10" s="19" t="s">
        <v>42</v>
      </c>
      <c r="K10" s="10" t="s">
        <v>41</v>
      </c>
      <c r="L10" s="12" t="s">
        <v>2</v>
      </c>
      <c r="M10" s="12" t="s">
        <v>2</v>
      </c>
      <c r="N10" s="25" t="s">
        <v>6</v>
      </c>
      <c r="O10" s="25" t="s">
        <v>6</v>
      </c>
      <c r="P10" s="25" t="s">
        <v>3</v>
      </c>
      <c r="Q10" s="25" t="s">
        <v>3</v>
      </c>
      <c r="R10" s="10" t="s">
        <v>41</v>
      </c>
      <c r="S10" s="12" t="s">
        <v>2</v>
      </c>
      <c r="T10" s="12" t="s">
        <v>2</v>
      </c>
      <c r="U10" s="25" t="s">
        <v>6</v>
      </c>
      <c r="V10" s="25" t="s">
        <v>6</v>
      </c>
      <c r="W10" s="68" t="s">
        <v>4</v>
      </c>
      <c r="X10" s="68" t="s">
        <v>4</v>
      </c>
      <c r="Y10" s="10" t="s">
        <v>41</v>
      </c>
      <c r="Z10" s="13" t="s">
        <v>5</v>
      </c>
      <c r="AA10" s="13" t="s">
        <v>5</v>
      </c>
      <c r="AB10" s="13" t="s">
        <v>5</v>
      </c>
      <c r="AC10" s="13" t="s">
        <v>5</v>
      </c>
      <c r="AD10" s="68" t="s">
        <v>4</v>
      </c>
      <c r="AE10" s="68" t="s">
        <v>4</v>
      </c>
      <c r="AF10" s="13" t="s">
        <v>5</v>
      </c>
      <c r="AG10" s="17" t="s">
        <v>10</v>
      </c>
    </row>
    <row r="11" spans="1:33" ht="14.15" customHeight="1" x14ac:dyDescent="0.35">
      <c r="A11" s="67" t="s">
        <v>21</v>
      </c>
      <c r="B11" s="17" t="s">
        <v>11</v>
      </c>
      <c r="C11" s="17" t="s">
        <v>11</v>
      </c>
      <c r="D11" s="12" t="s">
        <v>2</v>
      </c>
      <c r="E11" s="12" t="s">
        <v>2</v>
      </c>
      <c r="F11" s="17" t="s">
        <v>10</v>
      </c>
      <c r="G11" s="17" t="s">
        <v>10</v>
      </c>
      <c r="H11" s="17" t="s">
        <v>10</v>
      </c>
      <c r="I11" s="17" t="s">
        <v>11</v>
      </c>
      <c r="J11" s="29" t="s">
        <v>4</v>
      </c>
      <c r="K11" s="13" t="s">
        <v>5</v>
      </c>
      <c r="L11" s="10" t="s">
        <v>41</v>
      </c>
      <c r="M11" s="10" t="s">
        <v>41</v>
      </c>
      <c r="N11" s="10" t="s">
        <v>41</v>
      </c>
      <c r="O11" s="13" t="s">
        <v>5</v>
      </c>
      <c r="P11" s="17" t="s">
        <v>11</v>
      </c>
      <c r="Q11" s="17" t="s">
        <v>11</v>
      </c>
      <c r="R11" s="13" t="s">
        <v>95</v>
      </c>
      <c r="S11" s="12" t="s">
        <v>2</v>
      </c>
      <c r="T11" s="10" t="s">
        <v>41</v>
      </c>
      <c r="U11" s="10" t="s">
        <v>41</v>
      </c>
      <c r="V11" s="10" t="s">
        <v>41</v>
      </c>
      <c r="W11" s="68" t="s">
        <v>4</v>
      </c>
      <c r="X11" s="29" t="s">
        <v>4</v>
      </c>
      <c r="Y11" s="17" t="s">
        <v>10</v>
      </c>
      <c r="Z11" s="17" t="s">
        <v>10</v>
      </c>
      <c r="AA11" s="17" t="s">
        <v>10</v>
      </c>
      <c r="AB11" s="12" t="s">
        <v>2</v>
      </c>
      <c r="AC11" s="12" t="s">
        <v>2</v>
      </c>
      <c r="AD11" s="25" t="s">
        <v>3</v>
      </c>
      <c r="AE11" s="25" t="s">
        <v>3</v>
      </c>
      <c r="AF11" s="10" t="s">
        <v>41</v>
      </c>
      <c r="AG11" s="10" t="s">
        <v>41</v>
      </c>
    </row>
    <row r="12" spans="1:33" x14ac:dyDescent="0.35">
      <c r="A12" s="67" t="s">
        <v>43</v>
      </c>
      <c r="B12" s="29" t="s">
        <v>4</v>
      </c>
      <c r="C12" s="29" t="s">
        <v>4</v>
      </c>
      <c r="D12" s="25" t="s">
        <v>6</v>
      </c>
      <c r="E12" s="25" t="s">
        <v>6</v>
      </c>
      <c r="F12" s="25" t="s">
        <v>6</v>
      </c>
      <c r="G12" s="12" t="s">
        <v>2</v>
      </c>
      <c r="H12" s="10" t="s">
        <v>41</v>
      </c>
      <c r="I12" s="25" t="s">
        <v>3</v>
      </c>
      <c r="J12" s="25" t="s">
        <v>3</v>
      </c>
      <c r="K12" s="25" t="s">
        <v>6</v>
      </c>
      <c r="L12" s="12" t="s">
        <v>2</v>
      </c>
      <c r="M12" s="25" t="s">
        <v>6</v>
      </c>
      <c r="N12" s="25" t="s">
        <v>6</v>
      </c>
      <c r="O12" s="25" t="s">
        <v>6</v>
      </c>
      <c r="P12" s="19" t="s">
        <v>42</v>
      </c>
      <c r="Q12" s="29" t="s">
        <v>4</v>
      </c>
      <c r="R12" s="17" t="s">
        <v>10</v>
      </c>
      <c r="S12" s="17" t="s">
        <v>10</v>
      </c>
      <c r="T12" s="17" t="s">
        <v>10</v>
      </c>
      <c r="U12" s="17" t="s">
        <v>10</v>
      </c>
      <c r="V12" s="17" t="s">
        <v>10</v>
      </c>
      <c r="W12" s="29" t="s">
        <v>4</v>
      </c>
      <c r="X12" s="29" t="s">
        <v>4</v>
      </c>
      <c r="Y12" s="10" t="s">
        <v>41</v>
      </c>
      <c r="Z12" s="10" t="s">
        <v>41</v>
      </c>
      <c r="AA12" s="12" t="s">
        <v>2</v>
      </c>
      <c r="AB12" s="17" t="s">
        <v>10</v>
      </c>
      <c r="AC12" s="17" t="s">
        <v>10</v>
      </c>
      <c r="AD12" s="17" t="s">
        <v>11</v>
      </c>
      <c r="AE12" s="17" t="s">
        <v>11</v>
      </c>
      <c r="AF12" s="17" t="s">
        <v>10</v>
      </c>
      <c r="AG12" s="12" t="s">
        <v>2</v>
      </c>
    </row>
    <row r="13" spans="1:33" x14ac:dyDescent="0.35">
      <c r="A13" s="67" t="s">
        <v>86</v>
      </c>
      <c r="B13" s="19" t="s">
        <v>42</v>
      </c>
      <c r="C13" s="19" t="s">
        <v>42</v>
      </c>
      <c r="D13" s="12" t="s">
        <v>2</v>
      </c>
      <c r="E13" s="12" t="s">
        <v>2</v>
      </c>
      <c r="F13" s="10" t="s">
        <v>41</v>
      </c>
      <c r="G13" s="25" t="s">
        <v>6</v>
      </c>
      <c r="H13" s="12" t="s">
        <v>2</v>
      </c>
      <c r="I13" s="17" t="s">
        <v>11</v>
      </c>
      <c r="J13" s="17" t="s">
        <v>11</v>
      </c>
      <c r="K13" s="17" t="s">
        <v>10</v>
      </c>
      <c r="L13" s="17" t="s">
        <v>10</v>
      </c>
      <c r="M13" s="17" t="s">
        <v>10</v>
      </c>
      <c r="N13" s="12" t="s">
        <v>2</v>
      </c>
      <c r="O13" s="17" t="s">
        <v>10</v>
      </c>
      <c r="P13" s="68" t="s">
        <v>4</v>
      </c>
      <c r="Q13" s="68" t="s">
        <v>4</v>
      </c>
      <c r="R13" s="13" t="s">
        <v>5</v>
      </c>
      <c r="S13" s="13" t="s">
        <v>5</v>
      </c>
      <c r="T13" s="13" t="s">
        <v>5</v>
      </c>
      <c r="U13" s="13" t="s">
        <v>5</v>
      </c>
      <c r="V13" s="13" t="s">
        <v>5</v>
      </c>
      <c r="W13" s="17" t="s">
        <v>11</v>
      </c>
      <c r="X13" s="17" t="s">
        <v>11</v>
      </c>
      <c r="Y13" s="12" t="s">
        <v>2</v>
      </c>
      <c r="Z13" s="10" t="s">
        <v>41</v>
      </c>
      <c r="AA13" s="10" t="s">
        <v>41</v>
      </c>
      <c r="AB13" s="10" t="s">
        <v>41</v>
      </c>
      <c r="AC13" s="10" t="s">
        <v>41</v>
      </c>
      <c r="AD13" s="29" t="s">
        <v>4</v>
      </c>
      <c r="AE13" s="29" t="s">
        <v>4</v>
      </c>
      <c r="AF13" s="25" t="s">
        <v>6</v>
      </c>
      <c r="AG13" s="25" t="s">
        <v>6</v>
      </c>
    </row>
    <row r="14" spans="1:33" ht="15" thickBot="1" x14ac:dyDescent="0.4">
      <c r="A14" s="67" t="s">
        <v>22</v>
      </c>
      <c r="B14" s="68" t="s">
        <v>4</v>
      </c>
      <c r="C14" s="68" t="s">
        <v>4</v>
      </c>
      <c r="D14" s="10" t="s">
        <v>41</v>
      </c>
      <c r="E14" s="10" t="s">
        <v>41</v>
      </c>
      <c r="F14" s="10" t="s">
        <v>41</v>
      </c>
      <c r="G14" s="25" t="s">
        <v>6</v>
      </c>
      <c r="H14" s="25" t="s">
        <v>6</v>
      </c>
      <c r="I14" s="68" t="s">
        <v>4</v>
      </c>
      <c r="J14" s="68" t="s">
        <v>4</v>
      </c>
      <c r="K14" s="25" t="s">
        <v>6</v>
      </c>
      <c r="L14" s="25" t="s">
        <v>6</v>
      </c>
      <c r="M14" s="12" t="s">
        <v>2</v>
      </c>
      <c r="N14" s="12" t="s">
        <v>2</v>
      </c>
      <c r="O14" s="25" t="s">
        <v>6</v>
      </c>
      <c r="P14" s="25" t="s">
        <v>3</v>
      </c>
      <c r="Q14" s="25" t="s">
        <v>3</v>
      </c>
      <c r="R14" s="25" t="s">
        <v>6</v>
      </c>
      <c r="S14" s="25" t="s">
        <v>6</v>
      </c>
      <c r="T14" s="25" t="s">
        <v>6</v>
      </c>
      <c r="U14" s="13" t="s">
        <v>5</v>
      </c>
      <c r="V14" s="13" t="s">
        <v>5</v>
      </c>
      <c r="W14" s="68" t="s">
        <v>4</v>
      </c>
      <c r="X14" s="68" t="s">
        <v>4</v>
      </c>
      <c r="Y14" s="25" t="s">
        <v>6</v>
      </c>
      <c r="Z14" s="25" t="s">
        <v>6</v>
      </c>
      <c r="AA14" s="25" t="s">
        <v>6</v>
      </c>
      <c r="AB14" s="12" t="s">
        <v>2</v>
      </c>
      <c r="AC14" s="25" t="s">
        <v>6</v>
      </c>
      <c r="AD14" s="66" t="s">
        <v>30</v>
      </c>
      <c r="AE14" s="19" t="s">
        <v>42</v>
      </c>
      <c r="AF14" s="10" t="s">
        <v>41</v>
      </c>
      <c r="AG14" s="13" t="s">
        <v>5</v>
      </c>
    </row>
    <row r="15" spans="1:33" ht="15" thickBot="1" x14ac:dyDescent="0.4">
      <c r="A15" s="67" t="s">
        <v>71</v>
      </c>
      <c r="B15" s="66" t="s">
        <v>30</v>
      </c>
      <c r="C15" s="29" t="s">
        <v>4</v>
      </c>
      <c r="D15" s="10" t="s">
        <v>41</v>
      </c>
      <c r="E15" s="10" t="s">
        <v>41</v>
      </c>
      <c r="F15" s="12" t="s">
        <v>2</v>
      </c>
      <c r="G15" s="10" t="s">
        <v>41</v>
      </c>
      <c r="H15" s="10" t="s">
        <v>41</v>
      </c>
      <c r="I15" s="22" t="s">
        <v>30</v>
      </c>
      <c r="J15" s="29" t="s">
        <v>4</v>
      </c>
      <c r="K15" s="13" t="s">
        <v>5</v>
      </c>
      <c r="L15" s="10" t="s">
        <v>41</v>
      </c>
      <c r="M15" s="10" t="s">
        <v>41</v>
      </c>
      <c r="N15" s="10" t="s">
        <v>41</v>
      </c>
      <c r="O15" s="10" t="s">
        <v>41</v>
      </c>
      <c r="P15" s="29" t="s">
        <v>4</v>
      </c>
      <c r="Q15" s="68" t="s">
        <v>4</v>
      </c>
      <c r="R15" s="13" t="s">
        <v>5</v>
      </c>
      <c r="S15" s="10" t="s">
        <v>41</v>
      </c>
      <c r="T15" s="10" t="s">
        <v>41</v>
      </c>
      <c r="U15" s="12" t="s">
        <v>2</v>
      </c>
      <c r="V15" s="10" t="s">
        <v>41</v>
      </c>
      <c r="W15" s="66" t="s">
        <v>30</v>
      </c>
      <c r="X15" s="25" t="s">
        <v>3</v>
      </c>
      <c r="Y15" s="10" t="s">
        <v>41</v>
      </c>
      <c r="Z15" s="12" t="s">
        <v>2</v>
      </c>
      <c r="AA15" s="10" t="s">
        <v>41</v>
      </c>
      <c r="AB15" s="10" t="s">
        <v>41</v>
      </c>
      <c r="AC15" s="10" t="s">
        <v>41</v>
      </c>
      <c r="AD15" s="29" t="s">
        <v>4</v>
      </c>
      <c r="AE15" s="29" t="s">
        <v>4</v>
      </c>
      <c r="AF15" s="10" t="s">
        <v>41</v>
      </c>
      <c r="AG15" s="10" t="s">
        <v>41</v>
      </c>
    </row>
    <row r="16" spans="1:33" x14ac:dyDescent="0.35">
      <c r="A16" s="67" t="s">
        <v>87</v>
      </c>
      <c r="B16" s="25" t="s">
        <v>3</v>
      </c>
      <c r="C16" s="25" t="s">
        <v>3</v>
      </c>
      <c r="D16" s="12" t="s">
        <v>2</v>
      </c>
      <c r="E16" s="25" t="s">
        <v>6</v>
      </c>
      <c r="F16" s="25" t="s">
        <v>6</v>
      </c>
      <c r="G16" s="25" t="s">
        <v>6</v>
      </c>
      <c r="H16" s="25" t="s">
        <v>6</v>
      </c>
      <c r="I16" s="29" t="s">
        <v>4</v>
      </c>
      <c r="J16" s="29" t="s">
        <v>4</v>
      </c>
      <c r="K16" s="25" t="s">
        <v>6</v>
      </c>
      <c r="L16" s="25" t="s">
        <v>6</v>
      </c>
      <c r="M16" s="25" t="s">
        <v>6</v>
      </c>
      <c r="N16" s="25" t="s">
        <v>6</v>
      </c>
      <c r="O16" s="25" t="s">
        <v>6</v>
      </c>
      <c r="P16" s="22" t="s">
        <v>30</v>
      </c>
      <c r="Q16" s="29" t="s">
        <v>4</v>
      </c>
      <c r="R16" s="12" t="s">
        <v>2</v>
      </c>
      <c r="S16" s="25" t="s">
        <v>6</v>
      </c>
      <c r="T16" s="25" t="s">
        <v>6</v>
      </c>
      <c r="U16" s="25" t="s">
        <v>6</v>
      </c>
      <c r="V16" s="25" t="s">
        <v>6</v>
      </c>
      <c r="W16" s="29" t="s">
        <v>4</v>
      </c>
      <c r="X16" s="29" t="s">
        <v>4</v>
      </c>
      <c r="Y16" s="25" t="s">
        <v>6</v>
      </c>
      <c r="Z16" s="25" t="s">
        <v>6</v>
      </c>
      <c r="AA16" s="25" t="s">
        <v>6</v>
      </c>
      <c r="AB16" s="25" t="s">
        <v>6</v>
      </c>
      <c r="AC16" s="25" t="s">
        <v>6</v>
      </c>
      <c r="AD16" s="29" t="s">
        <v>4</v>
      </c>
      <c r="AE16" s="29" t="s">
        <v>4</v>
      </c>
      <c r="AF16" s="25" t="s">
        <v>6</v>
      </c>
      <c r="AG16" s="25" t="s">
        <v>6</v>
      </c>
    </row>
    <row r="17" spans="1:33" x14ac:dyDescent="0.35">
      <c r="A17" s="67" t="s">
        <v>85</v>
      </c>
      <c r="B17" s="29" t="s">
        <v>4</v>
      </c>
      <c r="C17" s="29" t="s">
        <v>4</v>
      </c>
      <c r="D17" s="25" t="s">
        <v>6</v>
      </c>
      <c r="E17" s="25" t="s">
        <v>6</v>
      </c>
      <c r="F17" s="25" t="s">
        <v>6</v>
      </c>
      <c r="G17" s="16" t="s">
        <v>8</v>
      </c>
      <c r="H17" s="16" t="s">
        <v>8</v>
      </c>
      <c r="I17" s="29" t="s">
        <v>4</v>
      </c>
      <c r="J17" s="29" t="s">
        <v>4</v>
      </c>
      <c r="K17" s="10" t="s">
        <v>41</v>
      </c>
      <c r="L17" s="10" t="s">
        <v>41</v>
      </c>
      <c r="M17" s="25" t="s">
        <v>6</v>
      </c>
      <c r="N17" s="10" t="s">
        <v>41</v>
      </c>
      <c r="O17" s="10" t="s">
        <v>41</v>
      </c>
      <c r="P17" s="29" t="s">
        <v>4</v>
      </c>
      <c r="Q17" s="29" t="s">
        <v>4</v>
      </c>
      <c r="R17" s="10" t="s">
        <v>41</v>
      </c>
      <c r="S17" s="10" t="s">
        <v>41</v>
      </c>
      <c r="T17" s="16" t="s">
        <v>8</v>
      </c>
      <c r="U17" s="16" t="s">
        <v>8</v>
      </c>
      <c r="V17" s="16" t="s">
        <v>8</v>
      </c>
      <c r="W17" s="68" t="s">
        <v>4</v>
      </c>
      <c r="X17" s="68" t="s">
        <v>4</v>
      </c>
      <c r="Y17" s="13" t="s">
        <v>5</v>
      </c>
      <c r="Z17" s="13" t="s">
        <v>5</v>
      </c>
      <c r="AA17" s="10" t="s">
        <v>41</v>
      </c>
      <c r="AB17" s="10" t="s">
        <v>41</v>
      </c>
      <c r="AC17" s="10" t="s">
        <v>41</v>
      </c>
      <c r="AD17" s="29" t="s">
        <v>4</v>
      </c>
      <c r="AE17" s="29" t="s">
        <v>4</v>
      </c>
      <c r="AF17" s="25" t="s">
        <v>6</v>
      </c>
      <c r="AG17" s="25" t="s">
        <v>6</v>
      </c>
    </row>
    <row r="18" spans="1:33" x14ac:dyDescent="0.35">
      <c r="A18" s="67" t="s">
        <v>88</v>
      </c>
      <c r="B18" s="29" t="s">
        <v>4</v>
      </c>
      <c r="C18" s="29" t="s">
        <v>4</v>
      </c>
      <c r="D18" s="10" t="s">
        <v>41</v>
      </c>
      <c r="E18" s="10" t="s">
        <v>41</v>
      </c>
      <c r="F18" s="10" t="s">
        <v>41</v>
      </c>
      <c r="G18" s="10" t="s">
        <v>41</v>
      </c>
      <c r="H18" s="25" t="s">
        <v>6</v>
      </c>
      <c r="I18" s="29" t="s">
        <v>4</v>
      </c>
      <c r="J18" s="29" t="s">
        <v>4</v>
      </c>
      <c r="K18" s="10" t="s">
        <v>41</v>
      </c>
      <c r="L18" s="16" t="s">
        <v>8</v>
      </c>
      <c r="M18" s="16" t="s">
        <v>8</v>
      </c>
      <c r="N18" s="16" t="s">
        <v>8</v>
      </c>
      <c r="O18" s="16" t="s">
        <v>8</v>
      </c>
      <c r="P18" s="29" t="s">
        <v>4</v>
      </c>
      <c r="Q18" s="19" t="s">
        <v>42</v>
      </c>
      <c r="R18" s="10" t="s">
        <v>41</v>
      </c>
      <c r="S18" s="10" t="s">
        <v>41</v>
      </c>
      <c r="T18" s="10" t="s">
        <v>41</v>
      </c>
      <c r="U18" s="10" t="s">
        <v>41</v>
      </c>
      <c r="V18" s="10" t="s">
        <v>41</v>
      </c>
      <c r="W18" s="29" t="s">
        <v>4</v>
      </c>
      <c r="X18" s="29" t="s">
        <v>4</v>
      </c>
      <c r="Y18" s="25" t="s">
        <v>6</v>
      </c>
      <c r="Z18" s="25" t="s">
        <v>6</v>
      </c>
      <c r="AA18" s="25" t="s">
        <v>6</v>
      </c>
      <c r="AB18" s="25" t="s">
        <v>6</v>
      </c>
      <c r="AC18" s="25" t="s">
        <v>6</v>
      </c>
      <c r="AD18" s="29" t="s">
        <v>4</v>
      </c>
      <c r="AE18" s="29" t="s">
        <v>4</v>
      </c>
      <c r="AF18" s="10" t="s">
        <v>41</v>
      </c>
      <c r="AG18" s="10" t="s">
        <v>41</v>
      </c>
    </row>
    <row r="19" spans="1:33" x14ac:dyDescent="0.35">
      <c r="A19" s="67" t="s">
        <v>89</v>
      </c>
      <c r="B19" s="29" t="s">
        <v>4</v>
      </c>
      <c r="C19" s="29" t="s">
        <v>4</v>
      </c>
      <c r="D19" s="25" t="s">
        <v>6</v>
      </c>
      <c r="E19" s="22" t="s">
        <v>16</v>
      </c>
      <c r="F19" s="22" t="s">
        <v>16</v>
      </c>
      <c r="G19" s="22" t="s">
        <v>16</v>
      </c>
      <c r="H19" s="22" t="s">
        <v>16</v>
      </c>
      <c r="I19" s="29" t="s">
        <v>4</v>
      </c>
      <c r="J19" s="29" t="s">
        <v>4</v>
      </c>
      <c r="K19" s="13" t="s">
        <v>5</v>
      </c>
      <c r="L19" s="13" t="s">
        <v>5</v>
      </c>
      <c r="M19" s="13" t="s">
        <v>5</v>
      </c>
      <c r="N19" s="13" t="s">
        <v>5</v>
      </c>
      <c r="O19" s="13" t="s">
        <v>5</v>
      </c>
      <c r="P19" s="29" t="s">
        <v>4</v>
      </c>
      <c r="Q19" s="29" t="s">
        <v>4</v>
      </c>
      <c r="R19" s="25" t="s">
        <v>6</v>
      </c>
      <c r="S19" s="22" t="s">
        <v>16</v>
      </c>
      <c r="T19" s="22" t="s">
        <v>16</v>
      </c>
      <c r="U19" s="25" t="s">
        <v>6</v>
      </c>
      <c r="V19" s="25" t="s">
        <v>6</v>
      </c>
      <c r="W19" s="29" t="s">
        <v>4</v>
      </c>
      <c r="X19" s="29" t="s">
        <v>4</v>
      </c>
      <c r="Y19" s="10" t="s">
        <v>41</v>
      </c>
      <c r="Z19" s="10" t="s">
        <v>41</v>
      </c>
      <c r="AA19" s="10" t="s">
        <v>41</v>
      </c>
      <c r="AB19" s="25" t="s">
        <v>6</v>
      </c>
      <c r="AC19" s="22" t="s">
        <v>16</v>
      </c>
      <c r="AD19" s="29" t="s">
        <v>4</v>
      </c>
      <c r="AE19" s="29" t="s">
        <v>4</v>
      </c>
      <c r="AF19" s="22" t="s">
        <v>16</v>
      </c>
      <c r="AG19" s="10" t="s">
        <v>41</v>
      </c>
    </row>
    <row r="21" spans="1:33" x14ac:dyDescent="0.35">
      <c r="A21" s="24" t="s">
        <v>23</v>
      </c>
    </row>
    <row r="22" spans="1:33" x14ac:dyDescent="0.35">
      <c r="A22" s="1" t="s">
        <v>24</v>
      </c>
    </row>
    <row r="23" spans="1:33" x14ac:dyDescent="0.35">
      <c r="A23" s="1" t="s">
        <v>25</v>
      </c>
    </row>
    <row r="24" spans="1:33" x14ac:dyDescent="0.35">
      <c r="A24" s="1" t="s">
        <v>47</v>
      </c>
    </row>
    <row r="25" spans="1:33" x14ac:dyDescent="0.35">
      <c r="A25" s="1" t="s">
        <v>48</v>
      </c>
    </row>
    <row r="26" spans="1:33" x14ac:dyDescent="0.35">
      <c r="A26" s="26" t="s">
        <v>26</v>
      </c>
    </row>
    <row r="27" spans="1:33" x14ac:dyDescent="0.35">
      <c r="A27" s="26" t="s">
        <v>27</v>
      </c>
    </row>
    <row r="28" spans="1:33" x14ac:dyDescent="0.35">
      <c r="A28" s="26" t="s">
        <v>28</v>
      </c>
    </row>
    <row r="29" spans="1:33" x14ac:dyDescent="0.35">
      <c r="A29" s="26" t="s">
        <v>29</v>
      </c>
    </row>
    <row r="30" spans="1:33" x14ac:dyDescent="0.35">
      <c r="A30" s="26" t="s">
        <v>49</v>
      </c>
    </row>
    <row r="31" spans="1:33" x14ac:dyDescent="0.35">
      <c r="A31" s="26" t="s">
        <v>50</v>
      </c>
    </row>
    <row r="32" spans="1:33" x14ac:dyDescent="0.35">
      <c r="A32" s="26" t="s">
        <v>31</v>
      </c>
    </row>
    <row r="33" spans="1:1" x14ac:dyDescent="0.35">
      <c r="A33" s="26" t="s">
        <v>32</v>
      </c>
    </row>
    <row r="34" spans="1:1" x14ac:dyDescent="0.35">
      <c r="A34" s="26" t="s">
        <v>33</v>
      </c>
    </row>
    <row r="35" spans="1:1" x14ac:dyDescent="0.35">
      <c r="A35" s="26" t="s">
        <v>35</v>
      </c>
    </row>
    <row r="36" spans="1:1" x14ac:dyDescent="0.35">
      <c r="A36" s="26" t="s">
        <v>36</v>
      </c>
    </row>
    <row r="37" spans="1:1" x14ac:dyDescent="0.35">
      <c r="A37" s="26" t="s">
        <v>38</v>
      </c>
    </row>
    <row r="38" spans="1:1" x14ac:dyDescent="0.35">
      <c r="A38" s="26" t="s">
        <v>36</v>
      </c>
    </row>
    <row r="39" spans="1:1" x14ac:dyDescent="0.35">
      <c r="A39" s="26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38"/>
  <sheetViews>
    <sheetView zoomScale="80" zoomScaleNormal="80" workbookViewId="0">
      <pane xSplit="1" topLeftCell="B1" activePane="topRight" state="frozen"/>
      <selection pane="topRight" activeCell="C10" sqref="C10"/>
    </sheetView>
  </sheetViews>
  <sheetFormatPr defaultColWidth="9.1796875" defaultRowHeight="14.5" x14ac:dyDescent="0.35"/>
  <cols>
    <col min="1" max="1" width="30.54296875" style="45" customWidth="1"/>
    <col min="2" max="4" width="7.26953125" style="45" customWidth="1"/>
    <col min="5" max="6" width="9.26953125" style="45" customWidth="1"/>
    <col min="7" max="7" width="7.54296875" style="45" customWidth="1"/>
    <col min="8" max="8" width="7.26953125" style="45" customWidth="1"/>
    <col min="9" max="9" width="7.54296875" style="45" customWidth="1"/>
    <col min="10" max="10" width="7.26953125" style="45" customWidth="1"/>
    <col min="11" max="11" width="7.54296875" style="45" customWidth="1"/>
    <col min="12" max="13" width="9.26953125" style="45" customWidth="1"/>
    <col min="14" max="14" width="7.54296875" style="45" customWidth="1"/>
    <col min="15" max="15" width="9.26953125" style="45" customWidth="1"/>
    <col min="16" max="18" width="7.54296875" style="45" customWidth="1"/>
    <col min="19" max="19" width="9.26953125" style="45" customWidth="1"/>
    <col min="20" max="22" width="6.7265625" style="45" customWidth="1"/>
    <col min="23" max="33" width="9.1796875" style="45" customWidth="1"/>
    <col min="34" max="16384" width="9.1796875" style="45"/>
  </cols>
  <sheetData>
    <row r="1" spans="1:33" ht="15" customHeight="1" x14ac:dyDescent="0.35">
      <c r="A1" s="30"/>
      <c r="B1" s="2" t="str">
        <f t="shared" ref="B1:AG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</row>
    <row r="2" spans="1:33" x14ac:dyDescent="0.35">
      <c r="A2" s="7" t="s">
        <v>0</v>
      </c>
      <c r="B2" s="31">
        <v>44681</v>
      </c>
      <c r="C2" s="31">
        <v>44682</v>
      </c>
      <c r="D2" s="31">
        <v>44683</v>
      </c>
      <c r="E2" s="31">
        <v>44684</v>
      </c>
      <c r="F2" s="31">
        <v>44685</v>
      </c>
      <c r="G2" s="31">
        <v>44686</v>
      </c>
      <c r="H2" s="31">
        <v>44687</v>
      </c>
      <c r="I2" s="31">
        <v>44688</v>
      </c>
      <c r="J2" s="31">
        <v>44689</v>
      </c>
      <c r="K2" s="31">
        <v>44690</v>
      </c>
      <c r="L2" s="31">
        <v>44691</v>
      </c>
      <c r="M2" s="31">
        <v>44692</v>
      </c>
      <c r="N2" s="31">
        <v>44693</v>
      </c>
      <c r="O2" s="31">
        <v>44694</v>
      </c>
      <c r="P2" s="31">
        <v>44695</v>
      </c>
      <c r="Q2" s="31">
        <v>44696</v>
      </c>
      <c r="R2" s="31">
        <v>44697</v>
      </c>
      <c r="S2" s="31">
        <v>44698</v>
      </c>
      <c r="T2" s="31">
        <v>44699</v>
      </c>
      <c r="U2" s="31">
        <v>44700</v>
      </c>
      <c r="V2" s="31">
        <v>44701</v>
      </c>
      <c r="W2" s="31">
        <v>44702</v>
      </c>
      <c r="X2" s="31">
        <v>44703</v>
      </c>
      <c r="Y2" s="31">
        <v>44704</v>
      </c>
      <c r="Z2" s="31">
        <v>44705</v>
      </c>
      <c r="AA2" s="31">
        <v>44706</v>
      </c>
      <c r="AB2" s="31">
        <v>44707</v>
      </c>
      <c r="AC2" s="31">
        <v>44708</v>
      </c>
      <c r="AD2" s="31">
        <v>44709</v>
      </c>
      <c r="AE2" s="31">
        <v>44710</v>
      </c>
      <c r="AF2" s="31">
        <v>44711</v>
      </c>
      <c r="AG2" s="31">
        <v>44712</v>
      </c>
    </row>
    <row r="3" spans="1:33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</row>
    <row r="4" spans="1:33" x14ac:dyDescent="0.35">
      <c r="A4" s="67" t="s">
        <v>1</v>
      </c>
      <c r="B4" s="60" t="s">
        <v>40</v>
      </c>
      <c r="C4" s="25" t="s">
        <v>3</v>
      </c>
      <c r="D4" s="12" t="s">
        <v>2</v>
      </c>
      <c r="E4" s="85" t="s">
        <v>37</v>
      </c>
      <c r="F4" s="13" t="s">
        <v>5</v>
      </c>
      <c r="G4" s="13" t="s">
        <v>5</v>
      </c>
      <c r="H4" s="13" t="s">
        <v>5</v>
      </c>
      <c r="I4" s="68" t="s">
        <v>4</v>
      </c>
      <c r="J4" s="68" t="s">
        <v>4</v>
      </c>
      <c r="K4" s="13" t="s">
        <v>5</v>
      </c>
      <c r="L4" s="10" t="s">
        <v>41</v>
      </c>
      <c r="M4" s="10" t="s">
        <v>41</v>
      </c>
      <c r="N4" s="84" t="s">
        <v>16</v>
      </c>
      <c r="O4" s="83" t="s">
        <v>41</v>
      </c>
      <c r="P4" s="83" t="s">
        <v>42</v>
      </c>
      <c r="Q4" s="19" t="s">
        <v>42</v>
      </c>
      <c r="R4" s="83" t="s">
        <v>41</v>
      </c>
      <c r="S4" s="12" t="s">
        <v>2</v>
      </c>
      <c r="T4" s="83" t="s">
        <v>41</v>
      </c>
      <c r="U4" s="83" t="s">
        <v>41</v>
      </c>
      <c r="V4" s="12" t="s">
        <v>2</v>
      </c>
      <c r="W4" s="19" t="s">
        <v>42</v>
      </c>
      <c r="X4" s="19" t="s">
        <v>42</v>
      </c>
      <c r="Y4" s="16" t="s">
        <v>8</v>
      </c>
      <c r="Z4" s="16" t="s">
        <v>8</v>
      </c>
      <c r="AA4" s="16" t="s">
        <v>8</v>
      </c>
      <c r="AB4" s="16" t="s">
        <v>8</v>
      </c>
      <c r="AC4" s="12" t="s">
        <v>2</v>
      </c>
      <c r="AD4" s="19" t="s">
        <v>42</v>
      </c>
      <c r="AE4" s="19" t="s">
        <v>42</v>
      </c>
      <c r="AF4" s="16" t="s">
        <v>8</v>
      </c>
      <c r="AG4" s="16" t="s">
        <v>8</v>
      </c>
    </row>
    <row r="5" spans="1:33" x14ac:dyDescent="0.35">
      <c r="A5" s="67" t="s">
        <v>9</v>
      </c>
      <c r="B5" s="25" t="s">
        <v>3</v>
      </c>
      <c r="C5" s="19" t="s">
        <v>42</v>
      </c>
      <c r="D5" s="25" t="s">
        <v>6</v>
      </c>
      <c r="E5" s="25" t="s">
        <v>3</v>
      </c>
      <c r="F5" s="25" t="s">
        <v>6</v>
      </c>
      <c r="G5" s="84" t="s">
        <v>16</v>
      </c>
      <c r="H5" s="12" t="s">
        <v>2</v>
      </c>
      <c r="I5" s="25" t="s">
        <v>3</v>
      </c>
      <c r="J5" s="17" t="s">
        <v>11</v>
      </c>
      <c r="K5" s="12" t="s">
        <v>2</v>
      </c>
      <c r="L5" s="83" t="s">
        <v>6</v>
      </c>
      <c r="M5" s="83" t="s">
        <v>6</v>
      </c>
      <c r="N5" s="17" t="s">
        <v>10</v>
      </c>
      <c r="O5" s="17" t="s">
        <v>10</v>
      </c>
      <c r="P5" s="68" t="s">
        <v>4</v>
      </c>
      <c r="Q5" s="17" t="s">
        <v>11</v>
      </c>
      <c r="R5" s="17" t="s">
        <v>10</v>
      </c>
      <c r="S5" s="16" t="s">
        <v>8</v>
      </c>
      <c r="T5" s="17" t="s">
        <v>10</v>
      </c>
      <c r="U5" s="17" t="s">
        <v>10</v>
      </c>
      <c r="V5" s="17" t="s">
        <v>10</v>
      </c>
      <c r="W5" s="17" t="s">
        <v>11</v>
      </c>
      <c r="X5" s="17" t="s">
        <v>11</v>
      </c>
      <c r="Y5" s="12" t="s">
        <v>2</v>
      </c>
      <c r="Z5" s="12" t="s">
        <v>2</v>
      </c>
      <c r="AA5" s="83" t="s">
        <v>6</v>
      </c>
      <c r="AB5" s="83" t="s">
        <v>6</v>
      </c>
      <c r="AC5" s="83" t="s">
        <v>6</v>
      </c>
      <c r="AD5" s="68" t="s">
        <v>4</v>
      </c>
      <c r="AE5" s="17" t="s">
        <v>11</v>
      </c>
      <c r="AF5" s="12" t="s">
        <v>2</v>
      </c>
      <c r="AG5" s="25" t="s">
        <v>6</v>
      </c>
    </row>
    <row r="6" spans="1:33" x14ac:dyDescent="0.35">
      <c r="A6" s="67" t="s">
        <v>12</v>
      </c>
      <c r="B6" s="29" t="s">
        <v>4</v>
      </c>
      <c r="C6" s="29" t="s">
        <v>4</v>
      </c>
      <c r="D6" s="10" t="s">
        <v>41</v>
      </c>
      <c r="E6" s="10" t="s">
        <v>41</v>
      </c>
      <c r="F6" s="10" t="s">
        <v>41</v>
      </c>
      <c r="G6" s="10" t="s">
        <v>41</v>
      </c>
      <c r="H6" s="10" t="s">
        <v>41</v>
      </c>
      <c r="I6" s="29" t="s">
        <v>4</v>
      </c>
      <c r="J6" s="19" t="s">
        <v>42</v>
      </c>
      <c r="K6" s="17" t="s">
        <v>10</v>
      </c>
      <c r="L6" s="17" t="s">
        <v>10</v>
      </c>
      <c r="M6" s="17" t="s">
        <v>10</v>
      </c>
      <c r="N6" s="12" t="s">
        <v>2</v>
      </c>
      <c r="O6" s="17" t="s">
        <v>10</v>
      </c>
      <c r="P6" s="17" t="s">
        <v>11</v>
      </c>
      <c r="Q6" s="29" t="s">
        <v>4</v>
      </c>
      <c r="R6" s="12" t="s">
        <v>2</v>
      </c>
      <c r="S6" s="25" t="s">
        <v>6</v>
      </c>
      <c r="T6" s="12" t="s">
        <v>2</v>
      </c>
      <c r="U6" s="25" t="s">
        <v>6</v>
      </c>
      <c r="V6" s="25" t="s">
        <v>6</v>
      </c>
      <c r="W6" s="25" t="s">
        <v>3</v>
      </c>
      <c r="X6" s="25" t="s">
        <v>3</v>
      </c>
      <c r="Y6" s="25" t="s">
        <v>6</v>
      </c>
      <c r="Z6" s="13" t="s">
        <v>5</v>
      </c>
      <c r="AA6" s="13" t="s">
        <v>5</v>
      </c>
      <c r="AB6" s="84" t="s">
        <v>16</v>
      </c>
      <c r="AC6" s="84" t="s">
        <v>16</v>
      </c>
      <c r="AD6" s="101" t="s">
        <v>3</v>
      </c>
      <c r="AE6" s="101" t="s">
        <v>3</v>
      </c>
      <c r="AF6" s="84" t="s">
        <v>16</v>
      </c>
      <c r="AG6" s="84" t="s">
        <v>16</v>
      </c>
    </row>
    <row r="7" spans="1:33" x14ac:dyDescent="0.35">
      <c r="A7" s="67" t="s">
        <v>14</v>
      </c>
      <c r="B7" s="68" t="s">
        <v>4</v>
      </c>
      <c r="C7" s="68" t="s">
        <v>4</v>
      </c>
      <c r="D7" s="13" t="s">
        <v>5</v>
      </c>
      <c r="E7" s="85" t="s">
        <v>37</v>
      </c>
      <c r="F7" s="13" t="s">
        <v>5</v>
      </c>
      <c r="G7" s="25" t="s">
        <v>6</v>
      </c>
      <c r="H7" s="25" t="s">
        <v>6</v>
      </c>
      <c r="I7" s="19" t="s">
        <v>42</v>
      </c>
      <c r="J7" s="25" t="s">
        <v>3</v>
      </c>
      <c r="K7" s="25" t="s">
        <v>6</v>
      </c>
      <c r="L7" s="10" t="s">
        <v>41</v>
      </c>
      <c r="M7" s="12" t="s">
        <v>2</v>
      </c>
      <c r="N7" s="25" t="s">
        <v>6</v>
      </c>
      <c r="O7" s="13" t="s">
        <v>5</v>
      </c>
      <c r="P7" s="68" t="s">
        <v>4</v>
      </c>
      <c r="Q7" s="68" t="s">
        <v>4</v>
      </c>
      <c r="R7" s="13" t="s">
        <v>5</v>
      </c>
      <c r="S7" s="84" t="s">
        <v>16</v>
      </c>
      <c r="T7" s="84" t="s">
        <v>16</v>
      </c>
      <c r="U7" s="84" t="s">
        <v>16</v>
      </c>
      <c r="V7" s="84" t="s">
        <v>16</v>
      </c>
      <c r="W7" s="102" t="s">
        <v>30</v>
      </c>
      <c r="X7" s="29" t="s">
        <v>4</v>
      </c>
      <c r="Y7" s="84" t="s">
        <v>16</v>
      </c>
      <c r="Z7" s="25" t="s">
        <v>6</v>
      </c>
      <c r="AA7" s="17" t="s">
        <v>10</v>
      </c>
      <c r="AB7" s="17" t="s">
        <v>10</v>
      </c>
      <c r="AC7" s="17" t="s">
        <v>10</v>
      </c>
      <c r="AD7" s="17" t="s">
        <v>11</v>
      </c>
      <c r="AE7" s="29" t="s">
        <v>4</v>
      </c>
      <c r="AF7" s="10" t="s">
        <v>41</v>
      </c>
      <c r="AG7" s="25" t="s">
        <v>6</v>
      </c>
    </row>
    <row r="8" spans="1:33" x14ac:dyDescent="0.35">
      <c r="A8" s="67" t="s">
        <v>15</v>
      </c>
      <c r="B8" s="29" t="s">
        <v>4</v>
      </c>
      <c r="C8" s="29" t="s">
        <v>4</v>
      </c>
      <c r="D8" s="17" t="s">
        <v>10</v>
      </c>
      <c r="E8" s="17" t="s">
        <v>10</v>
      </c>
      <c r="F8" s="17" t="s">
        <v>10</v>
      </c>
      <c r="G8" s="17" t="s">
        <v>10</v>
      </c>
      <c r="H8" s="17" t="s">
        <v>10</v>
      </c>
      <c r="I8" s="29" t="s">
        <v>4</v>
      </c>
      <c r="J8" s="29" t="s">
        <v>4</v>
      </c>
      <c r="K8" s="10" t="s">
        <v>41</v>
      </c>
      <c r="L8" s="10" t="s">
        <v>41</v>
      </c>
      <c r="M8" s="10" t="s">
        <v>41</v>
      </c>
      <c r="N8" s="10" t="s">
        <v>41</v>
      </c>
      <c r="O8" s="10" t="s">
        <v>41</v>
      </c>
      <c r="P8" s="19" t="s">
        <v>42</v>
      </c>
      <c r="Q8" s="29" t="s">
        <v>4</v>
      </c>
      <c r="R8" s="10" t="s">
        <v>41</v>
      </c>
      <c r="S8" s="10" t="s">
        <v>41</v>
      </c>
      <c r="T8" s="10" t="s">
        <v>41</v>
      </c>
      <c r="U8" s="12" t="s">
        <v>2</v>
      </c>
      <c r="V8" s="10" t="s">
        <v>41</v>
      </c>
      <c r="W8" s="19" t="s">
        <v>42</v>
      </c>
      <c r="X8" s="19" t="s">
        <v>42</v>
      </c>
      <c r="Y8" s="17" t="s">
        <v>10</v>
      </c>
      <c r="Z8" s="17" t="s">
        <v>10</v>
      </c>
      <c r="AA8" s="12" t="s">
        <v>2</v>
      </c>
      <c r="AB8" s="25" t="s">
        <v>6</v>
      </c>
      <c r="AC8" s="10" t="s">
        <v>41</v>
      </c>
      <c r="AD8" s="29" t="s">
        <v>4</v>
      </c>
      <c r="AE8" s="25" t="s">
        <v>3</v>
      </c>
      <c r="AF8" s="17" t="s">
        <v>10</v>
      </c>
      <c r="AG8" s="17" t="s">
        <v>10</v>
      </c>
    </row>
    <row r="9" spans="1:33" x14ac:dyDescent="0.35">
      <c r="A9" s="67" t="s">
        <v>18</v>
      </c>
      <c r="B9" s="17" t="s">
        <v>11</v>
      </c>
      <c r="C9" s="17" t="s">
        <v>11</v>
      </c>
      <c r="D9" s="17" t="s">
        <v>10</v>
      </c>
      <c r="E9" s="17" t="s">
        <v>10</v>
      </c>
      <c r="F9" s="12" t="s">
        <v>2</v>
      </c>
      <c r="G9" s="84" t="s">
        <v>16</v>
      </c>
      <c r="H9" s="84" t="s">
        <v>16</v>
      </c>
      <c r="I9" s="83" t="s">
        <v>30</v>
      </c>
      <c r="J9" s="83" t="s">
        <v>42</v>
      </c>
      <c r="K9" s="83" t="s">
        <v>41</v>
      </c>
      <c r="L9" s="84" t="s">
        <v>16</v>
      </c>
      <c r="M9" s="12" t="s">
        <v>2</v>
      </c>
      <c r="N9" s="10" t="s">
        <v>41</v>
      </c>
      <c r="O9" s="25" t="s">
        <v>6</v>
      </c>
      <c r="P9" s="25" t="s">
        <v>3</v>
      </c>
      <c r="Q9" s="25" t="s">
        <v>3</v>
      </c>
      <c r="R9" s="25" t="s">
        <v>6</v>
      </c>
      <c r="S9" s="12" t="s">
        <v>2</v>
      </c>
      <c r="T9" s="25" t="s">
        <v>6</v>
      </c>
      <c r="U9" s="25" t="s">
        <v>6</v>
      </c>
      <c r="V9" s="25" t="s">
        <v>6</v>
      </c>
      <c r="W9" s="68" t="s">
        <v>4</v>
      </c>
      <c r="X9" s="68" t="s">
        <v>4</v>
      </c>
      <c r="Y9" s="10" t="s">
        <v>41</v>
      </c>
      <c r="Z9" s="13" t="s">
        <v>5</v>
      </c>
      <c r="AA9" s="13" t="s">
        <v>5</v>
      </c>
      <c r="AB9" s="13" t="s">
        <v>5</v>
      </c>
      <c r="AC9" s="13" t="s">
        <v>5</v>
      </c>
      <c r="AD9" s="68" t="s">
        <v>4</v>
      </c>
      <c r="AE9" s="68" t="s">
        <v>4</v>
      </c>
      <c r="AF9" s="13" t="s">
        <v>5</v>
      </c>
      <c r="AG9" s="17" t="s">
        <v>10</v>
      </c>
    </row>
    <row r="10" spans="1:33" ht="14.15" customHeight="1" x14ac:dyDescent="0.35">
      <c r="A10" s="67" t="s">
        <v>21</v>
      </c>
      <c r="B10" s="17" t="s">
        <v>11</v>
      </c>
      <c r="C10" s="17" t="s">
        <v>11</v>
      </c>
      <c r="D10" s="12" t="s">
        <v>2</v>
      </c>
      <c r="E10" s="12" t="s">
        <v>2</v>
      </c>
      <c r="F10" s="17" t="s">
        <v>10</v>
      </c>
      <c r="G10" s="17" t="s">
        <v>10</v>
      </c>
      <c r="H10" s="17" t="s">
        <v>10</v>
      </c>
      <c r="I10" s="17" t="s">
        <v>11</v>
      </c>
      <c r="J10" s="29" t="s">
        <v>4</v>
      </c>
      <c r="K10" s="84" t="s">
        <v>16</v>
      </c>
      <c r="L10" s="84" t="s">
        <v>16</v>
      </c>
      <c r="M10" s="83" t="s">
        <v>41</v>
      </c>
      <c r="N10" s="83" t="s">
        <v>6</v>
      </c>
      <c r="O10" s="83" t="s">
        <v>41</v>
      </c>
      <c r="P10" s="83" t="s">
        <v>30</v>
      </c>
      <c r="Q10" s="17" t="s">
        <v>11</v>
      </c>
      <c r="R10" s="13" t="s">
        <v>95</v>
      </c>
      <c r="S10" s="12" t="s">
        <v>2</v>
      </c>
      <c r="T10" s="25" t="s">
        <v>6</v>
      </c>
      <c r="U10" s="10" t="s">
        <v>41</v>
      </c>
      <c r="V10" s="10" t="s">
        <v>41</v>
      </c>
      <c r="W10" s="68" t="s">
        <v>4</v>
      </c>
      <c r="X10" s="29" t="s">
        <v>4</v>
      </c>
      <c r="Y10" s="17" t="s">
        <v>10</v>
      </c>
      <c r="Z10" s="17" t="s">
        <v>10</v>
      </c>
      <c r="AA10" s="17" t="s">
        <v>10</v>
      </c>
      <c r="AB10" s="12" t="s">
        <v>2</v>
      </c>
      <c r="AC10" s="10" t="s">
        <v>41</v>
      </c>
      <c r="AD10" s="25" t="s">
        <v>3</v>
      </c>
      <c r="AE10" s="19" t="s">
        <v>42</v>
      </c>
      <c r="AF10" s="25" t="s">
        <v>6</v>
      </c>
      <c r="AG10" s="10" t="s">
        <v>41</v>
      </c>
    </row>
    <row r="11" spans="1:33" x14ac:dyDescent="0.35">
      <c r="A11" s="67" t="s">
        <v>43</v>
      </c>
      <c r="B11" s="29" t="s">
        <v>4</v>
      </c>
      <c r="C11" s="29" t="s">
        <v>4</v>
      </c>
      <c r="D11" s="84" t="s">
        <v>16</v>
      </c>
      <c r="E11" s="83" t="s">
        <v>6</v>
      </c>
      <c r="F11" s="83" t="s">
        <v>41</v>
      </c>
      <c r="G11" s="12" t="s">
        <v>2</v>
      </c>
      <c r="H11" s="84" t="s">
        <v>16</v>
      </c>
      <c r="I11" s="83" t="s">
        <v>3</v>
      </c>
      <c r="J11" s="83" t="s">
        <v>3</v>
      </c>
      <c r="K11" s="10" t="s">
        <v>41</v>
      </c>
      <c r="L11" s="12" t="s">
        <v>2</v>
      </c>
      <c r="M11" s="25" t="s">
        <v>6</v>
      </c>
      <c r="N11" s="25" t="s">
        <v>6</v>
      </c>
      <c r="O11" s="25" t="s">
        <v>6</v>
      </c>
      <c r="P11" s="17" t="s">
        <v>11</v>
      </c>
      <c r="Q11" s="29" t="s">
        <v>4</v>
      </c>
      <c r="R11" s="17" t="s">
        <v>10</v>
      </c>
      <c r="S11" s="17" t="s">
        <v>10</v>
      </c>
      <c r="T11" s="17" t="s">
        <v>10</v>
      </c>
      <c r="U11" s="17" t="s">
        <v>10</v>
      </c>
      <c r="V11" s="17" t="s">
        <v>10</v>
      </c>
      <c r="W11" s="29" t="s">
        <v>4</v>
      </c>
      <c r="X11" s="29" t="s">
        <v>4</v>
      </c>
      <c r="Y11" s="10" t="s">
        <v>41</v>
      </c>
      <c r="Z11" s="10" t="s">
        <v>41</v>
      </c>
      <c r="AA11" s="12" t="s">
        <v>2</v>
      </c>
      <c r="AB11" s="17" t="s">
        <v>10</v>
      </c>
      <c r="AC11" s="17" t="s">
        <v>10</v>
      </c>
      <c r="AD11" s="17" t="s">
        <v>11</v>
      </c>
      <c r="AE11" s="17" t="s">
        <v>11</v>
      </c>
      <c r="AF11" s="17" t="s">
        <v>10</v>
      </c>
      <c r="AG11" s="12" t="s">
        <v>2</v>
      </c>
    </row>
    <row r="12" spans="1:33" x14ac:dyDescent="0.35">
      <c r="A12" s="67" t="s">
        <v>86</v>
      </c>
      <c r="B12" s="19" t="s">
        <v>42</v>
      </c>
      <c r="C12" s="19" t="s">
        <v>42</v>
      </c>
      <c r="D12" s="12" t="s">
        <v>2</v>
      </c>
      <c r="E12" s="85" t="s">
        <v>37</v>
      </c>
      <c r="F12" s="25" t="s">
        <v>6</v>
      </c>
      <c r="G12" s="25" t="s">
        <v>6</v>
      </c>
      <c r="H12" s="12" t="s">
        <v>2</v>
      </c>
      <c r="I12" s="17" t="s">
        <v>11</v>
      </c>
      <c r="J12" s="17" t="s">
        <v>11</v>
      </c>
      <c r="K12" s="17" t="s">
        <v>10</v>
      </c>
      <c r="L12" s="17" t="s">
        <v>10</v>
      </c>
      <c r="M12" s="17" t="s">
        <v>10</v>
      </c>
      <c r="N12" s="17" t="s">
        <v>10</v>
      </c>
      <c r="O12" s="12" t="s">
        <v>2</v>
      </c>
      <c r="P12" s="68" t="s">
        <v>4</v>
      </c>
      <c r="Q12" s="68" t="s">
        <v>4</v>
      </c>
      <c r="R12" s="13" t="s">
        <v>5</v>
      </c>
      <c r="S12" s="13" t="s">
        <v>5</v>
      </c>
      <c r="T12" s="13" t="s">
        <v>5</v>
      </c>
      <c r="U12" s="13" t="s">
        <v>5</v>
      </c>
      <c r="V12" s="13" t="s">
        <v>5</v>
      </c>
      <c r="W12" s="17" t="s">
        <v>11</v>
      </c>
      <c r="X12" s="17" t="s">
        <v>11</v>
      </c>
      <c r="Y12" s="12" t="s">
        <v>2</v>
      </c>
      <c r="Z12" s="10" t="s">
        <v>41</v>
      </c>
      <c r="AA12" s="12" t="s">
        <v>2</v>
      </c>
      <c r="AB12" s="84" t="s">
        <v>16</v>
      </c>
      <c r="AC12" s="84" t="s">
        <v>16</v>
      </c>
      <c r="AD12" s="102" t="s">
        <v>30</v>
      </c>
      <c r="AE12" s="102" t="s">
        <v>30</v>
      </c>
      <c r="AF12" s="84" t="s">
        <v>16</v>
      </c>
      <c r="AG12" s="84" t="s">
        <v>16</v>
      </c>
    </row>
    <row r="13" spans="1:33" x14ac:dyDescent="0.35">
      <c r="A13" s="67" t="s">
        <v>22</v>
      </c>
      <c r="B13" s="68" t="s">
        <v>4</v>
      </c>
      <c r="C13" s="68" t="s">
        <v>4</v>
      </c>
      <c r="D13" s="10" t="s">
        <v>41</v>
      </c>
      <c r="E13" s="10" t="s">
        <v>41</v>
      </c>
      <c r="F13" s="10" t="s">
        <v>41</v>
      </c>
      <c r="G13" s="10" t="s">
        <v>41</v>
      </c>
      <c r="H13" s="25" t="s">
        <v>6</v>
      </c>
      <c r="I13" s="68" t="s">
        <v>4</v>
      </c>
      <c r="J13" s="68" t="s">
        <v>4</v>
      </c>
      <c r="K13" s="27" t="s">
        <v>34</v>
      </c>
      <c r="L13" s="84" t="s">
        <v>16</v>
      </c>
      <c r="M13" s="22" t="s">
        <v>16</v>
      </c>
      <c r="N13" s="12" t="s">
        <v>2</v>
      </c>
      <c r="O13" s="25" t="s">
        <v>6</v>
      </c>
      <c r="P13" s="25" t="s">
        <v>3</v>
      </c>
      <c r="Q13" s="25" t="s">
        <v>3</v>
      </c>
      <c r="R13" s="25" t="s">
        <v>6</v>
      </c>
      <c r="S13" s="10" t="s">
        <v>41</v>
      </c>
      <c r="T13" s="25" t="s">
        <v>6</v>
      </c>
      <c r="U13" s="13" t="s">
        <v>5</v>
      </c>
      <c r="V13" s="13" t="s">
        <v>5</v>
      </c>
      <c r="W13" s="68" t="s">
        <v>4</v>
      </c>
      <c r="X13" s="68" t="s">
        <v>4</v>
      </c>
      <c r="Y13" s="10" t="s">
        <v>41</v>
      </c>
      <c r="Z13" s="25" t="s">
        <v>6</v>
      </c>
      <c r="AA13" s="25" t="s">
        <v>6</v>
      </c>
      <c r="AB13" s="12" t="s">
        <v>2</v>
      </c>
      <c r="AC13" s="27" t="s">
        <v>34</v>
      </c>
      <c r="AD13" s="29" t="s">
        <v>4</v>
      </c>
      <c r="AE13" s="29" t="s">
        <v>4</v>
      </c>
      <c r="AF13" s="25" t="s">
        <v>6</v>
      </c>
      <c r="AG13" s="13" t="s">
        <v>5</v>
      </c>
    </row>
    <row r="14" spans="1:33" ht="15" thickBot="1" x14ac:dyDescent="0.4">
      <c r="A14" s="67" t="s">
        <v>71</v>
      </c>
      <c r="B14" s="66" t="s">
        <v>30</v>
      </c>
      <c r="C14" s="29" t="s">
        <v>4</v>
      </c>
      <c r="D14" s="10" t="s">
        <v>41</v>
      </c>
      <c r="E14" s="10" t="s">
        <v>41</v>
      </c>
      <c r="F14" s="12" t="s">
        <v>2</v>
      </c>
      <c r="G14" s="84" t="s">
        <v>16</v>
      </c>
      <c r="H14" s="84" t="s">
        <v>16</v>
      </c>
      <c r="I14" s="19" t="s">
        <v>42</v>
      </c>
      <c r="J14" s="29" t="s">
        <v>4</v>
      </c>
      <c r="K14" s="13" t="s">
        <v>5</v>
      </c>
      <c r="L14" s="10" t="s">
        <v>41</v>
      </c>
      <c r="M14" s="10" t="s">
        <v>41</v>
      </c>
      <c r="N14" s="84" t="s">
        <v>16</v>
      </c>
      <c r="O14" s="84" t="s">
        <v>16</v>
      </c>
      <c r="P14" s="29" t="s">
        <v>4</v>
      </c>
      <c r="Q14" s="68" t="s">
        <v>4</v>
      </c>
      <c r="R14" s="13" t="s">
        <v>5</v>
      </c>
      <c r="S14" s="10" t="s">
        <v>41</v>
      </c>
      <c r="T14" s="10" t="s">
        <v>41</v>
      </c>
      <c r="U14" s="12" t="s">
        <v>2</v>
      </c>
      <c r="V14" s="84" t="s">
        <v>16</v>
      </c>
      <c r="W14" s="25" t="s">
        <v>3</v>
      </c>
      <c r="X14" s="25" t="s">
        <v>3</v>
      </c>
      <c r="Y14" s="25" t="s">
        <v>6</v>
      </c>
      <c r="Z14" s="12" t="s">
        <v>2</v>
      </c>
      <c r="AA14" s="10" t="s">
        <v>41</v>
      </c>
      <c r="AB14" s="10" t="s">
        <v>41</v>
      </c>
      <c r="AC14" s="84" t="s">
        <v>16</v>
      </c>
      <c r="AD14" s="19" t="s">
        <v>42</v>
      </c>
      <c r="AE14" s="29" t="s">
        <v>4</v>
      </c>
      <c r="AF14" s="10" t="s">
        <v>41</v>
      </c>
      <c r="AG14" s="25" t="s">
        <v>6</v>
      </c>
    </row>
    <row r="15" spans="1:33" x14ac:dyDescent="0.35">
      <c r="A15" s="67" t="s">
        <v>87</v>
      </c>
      <c r="B15" s="25" t="s">
        <v>3</v>
      </c>
      <c r="C15" s="25" t="s">
        <v>3</v>
      </c>
      <c r="D15" s="12" t="s">
        <v>2</v>
      </c>
      <c r="E15" s="25" t="s">
        <v>6</v>
      </c>
      <c r="F15" s="25" t="s">
        <v>6</v>
      </c>
      <c r="G15" s="25" t="s">
        <v>6</v>
      </c>
      <c r="H15" s="25" t="s">
        <v>6</v>
      </c>
      <c r="I15" s="29" t="s">
        <v>4</v>
      </c>
      <c r="J15" s="29" t="s">
        <v>4</v>
      </c>
      <c r="K15" s="25" t="s">
        <v>6</v>
      </c>
      <c r="L15" s="25" t="s">
        <v>6</v>
      </c>
      <c r="M15" s="25" t="s">
        <v>6</v>
      </c>
      <c r="N15" s="25" t="s">
        <v>6</v>
      </c>
      <c r="O15" s="25" t="s">
        <v>6</v>
      </c>
      <c r="P15" s="29" t="s">
        <v>4</v>
      </c>
      <c r="Q15" s="29" t="s">
        <v>4</v>
      </c>
      <c r="R15" s="25" t="s">
        <v>6</v>
      </c>
      <c r="S15" s="25" t="s">
        <v>6</v>
      </c>
      <c r="T15" s="25" t="s">
        <v>6</v>
      </c>
      <c r="U15" s="25" t="s">
        <v>6</v>
      </c>
      <c r="V15" s="13" t="s">
        <v>5</v>
      </c>
      <c r="W15" s="29" t="s">
        <v>4</v>
      </c>
      <c r="X15" s="29" t="s">
        <v>4</v>
      </c>
      <c r="Y15" s="84" t="s">
        <v>16</v>
      </c>
      <c r="Z15" s="84" t="s">
        <v>16</v>
      </c>
      <c r="AA15" s="84" t="s">
        <v>16</v>
      </c>
      <c r="AB15" s="84" t="s">
        <v>16</v>
      </c>
      <c r="AC15" s="84" t="s">
        <v>16</v>
      </c>
      <c r="AD15" s="29" t="s">
        <v>4</v>
      </c>
      <c r="AE15" s="29" t="s">
        <v>4</v>
      </c>
      <c r="AF15" s="25" t="s">
        <v>6</v>
      </c>
      <c r="AG15" s="84" t="s">
        <v>16</v>
      </c>
    </row>
    <row r="16" spans="1:33" x14ac:dyDescent="0.35">
      <c r="A16" s="67" t="s">
        <v>85</v>
      </c>
      <c r="B16" s="29" t="s">
        <v>4</v>
      </c>
      <c r="C16" s="29" t="s">
        <v>4</v>
      </c>
      <c r="D16" s="25" t="s">
        <v>6</v>
      </c>
      <c r="E16" s="25" t="s">
        <v>6</v>
      </c>
      <c r="F16" s="25" t="s">
        <v>6</v>
      </c>
      <c r="G16" s="16" t="s">
        <v>8</v>
      </c>
      <c r="H16" s="16" t="s">
        <v>8</v>
      </c>
      <c r="I16" s="29" t="s">
        <v>4</v>
      </c>
      <c r="J16" s="29" t="s">
        <v>4</v>
      </c>
      <c r="K16" s="10" t="s">
        <v>41</v>
      </c>
      <c r="L16" s="25" t="s">
        <v>6</v>
      </c>
      <c r="M16" s="25" t="s">
        <v>6</v>
      </c>
      <c r="N16" s="10" t="s">
        <v>41</v>
      </c>
      <c r="O16" s="10" t="s">
        <v>41</v>
      </c>
      <c r="P16" s="29" t="s">
        <v>4</v>
      </c>
      <c r="Q16" s="29" t="s">
        <v>4</v>
      </c>
      <c r="R16" s="10" t="s">
        <v>41</v>
      </c>
      <c r="S16" s="17" t="s">
        <v>10</v>
      </c>
      <c r="T16" s="16" t="s">
        <v>8</v>
      </c>
      <c r="U16" s="16" t="s">
        <v>8</v>
      </c>
      <c r="V16" s="16" t="s">
        <v>8</v>
      </c>
      <c r="W16" s="68" t="s">
        <v>4</v>
      </c>
      <c r="X16" s="68" t="s">
        <v>4</v>
      </c>
      <c r="Y16" s="10" t="s">
        <v>41</v>
      </c>
      <c r="Z16" s="13" t="s">
        <v>5</v>
      </c>
      <c r="AA16" s="10" t="s">
        <v>41</v>
      </c>
      <c r="AB16" s="10" t="s">
        <v>41</v>
      </c>
      <c r="AC16" s="10" t="s">
        <v>41</v>
      </c>
      <c r="AD16" s="29" t="s">
        <v>4</v>
      </c>
      <c r="AE16" s="29" t="s">
        <v>4</v>
      </c>
      <c r="AF16" s="27" t="s">
        <v>34</v>
      </c>
      <c r="AG16" s="10" t="s">
        <v>41</v>
      </c>
    </row>
    <row r="17" spans="1:33" x14ac:dyDescent="0.35">
      <c r="A17" s="67" t="s">
        <v>88</v>
      </c>
      <c r="B17" s="29" t="s">
        <v>4</v>
      </c>
      <c r="C17" s="29" t="s">
        <v>4</v>
      </c>
      <c r="D17" s="10" t="s">
        <v>41</v>
      </c>
      <c r="E17" s="10" t="s">
        <v>41</v>
      </c>
      <c r="F17" s="10" t="s">
        <v>41</v>
      </c>
      <c r="G17" s="10" t="s">
        <v>41</v>
      </c>
      <c r="H17" s="10" t="s">
        <v>41</v>
      </c>
      <c r="I17" s="29" t="s">
        <v>4</v>
      </c>
      <c r="J17" s="29" t="s">
        <v>4</v>
      </c>
      <c r="K17" s="13" t="s">
        <v>5</v>
      </c>
      <c r="L17" s="10" t="s">
        <v>41</v>
      </c>
      <c r="M17" s="16" t="s">
        <v>8</v>
      </c>
      <c r="N17" s="16" t="s">
        <v>8</v>
      </c>
      <c r="O17" s="16" t="s">
        <v>8</v>
      </c>
      <c r="P17" s="29" t="s">
        <v>4</v>
      </c>
      <c r="Q17" s="19" t="s">
        <v>42</v>
      </c>
      <c r="R17" s="10" t="s">
        <v>41</v>
      </c>
      <c r="S17" s="25" t="s">
        <v>6</v>
      </c>
      <c r="T17" s="10" t="s">
        <v>41</v>
      </c>
      <c r="U17" s="10" t="s">
        <v>41</v>
      </c>
      <c r="V17" s="10" t="s">
        <v>41</v>
      </c>
      <c r="W17" s="29" t="s">
        <v>4</v>
      </c>
      <c r="X17" s="29" t="s">
        <v>4</v>
      </c>
      <c r="Y17" s="25" t="s">
        <v>6</v>
      </c>
      <c r="Z17" s="84" t="s">
        <v>16</v>
      </c>
      <c r="AA17" s="84" t="s">
        <v>16</v>
      </c>
      <c r="AB17" s="84" t="s">
        <v>16</v>
      </c>
      <c r="AC17" s="84" t="s">
        <v>16</v>
      </c>
      <c r="AD17" s="29" t="s">
        <v>4</v>
      </c>
      <c r="AE17" s="29" t="s">
        <v>4</v>
      </c>
      <c r="AF17" s="84" t="s">
        <v>16</v>
      </c>
      <c r="AG17" s="84" t="s">
        <v>16</v>
      </c>
    </row>
    <row r="18" spans="1:33" x14ac:dyDescent="0.35">
      <c r="A18" s="67" t="s">
        <v>89</v>
      </c>
      <c r="B18" s="29" t="s">
        <v>4</v>
      </c>
      <c r="C18" s="29" t="s">
        <v>4</v>
      </c>
      <c r="D18" s="25" t="s">
        <v>6</v>
      </c>
      <c r="E18" s="25" t="s">
        <v>6</v>
      </c>
      <c r="F18" s="10" t="s">
        <v>41</v>
      </c>
      <c r="G18" s="25" t="s">
        <v>6</v>
      </c>
      <c r="H18" s="25" t="s">
        <v>6</v>
      </c>
      <c r="I18" s="29" t="s">
        <v>4</v>
      </c>
      <c r="J18" s="29" t="s">
        <v>4</v>
      </c>
      <c r="K18" s="13" t="s">
        <v>5</v>
      </c>
      <c r="L18" s="13" t="s">
        <v>5</v>
      </c>
      <c r="M18" s="13" t="s">
        <v>5</v>
      </c>
      <c r="N18" s="13" t="s">
        <v>5</v>
      </c>
      <c r="O18" s="13" t="s">
        <v>5</v>
      </c>
      <c r="P18" s="29" t="s">
        <v>4</v>
      </c>
      <c r="Q18" s="29" t="s">
        <v>4</v>
      </c>
      <c r="R18" s="25" t="s">
        <v>6</v>
      </c>
      <c r="S18" s="25" t="s">
        <v>6</v>
      </c>
      <c r="T18" s="22" t="s">
        <v>16</v>
      </c>
      <c r="U18" s="25" t="s">
        <v>6</v>
      </c>
      <c r="V18" s="25" t="s">
        <v>6</v>
      </c>
      <c r="W18" s="29" t="s">
        <v>4</v>
      </c>
      <c r="X18" s="29" t="s">
        <v>4</v>
      </c>
      <c r="Y18" s="25" t="s">
        <v>6</v>
      </c>
      <c r="Z18" s="25" t="s">
        <v>6</v>
      </c>
      <c r="AA18" s="25" t="s">
        <v>6</v>
      </c>
      <c r="AB18" s="25" t="s">
        <v>6</v>
      </c>
      <c r="AC18" s="25" t="s">
        <v>6</v>
      </c>
      <c r="AD18" s="29" t="s">
        <v>4</v>
      </c>
      <c r="AE18" s="29" t="s">
        <v>4</v>
      </c>
      <c r="AF18" s="27" t="s">
        <v>34</v>
      </c>
      <c r="AG18" s="10" t="s">
        <v>41</v>
      </c>
    </row>
    <row r="20" spans="1:33" x14ac:dyDescent="0.35">
      <c r="A20" s="24" t="s">
        <v>23</v>
      </c>
    </row>
    <row r="21" spans="1:33" x14ac:dyDescent="0.35">
      <c r="A21" s="1" t="s">
        <v>24</v>
      </c>
    </row>
    <row r="22" spans="1:33" x14ac:dyDescent="0.35">
      <c r="A22" s="1" t="s">
        <v>25</v>
      </c>
    </row>
    <row r="23" spans="1:33" x14ac:dyDescent="0.35">
      <c r="A23" s="1" t="s">
        <v>47</v>
      </c>
    </row>
    <row r="24" spans="1:33" x14ac:dyDescent="0.35">
      <c r="A24" s="1" t="s">
        <v>48</v>
      </c>
    </row>
    <row r="25" spans="1:33" x14ac:dyDescent="0.35">
      <c r="A25" s="26" t="s">
        <v>26</v>
      </c>
    </row>
    <row r="26" spans="1:33" x14ac:dyDescent="0.35">
      <c r="A26" s="26" t="s">
        <v>27</v>
      </c>
    </row>
    <row r="27" spans="1:33" x14ac:dyDescent="0.35">
      <c r="A27" s="26" t="s">
        <v>28</v>
      </c>
    </row>
    <row r="28" spans="1:33" x14ac:dyDescent="0.35">
      <c r="A28" s="26" t="s">
        <v>29</v>
      </c>
    </row>
    <row r="29" spans="1:33" x14ac:dyDescent="0.35">
      <c r="A29" s="26" t="s">
        <v>49</v>
      </c>
    </row>
    <row r="30" spans="1:33" x14ac:dyDescent="0.35">
      <c r="A30" s="26" t="s">
        <v>50</v>
      </c>
    </row>
    <row r="31" spans="1:33" x14ac:dyDescent="0.35">
      <c r="A31" s="26" t="s">
        <v>31</v>
      </c>
    </row>
    <row r="32" spans="1:33" x14ac:dyDescent="0.35">
      <c r="A32" s="26" t="s">
        <v>32</v>
      </c>
    </row>
    <row r="33" spans="1:1" x14ac:dyDescent="0.35">
      <c r="A33" s="26" t="s">
        <v>33</v>
      </c>
    </row>
    <row r="34" spans="1:1" x14ac:dyDescent="0.35">
      <c r="A34" s="26" t="s">
        <v>35</v>
      </c>
    </row>
    <row r="35" spans="1:1" x14ac:dyDescent="0.35">
      <c r="A35" s="26" t="s">
        <v>36</v>
      </c>
    </row>
    <row r="36" spans="1:1" x14ac:dyDescent="0.35">
      <c r="A36" s="26" t="s">
        <v>38</v>
      </c>
    </row>
    <row r="37" spans="1:1" x14ac:dyDescent="0.35">
      <c r="A37" s="26" t="s">
        <v>36</v>
      </c>
    </row>
    <row r="38" spans="1:1" x14ac:dyDescent="0.35">
      <c r="A38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8"/>
  <sheetViews>
    <sheetView zoomScale="80" zoomScaleNormal="80" workbookViewId="0">
      <pane xSplit="1" topLeftCell="J1" activePane="topRight" state="frozen"/>
      <selection pane="topRight" activeCell="W18" sqref="W18"/>
    </sheetView>
  </sheetViews>
  <sheetFormatPr defaultColWidth="9.1796875" defaultRowHeight="14.5" x14ac:dyDescent="0.35"/>
  <cols>
    <col min="1" max="1" width="26.1796875" style="45" bestFit="1" customWidth="1"/>
    <col min="2" max="3" width="7.26953125" style="45" customWidth="1"/>
    <col min="4" max="5" width="9.26953125" style="45" customWidth="1"/>
    <col min="6" max="7" width="7.26953125" style="45" customWidth="1"/>
    <col min="8" max="8" width="7.54296875" style="45" customWidth="1"/>
    <col min="9" max="9" width="7.26953125" style="45" customWidth="1"/>
    <col min="10" max="10" width="7.54296875" style="45" customWidth="1"/>
    <col min="11" max="12" width="9.26953125" style="45" customWidth="1"/>
    <col min="13" max="13" width="7.54296875" style="45" customWidth="1"/>
    <col min="14" max="14" width="9.26953125" style="45" customWidth="1"/>
    <col min="15" max="17" width="7.54296875" style="45" customWidth="1"/>
    <col min="18" max="18" width="9.26953125" style="45" customWidth="1"/>
    <col min="19" max="21" width="6.7265625" style="45" customWidth="1"/>
    <col min="22" max="24" width="9.1796875" style="45" customWidth="1"/>
    <col min="25" max="25" width="6.36328125" style="45" bestFit="1" customWidth="1"/>
    <col min="26" max="26" width="7.1796875" style="45" bestFit="1" customWidth="1"/>
    <col min="27" max="31" width="9.1796875" style="45" customWidth="1"/>
    <col min="32" max="34" width="9.1796875" style="45" hidden="1" customWidth="1"/>
    <col min="35" max="16384" width="9.1796875" style="45"/>
  </cols>
  <sheetData>
    <row r="1" spans="1:34" ht="15" customHeight="1" x14ac:dyDescent="0.35">
      <c r="A1" s="30"/>
      <c r="B1" s="2" t="str">
        <f t="shared" ref="B1:AH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</row>
    <row r="2" spans="1:34" x14ac:dyDescent="0.35">
      <c r="A2" s="7" t="s">
        <v>0</v>
      </c>
      <c r="B2" s="31">
        <v>44713</v>
      </c>
      <c r="C2" s="31">
        <v>44714</v>
      </c>
      <c r="D2" s="31">
        <v>44715</v>
      </c>
      <c r="E2" s="31">
        <v>44716</v>
      </c>
      <c r="F2" s="31">
        <v>44717</v>
      </c>
      <c r="G2" s="31">
        <v>44718</v>
      </c>
      <c r="H2" s="31">
        <v>44719</v>
      </c>
      <c r="I2" s="31">
        <v>44720</v>
      </c>
      <c r="J2" s="31">
        <v>44721</v>
      </c>
      <c r="K2" s="31">
        <v>44722</v>
      </c>
      <c r="L2" s="31">
        <v>44723</v>
      </c>
      <c r="M2" s="31">
        <v>44724</v>
      </c>
      <c r="N2" s="31">
        <v>44725</v>
      </c>
      <c r="O2" s="31">
        <v>44726</v>
      </c>
      <c r="P2" s="31">
        <v>44727</v>
      </c>
      <c r="Q2" s="31">
        <v>44728</v>
      </c>
      <c r="R2" s="31">
        <v>44729</v>
      </c>
      <c r="S2" s="31">
        <v>44730</v>
      </c>
      <c r="T2" s="31">
        <v>44731</v>
      </c>
      <c r="U2" s="31">
        <v>44732</v>
      </c>
      <c r="V2" s="31">
        <v>44733</v>
      </c>
      <c r="W2" s="31">
        <v>44734</v>
      </c>
      <c r="X2" s="31">
        <v>44735</v>
      </c>
      <c r="Y2" s="31">
        <v>44736</v>
      </c>
      <c r="Z2" s="31">
        <v>44737</v>
      </c>
      <c r="AA2" s="31">
        <v>44738</v>
      </c>
      <c r="AB2" s="31">
        <v>44739</v>
      </c>
      <c r="AC2" s="31">
        <v>44740</v>
      </c>
      <c r="AD2" s="31">
        <v>44741</v>
      </c>
      <c r="AE2" s="31">
        <v>44742</v>
      </c>
      <c r="AF2" s="31">
        <v>44743</v>
      </c>
      <c r="AG2" s="31">
        <v>44744</v>
      </c>
      <c r="AH2" s="31">
        <v>44745</v>
      </c>
    </row>
    <row r="3" spans="1:34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</row>
    <row r="4" spans="1:34" x14ac:dyDescent="0.35">
      <c r="A4" s="67" t="s">
        <v>1</v>
      </c>
      <c r="B4" s="16" t="s">
        <v>8</v>
      </c>
      <c r="C4" s="16" t="s">
        <v>8</v>
      </c>
      <c r="D4" s="12" t="s">
        <v>2</v>
      </c>
      <c r="E4" s="17" t="s">
        <v>11</v>
      </c>
      <c r="F4" s="29" t="s">
        <v>4</v>
      </c>
      <c r="G4" s="10" t="s">
        <v>41</v>
      </c>
      <c r="H4" s="10" t="s">
        <v>41</v>
      </c>
      <c r="I4" s="83" t="s">
        <v>41</v>
      </c>
      <c r="J4" s="83" t="s">
        <v>41</v>
      </c>
      <c r="K4" s="12" t="s">
        <v>2</v>
      </c>
      <c r="L4" s="19" t="s">
        <v>42</v>
      </c>
      <c r="M4" s="19" t="s">
        <v>42</v>
      </c>
      <c r="N4" s="83" t="s">
        <v>41</v>
      </c>
      <c r="O4" s="10" t="s">
        <v>41</v>
      </c>
      <c r="P4" s="83" t="s">
        <v>41</v>
      </c>
      <c r="Q4" s="10" t="s">
        <v>41</v>
      </c>
      <c r="R4" s="12" t="s">
        <v>2</v>
      </c>
      <c r="S4" s="29" t="s">
        <v>4</v>
      </c>
      <c r="T4" s="29" t="s">
        <v>4</v>
      </c>
      <c r="U4" s="10" t="s">
        <v>41</v>
      </c>
      <c r="V4" s="13" t="s">
        <v>5</v>
      </c>
      <c r="W4" s="13" t="s">
        <v>5</v>
      </c>
      <c r="X4" s="10" t="s">
        <v>41</v>
      </c>
      <c r="Y4" s="12" t="s">
        <v>2</v>
      </c>
      <c r="Z4" s="19" t="s">
        <v>42</v>
      </c>
      <c r="AA4" s="68" t="s">
        <v>4</v>
      </c>
      <c r="AB4" s="10" t="s">
        <v>41</v>
      </c>
      <c r="AC4" s="83" t="s">
        <v>41</v>
      </c>
      <c r="AD4" s="12" t="s">
        <v>2</v>
      </c>
      <c r="AE4" s="12" t="s">
        <v>2</v>
      </c>
      <c r="AF4" s="12" t="s">
        <v>2</v>
      </c>
      <c r="AG4" s="19" t="s">
        <v>42</v>
      </c>
      <c r="AH4" s="19" t="s">
        <v>42</v>
      </c>
    </row>
    <row r="5" spans="1:34" x14ac:dyDescent="0.35">
      <c r="A5" s="67" t="s">
        <v>9</v>
      </c>
      <c r="B5" s="83" t="s">
        <v>6</v>
      </c>
      <c r="C5" s="83" t="s">
        <v>6</v>
      </c>
      <c r="D5" s="83" t="s">
        <v>6</v>
      </c>
      <c r="E5" s="25" t="s">
        <v>3</v>
      </c>
      <c r="F5" s="17" t="s">
        <v>11</v>
      </c>
      <c r="G5" s="17" t="s">
        <v>10</v>
      </c>
      <c r="H5" s="17" t="s">
        <v>10</v>
      </c>
      <c r="I5" s="17" t="s">
        <v>10</v>
      </c>
      <c r="J5" s="17" t="s">
        <v>10</v>
      </c>
      <c r="K5" s="17" t="s">
        <v>10</v>
      </c>
      <c r="L5" s="13" t="s">
        <v>4</v>
      </c>
      <c r="M5" s="17" t="s">
        <v>11</v>
      </c>
      <c r="N5" s="17" t="s">
        <v>10</v>
      </c>
      <c r="O5" s="17" t="s">
        <v>10</v>
      </c>
      <c r="P5" s="12" t="s">
        <v>2</v>
      </c>
      <c r="Q5" s="83" t="s">
        <v>6</v>
      </c>
      <c r="R5" s="83" t="s">
        <v>6</v>
      </c>
      <c r="S5" s="25" t="s">
        <v>3</v>
      </c>
      <c r="T5" s="68" t="s">
        <v>4</v>
      </c>
      <c r="U5" s="13" t="s">
        <v>5</v>
      </c>
      <c r="V5" s="13" t="s">
        <v>5</v>
      </c>
      <c r="W5" s="17" t="s">
        <v>10</v>
      </c>
      <c r="X5" s="13" t="s">
        <v>5</v>
      </c>
      <c r="Y5" s="13" t="s">
        <v>5</v>
      </c>
      <c r="Z5" s="17" t="s">
        <v>11</v>
      </c>
      <c r="AA5" s="17" t="s">
        <v>11</v>
      </c>
      <c r="AB5" s="13" t="s">
        <v>5</v>
      </c>
      <c r="AC5" s="13" t="s">
        <v>5</v>
      </c>
      <c r="AD5" s="13" t="s">
        <v>5</v>
      </c>
      <c r="AE5" s="13" t="s">
        <v>5</v>
      </c>
      <c r="AF5" s="13" t="s">
        <v>5</v>
      </c>
      <c r="AG5" s="68" t="s">
        <v>4</v>
      </c>
      <c r="AH5" s="17" t="s">
        <v>11</v>
      </c>
    </row>
    <row r="6" spans="1:34" x14ac:dyDescent="0.35">
      <c r="A6" s="67" t="s">
        <v>12</v>
      </c>
      <c r="B6" s="83" t="s">
        <v>41</v>
      </c>
      <c r="C6" s="83" t="s">
        <v>41</v>
      </c>
      <c r="D6" s="83" t="s">
        <v>41</v>
      </c>
      <c r="E6" s="19" t="s">
        <v>42</v>
      </c>
      <c r="F6" s="101" t="s">
        <v>3</v>
      </c>
      <c r="G6" s="83" t="s">
        <v>41</v>
      </c>
      <c r="H6" s="84" t="s">
        <v>16</v>
      </c>
      <c r="I6" s="13" t="s">
        <v>5</v>
      </c>
      <c r="J6" s="13" t="s">
        <v>5</v>
      </c>
      <c r="K6" s="13" t="s">
        <v>5</v>
      </c>
      <c r="L6" s="13" t="s">
        <v>4</v>
      </c>
      <c r="M6" s="13" t="s">
        <v>4</v>
      </c>
      <c r="N6" s="13" t="s">
        <v>5</v>
      </c>
      <c r="O6" s="13" t="s">
        <v>5</v>
      </c>
      <c r="P6" s="13" t="s">
        <v>5</v>
      </c>
      <c r="Q6" s="13" t="s">
        <v>5</v>
      </c>
      <c r="R6" s="13" t="s">
        <v>5</v>
      </c>
      <c r="S6" s="19" t="s">
        <v>42</v>
      </c>
      <c r="T6" s="19" t="s">
        <v>42</v>
      </c>
      <c r="U6" s="25" t="s">
        <v>6</v>
      </c>
      <c r="V6" s="25" t="s">
        <v>6</v>
      </c>
      <c r="W6" s="10" t="s">
        <v>41</v>
      </c>
      <c r="X6" s="17" t="s">
        <v>10</v>
      </c>
      <c r="Y6" s="17" t="s">
        <v>10</v>
      </c>
      <c r="Z6" s="29" t="s">
        <v>4</v>
      </c>
      <c r="AA6" s="19" t="s">
        <v>42</v>
      </c>
      <c r="AB6" s="17" t="s">
        <v>10</v>
      </c>
      <c r="AC6" s="17" t="s">
        <v>10</v>
      </c>
      <c r="AD6" s="17" t="s">
        <v>10</v>
      </c>
      <c r="AE6" s="17" t="s">
        <v>10</v>
      </c>
      <c r="AF6" s="17" t="s">
        <v>10</v>
      </c>
      <c r="AG6" s="29" t="s">
        <v>4</v>
      </c>
      <c r="AH6" s="29" t="s">
        <v>4</v>
      </c>
    </row>
    <row r="7" spans="1:34" x14ac:dyDescent="0.35">
      <c r="A7" s="67" t="s">
        <v>14</v>
      </c>
      <c r="B7" s="17" t="s">
        <v>10</v>
      </c>
      <c r="C7" s="17" t="s">
        <v>10</v>
      </c>
      <c r="D7" s="17" t="s">
        <v>10</v>
      </c>
      <c r="E7" s="29" t="s">
        <v>4</v>
      </c>
      <c r="F7" s="19" t="s">
        <v>42</v>
      </c>
      <c r="G7" s="25" t="s">
        <v>6</v>
      </c>
      <c r="H7" s="25" t="s">
        <v>6</v>
      </c>
      <c r="I7" s="25" t="s">
        <v>6</v>
      </c>
      <c r="J7" s="25" t="s">
        <v>6</v>
      </c>
      <c r="K7" s="25" t="s">
        <v>6</v>
      </c>
      <c r="L7" s="29" t="s">
        <v>4</v>
      </c>
      <c r="M7" s="29" t="s">
        <v>4</v>
      </c>
      <c r="N7" s="25" t="s">
        <v>6</v>
      </c>
      <c r="O7" s="25" t="s">
        <v>6</v>
      </c>
      <c r="P7" s="25" t="s">
        <v>6</v>
      </c>
      <c r="Q7" s="13" t="s">
        <v>5</v>
      </c>
      <c r="R7" s="13" t="s">
        <v>5</v>
      </c>
      <c r="S7" s="13" t="s">
        <v>4</v>
      </c>
      <c r="T7" s="13" t="s">
        <v>4</v>
      </c>
      <c r="U7" s="13" t="s">
        <v>5</v>
      </c>
      <c r="V7" s="10" t="s">
        <v>41</v>
      </c>
      <c r="W7" s="25" t="s">
        <v>6</v>
      </c>
      <c r="X7" s="13" t="s">
        <v>2</v>
      </c>
      <c r="Y7" s="84" t="s">
        <v>16</v>
      </c>
      <c r="Z7" s="102" t="s">
        <v>30</v>
      </c>
      <c r="AA7" s="29" t="s">
        <v>4</v>
      </c>
      <c r="AB7" s="22" t="s">
        <v>16</v>
      </c>
      <c r="AC7" s="84" t="s">
        <v>16</v>
      </c>
      <c r="AD7" s="84" t="s">
        <v>16</v>
      </c>
      <c r="AE7" s="84" t="s">
        <v>16</v>
      </c>
      <c r="AF7" s="84" t="s">
        <v>16</v>
      </c>
      <c r="AG7" s="102" t="s">
        <v>30</v>
      </c>
      <c r="AH7" s="29" t="s">
        <v>4</v>
      </c>
    </row>
    <row r="8" spans="1:34" x14ac:dyDescent="0.35">
      <c r="A8" s="67" t="s">
        <v>15</v>
      </c>
      <c r="B8" s="17" t="s">
        <v>10</v>
      </c>
      <c r="C8" s="13" t="s">
        <v>95</v>
      </c>
      <c r="D8" s="12" t="s">
        <v>2</v>
      </c>
      <c r="E8" s="29" t="s">
        <v>4</v>
      </c>
      <c r="F8" s="29" t="s">
        <v>4</v>
      </c>
      <c r="G8" s="25" t="s">
        <v>6</v>
      </c>
      <c r="H8" s="25" t="s">
        <v>6</v>
      </c>
      <c r="I8" s="25" t="s">
        <v>6</v>
      </c>
      <c r="J8" s="10" t="s">
        <v>41</v>
      </c>
      <c r="K8" s="25" t="s">
        <v>6</v>
      </c>
      <c r="L8" s="29" t="s">
        <v>4</v>
      </c>
      <c r="M8" s="29" t="s">
        <v>4</v>
      </c>
      <c r="N8" s="25" t="s">
        <v>6</v>
      </c>
      <c r="O8" s="12" t="s">
        <v>2</v>
      </c>
      <c r="P8" s="17" t="s">
        <v>10</v>
      </c>
      <c r="Q8" s="17" t="s">
        <v>10</v>
      </c>
      <c r="R8" s="17" t="s">
        <v>10</v>
      </c>
      <c r="S8" s="17" t="s">
        <v>11</v>
      </c>
      <c r="T8" s="29" t="s">
        <v>4</v>
      </c>
      <c r="U8" s="84" t="s">
        <v>41</v>
      </c>
      <c r="V8" s="84" t="s">
        <v>41</v>
      </c>
      <c r="W8" s="84" t="s">
        <v>41</v>
      </c>
      <c r="X8" s="12" t="s">
        <v>2</v>
      </c>
      <c r="Y8" s="84" t="s">
        <v>6</v>
      </c>
      <c r="Z8" s="25" t="s">
        <v>3</v>
      </c>
      <c r="AA8" s="25" t="s">
        <v>3</v>
      </c>
      <c r="AB8" s="25" t="s">
        <v>6</v>
      </c>
      <c r="AC8" s="25" t="s">
        <v>6</v>
      </c>
      <c r="AD8" s="12" t="s">
        <v>2</v>
      </c>
      <c r="AE8" s="25" t="s">
        <v>6</v>
      </c>
      <c r="AF8" s="25" t="s">
        <v>6</v>
      </c>
      <c r="AG8" s="17" t="s">
        <v>11</v>
      </c>
      <c r="AH8" s="29" t="s">
        <v>4</v>
      </c>
    </row>
    <row r="9" spans="1:34" x14ac:dyDescent="0.35">
      <c r="A9" s="67" t="s">
        <v>18</v>
      </c>
      <c r="B9" s="27" t="s">
        <v>34</v>
      </c>
      <c r="C9" s="17" t="s">
        <v>10</v>
      </c>
      <c r="D9" s="17" t="s">
        <v>10</v>
      </c>
      <c r="E9" s="17" t="s">
        <v>11</v>
      </c>
      <c r="F9" s="17" t="s">
        <v>11</v>
      </c>
      <c r="G9" s="12" t="s">
        <v>2</v>
      </c>
      <c r="H9" s="12" t="s">
        <v>2</v>
      </c>
      <c r="I9" s="10" t="s">
        <v>41</v>
      </c>
      <c r="J9" s="25" t="s">
        <v>6</v>
      </c>
      <c r="K9" s="10" t="s">
        <v>41</v>
      </c>
      <c r="L9" s="25" t="s">
        <v>3</v>
      </c>
      <c r="M9" s="25" t="s">
        <v>3</v>
      </c>
      <c r="N9" s="12" t="s">
        <v>2</v>
      </c>
      <c r="O9" s="83" t="s">
        <v>41</v>
      </c>
      <c r="P9" s="83" t="s">
        <v>41</v>
      </c>
      <c r="Q9" s="83" t="s">
        <v>41</v>
      </c>
      <c r="R9" s="83" t="s">
        <v>41</v>
      </c>
      <c r="S9" s="102" t="s">
        <v>30</v>
      </c>
      <c r="T9" s="101" t="s">
        <v>3</v>
      </c>
      <c r="U9" s="12" t="s">
        <v>2</v>
      </c>
      <c r="V9" s="10" t="s">
        <v>41</v>
      </c>
      <c r="W9" s="25" t="s">
        <v>6</v>
      </c>
      <c r="X9" s="25" t="s">
        <v>6</v>
      </c>
      <c r="Y9" s="27" t="s">
        <v>34</v>
      </c>
      <c r="Z9" s="29" t="s">
        <v>4</v>
      </c>
      <c r="AA9" s="29" t="s">
        <v>4</v>
      </c>
      <c r="AB9" s="25" t="s">
        <v>6</v>
      </c>
      <c r="AC9" s="25" t="s">
        <v>6</v>
      </c>
      <c r="AD9" s="25" t="s">
        <v>6</v>
      </c>
      <c r="AE9" s="12" t="s">
        <v>2</v>
      </c>
      <c r="AF9" s="10" t="s">
        <v>41</v>
      </c>
      <c r="AG9" s="25" t="s">
        <v>3</v>
      </c>
      <c r="AH9" s="25" t="s">
        <v>3</v>
      </c>
    </row>
    <row r="10" spans="1:34" ht="14.15" customHeight="1" x14ac:dyDescent="0.35">
      <c r="A10" s="67" t="s">
        <v>21</v>
      </c>
      <c r="B10" s="13" t="s">
        <v>5</v>
      </c>
      <c r="C10" s="13" t="s">
        <v>5</v>
      </c>
      <c r="D10" s="13" t="s">
        <v>5</v>
      </c>
      <c r="E10" s="13" t="s">
        <v>4</v>
      </c>
      <c r="F10" s="13" t="s">
        <v>4</v>
      </c>
      <c r="G10" s="17" t="s">
        <v>10</v>
      </c>
      <c r="H10" s="17" t="s">
        <v>10</v>
      </c>
      <c r="I10" s="17" t="s">
        <v>10</v>
      </c>
      <c r="J10" s="17" t="s">
        <v>10</v>
      </c>
      <c r="K10" s="17" t="s">
        <v>10</v>
      </c>
      <c r="L10" s="17" t="s">
        <v>11</v>
      </c>
      <c r="M10" s="13" t="s">
        <v>4</v>
      </c>
      <c r="N10" s="13" t="s">
        <v>5</v>
      </c>
      <c r="O10" s="13" t="s">
        <v>5</v>
      </c>
      <c r="P10" s="13" t="s">
        <v>5</v>
      </c>
      <c r="Q10" s="10" t="s">
        <v>41</v>
      </c>
      <c r="R10" s="10" t="s">
        <v>41</v>
      </c>
      <c r="S10" s="29" t="s">
        <v>4</v>
      </c>
      <c r="T10" s="29" t="s">
        <v>4</v>
      </c>
      <c r="U10" s="83" t="s">
        <v>41</v>
      </c>
      <c r="V10" s="83" t="s">
        <v>6</v>
      </c>
      <c r="W10" s="83" t="s">
        <v>6</v>
      </c>
      <c r="X10" s="83" t="s">
        <v>6</v>
      </c>
      <c r="Y10" s="83" t="s">
        <v>6</v>
      </c>
      <c r="Z10" s="101" t="s">
        <v>3</v>
      </c>
      <c r="AA10" s="29" t="s">
        <v>4</v>
      </c>
      <c r="AB10" s="17" t="s">
        <v>10</v>
      </c>
      <c r="AC10" s="17" t="s">
        <v>10</v>
      </c>
      <c r="AD10" s="17" t="s">
        <v>10</v>
      </c>
      <c r="AE10" s="17" t="s">
        <v>10</v>
      </c>
      <c r="AF10" s="12" t="s">
        <v>2</v>
      </c>
      <c r="AG10" s="17" t="s">
        <v>11</v>
      </c>
      <c r="AH10" s="17" t="s">
        <v>11</v>
      </c>
    </row>
    <row r="11" spans="1:34" x14ac:dyDescent="0.35">
      <c r="A11" s="67" t="s">
        <v>43</v>
      </c>
      <c r="B11" s="83" t="s">
        <v>41</v>
      </c>
      <c r="C11" s="83" t="s">
        <v>41</v>
      </c>
      <c r="D11" s="83" t="s">
        <v>41</v>
      </c>
      <c r="E11" s="19" t="s">
        <v>42</v>
      </c>
      <c r="F11" s="13" t="s">
        <v>4</v>
      </c>
      <c r="G11" s="83" t="s">
        <v>6</v>
      </c>
      <c r="H11" s="83" t="s">
        <v>41</v>
      </c>
      <c r="I11" s="83" t="s">
        <v>6</v>
      </c>
      <c r="J11" s="10" t="s">
        <v>41</v>
      </c>
      <c r="K11" s="10" t="s">
        <v>41</v>
      </c>
      <c r="L11" s="17" t="s">
        <v>11</v>
      </c>
      <c r="M11" s="29" t="s">
        <v>4</v>
      </c>
      <c r="N11" s="10" t="s">
        <v>41</v>
      </c>
      <c r="O11" s="10" t="s">
        <v>41</v>
      </c>
      <c r="P11" s="17" t="s">
        <v>10</v>
      </c>
      <c r="Q11" s="17" t="s">
        <v>10</v>
      </c>
      <c r="R11" s="17" t="s">
        <v>10</v>
      </c>
      <c r="S11" s="29" t="s">
        <v>4</v>
      </c>
      <c r="T11" s="17" t="s">
        <v>11</v>
      </c>
      <c r="U11" s="17" t="s">
        <v>10</v>
      </c>
      <c r="V11" s="17" t="s">
        <v>10</v>
      </c>
      <c r="W11" s="12" t="s">
        <v>2</v>
      </c>
      <c r="X11" s="10" t="s">
        <v>41</v>
      </c>
      <c r="Y11" s="10" t="s">
        <v>41</v>
      </c>
      <c r="Z11" s="17" t="s">
        <v>11</v>
      </c>
      <c r="AA11" s="17" t="s">
        <v>11</v>
      </c>
      <c r="AB11" s="12" t="s">
        <v>2</v>
      </c>
      <c r="AC11" s="12" t="s">
        <v>2</v>
      </c>
      <c r="AD11" s="25" t="s">
        <v>6</v>
      </c>
      <c r="AE11" s="25" t="s">
        <v>6</v>
      </c>
      <c r="AF11" s="25" t="s">
        <v>6</v>
      </c>
      <c r="AG11" s="29" t="s">
        <v>4</v>
      </c>
      <c r="AH11" s="29" t="s">
        <v>4</v>
      </c>
    </row>
    <row r="12" spans="1:34" x14ac:dyDescent="0.35">
      <c r="A12" s="67" t="s">
        <v>86</v>
      </c>
      <c r="B12" s="12" t="s">
        <v>2</v>
      </c>
      <c r="C12" s="83" t="s">
        <v>41</v>
      </c>
      <c r="D12" s="83" t="s">
        <v>41</v>
      </c>
      <c r="E12" s="102" t="s">
        <v>30</v>
      </c>
      <c r="F12" s="29" t="s">
        <v>4</v>
      </c>
      <c r="G12" s="83" t="s">
        <v>41</v>
      </c>
      <c r="H12" s="83" t="s">
        <v>41</v>
      </c>
      <c r="I12" s="84" t="s">
        <v>16</v>
      </c>
      <c r="J12" s="12" t="s">
        <v>2</v>
      </c>
      <c r="K12" s="10" t="s">
        <v>41</v>
      </c>
      <c r="L12" s="13" t="s">
        <v>4</v>
      </c>
      <c r="M12" s="13" t="s">
        <v>4</v>
      </c>
      <c r="N12" s="13" t="s">
        <v>5</v>
      </c>
      <c r="O12" s="13" t="s">
        <v>5</v>
      </c>
      <c r="P12" s="13" t="s">
        <v>5</v>
      </c>
      <c r="Q12" s="16" t="s">
        <v>8</v>
      </c>
      <c r="R12" s="16" t="s">
        <v>8</v>
      </c>
      <c r="S12" s="17" t="s">
        <v>11</v>
      </c>
      <c r="T12" s="17" t="s">
        <v>11</v>
      </c>
      <c r="U12" s="17" t="s">
        <v>10</v>
      </c>
      <c r="V12" s="17" t="s">
        <v>10</v>
      </c>
      <c r="W12" s="12" t="s">
        <v>2</v>
      </c>
      <c r="X12" s="10" t="s">
        <v>41</v>
      </c>
      <c r="Y12" s="10" t="s">
        <v>41</v>
      </c>
      <c r="Z12" s="29" t="s">
        <v>4</v>
      </c>
      <c r="AA12" s="25" t="s">
        <v>3</v>
      </c>
      <c r="AB12" s="10" t="s">
        <v>41</v>
      </c>
      <c r="AC12" s="10" t="s">
        <v>41</v>
      </c>
      <c r="AD12" s="10" t="s">
        <v>41</v>
      </c>
      <c r="AE12" s="10" t="s">
        <v>41</v>
      </c>
      <c r="AF12" s="83" t="s">
        <v>41</v>
      </c>
      <c r="AG12" s="29" t="s">
        <v>4</v>
      </c>
      <c r="AH12" s="29" t="s">
        <v>4</v>
      </c>
    </row>
    <row r="13" spans="1:34" x14ac:dyDescent="0.35">
      <c r="A13" s="67" t="s">
        <v>22</v>
      </c>
      <c r="B13" s="13" t="s">
        <v>5</v>
      </c>
      <c r="C13" s="25" t="s">
        <v>6</v>
      </c>
      <c r="D13" s="25" t="s">
        <v>6</v>
      </c>
      <c r="E13" s="25" t="s">
        <v>3</v>
      </c>
      <c r="F13" s="25" t="s">
        <v>3</v>
      </c>
      <c r="G13" s="12" t="s">
        <v>2</v>
      </c>
      <c r="H13" s="12" t="s">
        <v>2</v>
      </c>
      <c r="I13" s="25" t="s">
        <v>6</v>
      </c>
      <c r="J13" s="25" t="s">
        <v>6</v>
      </c>
      <c r="K13" s="25" t="s">
        <v>6</v>
      </c>
      <c r="L13" s="25" t="s">
        <v>3</v>
      </c>
      <c r="M13" s="29" t="s">
        <v>4</v>
      </c>
      <c r="N13" s="25" t="s">
        <v>6</v>
      </c>
      <c r="O13" s="25" t="s">
        <v>6</v>
      </c>
      <c r="P13" s="25" t="s">
        <v>6</v>
      </c>
      <c r="Q13" s="25" t="s">
        <v>6</v>
      </c>
      <c r="R13" s="25" t="s">
        <v>6</v>
      </c>
      <c r="S13" s="25" t="s">
        <v>3</v>
      </c>
      <c r="T13" s="29" t="s">
        <v>4</v>
      </c>
      <c r="U13" s="84" t="s">
        <v>16</v>
      </c>
      <c r="V13" s="84" t="s">
        <v>16</v>
      </c>
      <c r="W13" s="84" t="s">
        <v>16</v>
      </c>
      <c r="X13" s="84" t="s">
        <v>16</v>
      </c>
      <c r="Y13" s="84" t="s">
        <v>16</v>
      </c>
      <c r="Z13" s="68" t="s">
        <v>4</v>
      </c>
      <c r="AA13" s="68" t="s">
        <v>4</v>
      </c>
      <c r="AB13" s="10" t="s">
        <v>41</v>
      </c>
      <c r="AC13" s="25" t="s">
        <v>6</v>
      </c>
      <c r="AD13" s="12" t="s">
        <v>2</v>
      </c>
      <c r="AE13" s="25" t="s">
        <v>6</v>
      </c>
      <c r="AF13" s="25" t="s">
        <v>6</v>
      </c>
      <c r="AG13" s="25" t="s">
        <v>3</v>
      </c>
      <c r="AH13" s="25" t="s">
        <v>3</v>
      </c>
    </row>
    <row r="14" spans="1:34" x14ac:dyDescent="0.35">
      <c r="A14" s="67" t="s">
        <v>71</v>
      </c>
      <c r="B14" s="25" t="s">
        <v>6</v>
      </c>
      <c r="C14" s="12" t="s">
        <v>2</v>
      </c>
      <c r="D14" s="10" t="s">
        <v>41</v>
      </c>
      <c r="E14" s="29" t="s">
        <v>4</v>
      </c>
      <c r="F14" s="19" t="s">
        <v>42</v>
      </c>
      <c r="G14" s="12" t="s">
        <v>2</v>
      </c>
      <c r="H14" s="10" t="s">
        <v>41</v>
      </c>
      <c r="I14" s="12" t="s">
        <v>2</v>
      </c>
      <c r="J14" s="84" t="s">
        <v>16</v>
      </c>
      <c r="K14" s="84" t="s">
        <v>16</v>
      </c>
      <c r="L14" s="19" t="s">
        <v>42</v>
      </c>
      <c r="M14" s="25" t="s">
        <v>3</v>
      </c>
      <c r="N14" s="10" t="s">
        <v>41</v>
      </c>
      <c r="O14" s="12" t="s">
        <v>2</v>
      </c>
      <c r="P14" s="10" t="s">
        <v>41</v>
      </c>
      <c r="Q14" s="10" t="s">
        <v>41</v>
      </c>
      <c r="R14" s="10" t="s">
        <v>41</v>
      </c>
      <c r="S14" s="29" t="s">
        <v>4</v>
      </c>
      <c r="T14" s="13" t="s">
        <v>4</v>
      </c>
      <c r="U14" s="10" t="s">
        <v>41</v>
      </c>
      <c r="V14" s="10" t="s">
        <v>41</v>
      </c>
      <c r="W14" s="27" t="s">
        <v>34</v>
      </c>
      <c r="X14" s="27" t="s">
        <v>34</v>
      </c>
      <c r="Y14" s="10" t="s">
        <v>41</v>
      </c>
      <c r="Z14" s="29" t="s">
        <v>4</v>
      </c>
      <c r="AA14" s="29" t="s">
        <v>4</v>
      </c>
      <c r="AB14" s="84" t="s">
        <v>16</v>
      </c>
      <c r="AC14" s="84" t="s">
        <v>16</v>
      </c>
      <c r="AD14" s="84" t="s">
        <v>16</v>
      </c>
      <c r="AE14" s="12" t="s">
        <v>2</v>
      </c>
      <c r="AF14" s="10" t="s">
        <v>41</v>
      </c>
      <c r="AG14" s="19" t="s">
        <v>42</v>
      </c>
      <c r="AH14" s="19" t="s">
        <v>42</v>
      </c>
    </row>
    <row r="15" spans="1:34" ht="15" thickBot="1" x14ac:dyDescent="0.4">
      <c r="A15" s="67" t="s">
        <v>87</v>
      </c>
      <c r="B15" s="84" t="s">
        <v>16</v>
      </c>
      <c r="C15" s="84" t="s">
        <v>16</v>
      </c>
      <c r="D15" s="84" t="s">
        <v>16</v>
      </c>
      <c r="E15" s="29" t="s">
        <v>4</v>
      </c>
      <c r="F15" s="29" t="s">
        <v>4</v>
      </c>
      <c r="G15" s="84" t="s">
        <v>16</v>
      </c>
      <c r="H15" s="84" t="s">
        <v>16</v>
      </c>
      <c r="I15" s="84" t="s">
        <v>16</v>
      </c>
      <c r="J15" s="12" t="s">
        <v>2</v>
      </c>
      <c r="K15" s="12" t="s">
        <v>2</v>
      </c>
      <c r="L15" s="66" t="s">
        <v>30</v>
      </c>
      <c r="M15" s="19" t="s">
        <v>42</v>
      </c>
      <c r="N15" s="25" t="s">
        <v>6</v>
      </c>
      <c r="O15" s="25" t="s">
        <v>6</v>
      </c>
      <c r="P15" s="12" t="s">
        <v>2</v>
      </c>
      <c r="Q15" s="25" t="s">
        <v>6</v>
      </c>
      <c r="R15" s="25" t="s">
        <v>6</v>
      </c>
      <c r="S15" s="29" t="s">
        <v>4</v>
      </c>
      <c r="T15" s="25" t="s">
        <v>3</v>
      </c>
      <c r="U15" s="25" t="s">
        <v>6</v>
      </c>
      <c r="V15" s="25" t="s">
        <v>6</v>
      </c>
      <c r="W15" s="25" t="s">
        <v>6</v>
      </c>
      <c r="X15" s="12" t="s">
        <v>2</v>
      </c>
      <c r="Y15" s="25" t="s">
        <v>6</v>
      </c>
      <c r="Z15" s="19" t="s">
        <v>42</v>
      </c>
      <c r="AA15" s="19" t="s">
        <v>42</v>
      </c>
      <c r="AB15" s="25" t="s">
        <v>6</v>
      </c>
      <c r="AC15" s="12" t="s">
        <v>2</v>
      </c>
      <c r="AD15" s="25" t="s">
        <v>6</v>
      </c>
      <c r="AE15" s="13" t="s">
        <v>5</v>
      </c>
      <c r="AF15" s="13" t="s">
        <v>5</v>
      </c>
      <c r="AG15" s="29" t="s">
        <v>4</v>
      </c>
      <c r="AH15" s="29" t="s">
        <v>4</v>
      </c>
    </row>
    <row r="16" spans="1:34" x14ac:dyDescent="0.35">
      <c r="A16" s="67" t="s">
        <v>85</v>
      </c>
      <c r="B16" s="25" t="s">
        <v>6</v>
      </c>
      <c r="C16" s="25" t="s">
        <v>6</v>
      </c>
      <c r="D16" s="25" t="s">
        <v>6</v>
      </c>
      <c r="E16" s="29" t="s">
        <v>4</v>
      </c>
      <c r="F16" s="29" t="s">
        <v>4</v>
      </c>
      <c r="G16" s="25" t="s">
        <v>6</v>
      </c>
      <c r="H16" s="25" t="s">
        <v>6</v>
      </c>
      <c r="I16" s="10" t="s">
        <v>41</v>
      </c>
      <c r="J16" s="10" t="s">
        <v>41</v>
      </c>
      <c r="K16" s="25" t="s">
        <v>6</v>
      </c>
      <c r="L16" s="29" t="s">
        <v>4</v>
      </c>
      <c r="M16" s="29" t="s">
        <v>4</v>
      </c>
      <c r="N16" s="10" t="s">
        <v>41</v>
      </c>
      <c r="O16" s="25" t="s">
        <v>6</v>
      </c>
      <c r="P16" s="25" t="s">
        <v>6</v>
      </c>
      <c r="Q16" s="25" t="s">
        <v>6</v>
      </c>
      <c r="R16" s="10" t="s">
        <v>41</v>
      </c>
      <c r="S16" s="29" t="s">
        <v>4</v>
      </c>
      <c r="T16" s="29" t="s">
        <v>4</v>
      </c>
      <c r="U16" s="25" t="s">
        <v>6</v>
      </c>
      <c r="V16" s="10" t="s">
        <v>41</v>
      </c>
      <c r="W16" s="10" t="s">
        <v>41</v>
      </c>
      <c r="X16" s="84" t="s">
        <v>16</v>
      </c>
      <c r="Y16" s="84" t="s">
        <v>16</v>
      </c>
      <c r="Z16" s="29" t="s">
        <v>4</v>
      </c>
      <c r="AA16" s="29" t="s">
        <v>4</v>
      </c>
      <c r="AB16" s="84" t="s">
        <v>16</v>
      </c>
      <c r="AC16" s="84" t="s">
        <v>16</v>
      </c>
      <c r="AD16" s="84" t="s">
        <v>16</v>
      </c>
      <c r="AE16" s="84" t="s">
        <v>16</v>
      </c>
      <c r="AF16" s="84" t="s">
        <v>16</v>
      </c>
      <c r="AG16" s="29" t="s">
        <v>4</v>
      </c>
      <c r="AH16" s="29" t="s">
        <v>4</v>
      </c>
    </row>
    <row r="17" spans="1:34" x14ac:dyDescent="0.35">
      <c r="A17" s="67" t="s">
        <v>88</v>
      </c>
      <c r="B17" s="84" t="s">
        <v>16</v>
      </c>
      <c r="C17" s="84" t="s">
        <v>16</v>
      </c>
      <c r="D17" s="84" t="s">
        <v>16</v>
      </c>
      <c r="E17" s="13" t="s">
        <v>4</v>
      </c>
      <c r="F17" s="13" t="s">
        <v>4</v>
      </c>
      <c r="G17" s="16" t="s">
        <v>8</v>
      </c>
      <c r="H17" s="16" t="s">
        <v>8</v>
      </c>
      <c r="I17" s="16" t="s">
        <v>8</v>
      </c>
      <c r="J17" s="16" t="s">
        <v>8</v>
      </c>
      <c r="K17" s="16" t="s">
        <v>8</v>
      </c>
      <c r="L17" s="29" t="s">
        <v>4</v>
      </c>
      <c r="M17" s="17" t="s">
        <v>11</v>
      </c>
      <c r="N17" s="17" t="s">
        <v>10</v>
      </c>
      <c r="O17" s="17" t="s">
        <v>10</v>
      </c>
      <c r="P17" s="12" t="s">
        <v>2</v>
      </c>
      <c r="Q17" s="12" t="s">
        <v>2</v>
      </c>
      <c r="R17" s="83" t="s">
        <v>6</v>
      </c>
      <c r="S17" s="19" t="s">
        <v>42</v>
      </c>
      <c r="T17" s="19" t="s">
        <v>42</v>
      </c>
      <c r="U17" s="84" t="s">
        <v>16</v>
      </c>
      <c r="V17" s="84" t="s">
        <v>16</v>
      </c>
      <c r="W17" s="17" t="s">
        <v>10</v>
      </c>
      <c r="X17" s="17" t="s">
        <v>10</v>
      </c>
      <c r="Y17" s="17" t="s">
        <v>10</v>
      </c>
      <c r="Z17" s="29" t="s">
        <v>4</v>
      </c>
      <c r="AA17" s="29" t="s">
        <v>4</v>
      </c>
      <c r="AB17" s="10" t="s">
        <v>41</v>
      </c>
      <c r="AC17" s="10" t="s">
        <v>41</v>
      </c>
      <c r="AD17" s="10" t="s">
        <v>41</v>
      </c>
      <c r="AE17" s="10" t="s">
        <v>41</v>
      </c>
      <c r="AF17" s="17" t="s">
        <v>10</v>
      </c>
      <c r="AG17" s="29" t="s">
        <v>4</v>
      </c>
      <c r="AH17" s="29" t="s">
        <v>4</v>
      </c>
    </row>
    <row r="18" spans="1:34" x14ac:dyDescent="0.35">
      <c r="A18" s="67" t="s">
        <v>89</v>
      </c>
      <c r="B18" s="10" t="s">
        <v>41</v>
      </c>
      <c r="C18" s="25" t="s">
        <v>6</v>
      </c>
      <c r="D18" s="25" t="s">
        <v>6</v>
      </c>
      <c r="E18" s="29" t="s">
        <v>4</v>
      </c>
      <c r="F18" s="29" t="s">
        <v>4</v>
      </c>
      <c r="G18" s="22" t="s">
        <v>16</v>
      </c>
      <c r="H18" s="25" t="s">
        <v>6</v>
      </c>
      <c r="I18" s="25" t="s">
        <v>6</v>
      </c>
      <c r="J18" s="25" t="s">
        <v>6</v>
      </c>
      <c r="K18" s="25" t="s">
        <v>6</v>
      </c>
      <c r="L18" s="29" t="s">
        <v>4</v>
      </c>
      <c r="M18" s="29" t="s">
        <v>4</v>
      </c>
      <c r="N18" s="13" t="s">
        <v>5</v>
      </c>
      <c r="O18" s="13" t="s">
        <v>5</v>
      </c>
      <c r="P18" s="13" t="s">
        <v>5</v>
      </c>
      <c r="Q18" s="13" t="s">
        <v>5</v>
      </c>
      <c r="R18" s="13" t="s">
        <v>5</v>
      </c>
      <c r="S18" s="29" t="s">
        <v>4</v>
      </c>
      <c r="T18" s="29" t="s">
        <v>4</v>
      </c>
      <c r="U18" s="25" t="s">
        <v>6</v>
      </c>
      <c r="V18" s="25" t="s">
        <v>6</v>
      </c>
      <c r="W18" s="25" t="s">
        <v>6</v>
      </c>
      <c r="X18" s="25" t="s">
        <v>6</v>
      </c>
      <c r="Y18" s="25" t="s">
        <v>6</v>
      </c>
      <c r="Z18" s="29" t="s">
        <v>4</v>
      </c>
      <c r="AA18" s="29" t="s">
        <v>4</v>
      </c>
      <c r="AB18" s="22" t="s">
        <v>16</v>
      </c>
      <c r="AC18" s="22" t="s">
        <v>16</v>
      </c>
      <c r="AD18" s="22" t="s">
        <v>16</v>
      </c>
      <c r="AE18" s="22" t="s">
        <v>16</v>
      </c>
      <c r="AF18" s="22" t="s">
        <v>16</v>
      </c>
      <c r="AG18" s="29" t="s">
        <v>4</v>
      </c>
      <c r="AH18" s="29" t="s">
        <v>4</v>
      </c>
    </row>
    <row r="20" spans="1:34" x14ac:dyDescent="0.35">
      <c r="A20" s="24" t="s">
        <v>23</v>
      </c>
    </row>
    <row r="21" spans="1:34" x14ac:dyDescent="0.35">
      <c r="A21" s="1" t="s">
        <v>24</v>
      </c>
    </row>
    <row r="22" spans="1:34" x14ac:dyDescent="0.35">
      <c r="A22" s="1" t="s">
        <v>25</v>
      </c>
    </row>
    <row r="23" spans="1:34" x14ac:dyDescent="0.35">
      <c r="A23" s="1" t="s">
        <v>47</v>
      </c>
    </row>
    <row r="24" spans="1:34" x14ac:dyDescent="0.35">
      <c r="A24" s="1" t="s">
        <v>48</v>
      </c>
    </row>
    <row r="25" spans="1:34" x14ac:dyDescent="0.35">
      <c r="A25" s="26" t="s">
        <v>26</v>
      </c>
    </row>
    <row r="26" spans="1:34" x14ac:dyDescent="0.35">
      <c r="A26" s="26" t="s">
        <v>27</v>
      </c>
    </row>
    <row r="27" spans="1:34" x14ac:dyDescent="0.35">
      <c r="A27" s="26" t="s">
        <v>28</v>
      </c>
    </row>
    <row r="28" spans="1:34" x14ac:dyDescent="0.35">
      <c r="A28" s="26" t="s">
        <v>29</v>
      </c>
    </row>
    <row r="29" spans="1:34" x14ac:dyDescent="0.35">
      <c r="A29" s="26" t="s">
        <v>49</v>
      </c>
    </row>
    <row r="30" spans="1:34" x14ac:dyDescent="0.35">
      <c r="A30" s="26" t="s">
        <v>50</v>
      </c>
    </row>
    <row r="31" spans="1:34" x14ac:dyDescent="0.35">
      <c r="A31" s="26" t="s">
        <v>31</v>
      </c>
    </row>
    <row r="32" spans="1:34" x14ac:dyDescent="0.35">
      <c r="A32" s="26" t="s">
        <v>32</v>
      </c>
    </row>
    <row r="33" spans="1:1" x14ac:dyDescent="0.35">
      <c r="A33" s="26" t="s">
        <v>33</v>
      </c>
    </row>
    <row r="34" spans="1:1" x14ac:dyDescent="0.35">
      <c r="A34" s="26" t="s">
        <v>35</v>
      </c>
    </row>
    <row r="35" spans="1:1" x14ac:dyDescent="0.35">
      <c r="A35" s="26" t="s">
        <v>36</v>
      </c>
    </row>
    <row r="36" spans="1:1" x14ac:dyDescent="0.35">
      <c r="A36" s="26" t="s">
        <v>38</v>
      </c>
    </row>
    <row r="37" spans="1:1" x14ac:dyDescent="0.35">
      <c r="A37" s="26" t="s">
        <v>36</v>
      </c>
    </row>
    <row r="38" spans="1:1" x14ac:dyDescent="0.35">
      <c r="A38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8"/>
  <sheetViews>
    <sheetView zoomScale="80" zoomScaleNormal="80" workbookViewId="0">
      <pane xSplit="1" topLeftCell="Q1" activePane="topRight" state="frozen"/>
      <selection pane="topRight" activeCell="S22" sqref="S22"/>
    </sheetView>
  </sheetViews>
  <sheetFormatPr defaultColWidth="9.1796875" defaultRowHeight="14.5" x14ac:dyDescent="0.35"/>
  <cols>
    <col min="1" max="1" width="26.1796875" style="45" bestFit="1" customWidth="1"/>
    <col min="2" max="3" width="7.26953125" style="45" customWidth="1"/>
    <col min="4" max="5" width="9.26953125" style="45" customWidth="1"/>
    <col min="6" max="7" width="7.26953125" style="45" customWidth="1"/>
    <col min="8" max="8" width="7.54296875" style="45" customWidth="1"/>
    <col min="9" max="9" width="7.26953125" style="45" customWidth="1"/>
    <col min="10" max="10" width="7.54296875" style="45" customWidth="1"/>
    <col min="11" max="12" width="9.26953125" style="45" customWidth="1"/>
    <col min="13" max="13" width="7.54296875" style="45" customWidth="1"/>
    <col min="14" max="14" width="9.26953125" style="45" customWidth="1"/>
    <col min="15" max="17" width="7.54296875" style="45" customWidth="1"/>
    <col min="18" max="18" width="9.26953125" style="45" customWidth="1"/>
    <col min="19" max="21" width="6.7265625" style="45" customWidth="1"/>
    <col min="22" max="32" width="9.1796875" style="45" customWidth="1"/>
    <col min="33" max="16384" width="9.1796875" style="45"/>
  </cols>
  <sheetData>
    <row r="1" spans="1:32" ht="15" customHeight="1" x14ac:dyDescent="0.35">
      <c r="A1" s="30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F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</row>
    <row r="2" spans="1:32" x14ac:dyDescent="0.35">
      <c r="A2" s="7" t="s">
        <v>0</v>
      </c>
      <c r="B2" s="31">
        <v>44743</v>
      </c>
      <c r="C2" s="31">
        <v>44744</v>
      </c>
      <c r="D2" s="31">
        <v>44745</v>
      </c>
      <c r="E2" s="31">
        <v>44746</v>
      </c>
      <c r="F2" s="31">
        <v>44747</v>
      </c>
      <c r="G2" s="31">
        <v>44748</v>
      </c>
      <c r="H2" s="31">
        <v>44749</v>
      </c>
      <c r="I2" s="31">
        <v>44750</v>
      </c>
      <c r="J2" s="31">
        <v>44751</v>
      </c>
      <c r="K2" s="31">
        <v>44752</v>
      </c>
      <c r="L2" s="31">
        <v>44753</v>
      </c>
      <c r="M2" s="31">
        <v>44754</v>
      </c>
      <c r="N2" s="31">
        <v>44755</v>
      </c>
      <c r="O2" s="31">
        <v>44756</v>
      </c>
      <c r="P2" s="31">
        <v>44757</v>
      </c>
      <c r="Q2" s="31">
        <v>44758</v>
      </c>
      <c r="R2" s="31">
        <v>44759</v>
      </c>
      <c r="S2" s="31">
        <v>44760</v>
      </c>
      <c r="T2" s="31">
        <v>44761</v>
      </c>
      <c r="U2" s="31">
        <v>44762</v>
      </c>
      <c r="V2" s="31">
        <v>44763</v>
      </c>
      <c r="W2" s="31">
        <v>44764</v>
      </c>
      <c r="X2" s="31">
        <v>44765</v>
      </c>
      <c r="Y2" s="31">
        <v>44766</v>
      </c>
      <c r="Z2" s="31">
        <v>44767</v>
      </c>
      <c r="AA2" s="31">
        <v>44768</v>
      </c>
      <c r="AB2" s="31">
        <v>44769</v>
      </c>
      <c r="AC2" s="31">
        <v>44770</v>
      </c>
      <c r="AD2" s="31">
        <v>44771</v>
      </c>
      <c r="AE2" s="31">
        <v>44772</v>
      </c>
      <c r="AF2" s="31">
        <v>44773</v>
      </c>
    </row>
    <row r="3" spans="1:32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spans="1:32" x14ac:dyDescent="0.35">
      <c r="A4" s="67" t="s">
        <v>1</v>
      </c>
      <c r="B4" s="12" t="s">
        <v>2</v>
      </c>
      <c r="C4" s="68" t="s">
        <v>4</v>
      </c>
      <c r="D4" s="68" t="s">
        <v>4</v>
      </c>
      <c r="E4" s="13" t="s">
        <v>5</v>
      </c>
      <c r="F4" s="13" t="s">
        <v>5</v>
      </c>
      <c r="G4" s="13" t="s">
        <v>5</v>
      </c>
      <c r="H4" s="13" t="s">
        <v>5</v>
      </c>
      <c r="I4" s="13" t="s">
        <v>5</v>
      </c>
      <c r="J4" s="68" t="s">
        <v>4</v>
      </c>
      <c r="K4" s="68" t="s">
        <v>4</v>
      </c>
      <c r="L4" s="13" t="s">
        <v>5</v>
      </c>
      <c r="M4" s="16" t="s">
        <v>8</v>
      </c>
      <c r="N4" s="16" t="s">
        <v>8</v>
      </c>
      <c r="O4" s="16" t="s">
        <v>8</v>
      </c>
      <c r="P4" s="16" t="s">
        <v>8</v>
      </c>
      <c r="Q4" s="29" t="s">
        <v>4</v>
      </c>
      <c r="R4" s="19" t="s">
        <v>42</v>
      </c>
      <c r="S4" s="10" t="s">
        <v>41</v>
      </c>
      <c r="T4" s="68" t="s">
        <v>2</v>
      </c>
      <c r="U4" s="68" t="s">
        <v>2</v>
      </c>
      <c r="V4" s="13" t="s">
        <v>5</v>
      </c>
      <c r="W4" s="13" t="s">
        <v>5</v>
      </c>
      <c r="X4" s="19" t="s">
        <v>42</v>
      </c>
      <c r="Y4" s="19" t="s">
        <v>42</v>
      </c>
      <c r="Z4" s="83" t="s">
        <v>41</v>
      </c>
      <c r="AA4" s="83" t="s">
        <v>41</v>
      </c>
      <c r="AB4" s="12" t="s">
        <v>2</v>
      </c>
      <c r="AC4" s="16" t="s">
        <v>8</v>
      </c>
      <c r="AD4" s="16" t="s">
        <v>8</v>
      </c>
      <c r="AE4" s="17" t="s">
        <v>11</v>
      </c>
      <c r="AF4" s="17" t="s">
        <v>11</v>
      </c>
    </row>
    <row r="5" spans="1:32" x14ac:dyDescent="0.35">
      <c r="A5" s="67" t="s">
        <v>9</v>
      </c>
      <c r="B5" s="13" t="s">
        <v>5</v>
      </c>
      <c r="C5" s="68" t="s">
        <v>4</v>
      </c>
      <c r="D5" s="17" t="s">
        <v>11</v>
      </c>
      <c r="E5" s="17" t="s">
        <v>10</v>
      </c>
      <c r="F5" s="17" t="s">
        <v>10</v>
      </c>
      <c r="G5" s="17" t="s">
        <v>10</v>
      </c>
      <c r="H5" s="17" t="s">
        <v>10</v>
      </c>
      <c r="I5" s="12" t="s">
        <v>2</v>
      </c>
      <c r="J5" s="25" t="s">
        <v>3</v>
      </c>
      <c r="K5" s="17" t="s">
        <v>11</v>
      </c>
      <c r="L5" s="17" t="s">
        <v>10</v>
      </c>
      <c r="M5" s="12" t="s">
        <v>2</v>
      </c>
      <c r="N5" s="83" t="s">
        <v>6</v>
      </c>
      <c r="O5" s="83" t="s">
        <v>6</v>
      </c>
      <c r="P5" s="83" t="s">
        <v>6</v>
      </c>
      <c r="Q5" s="68" t="s">
        <v>4</v>
      </c>
      <c r="R5" s="17" t="s">
        <v>11</v>
      </c>
      <c r="S5" s="17" t="s">
        <v>10</v>
      </c>
      <c r="T5" s="17" t="s">
        <v>10</v>
      </c>
      <c r="U5" s="17" t="s">
        <v>10</v>
      </c>
      <c r="V5" s="17" t="s">
        <v>10</v>
      </c>
      <c r="W5" s="17" t="s">
        <v>10</v>
      </c>
      <c r="X5" s="68" t="s">
        <v>4</v>
      </c>
      <c r="Y5" s="17" t="s">
        <v>11</v>
      </c>
      <c r="Z5" s="17" t="s">
        <v>10</v>
      </c>
      <c r="AA5" s="12" t="s">
        <v>2</v>
      </c>
      <c r="AB5" s="83" t="s">
        <v>6</v>
      </c>
      <c r="AC5" s="83" t="s">
        <v>6</v>
      </c>
      <c r="AD5" s="83" t="s">
        <v>6</v>
      </c>
      <c r="AE5" s="25" t="s">
        <v>3</v>
      </c>
      <c r="AF5" s="68" t="s">
        <v>4</v>
      </c>
    </row>
    <row r="6" spans="1:32" x14ac:dyDescent="0.35">
      <c r="A6" s="67" t="s">
        <v>12</v>
      </c>
      <c r="B6" s="17" t="s">
        <v>10</v>
      </c>
      <c r="C6" s="29" t="s">
        <v>4</v>
      </c>
      <c r="D6" s="10" t="s">
        <v>42</v>
      </c>
      <c r="E6" s="10" t="s">
        <v>41</v>
      </c>
      <c r="F6" s="10" t="s">
        <v>41</v>
      </c>
      <c r="G6" s="12" t="s">
        <v>2</v>
      </c>
      <c r="H6" s="10" t="s">
        <v>41</v>
      </c>
      <c r="I6" s="10" t="s">
        <v>41</v>
      </c>
      <c r="J6" s="19" t="s">
        <v>42</v>
      </c>
      <c r="K6" s="19" t="s">
        <v>42</v>
      </c>
      <c r="L6" s="12" t="s">
        <v>2</v>
      </c>
      <c r="M6" s="17" t="s">
        <v>10</v>
      </c>
      <c r="N6" s="17" t="s">
        <v>10</v>
      </c>
      <c r="O6" s="17" t="s">
        <v>10</v>
      </c>
      <c r="P6" s="17" t="s">
        <v>10</v>
      </c>
      <c r="Q6" s="17" t="s">
        <v>11</v>
      </c>
      <c r="R6" s="29" t="s">
        <v>4</v>
      </c>
      <c r="S6" s="12" t="s">
        <v>2</v>
      </c>
      <c r="T6" s="25" t="s">
        <v>6</v>
      </c>
      <c r="U6" s="10" t="s">
        <v>41</v>
      </c>
      <c r="V6" s="13" t="s">
        <v>5</v>
      </c>
      <c r="W6" s="13" t="s">
        <v>5</v>
      </c>
      <c r="X6" s="68" t="s">
        <v>4</v>
      </c>
      <c r="Y6" s="68" t="s">
        <v>4</v>
      </c>
      <c r="Z6" s="13" t="s">
        <v>5</v>
      </c>
      <c r="AA6" s="83" t="s">
        <v>41</v>
      </c>
      <c r="AB6" s="83" t="s">
        <v>41</v>
      </c>
      <c r="AC6" s="83" t="s">
        <v>41</v>
      </c>
      <c r="AD6" s="83" t="s">
        <v>41</v>
      </c>
      <c r="AE6" s="102" t="s">
        <v>30</v>
      </c>
      <c r="AF6" s="101" t="s">
        <v>3</v>
      </c>
    </row>
    <row r="7" spans="1:32" x14ac:dyDescent="0.35">
      <c r="A7" s="67" t="s">
        <v>14</v>
      </c>
      <c r="B7" s="84" t="s">
        <v>16</v>
      </c>
      <c r="C7" s="102" t="s">
        <v>30</v>
      </c>
      <c r="D7" s="29" t="s">
        <v>4</v>
      </c>
      <c r="E7" s="84" t="s">
        <v>16</v>
      </c>
      <c r="F7" s="84" t="s">
        <v>16</v>
      </c>
      <c r="G7" s="84" t="s">
        <v>16</v>
      </c>
      <c r="H7" s="84" t="s">
        <v>16</v>
      </c>
      <c r="I7" s="84" t="s">
        <v>16</v>
      </c>
      <c r="J7" s="68" t="s">
        <v>4</v>
      </c>
      <c r="K7" s="68" t="s">
        <v>4</v>
      </c>
      <c r="L7" s="13" t="s">
        <v>5</v>
      </c>
      <c r="M7" s="25" t="s">
        <v>6</v>
      </c>
      <c r="N7" s="10" t="s">
        <v>41</v>
      </c>
      <c r="O7" s="10" t="s">
        <v>41</v>
      </c>
      <c r="P7" s="10" t="s">
        <v>41</v>
      </c>
      <c r="Q7" s="25" t="s">
        <v>3</v>
      </c>
      <c r="R7" s="68" t="s">
        <v>4</v>
      </c>
      <c r="S7" s="13" t="s">
        <v>5</v>
      </c>
      <c r="T7" s="10" t="s">
        <v>41</v>
      </c>
      <c r="U7" s="10" t="s">
        <v>41</v>
      </c>
      <c r="V7" s="10" t="s">
        <v>41</v>
      </c>
      <c r="W7" s="10" t="s">
        <v>41</v>
      </c>
      <c r="X7" s="25" t="s">
        <v>3</v>
      </c>
      <c r="Y7" s="25" t="s">
        <v>3</v>
      </c>
      <c r="Z7" s="12" t="s">
        <v>2</v>
      </c>
      <c r="AA7" s="17" t="s">
        <v>10</v>
      </c>
      <c r="AB7" s="17" t="s">
        <v>10</v>
      </c>
      <c r="AC7" s="17" t="s">
        <v>10</v>
      </c>
      <c r="AD7" s="13" t="s">
        <v>5</v>
      </c>
      <c r="AE7" s="68" t="s">
        <v>4</v>
      </c>
      <c r="AF7" s="68" t="s">
        <v>4</v>
      </c>
    </row>
    <row r="8" spans="1:32" x14ac:dyDescent="0.35">
      <c r="A8" s="67" t="s">
        <v>15</v>
      </c>
      <c r="B8" s="25" t="s">
        <v>6</v>
      </c>
      <c r="C8" s="17" t="s">
        <v>11</v>
      </c>
      <c r="D8" s="29" t="s">
        <v>4</v>
      </c>
      <c r="E8" s="25" t="s">
        <v>6</v>
      </c>
      <c r="F8" s="25" t="s">
        <v>6</v>
      </c>
      <c r="G8" s="10" t="s">
        <v>41</v>
      </c>
      <c r="H8" s="10" t="s">
        <v>41</v>
      </c>
      <c r="I8" s="17" t="s">
        <v>10</v>
      </c>
      <c r="J8" s="17" t="s">
        <v>11</v>
      </c>
      <c r="K8" s="29" t="s">
        <v>4</v>
      </c>
      <c r="L8" s="83" t="s">
        <v>41</v>
      </c>
      <c r="M8" s="83" t="s">
        <v>41</v>
      </c>
      <c r="N8" s="83" t="s">
        <v>41</v>
      </c>
      <c r="O8" s="83" t="s">
        <v>41</v>
      </c>
      <c r="P8" s="83" t="s">
        <v>41</v>
      </c>
      <c r="Q8" s="29" t="s">
        <v>4</v>
      </c>
      <c r="R8" s="25" t="s">
        <v>3</v>
      </c>
      <c r="S8" s="25" t="s">
        <v>6</v>
      </c>
      <c r="T8" s="12" t="s">
        <v>2</v>
      </c>
      <c r="U8" s="25" t="s">
        <v>6</v>
      </c>
      <c r="V8" s="25" t="s">
        <v>6</v>
      </c>
      <c r="W8" s="25" t="s">
        <v>6</v>
      </c>
      <c r="X8" s="17" t="s">
        <v>11</v>
      </c>
      <c r="Y8" s="17" t="s">
        <v>11</v>
      </c>
      <c r="Z8" s="12" t="s">
        <v>2</v>
      </c>
      <c r="AA8" s="25" t="s">
        <v>6</v>
      </c>
      <c r="AB8" s="25" t="s">
        <v>6</v>
      </c>
      <c r="AC8" s="10" t="s">
        <v>41</v>
      </c>
      <c r="AD8" s="10" t="s">
        <v>41</v>
      </c>
      <c r="AE8" s="29" t="s">
        <v>4</v>
      </c>
      <c r="AF8" s="19" t="s">
        <v>42</v>
      </c>
    </row>
    <row r="9" spans="1:32" x14ac:dyDescent="0.35">
      <c r="A9" s="67" t="s">
        <v>18</v>
      </c>
      <c r="B9" s="10" t="s">
        <v>41</v>
      </c>
      <c r="C9" s="25" t="s">
        <v>3</v>
      </c>
      <c r="D9" s="25" t="s">
        <v>3</v>
      </c>
      <c r="E9" s="12" t="s">
        <v>2</v>
      </c>
      <c r="F9" s="25" t="s">
        <v>6</v>
      </c>
      <c r="G9" s="25" t="s">
        <v>6</v>
      </c>
      <c r="H9" s="25" t="s">
        <v>6</v>
      </c>
      <c r="I9" s="25" t="s">
        <v>6</v>
      </c>
      <c r="J9" s="29" t="s">
        <v>4</v>
      </c>
      <c r="K9" s="29" t="s">
        <v>4</v>
      </c>
      <c r="L9" s="84" t="s">
        <v>16</v>
      </c>
      <c r="M9" s="83" t="s">
        <v>41</v>
      </c>
      <c r="N9" s="83" t="s">
        <v>41</v>
      </c>
      <c r="O9" s="83" t="s">
        <v>41</v>
      </c>
      <c r="P9" s="83" t="s">
        <v>41</v>
      </c>
      <c r="Q9" s="101" t="s">
        <v>3</v>
      </c>
      <c r="R9" s="29" t="s">
        <v>4</v>
      </c>
      <c r="S9" s="12" t="s">
        <v>2</v>
      </c>
      <c r="T9" s="12" t="s">
        <v>2</v>
      </c>
      <c r="U9" s="17" t="s">
        <v>10</v>
      </c>
      <c r="V9" s="17" t="s">
        <v>10</v>
      </c>
      <c r="W9" s="17" t="s">
        <v>10</v>
      </c>
      <c r="X9" s="17" t="s">
        <v>11</v>
      </c>
      <c r="Y9" s="29" t="s">
        <v>4</v>
      </c>
      <c r="Z9" s="25" t="s">
        <v>6</v>
      </c>
      <c r="AA9" s="25" t="s">
        <v>6</v>
      </c>
      <c r="AB9" s="12" t="s">
        <v>2</v>
      </c>
      <c r="AC9" s="25" t="s">
        <v>6</v>
      </c>
      <c r="AD9" s="25" t="s">
        <v>6</v>
      </c>
      <c r="AE9" s="19" t="s">
        <v>42</v>
      </c>
      <c r="AF9" s="19" t="s">
        <v>42</v>
      </c>
    </row>
    <row r="10" spans="1:32" ht="14.15" customHeight="1" x14ac:dyDescent="0.35">
      <c r="A10" s="67" t="s">
        <v>21</v>
      </c>
      <c r="B10" s="12" t="s">
        <v>2</v>
      </c>
      <c r="C10" s="17" t="s">
        <v>11</v>
      </c>
      <c r="D10" s="17" t="s">
        <v>11</v>
      </c>
      <c r="E10" s="17" t="s">
        <v>10</v>
      </c>
      <c r="F10" s="17" t="s">
        <v>10</v>
      </c>
      <c r="G10" s="17" t="s">
        <v>10</v>
      </c>
      <c r="H10" s="12" t="s">
        <v>2</v>
      </c>
      <c r="I10" s="12" t="s">
        <v>2</v>
      </c>
      <c r="J10" s="25" t="s">
        <v>3</v>
      </c>
      <c r="K10" s="19" t="s">
        <v>42</v>
      </c>
      <c r="L10" s="25" t="s">
        <v>6</v>
      </c>
      <c r="M10" s="25" t="s">
        <v>6</v>
      </c>
      <c r="N10" s="12" t="s">
        <v>2</v>
      </c>
      <c r="O10" s="83" t="s">
        <v>41</v>
      </c>
      <c r="P10" s="83" t="s">
        <v>41</v>
      </c>
      <c r="Q10" s="102" t="s">
        <v>30</v>
      </c>
      <c r="R10" s="101" t="s">
        <v>3</v>
      </c>
      <c r="S10" s="83" t="s">
        <v>41</v>
      </c>
      <c r="T10" s="83" t="s">
        <v>6</v>
      </c>
      <c r="U10" s="12" t="s">
        <v>2</v>
      </c>
      <c r="V10" s="10" t="s">
        <v>41</v>
      </c>
      <c r="W10" s="10" t="s">
        <v>41</v>
      </c>
      <c r="X10" s="29" t="s">
        <v>4</v>
      </c>
      <c r="Y10" s="29" t="s">
        <v>4</v>
      </c>
      <c r="Z10" s="17" t="s">
        <v>10</v>
      </c>
      <c r="AA10" s="17" t="s">
        <v>10</v>
      </c>
      <c r="AB10" s="12" t="s">
        <v>2</v>
      </c>
      <c r="AC10" s="12" t="s">
        <v>2</v>
      </c>
      <c r="AD10" s="17" t="s">
        <v>10</v>
      </c>
      <c r="AE10" s="17" t="s">
        <v>11</v>
      </c>
      <c r="AF10" s="17" t="s">
        <v>11</v>
      </c>
    </row>
    <row r="11" spans="1:32" x14ac:dyDescent="0.35">
      <c r="A11" s="67" t="s">
        <v>43</v>
      </c>
      <c r="B11" s="25" t="s">
        <v>6</v>
      </c>
      <c r="C11" s="10" t="s">
        <v>42</v>
      </c>
      <c r="D11" s="29" t="s">
        <v>4</v>
      </c>
      <c r="E11" s="10" t="s">
        <v>41</v>
      </c>
      <c r="F11" s="10" t="s">
        <v>41</v>
      </c>
      <c r="G11" s="12" t="s">
        <v>2</v>
      </c>
      <c r="H11" s="17" t="s">
        <v>10</v>
      </c>
      <c r="I11" s="17" t="s">
        <v>10</v>
      </c>
      <c r="J11" s="17" t="s">
        <v>11</v>
      </c>
      <c r="K11" s="17" t="s">
        <v>11</v>
      </c>
      <c r="L11" s="17" t="s">
        <v>10</v>
      </c>
      <c r="M11" s="12" t="s">
        <v>2</v>
      </c>
      <c r="N11" s="25" t="s">
        <v>6</v>
      </c>
      <c r="O11" s="25" t="s">
        <v>6</v>
      </c>
      <c r="P11" s="25" t="s">
        <v>6</v>
      </c>
      <c r="Q11" s="19" t="s">
        <v>42</v>
      </c>
      <c r="R11" s="29" t="s">
        <v>4</v>
      </c>
      <c r="S11" s="83" t="s">
        <v>6</v>
      </c>
      <c r="T11" s="83" t="s">
        <v>6</v>
      </c>
      <c r="U11" s="83" t="s">
        <v>6</v>
      </c>
      <c r="V11" s="83" t="s">
        <v>6</v>
      </c>
      <c r="W11" s="83" t="s">
        <v>6</v>
      </c>
      <c r="X11" s="102" t="s">
        <v>30</v>
      </c>
      <c r="Y11" s="29" t="s">
        <v>4</v>
      </c>
      <c r="Z11" s="10" t="s">
        <v>41</v>
      </c>
      <c r="AA11" s="10" t="s">
        <v>41</v>
      </c>
      <c r="AB11" s="17" t="s">
        <v>10</v>
      </c>
      <c r="AC11" s="17" t="s">
        <v>10</v>
      </c>
      <c r="AD11" s="17" t="s">
        <v>10</v>
      </c>
      <c r="AE11" s="29" t="s">
        <v>4</v>
      </c>
      <c r="AF11" s="25" t="s">
        <v>3</v>
      </c>
    </row>
    <row r="12" spans="1:32" x14ac:dyDescent="0.35">
      <c r="A12" s="67" t="s">
        <v>86</v>
      </c>
      <c r="B12" s="83" t="s">
        <v>41</v>
      </c>
      <c r="C12" s="29" t="s">
        <v>4</v>
      </c>
      <c r="D12" s="25" t="s">
        <v>3</v>
      </c>
      <c r="E12" s="10" t="s">
        <v>41</v>
      </c>
      <c r="F12" s="12" t="s">
        <v>2</v>
      </c>
      <c r="G12" s="10" t="s">
        <v>41</v>
      </c>
      <c r="H12" s="83" t="s">
        <v>41</v>
      </c>
      <c r="I12" s="83" t="s">
        <v>41</v>
      </c>
      <c r="J12" s="19" t="s">
        <v>42</v>
      </c>
      <c r="K12" s="25" t="s">
        <v>3</v>
      </c>
      <c r="L12" s="13" t="s">
        <v>5</v>
      </c>
      <c r="M12" s="12" t="s">
        <v>2</v>
      </c>
      <c r="N12" s="12" t="s">
        <v>2</v>
      </c>
      <c r="O12" s="22" t="s">
        <v>16</v>
      </c>
      <c r="P12" s="84" t="s">
        <v>16</v>
      </c>
      <c r="Q12" s="17" t="s">
        <v>11</v>
      </c>
      <c r="R12" s="17" t="s">
        <v>11</v>
      </c>
      <c r="S12" s="17" t="s">
        <v>10</v>
      </c>
      <c r="T12" s="17" t="s">
        <v>10</v>
      </c>
      <c r="U12" s="12" t="s">
        <v>2</v>
      </c>
      <c r="V12" s="10" t="s">
        <v>41</v>
      </c>
      <c r="W12" s="83" t="s">
        <v>41</v>
      </c>
      <c r="X12" s="29" t="s">
        <v>4</v>
      </c>
      <c r="Y12" s="29" t="s">
        <v>4</v>
      </c>
      <c r="Z12" s="10" t="s">
        <v>41</v>
      </c>
      <c r="AA12" s="10" t="s">
        <v>41</v>
      </c>
      <c r="AB12" s="10" t="s">
        <v>41</v>
      </c>
      <c r="AC12" s="13" t="s">
        <v>5</v>
      </c>
      <c r="AD12" s="13" t="s">
        <v>5</v>
      </c>
      <c r="AE12" s="68" t="s">
        <v>4</v>
      </c>
      <c r="AF12" s="68" t="s">
        <v>4</v>
      </c>
    </row>
    <row r="13" spans="1:32" x14ac:dyDescent="0.35">
      <c r="A13" s="67" t="s">
        <v>22</v>
      </c>
      <c r="B13" s="25" t="s">
        <v>6</v>
      </c>
      <c r="C13" s="25" t="s">
        <v>3</v>
      </c>
      <c r="D13" s="29" t="s">
        <v>4</v>
      </c>
      <c r="E13" s="25" t="s">
        <v>6</v>
      </c>
      <c r="F13" s="13" t="s">
        <v>5</v>
      </c>
      <c r="G13" s="13" t="s">
        <v>5</v>
      </c>
      <c r="H13" s="10" t="s">
        <v>41</v>
      </c>
      <c r="I13" s="10" t="s">
        <v>41</v>
      </c>
      <c r="J13" s="29" t="s">
        <v>4</v>
      </c>
      <c r="K13" s="25" t="s">
        <v>3</v>
      </c>
      <c r="L13" s="25" t="s">
        <v>6</v>
      </c>
      <c r="M13" s="25" t="s">
        <v>6</v>
      </c>
      <c r="N13" s="25" t="s">
        <v>6</v>
      </c>
      <c r="O13" s="12" t="s">
        <v>2</v>
      </c>
      <c r="P13" s="12" t="s">
        <v>2</v>
      </c>
      <c r="Q13" s="19" t="s">
        <v>42</v>
      </c>
      <c r="R13" s="29" t="s">
        <v>4</v>
      </c>
      <c r="S13" s="10" t="s">
        <v>41</v>
      </c>
      <c r="T13" s="10" t="s">
        <v>41</v>
      </c>
      <c r="U13" s="25" t="s">
        <v>6</v>
      </c>
      <c r="V13" s="25" t="s">
        <v>6</v>
      </c>
      <c r="W13" s="25" t="s">
        <v>6</v>
      </c>
      <c r="X13" s="29" t="s">
        <v>4</v>
      </c>
      <c r="Y13" s="29" t="s">
        <v>4</v>
      </c>
      <c r="Z13" s="84" t="s">
        <v>16</v>
      </c>
      <c r="AA13" s="84" t="s">
        <v>16</v>
      </c>
      <c r="AB13" s="84" t="s">
        <v>16</v>
      </c>
      <c r="AC13" s="84" t="s">
        <v>16</v>
      </c>
      <c r="AD13" s="84" t="s">
        <v>16</v>
      </c>
      <c r="AE13" s="101" t="s">
        <v>3</v>
      </c>
      <c r="AF13" s="29" t="s">
        <v>4</v>
      </c>
    </row>
    <row r="14" spans="1:32" ht="15" thickBot="1" x14ac:dyDescent="0.4">
      <c r="A14" s="67" t="s">
        <v>71</v>
      </c>
      <c r="B14" s="10" t="s">
        <v>41</v>
      </c>
      <c r="C14" s="19" t="s">
        <v>42</v>
      </c>
      <c r="D14" s="19" t="s">
        <v>42</v>
      </c>
      <c r="E14" s="12" t="s">
        <v>2</v>
      </c>
      <c r="F14" s="10" t="s">
        <v>41</v>
      </c>
      <c r="G14" s="25" t="s">
        <v>6</v>
      </c>
      <c r="H14" s="25" t="s">
        <v>6</v>
      </c>
      <c r="I14" s="25" t="s">
        <v>6</v>
      </c>
      <c r="J14" s="29" t="s">
        <v>4</v>
      </c>
      <c r="K14" s="66" t="s">
        <v>30</v>
      </c>
      <c r="L14" s="10" t="s">
        <v>41</v>
      </c>
      <c r="M14" s="84" t="s">
        <v>16</v>
      </c>
      <c r="N14" s="10" t="s">
        <v>41</v>
      </c>
      <c r="O14" s="84" t="s">
        <v>16</v>
      </c>
      <c r="P14" s="25" t="s">
        <v>6</v>
      </c>
      <c r="Q14" s="29" t="s">
        <v>4</v>
      </c>
      <c r="R14" s="29" t="s">
        <v>4</v>
      </c>
      <c r="S14" s="25" t="s">
        <v>6</v>
      </c>
      <c r="T14" s="84" t="s">
        <v>16</v>
      </c>
      <c r="U14" s="25" t="s">
        <v>6</v>
      </c>
      <c r="V14" s="25" t="s">
        <v>6</v>
      </c>
      <c r="W14" s="12" t="s">
        <v>2</v>
      </c>
      <c r="X14" s="19" t="s">
        <v>42</v>
      </c>
      <c r="Y14" s="19" t="s">
        <v>42</v>
      </c>
      <c r="Z14" s="13" t="s">
        <v>5</v>
      </c>
      <c r="AA14" s="84" t="s">
        <v>16</v>
      </c>
      <c r="AB14" s="13" t="s">
        <v>5</v>
      </c>
      <c r="AC14" s="84" t="s">
        <v>16</v>
      </c>
      <c r="AD14" s="13" t="s">
        <v>5</v>
      </c>
      <c r="AE14" s="29" t="s">
        <v>4</v>
      </c>
      <c r="AF14" s="29" t="s">
        <v>4</v>
      </c>
    </row>
    <row r="15" spans="1:32" ht="15" thickBot="1" x14ac:dyDescent="0.4">
      <c r="A15" s="67" t="s">
        <v>87</v>
      </c>
      <c r="B15" s="13" t="s">
        <v>5</v>
      </c>
      <c r="C15" s="29" t="s">
        <v>4</v>
      </c>
      <c r="D15" s="29" t="s">
        <v>4</v>
      </c>
      <c r="E15" s="84" t="s">
        <v>16</v>
      </c>
      <c r="F15" s="84" t="s">
        <v>16</v>
      </c>
      <c r="G15" s="84" t="s">
        <v>16</v>
      </c>
      <c r="H15" s="84" t="s">
        <v>16</v>
      </c>
      <c r="I15" s="84" t="s">
        <v>16</v>
      </c>
      <c r="J15" s="66" t="s">
        <v>30</v>
      </c>
      <c r="K15" s="29" t="s">
        <v>4</v>
      </c>
      <c r="L15" s="84" t="s">
        <v>16</v>
      </c>
      <c r="M15" s="12" t="s">
        <v>2</v>
      </c>
      <c r="N15" s="25" t="s">
        <v>6</v>
      </c>
      <c r="O15" s="25" t="s">
        <v>6</v>
      </c>
      <c r="P15" s="13" t="s">
        <v>5</v>
      </c>
      <c r="Q15" s="29" t="s">
        <v>4</v>
      </c>
      <c r="R15" s="29" t="s">
        <v>4</v>
      </c>
      <c r="S15" s="25" t="s">
        <v>6</v>
      </c>
      <c r="T15" s="25" t="s">
        <v>6</v>
      </c>
      <c r="U15" s="12" t="s">
        <v>2</v>
      </c>
      <c r="V15" s="22" t="s">
        <v>16</v>
      </c>
      <c r="W15" s="25" t="s">
        <v>6</v>
      </c>
      <c r="X15" s="25" t="s">
        <v>3</v>
      </c>
      <c r="Y15" s="25" t="s">
        <v>3</v>
      </c>
      <c r="Z15" s="25" t="s">
        <v>6</v>
      </c>
      <c r="AA15" s="12" t="s">
        <v>2</v>
      </c>
      <c r="AB15" s="25" t="s">
        <v>6</v>
      </c>
      <c r="AC15" s="25" t="s">
        <v>6</v>
      </c>
      <c r="AD15" s="25" t="s">
        <v>6</v>
      </c>
      <c r="AE15" s="29" t="s">
        <v>4</v>
      </c>
      <c r="AF15" s="29" t="s">
        <v>4</v>
      </c>
    </row>
    <row r="16" spans="1:32" x14ac:dyDescent="0.35">
      <c r="A16" s="67" t="s">
        <v>85</v>
      </c>
      <c r="B16" s="84" t="s">
        <v>16</v>
      </c>
      <c r="C16" s="29" t="s">
        <v>4</v>
      </c>
      <c r="D16" s="29" t="s">
        <v>4</v>
      </c>
      <c r="E16" s="84" t="s">
        <v>16</v>
      </c>
      <c r="F16" s="84" t="s">
        <v>16</v>
      </c>
      <c r="G16" s="84" t="s">
        <v>16</v>
      </c>
      <c r="H16" s="84" t="s">
        <v>16</v>
      </c>
      <c r="I16" s="84" t="s">
        <v>16</v>
      </c>
      <c r="J16" s="29" t="s">
        <v>4</v>
      </c>
      <c r="K16" s="29" t="s">
        <v>4</v>
      </c>
      <c r="L16" s="25" t="s">
        <v>6</v>
      </c>
      <c r="M16" s="10" t="s">
        <v>41</v>
      </c>
      <c r="N16" s="12" t="s">
        <v>2</v>
      </c>
      <c r="O16" s="25" t="s">
        <v>6</v>
      </c>
      <c r="P16" s="25" t="s">
        <v>6</v>
      </c>
      <c r="Q16" s="29" t="s">
        <v>4</v>
      </c>
      <c r="R16" s="19" t="s">
        <v>42</v>
      </c>
      <c r="S16" s="12" t="s">
        <v>2</v>
      </c>
      <c r="T16" s="10" t="s">
        <v>41</v>
      </c>
      <c r="U16" s="10" t="s">
        <v>41</v>
      </c>
      <c r="V16" s="10" t="s">
        <v>41</v>
      </c>
      <c r="W16" s="10" t="s">
        <v>41</v>
      </c>
      <c r="X16" s="29" t="s">
        <v>4</v>
      </c>
      <c r="Y16" s="29" t="s">
        <v>4</v>
      </c>
      <c r="Z16" s="25" t="s">
        <v>6</v>
      </c>
      <c r="AA16" s="12" t="s">
        <v>2</v>
      </c>
      <c r="AB16" s="10" t="s">
        <v>41</v>
      </c>
      <c r="AC16" s="10" t="s">
        <v>41</v>
      </c>
      <c r="AD16" s="10" t="s">
        <v>41</v>
      </c>
      <c r="AE16" s="29" t="s">
        <v>4</v>
      </c>
      <c r="AF16" s="29" t="s">
        <v>4</v>
      </c>
    </row>
    <row r="17" spans="1:32" x14ac:dyDescent="0.35">
      <c r="A17" s="67" t="s">
        <v>88</v>
      </c>
      <c r="B17" s="17" t="s">
        <v>10</v>
      </c>
      <c r="C17" s="29" t="s">
        <v>4</v>
      </c>
      <c r="D17" s="29" t="s">
        <v>4</v>
      </c>
      <c r="E17" s="25" t="s">
        <v>6</v>
      </c>
      <c r="F17" s="25" t="s">
        <v>6</v>
      </c>
      <c r="G17" s="25" t="s">
        <v>6</v>
      </c>
      <c r="H17" s="25" t="s">
        <v>6</v>
      </c>
      <c r="I17" s="25" t="s">
        <v>6</v>
      </c>
      <c r="J17" s="29" t="s">
        <v>4</v>
      </c>
      <c r="K17" s="29" t="s">
        <v>4</v>
      </c>
      <c r="L17" s="10" t="s">
        <v>41</v>
      </c>
      <c r="M17" s="17" t="s">
        <v>10</v>
      </c>
      <c r="N17" s="17" t="s">
        <v>10</v>
      </c>
      <c r="O17" s="17" t="s">
        <v>10</v>
      </c>
      <c r="P17" s="17" t="s">
        <v>10</v>
      </c>
      <c r="Q17" s="29" t="s">
        <v>4</v>
      </c>
      <c r="R17" s="29" t="s">
        <v>4</v>
      </c>
      <c r="S17" s="10" t="s">
        <v>41</v>
      </c>
      <c r="T17" s="10" t="s">
        <v>41</v>
      </c>
      <c r="U17" s="10" t="s">
        <v>41</v>
      </c>
      <c r="V17" s="10" t="s">
        <v>41</v>
      </c>
      <c r="W17" s="10" t="s">
        <v>41</v>
      </c>
      <c r="X17" s="29" t="s">
        <v>4</v>
      </c>
      <c r="Y17" s="29" t="s">
        <v>4</v>
      </c>
      <c r="Z17" s="84" t="s">
        <v>16</v>
      </c>
      <c r="AA17" s="84" t="s">
        <v>16</v>
      </c>
      <c r="AB17" s="84" t="s">
        <v>16</v>
      </c>
      <c r="AC17" s="84" t="s">
        <v>16</v>
      </c>
      <c r="AD17" s="84" t="s">
        <v>16</v>
      </c>
      <c r="AE17" s="83" t="s">
        <v>42</v>
      </c>
      <c r="AF17" s="29" t="s">
        <v>4</v>
      </c>
    </row>
    <row r="18" spans="1:32" x14ac:dyDescent="0.35">
      <c r="A18" s="67" t="s">
        <v>89</v>
      </c>
      <c r="B18" s="22" t="s">
        <v>16</v>
      </c>
      <c r="C18" s="29" t="s">
        <v>4</v>
      </c>
      <c r="D18" s="29" t="s">
        <v>4</v>
      </c>
      <c r="E18" s="22" t="s">
        <v>16</v>
      </c>
      <c r="F18" s="22" t="s">
        <v>16</v>
      </c>
      <c r="G18" s="22" t="s">
        <v>16</v>
      </c>
      <c r="H18" s="22" t="s">
        <v>16</v>
      </c>
      <c r="I18" s="22" t="s">
        <v>16</v>
      </c>
      <c r="J18" s="29" t="s">
        <v>4</v>
      </c>
      <c r="K18" s="29" t="s">
        <v>4</v>
      </c>
      <c r="L18" s="22" t="s">
        <v>16</v>
      </c>
      <c r="M18" s="22" t="s">
        <v>16</v>
      </c>
      <c r="N18" s="22" t="s">
        <v>16</v>
      </c>
      <c r="O18" s="22" t="s">
        <v>16</v>
      </c>
      <c r="P18" s="22" t="s">
        <v>16</v>
      </c>
      <c r="Q18" s="29" t="s">
        <v>4</v>
      </c>
      <c r="R18" s="29" t="s">
        <v>4</v>
      </c>
      <c r="S18" s="22" t="s">
        <v>16</v>
      </c>
      <c r="T18" s="22" t="s">
        <v>16</v>
      </c>
      <c r="U18" s="22" t="s">
        <v>16</v>
      </c>
      <c r="V18" s="22" t="s">
        <v>16</v>
      </c>
      <c r="W18" s="22" t="s">
        <v>16</v>
      </c>
      <c r="X18" s="29" t="s">
        <v>4</v>
      </c>
      <c r="Y18" s="29" t="s">
        <v>4</v>
      </c>
      <c r="Z18" s="22" t="s">
        <v>16</v>
      </c>
      <c r="AA18" s="22" t="s">
        <v>16</v>
      </c>
      <c r="AB18" s="22" t="s">
        <v>16</v>
      </c>
      <c r="AC18" s="22" t="s">
        <v>16</v>
      </c>
      <c r="AD18" s="22" t="s">
        <v>16</v>
      </c>
      <c r="AE18" s="29" t="s">
        <v>4</v>
      </c>
      <c r="AF18" s="29" t="s">
        <v>4</v>
      </c>
    </row>
    <row r="20" spans="1:32" x14ac:dyDescent="0.35">
      <c r="A20" s="24" t="s">
        <v>23</v>
      </c>
    </row>
    <row r="21" spans="1:32" x14ac:dyDescent="0.35">
      <c r="A21" s="1" t="s">
        <v>24</v>
      </c>
    </row>
    <row r="22" spans="1:32" x14ac:dyDescent="0.35">
      <c r="A22" s="1" t="s">
        <v>25</v>
      </c>
    </row>
    <row r="23" spans="1:32" x14ac:dyDescent="0.35">
      <c r="A23" s="1" t="s">
        <v>47</v>
      </c>
    </row>
    <row r="24" spans="1:32" x14ac:dyDescent="0.35">
      <c r="A24" s="1" t="s">
        <v>48</v>
      </c>
    </row>
    <row r="25" spans="1:32" x14ac:dyDescent="0.35">
      <c r="A25" s="26" t="s">
        <v>26</v>
      </c>
    </row>
    <row r="26" spans="1:32" x14ac:dyDescent="0.35">
      <c r="A26" s="26" t="s">
        <v>27</v>
      </c>
    </row>
    <row r="27" spans="1:32" x14ac:dyDescent="0.35">
      <c r="A27" s="26" t="s">
        <v>28</v>
      </c>
    </row>
    <row r="28" spans="1:32" x14ac:dyDescent="0.35">
      <c r="A28" s="26" t="s">
        <v>29</v>
      </c>
    </row>
    <row r="29" spans="1:32" x14ac:dyDescent="0.35">
      <c r="A29" s="26" t="s">
        <v>49</v>
      </c>
    </row>
    <row r="30" spans="1:32" x14ac:dyDescent="0.35">
      <c r="A30" s="26" t="s">
        <v>50</v>
      </c>
    </row>
    <row r="31" spans="1:32" x14ac:dyDescent="0.35">
      <c r="A31" s="26" t="s">
        <v>31</v>
      </c>
    </row>
    <row r="32" spans="1:32" x14ac:dyDescent="0.35">
      <c r="A32" s="26" t="s">
        <v>32</v>
      </c>
    </row>
    <row r="33" spans="1:1" x14ac:dyDescent="0.35">
      <c r="A33" s="26" t="s">
        <v>33</v>
      </c>
    </row>
    <row r="34" spans="1:1" x14ac:dyDescent="0.35">
      <c r="A34" s="26" t="s">
        <v>35</v>
      </c>
    </row>
    <row r="35" spans="1:1" x14ac:dyDescent="0.35">
      <c r="A35" s="26" t="s">
        <v>36</v>
      </c>
    </row>
    <row r="36" spans="1:1" x14ac:dyDescent="0.35">
      <c r="A36" s="26" t="s">
        <v>38</v>
      </c>
    </row>
    <row r="37" spans="1:1" x14ac:dyDescent="0.35">
      <c r="A37" s="26" t="s">
        <v>36</v>
      </c>
    </row>
    <row r="38" spans="1:1" x14ac:dyDescent="0.35">
      <c r="A38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5"/>
  <sheetViews>
    <sheetView zoomScale="80" zoomScaleNormal="80" workbookViewId="0">
      <pane xSplit="1" topLeftCell="N1" activePane="topRight" state="frozen"/>
      <selection pane="topRight" activeCell="AH4" sqref="AH4"/>
    </sheetView>
  </sheetViews>
  <sheetFormatPr defaultColWidth="9.1796875" defaultRowHeight="14.5" x14ac:dyDescent="0.35"/>
  <cols>
    <col min="1" max="1" width="26.1796875" style="45" bestFit="1" customWidth="1"/>
    <col min="2" max="3" width="7.26953125" style="45" customWidth="1"/>
    <col min="4" max="5" width="9.26953125" style="45" customWidth="1"/>
    <col min="6" max="7" width="7.26953125" style="45" customWidth="1"/>
    <col min="8" max="8" width="7.54296875" style="45" customWidth="1"/>
    <col min="9" max="9" width="7.26953125" style="45" customWidth="1"/>
    <col min="10" max="10" width="7.54296875" style="45" customWidth="1"/>
    <col min="11" max="12" width="9.26953125" style="45" customWidth="1"/>
    <col min="13" max="13" width="7.54296875" style="45" customWidth="1"/>
    <col min="14" max="14" width="9.26953125" style="45" customWidth="1"/>
    <col min="15" max="17" width="7.54296875" style="45" customWidth="1"/>
    <col min="18" max="18" width="9.26953125" style="45" customWidth="1"/>
    <col min="19" max="21" width="6.7265625" style="45" customWidth="1"/>
    <col min="22" max="32" width="9.1796875" style="45" customWidth="1"/>
    <col min="33" max="16384" width="9.1796875" style="45"/>
  </cols>
  <sheetData>
    <row r="1" spans="1:32" ht="15" customHeight="1" x14ac:dyDescent="0.35">
      <c r="A1" s="30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7" t="s">
        <v>0</v>
      </c>
      <c r="B2" s="31">
        <v>44743</v>
      </c>
      <c r="C2" s="31">
        <v>44744</v>
      </c>
      <c r="D2" s="31">
        <v>44745</v>
      </c>
      <c r="E2" s="31">
        <v>44746</v>
      </c>
      <c r="F2" s="31">
        <v>44747</v>
      </c>
      <c r="G2" s="31">
        <v>44748</v>
      </c>
      <c r="H2" s="31">
        <v>44749</v>
      </c>
      <c r="I2" s="31">
        <v>44750</v>
      </c>
      <c r="J2" s="31">
        <v>44751</v>
      </c>
      <c r="K2" s="31">
        <v>44752</v>
      </c>
      <c r="L2" s="31">
        <v>44753</v>
      </c>
      <c r="M2" s="31">
        <v>44754</v>
      </c>
      <c r="N2" s="31">
        <v>44755</v>
      </c>
      <c r="O2" s="31">
        <v>44756</v>
      </c>
      <c r="P2" s="31">
        <v>44757</v>
      </c>
      <c r="Q2" s="31">
        <v>44758</v>
      </c>
      <c r="R2" s="31">
        <v>44759</v>
      </c>
      <c r="S2" s="31">
        <v>44760</v>
      </c>
      <c r="T2" s="31">
        <v>44761</v>
      </c>
      <c r="U2" s="31">
        <v>44762</v>
      </c>
      <c r="V2" s="31">
        <v>44763</v>
      </c>
      <c r="W2" s="31">
        <v>44764</v>
      </c>
      <c r="X2" s="31">
        <v>44765</v>
      </c>
      <c r="Y2" s="31">
        <v>44766</v>
      </c>
      <c r="Z2" s="31">
        <v>44767</v>
      </c>
      <c r="AA2" s="31">
        <v>44768</v>
      </c>
      <c r="AB2" s="31">
        <v>44769</v>
      </c>
      <c r="AC2" s="31">
        <v>44770</v>
      </c>
      <c r="AD2" s="31">
        <v>44771</v>
      </c>
      <c r="AE2" s="31">
        <v>44772</v>
      </c>
      <c r="AF2" s="31">
        <v>44773</v>
      </c>
    </row>
    <row r="3" spans="1:32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spans="1:32" x14ac:dyDescent="0.35">
      <c r="A4" s="67" t="s">
        <v>1</v>
      </c>
      <c r="B4" s="12" t="s">
        <v>2</v>
      </c>
      <c r="C4" s="68" t="s">
        <v>4</v>
      </c>
      <c r="D4" s="68" t="s">
        <v>4</v>
      </c>
      <c r="E4" s="13" t="s">
        <v>5</v>
      </c>
      <c r="F4" s="13" t="s">
        <v>5</v>
      </c>
      <c r="G4" s="13" t="s">
        <v>5</v>
      </c>
      <c r="H4" s="13" t="s">
        <v>5</v>
      </c>
      <c r="I4" s="13" t="s">
        <v>5</v>
      </c>
      <c r="J4" s="68" t="s">
        <v>4</v>
      </c>
      <c r="K4" s="68" t="s">
        <v>4</v>
      </c>
      <c r="L4" s="13" t="s">
        <v>5</v>
      </c>
      <c r="M4" s="16" t="s">
        <v>8</v>
      </c>
      <c r="N4" s="16" t="s">
        <v>8</v>
      </c>
      <c r="O4" s="16" t="s">
        <v>8</v>
      </c>
      <c r="P4" s="16" t="s">
        <v>8</v>
      </c>
      <c r="Q4" s="29" t="s">
        <v>4</v>
      </c>
      <c r="R4" s="19" t="s">
        <v>42</v>
      </c>
      <c r="S4" s="25" t="s">
        <v>6</v>
      </c>
      <c r="T4" s="68" t="s">
        <v>2</v>
      </c>
      <c r="U4" s="68" t="s">
        <v>2</v>
      </c>
      <c r="V4" s="13" t="s">
        <v>5</v>
      </c>
      <c r="W4" s="10" t="s">
        <v>41</v>
      </c>
      <c r="X4" s="10" t="s">
        <v>42</v>
      </c>
      <c r="Y4" s="10" t="s">
        <v>42</v>
      </c>
      <c r="Z4" s="10" t="s">
        <v>41</v>
      </c>
      <c r="AA4" s="10" t="s">
        <v>41</v>
      </c>
      <c r="AB4" s="10" t="s">
        <v>41</v>
      </c>
      <c r="AC4" s="12" t="s">
        <v>2</v>
      </c>
      <c r="AD4" s="12" t="s">
        <v>2</v>
      </c>
      <c r="AE4" s="17" t="s">
        <v>11</v>
      </c>
      <c r="AF4" s="17" t="s">
        <v>11</v>
      </c>
    </row>
    <row r="5" spans="1:32" x14ac:dyDescent="0.35">
      <c r="A5" s="67" t="s">
        <v>9</v>
      </c>
      <c r="B5" s="13" t="s">
        <v>5</v>
      </c>
      <c r="C5" s="68" t="s">
        <v>4</v>
      </c>
      <c r="D5" s="17" t="s">
        <v>11</v>
      </c>
      <c r="E5" s="17" t="s">
        <v>10</v>
      </c>
      <c r="F5" s="17" t="s">
        <v>10</v>
      </c>
      <c r="G5" s="17" t="s">
        <v>10</v>
      </c>
      <c r="H5" s="17" t="s">
        <v>10</v>
      </c>
      <c r="I5" s="12" t="s">
        <v>2</v>
      </c>
      <c r="J5" s="25" t="s">
        <v>3</v>
      </c>
      <c r="K5" s="17" t="s">
        <v>11</v>
      </c>
      <c r="L5" s="17" t="s">
        <v>10</v>
      </c>
      <c r="M5" s="12" t="s">
        <v>2</v>
      </c>
      <c r="N5" s="83" t="s">
        <v>6</v>
      </c>
      <c r="O5" s="83" t="s">
        <v>6</v>
      </c>
      <c r="P5" s="83" t="s">
        <v>6</v>
      </c>
      <c r="Q5" s="68" t="s">
        <v>4</v>
      </c>
      <c r="R5" s="17" t="s">
        <v>11</v>
      </c>
      <c r="S5" s="17" t="s">
        <v>10</v>
      </c>
      <c r="T5" s="17" t="s">
        <v>10</v>
      </c>
      <c r="U5" s="17" t="s">
        <v>10</v>
      </c>
      <c r="V5" s="12" t="s">
        <v>2</v>
      </c>
      <c r="W5" s="83" t="s">
        <v>6</v>
      </c>
      <c r="X5" s="68" t="s">
        <v>4</v>
      </c>
      <c r="Y5" s="17" t="s">
        <v>11</v>
      </c>
      <c r="Z5" s="17" t="s">
        <v>10</v>
      </c>
      <c r="AA5" s="17" t="s">
        <v>10</v>
      </c>
      <c r="AB5" s="17" t="s">
        <v>10</v>
      </c>
      <c r="AC5" s="17" t="s">
        <v>10</v>
      </c>
      <c r="AD5" s="12" t="s">
        <v>2</v>
      </c>
      <c r="AE5" s="10" t="s">
        <v>42</v>
      </c>
      <c r="AF5" s="29" t="s">
        <v>4</v>
      </c>
    </row>
    <row r="6" spans="1:32" x14ac:dyDescent="0.35">
      <c r="A6" s="67" t="s">
        <v>12</v>
      </c>
      <c r="B6" s="17" t="s">
        <v>10</v>
      </c>
      <c r="C6" s="29" t="s">
        <v>4</v>
      </c>
      <c r="D6" s="10" t="s">
        <v>42</v>
      </c>
      <c r="E6" s="10" t="s">
        <v>41</v>
      </c>
      <c r="F6" s="10" t="s">
        <v>41</v>
      </c>
      <c r="G6" s="12" t="s">
        <v>2</v>
      </c>
      <c r="H6" s="10" t="s">
        <v>41</v>
      </c>
      <c r="I6" s="10" t="s">
        <v>41</v>
      </c>
      <c r="J6" s="19" t="s">
        <v>42</v>
      </c>
      <c r="K6" s="19" t="s">
        <v>42</v>
      </c>
      <c r="L6" s="12" t="s">
        <v>2</v>
      </c>
      <c r="M6" s="17" t="s">
        <v>10</v>
      </c>
      <c r="N6" s="17" t="s">
        <v>10</v>
      </c>
      <c r="O6" s="17" t="s">
        <v>10</v>
      </c>
      <c r="P6" s="17" t="s">
        <v>10</v>
      </c>
      <c r="Q6" s="17" t="s">
        <v>11</v>
      </c>
      <c r="R6" s="29" t="s">
        <v>4</v>
      </c>
      <c r="S6" s="10" t="s">
        <v>41</v>
      </c>
      <c r="T6" s="10" t="s">
        <v>41</v>
      </c>
      <c r="U6" s="10" t="s">
        <v>41</v>
      </c>
      <c r="V6" s="13" t="s">
        <v>5</v>
      </c>
      <c r="W6" s="13" t="s">
        <v>5</v>
      </c>
      <c r="X6" s="68" t="s">
        <v>4</v>
      </c>
      <c r="Y6" s="68" t="s">
        <v>4</v>
      </c>
      <c r="Z6" s="13" t="s">
        <v>5</v>
      </c>
      <c r="AA6" s="83" t="s">
        <v>41</v>
      </c>
      <c r="AB6" s="83" t="s">
        <v>41</v>
      </c>
      <c r="AC6" s="83" t="s">
        <v>41</v>
      </c>
      <c r="AD6" s="83" t="s">
        <v>41</v>
      </c>
      <c r="AE6" s="25" t="s">
        <v>3</v>
      </c>
      <c r="AF6" s="25" t="s">
        <v>3</v>
      </c>
    </row>
    <row r="7" spans="1:32" x14ac:dyDescent="0.35">
      <c r="A7" s="67" t="s">
        <v>14</v>
      </c>
      <c r="B7" s="84" t="s">
        <v>16</v>
      </c>
      <c r="C7" s="102" t="s">
        <v>30</v>
      </c>
      <c r="D7" s="29" t="s">
        <v>4</v>
      </c>
      <c r="E7" s="84" t="s">
        <v>16</v>
      </c>
      <c r="F7" s="84" t="s">
        <v>16</v>
      </c>
      <c r="G7" s="84" t="s">
        <v>16</v>
      </c>
      <c r="H7" s="84" t="s">
        <v>16</v>
      </c>
      <c r="I7" s="84" t="s">
        <v>16</v>
      </c>
      <c r="J7" s="68" t="s">
        <v>4</v>
      </c>
      <c r="K7" s="68" t="s">
        <v>4</v>
      </c>
      <c r="L7" s="13" t="s">
        <v>5</v>
      </c>
      <c r="M7" s="25" t="s">
        <v>6</v>
      </c>
      <c r="N7" s="10" t="s">
        <v>41</v>
      </c>
      <c r="O7" s="10" t="s">
        <v>41</v>
      </c>
      <c r="P7" s="10" t="s">
        <v>41</v>
      </c>
      <c r="Q7" s="25" t="s">
        <v>3</v>
      </c>
      <c r="R7" s="68" t="s">
        <v>4</v>
      </c>
      <c r="S7" s="13" t="s">
        <v>5</v>
      </c>
      <c r="T7" s="12" t="s">
        <v>2</v>
      </c>
      <c r="U7" s="10" t="s">
        <v>41</v>
      </c>
      <c r="V7" s="10" t="s">
        <v>41</v>
      </c>
      <c r="W7" s="10" t="s">
        <v>41</v>
      </c>
      <c r="X7" s="25" t="s">
        <v>3</v>
      </c>
      <c r="Y7" s="25" t="s">
        <v>3</v>
      </c>
      <c r="Z7" s="25" t="s">
        <v>6</v>
      </c>
      <c r="AA7" s="12" t="s">
        <v>2</v>
      </c>
      <c r="AB7" s="25" t="s">
        <v>6</v>
      </c>
      <c r="AC7" s="25" t="s">
        <v>6</v>
      </c>
      <c r="AD7" s="13" t="s">
        <v>5</v>
      </c>
      <c r="AE7" s="68" t="s">
        <v>4</v>
      </c>
      <c r="AF7" s="68" t="s">
        <v>4</v>
      </c>
    </row>
    <row r="8" spans="1:32" x14ac:dyDescent="0.35">
      <c r="A8" s="67" t="s">
        <v>15</v>
      </c>
      <c r="B8" s="25" t="s">
        <v>6</v>
      </c>
      <c r="C8" s="17" t="s">
        <v>11</v>
      </c>
      <c r="D8" s="29" t="s">
        <v>4</v>
      </c>
      <c r="E8" s="25" t="s">
        <v>6</v>
      </c>
      <c r="F8" s="25" t="s">
        <v>6</v>
      </c>
      <c r="G8" s="10" t="s">
        <v>41</v>
      </c>
      <c r="H8" s="10" t="s">
        <v>41</v>
      </c>
      <c r="I8" s="17" t="s">
        <v>10</v>
      </c>
      <c r="J8" s="17" t="s">
        <v>11</v>
      </c>
      <c r="K8" s="29" t="s">
        <v>4</v>
      </c>
      <c r="L8" s="83" t="s">
        <v>41</v>
      </c>
      <c r="M8" s="83" t="s">
        <v>41</v>
      </c>
      <c r="N8" s="83" t="s">
        <v>41</v>
      </c>
      <c r="O8" s="83" t="s">
        <v>41</v>
      </c>
      <c r="P8" s="83" t="s">
        <v>41</v>
      </c>
      <c r="Q8" s="29" t="s">
        <v>4</v>
      </c>
      <c r="R8" s="25" t="s">
        <v>3</v>
      </c>
      <c r="S8" s="17" t="s">
        <v>10</v>
      </c>
      <c r="T8" s="12" t="s">
        <v>2</v>
      </c>
      <c r="U8" s="17" t="s">
        <v>10</v>
      </c>
      <c r="V8" s="17" t="s">
        <v>10</v>
      </c>
      <c r="W8" s="17" t="s">
        <v>10</v>
      </c>
      <c r="X8" s="17" t="s">
        <v>11</v>
      </c>
      <c r="Y8" s="29" t="s">
        <v>4</v>
      </c>
      <c r="Z8" s="12" t="s">
        <v>2</v>
      </c>
      <c r="AA8" s="17" t="s">
        <v>10</v>
      </c>
      <c r="AB8" s="17" t="s">
        <v>10</v>
      </c>
      <c r="AC8" s="17" t="s">
        <v>10</v>
      </c>
      <c r="AD8" s="17" t="s">
        <v>10</v>
      </c>
      <c r="AE8" s="29" t="s">
        <v>4</v>
      </c>
      <c r="AF8" s="10" t="s">
        <v>42</v>
      </c>
    </row>
    <row r="9" spans="1:32" x14ac:dyDescent="0.35">
      <c r="A9" s="67" t="s">
        <v>18</v>
      </c>
      <c r="B9" s="10" t="s">
        <v>41</v>
      </c>
      <c r="C9" s="25" t="s">
        <v>3</v>
      </c>
      <c r="D9" s="25" t="s">
        <v>3</v>
      </c>
      <c r="E9" s="12" t="s">
        <v>2</v>
      </c>
      <c r="F9" s="25" t="s">
        <v>6</v>
      </c>
      <c r="G9" s="25" t="s">
        <v>6</v>
      </c>
      <c r="H9" s="25" t="s">
        <v>6</v>
      </c>
      <c r="I9" s="25" t="s">
        <v>6</v>
      </c>
      <c r="J9" s="29" t="s">
        <v>4</v>
      </c>
      <c r="K9" s="29" t="s">
        <v>4</v>
      </c>
      <c r="L9" s="84" t="s">
        <v>16</v>
      </c>
      <c r="M9" s="83" t="s">
        <v>41</v>
      </c>
      <c r="N9" s="83" t="s">
        <v>41</v>
      </c>
      <c r="O9" s="83" t="s">
        <v>41</v>
      </c>
      <c r="P9" s="83" t="s">
        <v>41</v>
      </c>
      <c r="Q9" s="101" t="s">
        <v>3</v>
      </c>
      <c r="R9" s="29" t="s">
        <v>4</v>
      </c>
      <c r="S9" s="12" t="s">
        <v>2</v>
      </c>
      <c r="T9" s="25" t="s">
        <v>6</v>
      </c>
      <c r="U9" s="25" t="s">
        <v>6</v>
      </c>
      <c r="V9" s="25" t="s">
        <v>6</v>
      </c>
      <c r="W9" s="25" t="s">
        <v>6</v>
      </c>
      <c r="X9" s="29" t="s">
        <v>4</v>
      </c>
      <c r="Y9" s="29" t="s">
        <v>4</v>
      </c>
      <c r="Z9" s="25" t="s">
        <v>6</v>
      </c>
      <c r="AA9" s="25" t="s">
        <v>6</v>
      </c>
      <c r="AB9" s="25" t="s">
        <v>6</v>
      </c>
      <c r="AC9" s="12" t="s">
        <v>2</v>
      </c>
      <c r="AD9" s="25" t="s">
        <v>6</v>
      </c>
      <c r="AE9" s="29" t="s">
        <v>4</v>
      </c>
      <c r="AF9" s="29" t="s">
        <v>4</v>
      </c>
    </row>
    <row r="10" spans="1:32" ht="14.15" customHeight="1" x14ac:dyDescent="0.35">
      <c r="A10" s="67" t="s">
        <v>21</v>
      </c>
      <c r="B10" s="12" t="s">
        <v>2</v>
      </c>
      <c r="C10" s="17" t="s">
        <v>11</v>
      </c>
      <c r="D10" s="17" t="s">
        <v>11</v>
      </c>
      <c r="E10" s="17" t="s">
        <v>10</v>
      </c>
      <c r="F10" s="17" t="s">
        <v>10</v>
      </c>
      <c r="G10" s="17" t="s">
        <v>10</v>
      </c>
      <c r="H10" s="12" t="s">
        <v>2</v>
      </c>
      <c r="I10" s="12" t="s">
        <v>2</v>
      </c>
      <c r="J10" s="25" t="s">
        <v>3</v>
      </c>
      <c r="K10" s="19" t="s">
        <v>42</v>
      </c>
      <c r="L10" s="25" t="s">
        <v>6</v>
      </c>
      <c r="M10" s="25" t="s">
        <v>6</v>
      </c>
      <c r="N10" s="12" t="s">
        <v>2</v>
      </c>
      <c r="O10" s="83" t="s">
        <v>41</v>
      </c>
      <c r="P10" s="83" t="s">
        <v>41</v>
      </c>
      <c r="Q10" s="102" t="s">
        <v>30</v>
      </c>
      <c r="R10" s="101" t="s">
        <v>3</v>
      </c>
      <c r="S10" s="84" t="s">
        <v>16</v>
      </c>
      <c r="T10" s="84" t="s">
        <v>16</v>
      </c>
      <c r="U10" s="12" t="s">
        <v>2</v>
      </c>
      <c r="V10" s="17" t="s">
        <v>10</v>
      </c>
      <c r="W10" s="17" t="s">
        <v>10</v>
      </c>
      <c r="X10" s="17" t="s">
        <v>11</v>
      </c>
      <c r="Y10" s="17" t="s">
        <v>11</v>
      </c>
      <c r="Z10" s="17" t="s">
        <v>10</v>
      </c>
      <c r="AA10" s="12" t="s">
        <v>2</v>
      </c>
      <c r="AB10" s="12" t="s">
        <v>2</v>
      </c>
      <c r="AC10" s="10" t="s">
        <v>41</v>
      </c>
      <c r="AD10" s="17" t="s">
        <v>10</v>
      </c>
      <c r="AE10" s="29" t="s">
        <v>4</v>
      </c>
      <c r="AF10" s="10" t="s">
        <v>42</v>
      </c>
    </row>
    <row r="11" spans="1:32" x14ac:dyDescent="0.35">
      <c r="A11" s="67" t="s">
        <v>43</v>
      </c>
      <c r="B11" s="25" t="s">
        <v>6</v>
      </c>
      <c r="C11" s="10" t="s">
        <v>42</v>
      </c>
      <c r="D11" s="29" t="s">
        <v>4</v>
      </c>
      <c r="E11" s="10" t="s">
        <v>41</v>
      </c>
      <c r="F11" s="10" t="s">
        <v>41</v>
      </c>
      <c r="G11" s="12" t="s">
        <v>2</v>
      </c>
      <c r="H11" s="17" t="s">
        <v>10</v>
      </c>
      <c r="I11" s="17" t="s">
        <v>10</v>
      </c>
      <c r="J11" s="17" t="s">
        <v>11</v>
      </c>
      <c r="K11" s="17" t="s">
        <v>11</v>
      </c>
      <c r="L11" s="17" t="s">
        <v>10</v>
      </c>
      <c r="M11" s="12" t="s">
        <v>2</v>
      </c>
      <c r="N11" s="25" t="s">
        <v>6</v>
      </c>
      <c r="O11" s="25" t="s">
        <v>6</v>
      </c>
      <c r="P11" s="25" t="s">
        <v>6</v>
      </c>
      <c r="Q11" s="19" t="s">
        <v>42</v>
      </c>
      <c r="R11" s="29" t="s">
        <v>4</v>
      </c>
      <c r="S11" s="25" t="s">
        <v>6</v>
      </c>
      <c r="T11" s="25" t="s">
        <v>6</v>
      </c>
      <c r="U11" s="25" t="s">
        <v>6</v>
      </c>
      <c r="V11" s="25" t="s">
        <v>6</v>
      </c>
      <c r="W11" s="25" t="s">
        <v>6</v>
      </c>
      <c r="X11" s="25" t="s">
        <v>3</v>
      </c>
      <c r="Y11" s="29" t="s">
        <v>4</v>
      </c>
      <c r="Z11" s="83" t="s">
        <v>6</v>
      </c>
      <c r="AA11" s="83" t="s">
        <v>6</v>
      </c>
      <c r="AB11" s="83" t="s">
        <v>6</v>
      </c>
      <c r="AC11" s="83" t="s">
        <v>6</v>
      </c>
      <c r="AD11" s="83" t="s">
        <v>6</v>
      </c>
      <c r="AE11" s="17" t="s">
        <v>11</v>
      </c>
      <c r="AF11" s="29" t="s">
        <v>4</v>
      </c>
    </row>
    <row r="12" spans="1:32" ht="15" thickBot="1" x14ac:dyDescent="0.4">
      <c r="A12" s="67" t="s">
        <v>86</v>
      </c>
      <c r="B12" s="83" t="s">
        <v>41</v>
      </c>
      <c r="C12" s="29" t="s">
        <v>4</v>
      </c>
      <c r="D12" s="25" t="s">
        <v>3</v>
      </c>
      <c r="E12" s="10" t="s">
        <v>41</v>
      </c>
      <c r="F12" s="12" t="s">
        <v>2</v>
      </c>
      <c r="G12" s="10" t="s">
        <v>41</v>
      </c>
      <c r="H12" s="83" t="s">
        <v>41</v>
      </c>
      <c r="I12" s="83" t="s">
        <v>41</v>
      </c>
      <c r="J12" s="19" t="s">
        <v>42</v>
      </c>
      <c r="K12" s="25" t="s">
        <v>3</v>
      </c>
      <c r="L12" s="13" t="s">
        <v>5</v>
      </c>
      <c r="M12" s="12" t="s">
        <v>2</v>
      </c>
      <c r="N12" s="12" t="s">
        <v>2</v>
      </c>
      <c r="O12" s="22" t="s">
        <v>16</v>
      </c>
      <c r="P12" s="84" t="s">
        <v>16</v>
      </c>
      <c r="Q12" s="17" t="s">
        <v>11</v>
      </c>
      <c r="R12" s="17" t="s">
        <v>11</v>
      </c>
      <c r="S12" s="12" t="s">
        <v>2</v>
      </c>
      <c r="T12" s="10" t="s">
        <v>41</v>
      </c>
      <c r="U12" s="10" t="s">
        <v>41</v>
      </c>
      <c r="V12" s="10" t="s">
        <v>41</v>
      </c>
      <c r="W12" s="83" t="s">
        <v>41</v>
      </c>
      <c r="X12" s="66" t="s">
        <v>30</v>
      </c>
      <c r="Y12" s="29" t="s">
        <v>4</v>
      </c>
      <c r="Z12" s="10" t="s">
        <v>41</v>
      </c>
      <c r="AA12" s="10" t="s">
        <v>41</v>
      </c>
      <c r="AB12" s="10" t="s">
        <v>41</v>
      </c>
      <c r="AC12" s="13" t="s">
        <v>5</v>
      </c>
      <c r="AD12" s="13" t="s">
        <v>5</v>
      </c>
      <c r="AE12" s="68" t="s">
        <v>4</v>
      </c>
      <c r="AF12" s="68" t="s">
        <v>4</v>
      </c>
    </row>
    <row r="13" spans="1:32" x14ac:dyDescent="0.35">
      <c r="A13" s="67" t="s">
        <v>22</v>
      </c>
      <c r="B13" s="25" t="s">
        <v>6</v>
      </c>
      <c r="C13" s="25" t="s">
        <v>3</v>
      </c>
      <c r="D13" s="29" t="s">
        <v>4</v>
      </c>
      <c r="E13" s="25" t="s">
        <v>6</v>
      </c>
      <c r="F13" s="13" t="s">
        <v>5</v>
      </c>
      <c r="G13" s="13" t="s">
        <v>5</v>
      </c>
      <c r="H13" s="10" t="s">
        <v>41</v>
      </c>
      <c r="I13" s="10" t="s">
        <v>41</v>
      </c>
      <c r="J13" s="29" t="s">
        <v>4</v>
      </c>
      <c r="K13" s="25" t="s">
        <v>3</v>
      </c>
      <c r="L13" s="25" t="s">
        <v>6</v>
      </c>
      <c r="M13" s="25" t="s">
        <v>6</v>
      </c>
      <c r="N13" s="25" t="s">
        <v>6</v>
      </c>
      <c r="O13" s="12" t="s">
        <v>2</v>
      </c>
      <c r="P13" s="12" t="s">
        <v>2</v>
      </c>
      <c r="Q13" s="19" t="s">
        <v>42</v>
      </c>
      <c r="R13" s="29" t="s">
        <v>4</v>
      </c>
      <c r="S13" s="17" t="s">
        <v>10</v>
      </c>
      <c r="T13" s="17" t="s">
        <v>10</v>
      </c>
      <c r="U13" s="17" t="s">
        <v>10</v>
      </c>
      <c r="V13" s="17" t="s">
        <v>10</v>
      </c>
      <c r="W13" s="17" t="s">
        <v>10</v>
      </c>
      <c r="X13" s="29" t="s">
        <v>4</v>
      </c>
      <c r="Y13" s="29" t="s">
        <v>4</v>
      </c>
      <c r="Z13" s="84" t="s">
        <v>16</v>
      </c>
      <c r="AA13" s="84" t="s">
        <v>16</v>
      </c>
      <c r="AB13" s="84" t="s">
        <v>16</v>
      </c>
      <c r="AC13" s="84" t="s">
        <v>16</v>
      </c>
      <c r="AD13" s="84" t="s">
        <v>16</v>
      </c>
      <c r="AE13" s="10" t="s">
        <v>42</v>
      </c>
      <c r="AF13" s="29" t="s">
        <v>4</v>
      </c>
    </row>
    <row r="14" spans="1:32" ht="15" thickBot="1" x14ac:dyDescent="0.4">
      <c r="A14" s="67" t="s">
        <v>71</v>
      </c>
      <c r="B14" s="10" t="s">
        <v>41</v>
      </c>
      <c r="C14" s="19" t="s">
        <v>42</v>
      </c>
      <c r="D14" s="19" t="s">
        <v>42</v>
      </c>
      <c r="E14" s="12" t="s">
        <v>2</v>
      </c>
      <c r="F14" s="10" t="s">
        <v>41</v>
      </c>
      <c r="G14" s="25" t="s">
        <v>6</v>
      </c>
      <c r="H14" s="25" t="s">
        <v>6</v>
      </c>
      <c r="I14" s="25" t="s">
        <v>6</v>
      </c>
      <c r="J14" s="29" t="s">
        <v>4</v>
      </c>
      <c r="K14" s="66" t="s">
        <v>30</v>
      </c>
      <c r="L14" s="10" t="s">
        <v>41</v>
      </c>
      <c r="M14" s="84" t="s">
        <v>16</v>
      </c>
      <c r="N14" s="10" t="s">
        <v>41</v>
      </c>
      <c r="O14" s="84" t="s">
        <v>16</v>
      </c>
      <c r="P14" s="25" t="s">
        <v>6</v>
      </c>
      <c r="Q14" s="29" t="s">
        <v>4</v>
      </c>
      <c r="R14" s="29" t="s">
        <v>4</v>
      </c>
      <c r="S14" s="25" t="s">
        <v>6</v>
      </c>
      <c r="T14" s="84" t="s">
        <v>16</v>
      </c>
      <c r="U14" s="25" t="s">
        <v>6</v>
      </c>
      <c r="V14" s="25" t="s">
        <v>6</v>
      </c>
      <c r="W14" s="12" t="s">
        <v>2</v>
      </c>
      <c r="X14" s="29" t="s">
        <v>4</v>
      </c>
      <c r="Y14" s="25" t="s">
        <v>3</v>
      </c>
      <c r="Z14" s="13" t="s">
        <v>5</v>
      </c>
      <c r="AA14" s="84" t="s">
        <v>16</v>
      </c>
      <c r="AB14" s="13" t="s">
        <v>5</v>
      </c>
      <c r="AC14" s="84" t="s">
        <v>16</v>
      </c>
      <c r="AD14" s="13" t="s">
        <v>5</v>
      </c>
      <c r="AE14" s="17" t="s">
        <v>11</v>
      </c>
      <c r="AF14" s="17" t="s">
        <v>11</v>
      </c>
    </row>
    <row r="15" spans="1:32" ht="15" thickBot="1" x14ac:dyDescent="0.4">
      <c r="A15" s="67" t="s">
        <v>87</v>
      </c>
      <c r="B15" s="13" t="s">
        <v>5</v>
      </c>
      <c r="C15" s="29" t="s">
        <v>4</v>
      </c>
      <c r="D15" s="29" t="s">
        <v>4</v>
      </c>
      <c r="E15" s="84" t="s">
        <v>16</v>
      </c>
      <c r="F15" s="84" t="s">
        <v>16</v>
      </c>
      <c r="G15" s="84" t="s">
        <v>16</v>
      </c>
      <c r="H15" s="84" t="s">
        <v>16</v>
      </c>
      <c r="I15" s="84" t="s">
        <v>16</v>
      </c>
      <c r="J15" s="66" t="s">
        <v>30</v>
      </c>
      <c r="K15" s="29" t="s">
        <v>4</v>
      </c>
      <c r="L15" s="84" t="s">
        <v>16</v>
      </c>
      <c r="M15" s="12" t="s">
        <v>2</v>
      </c>
      <c r="N15" s="25" t="s">
        <v>6</v>
      </c>
      <c r="O15" s="25" t="s">
        <v>6</v>
      </c>
      <c r="P15" s="13" t="s">
        <v>5</v>
      </c>
      <c r="Q15" s="29" t="s">
        <v>4</v>
      </c>
      <c r="R15" s="29" t="s">
        <v>4</v>
      </c>
      <c r="S15" s="10" t="s">
        <v>41</v>
      </c>
      <c r="T15" s="10" t="s">
        <v>41</v>
      </c>
      <c r="U15" s="12" t="s">
        <v>2</v>
      </c>
      <c r="V15" s="10" t="s">
        <v>41</v>
      </c>
      <c r="W15" s="10" t="s">
        <v>41</v>
      </c>
      <c r="X15" s="29" t="s">
        <v>4</v>
      </c>
      <c r="Y15" s="10" t="s">
        <v>42</v>
      </c>
      <c r="Z15" s="10" t="s">
        <v>41</v>
      </c>
      <c r="AA15" s="10" t="s">
        <v>41</v>
      </c>
      <c r="AB15" s="12" t="s">
        <v>2</v>
      </c>
      <c r="AC15" s="10" t="s">
        <v>41</v>
      </c>
      <c r="AD15" s="10" t="s">
        <v>41</v>
      </c>
      <c r="AE15" s="66" t="s">
        <v>30</v>
      </c>
      <c r="AF15" s="25" t="s">
        <v>3</v>
      </c>
    </row>
    <row r="16" spans="1:32" x14ac:dyDescent="0.35">
      <c r="A16" s="67" t="s">
        <v>85</v>
      </c>
      <c r="B16" s="84" t="s">
        <v>16</v>
      </c>
      <c r="C16" s="29" t="s">
        <v>4</v>
      </c>
      <c r="D16" s="29" t="s">
        <v>4</v>
      </c>
      <c r="E16" s="84" t="s">
        <v>16</v>
      </c>
      <c r="F16" s="84" t="s">
        <v>16</v>
      </c>
      <c r="G16" s="84" t="s">
        <v>16</v>
      </c>
      <c r="H16" s="84" t="s">
        <v>16</v>
      </c>
      <c r="I16" s="84" t="s">
        <v>16</v>
      </c>
      <c r="J16" s="29" t="s">
        <v>4</v>
      </c>
      <c r="K16" s="29" t="s">
        <v>4</v>
      </c>
      <c r="L16" s="25" t="s">
        <v>6</v>
      </c>
      <c r="M16" s="10" t="s">
        <v>41</v>
      </c>
      <c r="N16" s="12" t="s">
        <v>2</v>
      </c>
      <c r="O16" s="25" t="s">
        <v>6</v>
      </c>
      <c r="P16" s="25" t="s">
        <v>6</v>
      </c>
      <c r="Q16" s="29" t="s">
        <v>4</v>
      </c>
      <c r="R16" s="19" t="s">
        <v>42</v>
      </c>
      <c r="S16" s="12" t="s">
        <v>2</v>
      </c>
      <c r="T16" s="25" t="s">
        <v>6</v>
      </c>
      <c r="U16" s="25" t="s">
        <v>6</v>
      </c>
      <c r="V16" s="25" t="s">
        <v>6</v>
      </c>
      <c r="W16" s="25" t="s">
        <v>6</v>
      </c>
      <c r="X16" s="29" t="s">
        <v>4</v>
      </c>
      <c r="Y16" s="29" t="s">
        <v>4</v>
      </c>
      <c r="Z16" s="10" t="s">
        <v>41</v>
      </c>
      <c r="AA16" s="25" t="s">
        <v>6</v>
      </c>
      <c r="AB16" s="25" t="s">
        <v>6</v>
      </c>
      <c r="AC16" s="10" t="s">
        <v>41</v>
      </c>
      <c r="AD16" s="25" t="s">
        <v>6</v>
      </c>
      <c r="AE16" s="29" t="s">
        <v>4</v>
      </c>
      <c r="AF16" s="17" t="s">
        <v>11</v>
      </c>
    </row>
    <row r="17" spans="1:32" x14ac:dyDescent="0.35">
      <c r="A17" s="67" t="s">
        <v>88</v>
      </c>
      <c r="B17" s="17" t="s">
        <v>10</v>
      </c>
      <c r="C17" s="29" t="s">
        <v>4</v>
      </c>
      <c r="D17" s="29" t="s">
        <v>4</v>
      </c>
      <c r="E17" s="25" t="s">
        <v>6</v>
      </c>
      <c r="F17" s="25" t="s">
        <v>6</v>
      </c>
      <c r="G17" s="25" t="s">
        <v>6</v>
      </c>
      <c r="H17" s="25" t="s">
        <v>6</v>
      </c>
      <c r="I17" s="25" t="s">
        <v>6</v>
      </c>
      <c r="J17" s="29" t="s">
        <v>4</v>
      </c>
      <c r="K17" s="29" t="s">
        <v>4</v>
      </c>
      <c r="L17" s="10" t="s">
        <v>41</v>
      </c>
      <c r="M17" s="17" t="s">
        <v>10</v>
      </c>
      <c r="N17" s="17" t="s">
        <v>10</v>
      </c>
      <c r="O17" s="17" t="s">
        <v>10</v>
      </c>
      <c r="P17" s="17" t="s">
        <v>10</v>
      </c>
      <c r="Q17" s="29" t="s">
        <v>4</v>
      </c>
      <c r="R17" s="29" t="s">
        <v>4</v>
      </c>
      <c r="S17" s="10" t="s">
        <v>41</v>
      </c>
      <c r="T17" s="10" t="s">
        <v>41</v>
      </c>
      <c r="U17" s="10" t="s">
        <v>41</v>
      </c>
      <c r="V17" s="10" t="s">
        <v>41</v>
      </c>
      <c r="W17" s="10" t="s">
        <v>41</v>
      </c>
      <c r="X17" s="10" t="s">
        <v>42</v>
      </c>
      <c r="Y17" s="29" t="s">
        <v>4</v>
      </c>
      <c r="Z17" s="84" t="s">
        <v>16</v>
      </c>
      <c r="AA17" s="84" t="s">
        <v>16</v>
      </c>
      <c r="AB17" s="84" t="s">
        <v>16</v>
      </c>
      <c r="AC17" s="84" t="s">
        <v>16</v>
      </c>
      <c r="AD17" s="83" t="s">
        <v>41</v>
      </c>
      <c r="AE17" s="25" t="s">
        <v>3</v>
      </c>
      <c r="AF17" s="29" t="s">
        <v>4</v>
      </c>
    </row>
    <row r="19" spans="1:32" x14ac:dyDescent="0.35">
      <c r="A19" s="105" t="s">
        <v>177</v>
      </c>
      <c r="B19" s="106">
        <f t="shared" ref="B19:AF19" si="1">COUNTIF(B3:B17,"*MS")</f>
        <v>3</v>
      </c>
      <c r="C19" s="106">
        <f t="shared" si="1"/>
        <v>2</v>
      </c>
      <c r="D19" s="106">
        <f t="shared" si="1"/>
        <v>2</v>
      </c>
      <c r="E19" s="106">
        <f t="shared" si="1"/>
        <v>3</v>
      </c>
      <c r="F19" s="106">
        <f t="shared" si="1"/>
        <v>3</v>
      </c>
      <c r="G19" s="106">
        <f t="shared" si="1"/>
        <v>3</v>
      </c>
      <c r="H19" s="106">
        <f t="shared" si="1"/>
        <v>3</v>
      </c>
      <c r="I19" s="106">
        <f t="shared" si="1"/>
        <v>3</v>
      </c>
      <c r="J19" s="106">
        <f t="shared" si="1"/>
        <v>2</v>
      </c>
      <c r="K19" s="106">
        <f t="shared" si="1"/>
        <v>2</v>
      </c>
      <c r="L19" s="106">
        <f t="shared" si="1"/>
        <v>3</v>
      </c>
      <c r="M19" s="106">
        <f t="shared" si="1"/>
        <v>3</v>
      </c>
      <c r="N19" s="106">
        <f t="shared" si="1"/>
        <v>4</v>
      </c>
      <c r="O19" s="106">
        <f t="shared" si="1"/>
        <v>4</v>
      </c>
      <c r="P19" s="106">
        <f t="shared" si="1"/>
        <v>4</v>
      </c>
      <c r="Q19" s="106">
        <f t="shared" si="1"/>
        <v>2</v>
      </c>
      <c r="R19" s="106">
        <f t="shared" si="1"/>
        <v>2</v>
      </c>
      <c r="S19" s="106">
        <f t="shared" si="1"/>
        <v>3</v>
      </c>
      <c r="T19" s="106">
        <f t="shared" si="1"/>
        <v>3</v>
      </c>
      <c r="U19" s="106">
        <f t="shared" si="1"/>
        <v>4</v>
      </c>
      <c r="V19" s="106">
        <f t="shared" si="1"/>
        <v>4</v>
      </c>
      <c r="W19" s="106">
        <f t="shared" si="1"/>
        <v>4</v>
      </c>
      <c r="X19" s="106">
        <f t="shared" si="1"/>
        <v>2</v>
      </c>
      <c r="Y19" s="106">
        <f t="shared" si="1"/>
        <v>2</v>
      </c>
      <c r="Z19" s="106">
        <f t="shared" si="1"/>
        <v>3</v>
      </c>
      <c r="AA19" s="106">
        <f t="shared" si="1"/>
        <v>3</v>
      </c>
      <c r="AB19" s="106">
        <f t="shared" si="1"/>
        <v>4</v>
      </c>
      <c r="AC19" s="106">
        <f t="shared" si="1"/>
        <v>2</v>
      </c>
      <c r="AD19" s="106">
        <f t="shared" si="1"/>
        <v>3</v>
      </c>
      <c r="AE19" s="106">
        <f t="shared" si="1"/>
        <v>2</v>
      </c>
      <c r="AF19" s="106">
        <f t="shared" si="1"/>
        <v>2</v>
      </c>
    </row>
    <row r="20" spans="1:32" x14ac:dyDescent="0.35">
      <c r="A20" s="107" t="s">
        <v>178</v>
      </c>
      <c r="B20" s="108">
        <f t="shared" ref="B20:AF20" si="2">COUNTIF(B3:B17,"*AS*")</f>
        <v>3</v>
      </c>
      <c r="C20" s="108">
        <f t="shared" si="2"/>
        <v>2</v>
      </c>
      <c r="D20" s="108">
        <f t="shared" si="2"/>
        <v>2</v>
      </c>
      <c r="E20" s="108">
        <f t="shared" si="2"/>
        <v>3</v>
      </c>
      <c r="F20" s="108">
        <f t="shared" si="2"/>
        <v>3</v>
      </c>
      <c r="G20" s="108">
        <f t="shared" si="2"/>
        <v>2</v>
      </c>
      <c r="H20" s="108">
        <f t="shared" si="2"/>
        <v>4</v>
      </c>
      <c r="I20" s="108">
        <f t="shared" si="2"/>
        <v>3</v>
      </c>
      <c r="J20" s="108">
        <f t="shared" si="2"/>
        <v>2</v>
      </c>
      <c r="K20" s="108">
        <f t="shared" si="2"/>
        <v>2</v>
      </c>
      <c r="L20" s="108">
        <f t="shared" si="2"/>
        <v>3</v>
      </c>
      <c r="M20" s="108">
        <f t="shared" si="2"/>
        <v>3</v>
      </c>
      <c r="N20" s="108">
        <f t="shared" si="2"/>
        <v>4</v>
      </c>
      <c r="O20" s="108">
        <f t="shared" si="2"/>
        <v>4</v>
      </c>
      <c r="P20" s="108">
        <f t="shared" si="2"/>
        <v>4</v>
      </c>
      <c r="Q20" s="108">
        <f t="shared" si="2"/>
        <v>2</v>
      </c>
      <c r="R20" s="108">
        <f t="shared" si="2"/>
        <v>2</v>
      </c>
      <c r="S20" s="108">
        <f t="shared" si="2"/>
        <v>3</v>
      </c>
      <c r="T20" s="108">
        <f t="shared" si="2"/>
        <v>4</v>
      </c>
      <c r="U20" s="108">
        <f t="shared" si="2"/>
        <v>4</v>
      </c>
      <c r="V20" s="108">
        <f t="shared" si="2"/>
        <v>4</v>
      </c>
      <c r="W20" s="108">
        <f t="shared" si="2"/>
        <v>5</v>
      </c>
      <c r="X20" s="108">
        <f t="shared" si="2"/>
        <v>2</v>
      </c>
      <c r="Y20" s="108">
        <f t="shared" si="2"/>
        <v>2</v>
      </c>
      <c r="Z20" s="108">
        <f t="shared" si="2"/>
        <v>4</v>
      </c>
      <c r="AA20" s="108">
        <f t="shared" si="2"/>
        <v>4</v>
      </c>
      <c r="AB20" s="108">
        <f t="shared" si="2"/>
        <v>3</v>
      </c>
      <c r="AC20" s="108">
        <f t="shared" si="2"/>
        <v>4</v>
      </c>
      <c r="AD20" s="108">
        <f t="shared" si="2"/>
        <v>3</v>
      </c>
      <c r="AE20" s="108">
        <f t="shared" si="2"/>
        <v>2</v>
      </c>
      <c r="AF20" s="108">
        <f t="shared" si="2"/>
        <v>2</v>
      </c>
    </row>
    <row r="21" spans="1:32" x14ac:dyDescent="0.35">
      <c r="A21" s="109" t="s">
        <v>179</v>
      </c>
      <c r="B21" s="110">
        <f t="shared" ref="B21:AF21" si="3">COUNTIF(B3:B17,"*GS*")</f>
        <v>2</v>
      </c>
      <c r="C21" s="110">
        <f t="shared" si="3"/>
        <v>1</v>
      </c>
      <c r="D21" s="110">
        <f t="shared" si="3"/>
        <v>0</v>
      </c>
      <c r="E21" s="110">
        <f t="shared" si="3"/>
        <v>3</v>
      </c>
      <c r="F21" s="110">
        <f t="shared" si="3"/>
        <v>3</v>
      </c>
      <c r="G21" s="110">
        <f t="shared" si="3"/>
        <v>3</v>
      </c>
      <c r="H21" s="110">
        <f t="shared" si="3"/>
        <v>3</v>
      </c>
      <c r="I21" s="110">
        <f t="shared" si="3"/>
        <v>3</v>
      </c>
      <c r="J21" s="110">
        <f t="shared" si="3"/>
        <v>1</v>
      </c>
      <c r="K21" s="110">
        <f t="shared" si="3"/>
        <v>1</v>
      </c>
      <c r="L21" s="110">
        <f t="shared" si="3"/>
        <v>2</v>
      </c>
      <c r="M21" s="110">
        <f t="shared" si="3"/>
        <v>1</v>
      </c>
      <c r="N21" s="110">
        <f t="shared" si="3"/>
        <v>0</v>
      </c>
      <c r="O21" s="110">
        <f t="shared" si="3"/>
        <v>2</v>
      </c>
      <c r="P21" s="110">
        <f t="shared" si="3"/>
        <v>1</v>
      </c>
      <c r="Q21" s="110">
        <f t="shared" si="3"/>
        <v>1</v>
      </c>
      <c r="R21" s="110">
        <f t="shared" si="3"/>
        <v>0</v>
      </c>
      <c r="S21" s="110">
        <f t="shared" si="3"/>
        <v>1</v>
      </c>
      <c r="T21" s="110">
        <f t="shared" si="3"/>
        <v>2</v>
      </c>
      <c r="U21" s="110">
        <f t="shared" si="3"/>
        <v>0</v>
      </c>
      <c r="V21" s="110">
        <f t="shared" si="3"/>
        <v>0</v>
      </c>
      <c r="W21" s="110">
        <f t="shared" si="3"/>
        <v>0</v>
      </c>
      <c r="X21" s="110">
        <f t="shared" si="3"/>
        <v>1</v>
      </c>
      <c r="Y21" s="110">
        <f t="shared" si="3"/>
        <v>0</v>
      </c>
      <c r="Z21" s="110">
        <f t="shared" si="3"/>
        <v>2</v>
      </c>
      <c r="AA21" s="110">
        <f t="shared" si="3"/>
        <v>3</v>
      </c>
      <c r="AB21" s="110">
        <f t="shared" si="3"/>
        <v>2</v>
      </c>
      <c r="AC21" s="110">
        <f t="shared" si="3"/>
        <v>3</v>
      </c>
      <c r="AD21" s="110">
        <f t="shared" si="3"/>
        <v>1</v>
      </c>
      <c r="AE21" s="110">
        <f t="shared" si="3"/>
        <v>1</v>
      </c>
      <c r="AF21" s="110">
        <f t="shared" si="3"/>
        <v>0</v>
      </c>
    </row>
    <row r="22" spans="1:32" x14ac:dyDescent="0.35">
      <c r="A22" s="111" t="s">
        <v>180</v>
      </c>
      <c r="B22" s="112">
        <f t="shared" ref="B22:AF22" si="4">COUNTIF(B3:B17,"*NS*")</f>
        <v>2</v>
      </c>
      <c r="C22" s="112">
        <f t="shared" si="4"/>
        <v>2</v>
      </c>
      <c r="D22" s="112">
        <f t="shared" si="4"/>
        <v>2</v>
      </c>
      <c r="E22" s="112">
        <f t="shared" si="4"/>
        <v>2</v>
      </c>
      <c r="F22" s="112">
        <f t="shared" si="4"/>
        <v>2</v>
      </c>
      <c r="G22" s="112">
        <f t="shared" si="4"/>
        <v>2</v>
      </c>
      <c r="H22" s="112">
        <f t="shared" si="4"/>
        <v>2</v>
      </c>
      <c r="I22" s="112">
        <f t="shared" si="4"/>
        <v>2</v>
      </c>
      <c r="J22" s="112">
        <f t="shared" si="4"/>
        <v>2</v>
      </c>
      <c r="K22" s="112">
        <f t="shared" si="4"/>
        <v>2</v>
      </c>
      <c r="L22" s="112">
        <f t="shared" si="4"/>
        <v>2</v>
      </c>
      <c r="M22" s="112">
        <f t="shared" si="4"/>
        <v>3</v>
      </c>
      <c r="N22" s="112">
        <f t="shared" si="4"/>
        <v>3</v>
      </c>
      <c r="O22" s="112">
        <f t="shared" si="4"/>
        <v>3</v>
      </c>
      <c r="P22" s="112">
        <f t="shared" si="4"/>
        <v>3</v>
      </c>
      <c r="Q22" s="112">
        <f t="shared" si="4"/>
        <v>2</v>
      </c>
      <c r="R22" s="112">
        <f t="shared" si="4"/>
        <v>2</v>
      </c>
      <c r="S22" s="112">
        <f t="shared" si="4"/>
        <v>3</v>
      </c>
      <c r="T22" s="112">
        <f t="shared" si="4"/>
        <v>2</v>
      </c>
      <c r="U22" s="112">
        <f t="shared" si="4"/>
        <v>3</v>
      </c>
      <c r="V22" s="112">
        <f t="shared" si="4"/>
        <v>3</v>
      </c>
      <c r="W22" s="112">
        <f t="shared" si="4"/>
        <v>3</v>
      </c>
      <c r="X22" s="112">
        <f t="shared" si="4"/>
        <v>2</v>
      </c>
      <c r="Y22" s="112">
        <f t="shared" si="4"/>
        <v>2</v>
      </c>
      <c r="Z22" s="112">
        <f t="shared" si="4"/>
        <v>2</v>
      </c>
      <c r="AA22" s="112">
        <f t="shared" si="4"/>
        <v>2</v>
      </c>
      <c r="AB22" s="112">
        <f t="shared" si="4"/>
        <v>2</v>
      </c>
      <c r="AC22" s="112">
        <f t="shared" si="4"/>
        <v>2</v>
      </c>
      <c r="AD22" s="112">
        <f t="shared" si="4"/>
        <v>2</v>
      </c>
      <c r="AE22" s="112">
        <f t="shared" si="4"/>
        <v>3</v>
      </c>
      <c r="AF22" s="112">
        <f t="shared" si="4"/>
        <v>3</v>
      </c>
    </row>
    <row r="23" spans="1:32" x14ac:dyDescent="0.35">
      <c r="A23" s="113" t="s">
        <v>181</v>
      </c>
      <c r="B23" s="114">
        <f t="shared" ref="B23:AF23" si="5">COUNTIF(B3:B17,"N*3")</f>
        <v>0</v>
      </c>
      <c r="C23" s="114">
        <f t="shared" si="5"/>
        <v>0</v>
      </c>
      <c r="D23" s="114">
        <f t="shared" si="5"/>
        <v>0</v>
      </c>
      <c r="E23" s="114">
        <f t="shared" si="5"/>
        <v>0</v>
      </c>
      <c r="F23" s="114">
        <f t="shared" si="5"/>
        <v>0</v>
      </c>
      <c r="G23" s="114">
        <f t="shared" si="5"/>
        <v>0</v>
      </c>
      <c r="H23" s="114">
        <f t="shared" si="5"/>
        <v>0</v>
      </c>
      <c r="I23" s="114">
        <f t="shared" si="5"/>
        <v>0</v>
      </c>
      <c r="J23" s="114">
        <f t="shared" si="5"/>
        <v>0</v>
      </c>
      <c r="K23" s="114">
        <f t="shared" si="5"/>
        <v>0</v>
      </c>
      <c r="L23" s="114">
        <f t="shared" si="5"/>
        <v>0</v>
      </c>
      <c r="M23" s="114">
        <f t="shared" si="5"/>
        <v>1</v>
      </c>
      <c r="N23" s="114">
        <f t="shared" si="5"/>
        <v>1</v>
      </c>
      <c r="O23" s="114">
        <f t="shared" si="5"/>
        <v>1</v>
      </c>
      <c r="P23" s="114">
        <f t="shared" si="5"/>
        <v>1</v>
      </c>
      <c r="Q23" s="114">
        <f t="shared" si="5"/>
        <v>0</v>
      </c>
      <c r="R23" s="114">
        <f t="shared" si="5"/>
        <v>0</v>
      </c>
      <c r="S23" s="114">
        <f t="shared" si="5"/>
        <v>0</v>
      </c>
      <c r="T23" s="114">
        <f t="shared" si="5"/>
        <v>0</v>
      </c>
      <c r="U23" s="114">
        <f t="shared" si="5"/>
        <v>0</v>
      </c>
      <c r="V23" s="114">
        <f t="shared" si="5"/>
        <v>0</v>
      </c>
      <c r="W23" s="114">
        <f t="shared" si="5"/>
        <v>0</v>
      </c>
      <c r="X23" s="114">
        <f t="shared" si="5"/>
        <v>0</v>
      </c>
      <c r="Y23" s="114">
        <f t="shared" si="5"/>
        <v>0</v>
      </c>
      <c r="Z23" s="114">
        <f t="shared" si="5"/>
        <v>0</v>
      </c>
      <c r="AA23" s="114">
        <f t="shared" si="5"/>
        <v>0</v>
      </c>
      <c r="AB23" s="114">
        <f t="shared" si="5"/>
        <v>0</v>
      </c>
      <c r="AC23" s="114">
        <f t="shared" si="5"/>
        <v>0</v>
      </c>
      <c r="AD23" s="114">
        <f t="shared" si="5"/>
        <v>0</v>
      </c>
      <c r="AE23" s="114">
        <f t="shared" si="5"/>
        <v>0</v>
      </c>
      <c r="AF23" s="114">
        <f t="shared" si="5"/>
        <v>0</v>
      </c>
    </row>
    <row r="24" spans="1:32" x14ac:dyDescent="0.35">
      <c r="A24" s="115" t="s">
        <v>182</v>
      </c>
      <c r="B24" s="116">
        <f t="shared" ref="B24" si="6">SUM(B19:B23)</f>
        <v>10</v>
      </c>
      <c r="C24" s="116">
        <f t="shared" ref="C24:AF24" si="7">SUM(C19:C23)</f>
        <v>7</v>
      </c>
      <c r="D24" s="116">
        <f t="shared" si="7"/>
        <v>6</v>
      </c>
      <c r="E24" s="116">
        <f t="shared" si="7"/>
        <v>11</v>
      </c>
      <c r="F24" s="116">
        <f t="shared" si="7"/>
        <v>11</v>
      </c>
      <c r="G24" s="116">
        <f t="shared" si="7"/>
        <v>10</v>
      </c>
      <c r="H24" s="116">
        <f>SUM(H19:H23)</f>
        <v>12</v>
      </c>
      <c r="I24" s="116">
        <f t="shared" si="7"/>
        <v>11</v>
      </c>
      <c r="J24" s="116">
        <f t="shared" si="7"/>
        <v>7</v>
      </c>
      <c r="K24" s="116">
        <f t="shared" si="7"/>
        <v>7</v>
      </c>
      <c r="L24" s="116">
        <f t="shared" si="7"/>
        <v>10</v>
      </c>
      <c r="M24" s="116">
        <f t="shared" si="7"/>
        <v>11</v>
      </c>
      <c r="N24" s="116">
        <f t="shared" si="7"/>
        <v>12</v>
      </c>
      <c r="O24" s="116">
        <f t="shared" si="7"/>
        <v>14</v>
      </c>
      <c r="P24" s="116">
        <f t="shared" si="7"/>
        <v>13</v>
      </c>
      <c r="Q24" s="116">
        <f t="shared" si="7"/>
        <v>7</v>
      </c>
      <c r="R24" s="116">
        <f t="shared" si="7"/>
        <v>6</v>
      </c>
      <c r="S24" s="116">
        <f t="shared" si="7"/>
        <v>10</v>
      </c>
      <c r="T24" s="116">
        <f t="shared" si="7"/>
        <v>11</v>
      </c>
      <c r="U24" s="116">
        <f t="shared" si="7"/>
        <v>11</v>
      </c>
      <c r="V24" s="116">
        <f t="shared" si="7"/>
        <v>11</v>
      </c>
      <c r="W24" s="116">
        <f t="shared" si="7"/>
        <v>12</v>
      </c>
      <c r="X24" s="116">
        <f t="shared" si="7"/>
        <v>7</v>
      </c>
      <c r="Y24" s="116">
        <f t="shared" si="7"/>
        <v>6</v>
      </c>
      <c r="Z24" s="116">
        <f t="shared" si="7"/>
        <v>11</v>
      </c>
      <c r="AA24" s="116">
        <f t="shared" si="7"/>
        <v>12</v>
      </c>
      <c r="AB24" s="116">
        <f t="shared" si="7"/>
        <v>11</v>
      </c>
      <c r="AC24" s="116">
        <f t="shared" si="7"/>
        <v>11</v>
      </c>
      <c r="AD24" s="116">
        <f t="shared" si="7"/>
        <v>9</v>
      </c>
      <c r="AE24" s="116">
        <f t="shared" si="7"/>
        <v>8</v>
      </c>
      <c r="AF24" s="116">
        <f t="shared" si="7"/>
        <v>7</v>
      </c>
    </row>
    <row r="27" spans="1:32" x14ac:dyDescent="0.35">
      <c r="A27" s="24" t="s">
        <v>23</v>
      </c>
    </row>
    <row r="28" spans="1:32" x14ac:dyDescent="0.35">
      <c r="A28" s="1" t="s">
        <v>24</v>
      </c>
    </row>
    <row r="29" spans="1:32" x14ac:dyDescent="0.35">
      <c r="A29" s="1" t="s">
        <v>25</v>
      </c>
    </row>
    <row r="30" spans="1:32" x14ac:dyDescent="0.35">
      <c r="A30" s="1" t="s">
        <v>47</v>
      </c>
    </row>
    <row r="31" spans="1:32" x14ac:dyDescent="0.35">
      <c r="A31" s="1" t="s">
        <v>48</v>
      </c>
    </row>
    <row r="32" spans="1:32" x14ac:dyDescent="0.35">
      <c r="A32" s="26" t="s">
        <v>26</v>
      </c>
    </row>
    <row r="33" spans="1:1" x14ac:dyDescent="0.35">
      <c r="A33" s="26" t="s">
        <v>27</v>
      </c>
    </row>
    <row r="34" spans="1:1" x14ac:dyDescent="0.35">
      <c r="A34" s="26" t="s">
        <v>28</v>
      </c>
    </row>
    <row r="35" spans="1:1" x14ac:dyDescent="0.35">
      <c r="A35" s="26" t="s">
        <v>29</v>
      </c>
    </row>
    <row r="36" spans="1:1" x14ac:dyDescent="0.35">
      <c r="A36" s="26" t="s">
        <v>49</v>
      </c>
    </row>
    <row r="37" spans="1:1" x14ac:dyDescent="0.35">
      <c r="A37" s="26" t="s">
        <v>50</v>
      </c>
    </row>
    <row r="38" spans="1:1" x14ac:dyDescent="0.35">
      <c r="A38" s="26" t="s">
        <v>31</v>
      </c>
    </row>
    <row r="39" spans="1:1" x14ac:dyDescent="0.35">
      <c r="A39" s="26" t="s">
        <v>32</v>
      </c>
    </row>
    <row r="40" spans="1:1" x14ac:dyDescent="0.35">
      <c r="A40" s="26" t="s">
        <v>33</v>
      </c>
    </row>
    <row r="41" spans="1:1" x14ac:dyDescent="0.35">
      <c r="A41" s="26" t="s">
        <v>35</v>
      </c>
    </row>
    <row r="42" spans="1:1" x14ac:dyDescent="0.35">
      <c r="A42" s="26" t="s">
        <v>36</v>
      </c>
    </row>
    <row r="43" spans="1:1" x14ac:dyDescent="0.35">
      <c r="A43" s="26" t="s">
        <v>38</v>
      </c>
    </row>
    <row r="44" spans="1:1" x14ac:dyDescent="0.35">
      <c r="A44" s="26" t="s">
        <v>36</v>
      </c>
    </row>
    <row r="45" spans="1:1" x14ac:dyDescent="0.35">
      <c r="A45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37"/>
  <sheetViews>
    <sheetView zoomScale="80" zoomScaleNormal="80" workbookViewId="0">
      <pane xSplit="1" topLeftCell="R1" activePane="topRight" state="frozen"/>
      <selection pane="topRight" activeCell="S31" sqref="S31"/>
    </sheetView>
  </sheetViews>
  <sheetFormatPr defaultColWidth="9.1796875" defaultRowHeight="14.5" x14ac:dyDescent="0.35"/>
  <cols>
    <col min="1" max="1" width="26.1796875" style="45" bestFit="1" customWidth="1"/>
    <col min="2" max="2" width="5.6328125" style="45" bestFit="1" customWidth="1"/>
    <col min="3" max="4" width="7.1796875" style="45" bestFit="1" customWidth="1"/>
    <col min="5" max="6" width="7.26953125" style="45" customWidth="1"/>
    <col min="7" max="8" width="9.26953125" style="45" customWidth="1"/>
    <col min="9" max="10" width="7.26953125" style="45" customWidth="1"/>
    <col min="11" max="11" width="7.54296875" style="45" customWidth="1"/>
    <col min="12" max="12" width="7.26953125" style="45" customWidth="1"/>
    <col min="13" max="13" width="7.54296875" style="45" customWidth="1"/>
    <col min="14" max="15" width="9.26953125" style="45" customWidth="1"/>
    <col min="16" max="16" width="7.54296875" style="45" customWidth="1"/>
    <col min="17" max="17" width="9.26953125" style="45" customWidth="1"/>
    <col min="18" max="20" width="7.54296875" style="45" customWidth="1"/>
    <col min="21" max="21" width="9.26953125" style="45" customWidth="1"/>
    <col min="22" max="24" width="6.7265625" style="45" customWidth="1"/>
    <col min="25" max="27" width="9.1796875" style="45" customWidth="1"/>
    <col min="28" max="16384" width="9.1796875" style="45"/>
  </cols>
  <sheetData>
    <row r="1" spans="1:39" ht="15" customHeight="1" x14ac:dyDescent="0.35">
      <c r="A1" s="30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M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  <c r="AG1" s="2" t="str">
        <f t="shared" si="1"/>
        <v>Mon</v>
      </c>
      <c r="AH1" s="2" t="str">
        <f t="shared" si="1"/>
        <v>Tue</v>
      </c>
      <c r="AI1" s="2" t="str">
        <f t="shared" si="1"/>
        <v>Wed</v>
      </c>
      <c r="AJ1" s="2" t="str">
        <f t="shared" si="1"/>
        <v>Thu</v>
      </c>
      <c r="AK1" s="2" t="str">
        <f t="shared" si="1"/>
        <v>Fri</v>
      </c>
      <c r="AL1" s="2" t="str">
        <f t="shared" si="1"/>
        <v>Sat</v>
      </c>
      <c r="AM1" s="2" t="str">
        <f t="shared" si="1"/>
        <v>Sun</v>
      </c>
    </row>
    <row r="2" spans="1:39" x14ac:dyDescent="0.35">
      <c r="A2" s="7" t="s">
        <v>0</v>
      </c>
      <c r="B2" s="31">
        <v>44771</v>
      </c>
      <c r="C2" s="31">
        <v>44772</v>
      </c>
      <c r="D2" s="31">
        <v>44773</v>
      </c>
      <c r="E2" s="31">
        <v>44774</v>
      </c>
      <c r="F2" s="31">
        <v>44775</v>
      </c>
      <c r="G2" s="31">
        <v>44776</v>
      </c>
      <c r="H2" s="31">
        <v>44777</v>
      </c>
      <c r="I2" s="31">
        <v>44778</v>
      </c>
      <c r="J2" s="31">
        <v>44779</v>
      </c>
      <c r="K2" s="31">
        <v>44780</v>
      </c>
      <c r="L2" s="31">
        <v>44781</v>
      </c>
      <c r="M2" s="31">
        <v>44782</v>
      </c>
      <c r="N2" s="31">
        <v>44783</v>
      </c>
      <c r="O2" s="31">
        <v>44784</v>
      </c>
      <c r="P2" s="31">
        <v>44785</v>
      </c>
      <c r="Q2" s="31">
        <v>44786</v>
      </c>
      <c r="R2" s="31">
        <v>44787</v>
      </c>
      <c r="S2" s="31">
        <v>44788</v>
      </c>
      <c r="T2" s="31">
        <v>44789</v>
      </c>
      <c r="U2" s="31">
        <v>44790</v>
      </c>
      <c r="V2" s="31">
        <v>44791</v>
      </c>
      <c r="W2" s="31">
        <v>44792</v>
      </c>
      <c r="X2" s="31">
        <v>44793</v>
      </c>
      <c r="Y2" s="31">
        <v>44794</v>
      </c>
      <c r="Z2" s="31">
        <v>44795</v>
      </c>
      <c r="AA2" s="31">
        <v>44796</v>
      </c>
      <c r="AB2" s="31">
        <v>44797</v>
      </c>
      <c r="AC2" s="31">
        <v>44798</v>
      </c>
      <c r="AD2" s="31">
        <v>44799</v>
      </c>
      <c r="AE2" s="31">
        <v>44800</v>
      </c>
      <c r="AF2" s="31">
        <v>44801</v>
      </c>
      <c r="AG2" s="31">
        <v>44802</v>
      </c>
      <c r="AH2" s="31">
        <v>44803</v>
      </c>
      <c r="AI2" s="31">
        <v>44804</v>
      </c>
      <c r="AJ2" s="31">
        <v>44805</v>
      </c>
      <c r="AK2" s="31">
        <v>44806</v>
      </c>
      <c r="AL2" s="31">
        <v>44807</v>
      </c>
      <c r="AM2" s="31">
        <v>44808</v>
      </c>
    </row>
    <row r="3" spans="1:39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</row>
    <row r="4" spans="1:39" x14ac:dyDescent="0.35">
      <c r="A4" s="67" t="s">
        <v>1</v>
      </c>
      <c r="B4" s="16" t="s">
        <v>8</v>
      </c>
      <c r="C4" s="17" t="s">
        <v>11</v>
      </c>
      <c r="D4" s="17" t="s">
        <v>11</v>
      </c>
      <c r="E4" s="12" t="s">
        <v>2</v>
      </c>
      <c r="F4" s="10" t="s">
        <v>41</v>
      </c>
      <c r="G4" s="10" t="s">
        <v>41</v>
      </c>
      <c r="H4" s="10" t="s">
        <v>41</v>
      </c>
      <c r="I4" s="12" t="s">
        <v>2</v>
      </c>
      <c r="J4" s="19" t="s">
        <v>42</v>
      </c>
      <c r="K4" s="19" t="s">
        <v>42</v>
      </c>
      <c r="L4" s="10" t="s">
        <v>41</v>
      </c>
      <c r="M4" s="85" t="s">
        <v>95</v>
      </c>
      <c r="N4" s="16" t="s">
        <v>8</v>
      </c>
      <c r="O4" s="16" t="s">
        <v>8</v>
      </c>
      <c r="P4" s="12" t="s">
        <v>2</v>
      </c>
      <c r="Q4" s="19" t="s">
        <v>42</v>
      </c>
      <c r="R4" s="19" t="s">
        <v>42</v>
      </c>
      <c r="S4" s="19" t="s">
        <v>42</v>
      </c>
      <c r="T4" s="16" t="s">
        <v>8</v>
      </c>
      <c r="U4" s="16" t="s">
        <v>8</v>
      </c>
      <c r="V4" s="16" t="s">
        <v>8</v>
      </c>
      <c r="W4" s="12" t="s">
        <v>2</v>
      </c>
      <c r="X4" s="19" t="s">
        <v>42</v>
      </c>
      <c r="Y4" s="19" t="s">
        <v>42</v>
      </c>
      <c r="Z4" s="10" t="s">
        <v>41</v>
      </c>
      <c r="AA4" s="10" t="s">
        <v>41</v>
      </c>
      <c r="AB4" s="12" t="s">
        <v>2</v>
      </c>
      <c r="AC4" s="10" t="s">
        <v>41</v>
      </c>
      <c r="AD4" s="12" t="s">
        <v>2</v>
      </c>
      <c r="AE4" s="19" t="s">
        <v>42</v>
      </c>
      <c r="AF4" s="19" t="s">
        <v>42</v>
      </c>
      <c r="AG4" s="10" t="s">
        <v>41</v>
      </c>
      <c r="AH4" s="10" t="s">
        <v>41</v>
      </c>
      <c r="AI4" s="19" t="s">
        <v>42</v>
      </c>
      <c r="AJ4" s="12" t="s">
        <v>2</v>
      </c>
      <c r="AK4" s="12" t="s">
        <v>2</v>
      </c>
      <c r="AL4" s="19" t="s">
        <v>42</v>
      </c>
      <c r="AM4" s="19" t="s">
        <v>42</v>
      </c>
    </row>
    <row r="5" spans="1:39" x14ac:dyDescent="0.35">
      <c r="A5" s="67" t="s">
        <v>9</v>
      </c>
      <c r="B5" s="83" t="s">
        <v>6</v>
      </c>
      <c r="C5" s="25" t="s">
        <v>3</v>
      </c>
      <c r="D5" s="68" t="s">
        <v>4</v>
      </c>
      <c r="E5" s="17" t="s">
        <v>10</v>
      </c>
      <c r="F5" s="17" t="s">
        <v>10</v>
      </c>
      <c r="G5" s="17" t="s">
        <v>10</v>
      </c>
      <c r="H5" s="17" t="s">
        <v>10</v>
      </c>
      <c r="I5" s="17" t="s">
        <v>10</v>
      </c>
      <c r="J5" s="17" t="s">
        <v>11</v>
      </c>
      <c r="K5" s="17" t="s">
        <v>11</v>
      </c>
      <c r="L5" s="12" t="s">
        <v>2</v>
      </c>
      <c r="M5" s="12" t="s">
        <v>2</v>
      </c>
      <c r="N5" s="25" t="s">
        <v>6</v>
      </c>
      <c r="O5" s="25" t="s">
        <v>6</v>
      </c>
      <c r="P5" s="25" t="s">
        <v>6</v>
      </c>
      <c r="Q5" s="13" t="s">
        <v>5</v>
      </c>
      <c r="R5" s="17" t="s">
        <v>11</v>
      </c>
      <c r="S5" s="17" t="s">
        <v>11</v>
      </c>
      <c r="T5" s="13" t="s">
        <v>5</v>
      </c>
      <c r="U5" s="25" t="s">
        <v>6</v>
      </c>
      <c r="V5" s="25" t="s">
        <v>6</v>
      </c>
      <c r="W5" s="84" t="s">
        <v>16</v>
      </c>
      <c r="X5" s="25" t="s">
        <v>3</v>
      </c>
      <c r="Y5" s="13" t="s">
        <v>5</v>
      </c>
      <c r="Z5" s="13" t="s">
        <v>5</v>
      </c>
      <c r="AA5" s="13" t="s">
        <v>5</v>
      </c>
      <c r="AB5" s="13" t="s">
        <v>5</v>
      </c>
      <c r="AC5" s="13" t="s">
        <v>5</v>
      </c>
      <c r="AD5" s="17" t="s">
        <v>10</v>
      </c>
      <c r="AE5" s="17" t="s">
        <v>11</v>
      </c>
      <c r="AF5" s="17" t="s">
        <v>11</v>
      </c>
      <c r="AG5" s="17" t="s">
        <v>10</v>
      </c>
      <c r="AH5" s="17" t="s">
        <v>10</v>
      </c>
      <c r="AI5" s="13" t="s">
        <v>5</v>
      </c>
      <c r="AJ5" s="25" t="s">
        <v>6</v>
      </c>
      <c r="AK5" s="25" t="s">
        <v>6</v>
      </c>
      <c r="AL5" s="25" t="s">
        <v>3</v>
      </c>
      <c r="AM5" s="13" t="s">
        <v>5</v>
      </c>
    </row>
    <row r="6" spans="1:39" x14ac:dyDescent="0.35">
      <c r="A6" s="67" t="s">
        <v>12</v>
      </c>
      <c r="B6" s="83" t="s">
        <v>41</v>
      </c>
      <c r="C6" s="102" t="s">
        <v>30</v>
      </c>
      <c r="D6" s="101" t="s">
        <v>3</v>
      </c>
      <c r="E6" s="83" t="s">
        <v>41</v>
      </c>
      <c r="F6" s="83" t="s">
        <v>41</v>
      </c>
      <c r="G6" s="83" t="s">
        <v>41</v>
      </c>
      <c r="H6" s="83" t="s">
        <v>41</v>
      </c>
      <c r="I6" s="83" t="s">
        <v>41</v>
      </c>
      <c r="J6" s="83" t="s">
        <v>41</v>
      </c>
      <c r="K6" s="13" t="s">
        <v>5</v>
      </c>
      <c r="L6" s="13" t="s">
        <v>5</v>
      </c>
      <c r="M6" s="13" t="s">
        <v>5</v>
      </c>
      <c r="N6" s="13" t="s">
        <v>5</v>
      </c>
      <c r="O6" s="13" t="s">
        <v>5</v>
      </c>
      <c r="P6" s="13" t="s">
        <v>5</v>
      </c>
      <c r="Q6" s="25" t="s">
        <v>3</v>
      </c>
      <c r="R6" s="25" t="s">
        <v>3</v>
      </c>
      <c r="S6" s="25" t="s">
        <v>3</v>
      </c>
      <c r="T6" s="12" t="s">
        <v>2</v>
      </c>
      <c r="U6" s="12" t="s">
        <v>2</v>
      </c>
      <c r="V6" s="17" t="s">
        <v>10</v>
      </c>
      <c r="W6" s="17" t="s">
        <v>10</v>
      </c>
      <c r="X6" s="17" t="s">
        <v>10</v>
      </c>
      <c r="Y6" s="17" t="s">
        <v>10</v>
      </c>
      <c r="Z6" s="12" t="s">
        <v>2</v>
      </c>
      <c r="AA6" s="12" t="s">
        <v>2</v>
      </c>
      <c r="AB6" s="25" t="s">
        <v>6</v>
      </c>
      <c r="AC6" s="25" t="s">
        <v>6</v>
      </c>
      <c r="AD6" s="25" t="s">
        <v>6</v>
      </c>
      <c r="AE6" s="25" t="s">
        <v>3</v>
      </c>
      <c r="AF6" s="29" t="s">
        <v>4</v>
      </c>
      <c r="AG6" s="12" t="s">
        <v>2</v>
      </c>
      <c r="AH6" s="12" t="s">
        <v>2</v>
      </c>
      <c r="AI6" s="17" t="s">
        <v>10</v>
      </c>
      <c r="AJ6" s="17" t="s">
        <v>10</v>
      </c>
      <c r="AK6" s="17" t="s">
        <v>10</v>
      </c>
      <c r="AL6" s="17" t="s">
        <v>10</v>
      </c>
      <c r="AM6" s="17" t="s">
        <v>10</v>
      </c>
    </row>
    <row r="7" spans="1:39" x14ac:dyDescent="0.35">
      <c r="A7" s="67" t="s">
        <v>14</v>
      </c>
      <c r="B7" s="13" t="s">
        <v>5</v>
      </c>
      <c r="C7" s="68" t="s">
        <v>4</v>
      </c>
      <c r="D7" s="68" t="s">
        <v>4</v>
      </c>
      <c r="E7" s="84" t="s">
        <v>16</v>
      </c>
      <c r="F7" s="84" t="s">
        <v>16</v>
      </c>
      <c r="G7" s="84" t="s">
        <v>16</v>
      </c>
      <c r="H7" s="84" t="s">
        <v>16</v>
      </c>
      <c r="I7" s="84" t="s">
        <v>16</v>
      </c>
      <c r="J7" s="102" t="s">
        <v>30</v>
      </c>
      <c r="K7" s="13" t="s">
        <v>5</v>
      </c>
      <c r="L7" s="13" t="s">
        <v>5</v>
      </c>
      <c r="M7" s="10" t="s">
        <v>41</v>
      </c>
      <c r="N7" s="10" t="s">
        <v>41</v>
      </c>
      <c r="O7" s="10" t="s">
        <v>41</v>
      </c>
      <c r="P7" s="10" t="s">
        <v>41</v>
      </c>
      <c r="Q7" s="13" t="s">
        <v>5</v>
      </c>
      <c r="R7" s="13" t="s">
        <v>5</v>
      </c>
      <c r="S7" s="25" t="s">
        <v>3</v>
      </c>
      <c r="T7" s="10" t="s">
        <v>41</v>
      </c>
      <c r="U7" s="10" t="s">
        <v>41</v>
      </c>
      <c r="V7" s="10" t="s">
        <v>42</v>
      </c>
      <c r="W7" s="10" t="s">
        <v>41</v>
      </c>
      <c r="X7" s="29" t="s">
        <v>4</v>
      </c>
      <c r="Y7" s="25" t="s">
        <v>3</v>
      </c>
      <c r="Z7" s="17" t="s">
        <v>10</v>
      </c>
      <c r="AA7" s="17" t="s">
        <v>10</v>
      </c>
      <c r="AB7" s="17" t="s">
        <v>10</v>
      </c>
      <c r="AC7" s="17" t="s">
        <v>10</v>
      </c>
      <c r="AD7" s="17" t="s">
        <v>10</v>
      </c>
      <c r="AE7" s="13" t="s">
        <v>5</v>
      </c>
      <c r="AF7" s="13" t="s">
        <v>5</v>
      </c>
      <c r="AG7" s="13" t="s">
        <v>5</v>
      </c>
      <c r="AH7" s="13" t="s">
        <v>5</v>
      </c>
      <c r="AI7" s="13" t="s">
        <v>5</v>
      </c>
      <c r="AJ7" s="10" t="s">
        <v>41</v>
      </c>
      <c r="AK7" s="10" t="s">
        <v>41</v>
      </c>
      <c r="AL7" s="19" t="s">
        <v>42</v>
      </c>
      <c r="AM7" s="25" t="s">
        <v>3</v>
      </c>
    </row>
    <row r="8" spans="1:39" ht="15" thickBot="1" x14ac:dyDescent="0.4">
      <c r="A8" s="67" t="s">
        <v>15</v>
      </c>
      <c r="B8" s="10" t="s">
        <v>41</v>
      </c>
      <c r="C8" s="29" t="s">
        <v>4</v>
      </c>
      <c r="D8" s="19" t="s">
        <v>42</v>
      </c>
      <c r="E8" s="25" t="s">
        <v>6</v>
      </c>
      <c r="F8" s="25" t="s">
        <v>6</v>
      </c>
      <c r="G8" s="25" t="s">
        <v>6</v>
      </c>
      <c r="H8" s="12" t="s">
        <v>2</v>
      </c>
      <c r="I8" s="12" t="s">
        <v>2</v>
      </c>
      <c r="J8" s="25" t="s">
        <v>3</v>
      </c>
      <c r="K8" s="17" t="s">
        <v>10</v>
      </c>
      <c r="L8" s="17" t="s">
        <v>10</v>
      </c>
      <c r="M8" s="17" t="s">
        <v>10</v>
      </c>
      <c r="N8" s="17" t="s">
        <v>10</v>
      </c>
      <c r="O8" s="12" t="s">
        <v>2</v>
      </c>
      <c r="P8" s="12" t="s">
        <v>2</v>
      </c>
      <c r="Q8" s="66" t="s">
        <v>30</v>
      </c>
      <c r="R8" s="25" t="s">
        <v>3</v>
      </c>
      <c r="S8" s="19" t="s">
        <v>42</v>
      </c>
      <c r="T8" s="17" t="s">
        <v>10</v>
      </c>
      <c r="U8" s="17" t="s">
        <v>10</v>
      </c>
      <c r="V8" s="12" t="s">
        <v>2</v>
      </c>
      <c r="W8" s="12" t="s">
        <v>2</v>
      </c>
      <c r="X8" s="29" t="s">
        <v>4</v>
      </c>
      <c r="Y8" s="25" t="s">
        <v>3</v>
      </c>
      <c r="Z8" s="25" t="s">
        <v>6</v>
      </c>
      <c r="AA8" s="25" t="s">
        <v>6</v>
      </c>
      <c r="AB8" s="25" t="s">
        <v>6</v>
      </c>
      <c r="AC8" s="25" t="s">
        <v>6</v>
      </c>
      <c r="AD8" s="25" t="s">
        <v>6</v>
      </c>
      <c r="AE8" s="13" t="s">
        <v>5</v>
      </c>
      <c r="AF8" s="13" t="s">
        <v>5</v>
      </c>
      <c r="AG8" s="25" t="s">
        <v>6</v>
      </c>
      <c r="AH8" s="25" t="s">
        <v>6</v>
      </c>
      <c r="AI8" s="25" t="s">
        <v>3</v>
      </c>
      <c r="AJ8" s="25" t="s">
        <v>6</v>
      </c>
      <c r="AK8" s="25" t="s">
        <v>6</v>
      </c>
      <c r="AL8" s="13" t="s">
        <v>5</v>
      </c>
      <c r="AM8" s="13" t="s">
        <v>5</v>
      </c>
    </row>
    <row r="9" spans="1:39" x14ac:dyDescent="0.35">
      <c r="A9" s="67" t="s">
        <v>18</v>
      </c>
      <c r="B9" s="25" t="s">
        <v>6</v>
      </c>
      <c r="C9" s="19" t="s">
        <v>42</v>
      </c>
      <c r="D9" s="29" t="s">
        <v>4</v>
      </c>
      <c r="E9" s="25" t="s">
        <v>6</v>
      </c>
      <c r="F9" s="25" t="s">
        <v>6</v>
      </c>
      <c r="G9" s="25" t="s">
        <v>6</v>
      </c>
      <c r="H9" s="25" t="s">
        <v>6</v>
      </c>
      <c r="I9" s="25" t="s">
        <v>6</v>
      </c>
      <c r="J9" s="29" t="s">
        <v>4</v>
      </c>
      <c r="K9" s="25" t="s">
        <v>3</v>
      </c>
      <c r="L9" s="25" t="s">
        <v>6</v>
      </c>
      <c r="M9" s="25" t="s">
        <v>6</v>
      </c>
      <c r="N9" s="25" t="s">
        <v>6</v>
      </c>
      <c r="O9" s="17" t="s">
        <v>10</v>
      </c>
      <c r="P9" s="17" t="s">
        <v>10</v>
      </c>
      <c r="Q9" s="29" t="s">
        <v>4</v>
      </c>
      <c r="R9" s="29" t="s">
        <v>4</v>
      </c>
      <c r="S9" s="85" t="s">
        <v>37</v>
      </c>
      <c r="T9" s="25" t="s">
        <v>6</v>
      </c>
      <c r="U9" s="25" t="s">
        <v>6</v>
      </c>
      <c r="V9" s="25" t="s">
        <v>6</v>
      </c>
      <c r="W9" s="25" t="s">
        <v>6</v>
      </c>
      <c r="X9" s="25" t="s">
        <v>3</v>
      </c>
      <c r="Y9" s="29" t="s">
        <v>4</v>
      </c>
      <c r="Z9" s="84" t="s">
        <v>16</v>
      </c>
      <c r="AA9" s="84" t="s">
        <v>16</v>
      </c>
      <c r="AB9" s="84" t="s">
        <v>16</v>
      </c>
      <c r="AC9" s="84" t="s">
        <v>16</v>
      </c>
      <c r="AD9" s="84" t="s">
        <v>16</v>
      </c>
      <c r="AE9" s="84" t="s">
        <v>30</v>
      </c>
      <c r="AF9" s="84" t="s">
        <v>3</v>
      </c>
      <c r="AG9" s="12" t="s">
        <v>2</v>
      </c>
      <c r="AH9" s="10" t="s">
        <v>41</v>
      </c>
      <c r="AI9" s="10" t="s">
        <v>42</v>
      </c>
      <c r="AJ9" s="10" t="s">
        <v>41</v>
      </c>
      <c r="AK9" s="10" t="s">
        <v>41</v>
      </c>
      <c r="AL9" s="29" t="s">
        <v>4</v>
      </c>
      <c r="AM9" s="29" t="s">
        <v>4</v>
      </c>
    </row>
    <row r="10" spans="1:39" ht="14" customHeight="1" x14ac:dyDescent="0.35">
      <c r="A10" s="67" t="s">
        <v>21</v>
      </c>
      <c r="B10" s="17" t="s">
        <v>10</v>
      </c>
      <c r="C10" s="17" t="s">
        <v>11</v>
      </c>
      <c r="D10" s="17" t="s">
        <v>11</v>
      </c>
      <c r="E10" s="12" t="s">
        <v>2</v>
      </c>
      <c r="F10" s="12" t="s">
        <v>2</v>
      </c>
      <c r="G10" s="10" t="s">
        <v>41</v>
      </c>
      <c r="H10" s="10" t="s">
        <v>41</v>
      </c>
      <c r="I10" s="10" t="s">
        <v>41</v>
      </c>
      <c r="J10" s="29" t="s">
        <v>4</v>
      </c>
      <c r="K10" s="25" t="s">
        <v>3</v>
      </c>
      <c r="L10" s="25" t="s">
        <v>6</v>
      </c>
      <c r="M10" s="25" t="s">
        <v>6</v>
      </c>
      <c r="N10" s="25" t="s">
        <v>6</v>
      </c>
      <c r="O10" s="17" t="s">
        <v>10</v>
      </c>
      <c r="P10" s="17" t="s">
        <v>10</v>
      </c>
      <c r="Q10" s="17" t="s">
        <v>10</v>
      </c>
      <c r="R10" s="29" t="s">
        <v>4</v>
      </c>
      <c r="S10" s="85" t="s">
        <v>37</v>
      </c>
      <c r="T10" s="10" t="s">
        <v>41</v>
      </c>
      <c r="U10" s="13" t="s">
        <v>5</v>
      </c>
      <c r="V10" s="13" t="s">
        <v>5</v>
      </c>
      <c r="W10" s="13" t="s">
        <v>5</v>
      </c>
      <c r="X10" s="17" t="s">
        <v>10</v>
      </c>
      <c r="Y10" s="17" t="s">
        <v>10</v>
      </c>
      <c r="Z10" s="13" t="s">
        <v>5</v>
      </c>
      <c r="AA10" s="25" t="s">
        <v>6</v>
      </c>
      <c r="AB10" s="25" t="s">
        <v>6</v>
      </c>
      <c r="AC10" s="84" t="s">
        <v>16</v>
      </c>
      <c r="AD10" s="83" t="s">
        <v>41</v>
      </c>
      <c r="AE10" s="84" t="s">
        <v>42</v>
      </c>
      <c r="AF10" s="84" t="s">
        <v>42</v>
      </c>
      <c r="AG10" s="83" t="s">
        <v>3</v>
      </c>
      <c r="AH10" s="84" t="s">
        <v>6</v>
      </c>
      <c r="AI10" s="13" t="s">
        <v>5</v>
      </c>
      <c r="AJ10" s="17" t="s">
        <v>10</v>
      </c>
      <c r="AK10" s="17" t="s">
        <v>10</v>
      </c>
      <c r="AL10" s="17" t="s">
        <v>10</v>
      </c>
      <c r="AM10" s="17" t="s">
        <v>10</v>
      </c>
    </row>
    <row r="11" spans="1:39" x14ac:dyDescent="0.35">
      <c r="A11" s="67" t="s">
        <v>43</v>
      </c>
      <c r="B11" s="17" t="s">
        <v>10</v>
      </c>
      <c r="C11" s="29" t="s">
        <v>4</v>
      </c>
      <c r="D11" s="25" t="s">
        <v>3</v>
      </c>
      <c r="E11" s="83" t="s">
        <v>153</v>
      </c>
      <c r="F11" s="83" t="s">
        <v>6</v>
      </c>
      <c r="G11" s="83" t="s">
        <v>6</v>
      </c>
      <c r="H11" s="83" t="s">
        <v>6</v>
      </c>
      <c r="I11" s="83" t="s">
        <v>6</v>
      </c>
      <c r="J11" s="83" t="s">
        <v>3</v>
      </c>
      <c r="K11" s="29" t="s">
        <v>4</v>
      </c>
      <c r="L11" s="10" t="s">
        <v>41</v>
      </c>
      <c r="M11" s="10" t="s">
        <v>41</v>
      </c>
      <c r="N11" s="10" t="s">
        <v>41</v>
      </c>
      <c r="O11" s="25" t="s">
        <v>3</v>
      </c>
      <c r="P11" s="25" t="s">
        <v>6</v>
      </c>
      <c r="Q11" s="29" t="s">
        <v>4</v>
      </c>
      <c r="R11" s="17" t="s">
        <v>10</v>
      </c>
      <c r="S11" s="17" t="s">
        <v>10</v>
      </c>
      <c r="T11" s="17" t="s">
        <v>10</v>
      </c>
      <c r="U11" s="17" t="s">
        <v>10</v>
      </c>
      <c r="V11" s="17" t="s">
        <v>10</v>
      </c>
      <c r="W11" s="17" t="s">
        <v>10</v>
      </c>
      <c r="X11" s="29" t="s">
        <v>4</v>
      </c>
      <c r="Y11" s="29" t="s">
        <v>4</v>
      </c>
      <c r="Z11" s="25" t="s">
        <v>6</v>
      </c>
      <c r="AA11" s="10" t="s">
        <v>41</v>
      </c>
      <c r="AB11" s="10" t="s">
        <v>41</v>
      </c>
      <c r="AC11" s="10" t="s">
        <v>41</v>
      </c>
      <c r="AD11" s="12" t="s">
        <v>2</v>
      </c>
      <c r="AE11" s="17" t="s">
        <v>10</v>
      </c>
      <c r="AF11" s="17" t="s">
        <v>10</v>
      </c>
      <c r="AG11" s="17" t="s">
        <v>10</v>
      </c>
      <c r="AH11" s="17" t="s">
        <v>10</v>
      </c>
      <c r="AI11" s="17" t="s">
        <v>10</v>
      </c>
      <c r="AJ11" s="12" t="s">
        <v>2</v>
      </c>
      <c r="AK11" s="12" t="s">
        <v>2</v>
      </c>
      <c r="AL11" s="25" t="s">
        <v>3</v>
      </c>
      <c r="AM11" s="25" t="s">
        <v>3</v>
      </c>
    </row>
    <row r="12" spans="1:39" ht="15" thickBot="1" x14ac:dyDescent="0.4">
      <c r="A12" s="67" t="s">
        <v>86</v>
      </c>
      <c r="B12" s="13" t="s">
        <v>5</v>
      </c>
      <c r="C12" s="68" t="s">
        <v>4</v>
      </c>
      <c r="D12" s="68" t="s">
        <v>4</v>
      </c>
      <c r="E12" s="17" t="s">
        <v>10</v>
      </c>
      <c r="F12" s="17" t="s">
        <v>10</v>
      </c>
      <c r="G12" s="17" t="s">
        <v>10</v>
      </c>
      <c r="H12" s="17" t="s">
        <v>10</v>
      </c>
      <c r="I12" s="17" t="s">
        <v>10</v>
      </c>
      <c r="J12" s="17" t="s">
        <v>11</v>
      </c>
      <c r="K12" s="29" t="s">
        <v>4</v>
      </c>
      <c r="L12" s="10" t="s">
        <v>41</v>
      </c>
      <c r="M12" s="10" t="s">
        <v>41</v>
      </c>
      <c r="N12" s="83" t="s">
        <v>41</v>
      </c>
      <c r="O12" s="10" t="s">
        <v>41</v>
      </c>
      <c r="P12" s="83" t="s">
        <v>41</v>
      </c>
      <c r="Q12" s="29" t="s">
        <v>4</v>
      </c>
      <c r="R12" s="29" t="s">
        <v>4</v>
      </c>
      <c r="S12" s="85" t="s">
        <v>37</v>
      </c>
      <c r="T12" s="10" t="s">
        <v>41</v>
      </c>
      <c r="U12" s="83" t="s">
        <v>41</v>
      </c>
      <c r="V12" s="10" t="s">
        <v>41</v>
      </c>
      <c r="W12" s="83" t="s">
        <v>41</v>
      </c>
      <c r="X12" s="66" t="s">
        <v>30</v>
      </c>
      <c r="Y12" s="29" t="s">
        <v>4</v>
      </c>
      <c r="Z12" s="10" t="s">
        <v>41</v>
      </c>
      <c r="AA12" s="10" t="s">
        <v>41</v>
      </c>
      <c r="AB12" s="84" t="s">
        <v>16</v>
      </c>
      <c r="AC12" s="10" t="s">
        <v>41</v>
      </c>
      <c r="AD12" s="84" t="s">
        <v>16</v>
      </c>
      <c r="AE12" s="29" t="s">
        <v>4</v>
      </c>
      <c r="AF12" s="25" t="s">
        <v>3</v>
      </c>
      <c r="AG12" s="10" t="s">
        <v>41</v>
      </c>
      <c r="AH12" s="10" t="s">
        <v>41</v>
      </c>
      <c r="AI12" s="10" t="s">
        <v>42</v>
      </c>
      <c r="AJ12" s="10" t="s">
        <v>41</v>
      </c>
      <c r="AK12" s="12" t="s">
        <v>2</v>
      </c>
      <c r="AL12" s="29" t="s">
        <v>4</v>
      </c>
      <c r="AM12" s="29" t="s">
        <v>4</v>
      </c>
    </row>
    <row r="13" spans="1:39" x14ac:dyDescent="0.35">
      <c r="A13" s="67" t="s">
        <v>22</v>
      </c>
      <c r="B13" s="84" t="s">
        <v>16</v>
      </c>
      <c r="C13" s="101" t="s">
        <v>3</v>
      </c>
      <c r="D13" s="29" t="s">
        <v>4</v>
      </c>
      <c r="E13" s="10" t="s">
        <v>41</v>
      </c>
      <c r="F13" s="10" t="s">
        <v>41</v>
      </c>
      <c r="G13" s="10" t="s">
        <v>41</v>
      </c>
      <c r="H13" s="10" t="s">
        <v>41</v>
      </c>
      <c r="I13" s="13" t="s">
        <v>5</v>
      </c>
      <c r="J13" s="13" t="s">
        <v>5</v>
      </c>
      <c r="K13" s="13" t="s">
        <v>5</v>
      </c>
      <c r="L13" s="13" t="s">
        <v>5</v>
      </c>
      <c r="M13" s="13" t="s">
        <v>5</v>
      </c>
      <c r="N13" s="13" t="s">
        <v>5</v>
      </c>
      <c r="O13" s="13" t="s">
        <v>5</v>
      </c>
      <c r="P13" s="25" t="s">
        <v>6</v>
      </c>
      <c r="Q13" s="25" t="s">
        <v>3</v>
      </c>
      <c r="R13" s="25" t="s">
        <v>3</v>
      </c>
      <c r="S13" s="25" t="s">
        <v>3</v>
      </c>
      <c r="T13" s="25" t="s">
        <v>6</v>
      </c>
      <c r="U13" s="12" t="s">
        <v>2</v>
      </c>
      <c r="V13" s="12" t="s">
        <v>2</v>
      </c>
      <c r="W13" s="25" t="s">
        <v>6</v>
      </c>
      <c r="X13" s="29" t="s">
        <v>4</v>
      </c>
      <c r="Y13" s="29" t="s">
        <v>4</v>
      </c>
      <c r="Z13" s="25" t="s">
        <v>6</v>
      </c>
      <c r="AA13" s="25" t="s">
        <v>6</v>
      </c>
      <c r="AB13" s="13" t="s">
        <v>5</v>
      </c>
      <c r="AC13" s="84" t="s">
        <v>16</v>
      </c>
      <c r="AD13" s="84" t="s">
        <v>16</v>
      </c>
      <c r="AE13" s="84" t="s">
        <v>3</v>
      </c>
      <c r="AF13" s="29" t="s">
        <v>4</v>
      </c>
      <c r="AG13" s="84" t="s">
        <v>16</v>
      </c>
      <c r="AH13" s="84" t="s">
        <v>16</v>
      </c>
      <c r="AI13" s="84" t="s">
        <v>30</v>
      </c>
      <c r="AJ13" s="84" t="s">
        <v>16</v>
      </c>
      <c r="AK13" s="84" t="s">
        <v>16</v>
      </c>
      <c r="AL13" s="84" t="s">
        <v>30</v>
      </c>
      <c r="AM13" s="29" t="s">
        <v>4</v>
      </c>
    </row>
    <row r="14" spans="1:39" x14ac:dyDescent="0.35">
      <c r="A14" s="67" t="s">
        <v>71</v>
      </c>
      <c r="B14" s="13" t="s">
        <v>5</v>
      </c>
      <c r="C14" s="29" t="s">
        <v>4</v>
      </c>
      <c r="D14" s="29" t="s">
        <v>4</v>
      </c>
      <c r="E14" s="13" t="s">
        <v>5</v>
      </c>
      <c r="F14" s="10" t="s">
        <v>41</v>
      </c>
      <c r="G14" s="13" t="s">
        <v>5</v>
      </c>
      <c r="H14" s="10" t="s">
        <v>41</v>
      </c>
      <c r="I14" s="10" t="s">
        <v>41</v>
      </c>
      <c r="J14" s="19" t="s">
        <v>42</v>
      </c>
      <c r="K14" s="19" t="s">
        <v>42</v>
      </c>
      <c r="L14" s="10" t="s">
        <v>41</v>
      </c>
      <c r="M14" s="10" t="s">
        <v>41</v>
      </c>
      <c r="N14" s="12" t="s">
        <v>2</v>
      </c>
      <c r="O14" s="85" t="s">
        <v>95</v>
      </c>
      <c r="P14" s="10" t="s">
        <v>41</v>
      </c>
      <c r="Q14" s="29" t="s">
        <v>4</v>
      </c>
      <c r="R14" s="29" t="s">
        <v>4</v>
      </c>
      <c r="S14" s="85" t="s">
        <v>37</v>
      </c>
      <c r="T14" s="84" t="s">
        <v>16</v>
      </c>
      <c r="U14" s="84" t="s">
        <v>16</v>
      </c>
      <c r="V14" s="84" t="s">
        <v>16</v>
      </c>
      <c r="W14" s="10" t="s">
        <v>41</v>
      </c>
      <c r="X14" s="19" t="s">
        <v>42</v>
      </c>
      <c r="Y14" s="19" t="s">
        <v>42</v>
      </c>
      <c r="Z14" s="10" t="s">
        <v>41</v>
      </c>
      <c r="AA14" s="84" t="s">
        <v>16</v>
      </c>
      <c r="AB14" s="84" t="s">
        <v>16</v>
      </c>
      <c r="AC14" s="84" t="s">
        <v>16</v>
      </c>
      <c r="AD14" s="10" t="s">
        <v>41</v>
      </c>
      <c r="AE14" s="29" t="s">
        <v>4</v>
      </c>
      <c r="AF14" s="29" t="s">
        <v>4</v>
      </c>
      <c r="AG14" s="10" t="s">
        <v>41</v>
      </c>
      <c r="AH14" s="25" t="s">
        <v>6</v>
      </c>
      <c r="AI14" s="13" t="s">
        <v>5</v>
      </c>
      <c r="AJ14" s="10" t="s">
        <v>41</v>
      </c>
      <c r="AK14" s="10" t="s">
        <v>41</v>
      </c>
      <c r="AL14" s="29" t="s">
        <v>4</v>
      </c>
      <c r="AM14" s="19" t="s">
        <v>42</v>
      </c>
    </row>
    <row r="15" spans="1:39" x14ac:dyDescent="0.35">
      <c r="A15" s="67" t="s">
        <v>87</v>
      </c>
      <c r="B15" s="25" t="s">
        <v>6</v>
      </c>
      <c r="C15" s="29" t="s">
        <v>4</v>
      </c>
      <c r="D15" s="19" t="s">
        <v>42</v>
      </c>
      <c r="E15" s="25" t="s">
        <v>6</v>
      </c>
      <c r="F15" s="25" t="s">
        <v>6</v>
      </c>
      <c r="G15" s="25" t="s">
        <v>6</v>
      </c>
      <c r="H15" s="25" t="s">
        <v>6</v>
      </c>
      <c r="I15" s="25" t="s">
        <v>6</v>
      </c>
      <c r="J15" s="29" t="s">
        <v>4</v>
      </c>
      <c r="K15" s="29" t="s">
        <v>4</v>
      </c>
      <c r="L15" s="25" t="s">
        <v>6</v>
      </c>
      <c r="M15" s="25" t="s">
        <v>6</v>
      </c>
      <c r="N15" s="25" t="s">
        <v>6</v>
      </c>
      <c r="O15" s="13" t="s">
        <v>5</v>
      </c>
      <c r="P15" s="25" t="s">
        <v>6</v>
      </c>
      <c r="Q15" s="19" t="s">
        <v>42</v>
      </c>
      <c r="R15" s="19" t="s">
        <v>42</v>
      </c>
      <c r="S15" s="85" t="s">
        <v>37</v>
      </c>
      <c r="T15" s="84" t="s">
        <v>16</v>
      </c>
      <c r="U15" s="84" t="s">
        <v>16</v>
      </c>
      <c r="V15" s="84" t="s">
        <v>16</v>
      </c>
      <c r="W15" s="84" t="s">
        <v>16</v>
      </c>
      <c r="X15" s="29" t="s">
        <v>4</v>
      </c>
      <c r="Y15" s="29" t="s">
        <v>4</v>
      </c>
      <c r="Z15" s="84" t="s">
        <v>16</v>
      </c>
      <c r="AA15" s="84" t="s">
        <v>16</v>
      </c>
      <c r="AB15" s="10" t="s">
        <v>41</v>
      </c>
      <c r="AC15" s="25" t="s">
        <v>6</v>
      </c>
      <c r="AD15" s="25" t="s">
        <v>6</v>
      </c>
      <c r="AE15" s="29" t="s">
        <v>4</v>
      </c>
      <c r="AF15" s="19" t="s">
        <v>42</v>
      </c>
      <c r="AG15" s="10" t="s">
        <v>41</v>
      </c>
      <c r="AH15" s="13" t="s">
        <v>5</v>
      </c>
      <c r="AI15" s="25" t="s">
        <v>3</v>
      </c>
      <c r="AJ15" s="25" t="s">
        <v>6</v>
      </c>
      <c r="AK15" s="25" t="s">
        <v>6</v>
      </c>
      <c r="AL15" s="29" t="s">
        <v>4</v>
      </c>
      <c r="AM15" s="29" t="s">
        <v>4</v>
      </c>
    </row>
    <row r="16" spans="1:39" x14ac:dyDescent="0.35">
      <c r="A16" s="67" t="s">
        <v>85</v>
      </c>
      <c r="B16" s="10" t="s">
        <v>41</v>
      </c>
      <c r="C16" s="29" t="s">
        <v>4</v>
      </c>
      <c r="D16" s="29" t="s">
        <v>4</v>
      </c>
      <c r="E16" s="16" t="s">
        <v>8</v>
      </c>
      <c r="F16" s="16" t="s">
        <v>8</v>
      </c>
      <c r="G16" s="16" t="s">
        <v>8</v>
      </c>
      <c r="H16" s="16" t="s">
        <v>8</v>
      </c>
      <c r="I16" s="16" t="s">
        <v>8</v>
      </c>
      <c r="J16" s="29" t="s">
        <v>4</v>
      </c>
      <c r="K16" s="29" t="s">
        <v>4</v>
      </c>
      <c r="L16" s="17" t="s">
        <v>10</v>
      </c>
      <c r="M16" s="17" t="s">
        <v>10</v>
      </c>
      <c r="N16" s="17" t="s">
        <v>10</v>
      </c>
      <c r="O16" s="85" t="s">
        <v>95</v>
      </c>
      <c r="P16" s="16" t="s">
        <v>8</v>
      </c>
      <c r="Q16" s="29" t="s">
        <v>4</v>
      </c>
      <c r="R16" s="29" t="s">
        <v>4</v>
      </c>
      <c r="S16" s="19" t="s">
        <v>42</v>
      </c>
      <c r="T16" s="25" t="s">
        <v>6</v>
      </c>
      <c r="U16" s="25" t="s">
        <v>6</v>
      </c>
      <c r="V16" s="25" t="s">
        <v>6</v>
      </c>
      <c r="W16" s="25" t="s">
        <v>6</v>
      </c>
      <c r="X16" s="29" t="s">
        <v>4</v>
      </c>
      <c r="Y16" s="29" t="s">
        <v>4</v>
      </c>
      <c r="Z16" s="10" t="s">
        <v>41</v>
      </c>
      <c r="AA16" s="10" t="s">
        <v>41</v>
      </c>
      <c r="AB16" s="84" t="s">
        <v>16</v>
      </c>
      <c r="AC16" s="84" t="s">
        <v>16</v>
      </c>
      <c r="AD16" s="84" t="s">
        <v>16</v>
      </c>
      <c r="AE16" s="29" t="s">
        <v>4</v>
      </c>
      <c r="AF16" s="29" t="s">
        <v>4</v>
      </c>
      <c r="AG16" s="84" t="s">
        <v>16</v>
      </c>
      <c r="AH16" s="84" t="s">
        <v>16</v>
      </c>
      <c r="AI16" s="84" t="s">
        <v>30</v>
      </c>
      <c r="AJ16" s="84" t="s">
        <v>16</v>
      </c>
      <c r="AK16" s="84" t="s">
        <v>16</v>
      </c>
      <c r="AL16" s="29" t="s">
        <v>4</v>
      </c>
      <c r="AM16" s="29" t="s">
        <v>4</v>
      </c>
    </row>
    <row r="17" spans="1:39" x14ac:dyDescent="0.35">
      <c r="A17" s="67" t="s">
        <v>88</v>
      </c>
      <c r="B17" s="84" t="s">
        <v>16</v>
      </c>
      <c r="C17" s="83" t="s">
        <v>42</v>
      </c>
      <c r="D17" s="29" t="s">
        <v>4</v>
      </c>
      <c r="E17" s="84" t="s">
        <v>16</v>
      </c>
      <c r="F17" s="84" t="s">
        <v>16</v>
      </c>
      <c r="G17" s="84" t="s">
        <v>16</v>
      </c>
      <c r="H17" s="84" t="s">
        <v>16</v>
      </c>
      <c r="I17" s="84" t="s">
        <v>16</v>
      </c>
      <c r="J17" s="29" t="s">
        <v>4</v>
      </c>
      <c r="K17" s="29" t="s">
        <v>4</v>
      </c>
      <c r="L17" s="84" t="s">
        <v>16</v>
      </c>
      <c r="M17" s="13" t="s">
        <v>5</v>
      </c>
      <c r="N17" s="10" t="s">
        <v>41</v>
      </c>
      <c r="O17" s="10" t="s">
        <v>41</v>
      </c>
      <c r="P17" s="10" t="s">
        <v>41</v>
      </c>
      <c r="Q17" s="29" t="s">
        <v>4</v>
      </c>
      <c r="R17" s="29" t="s">
        <v>4</v>
      </c>
      <c r="S17" s="85" t="s">
        <v>37</v>
      </c>
      <c r="T17" s="13" t="s">
        <v>5</v>
      </c>
      <c r="U17" s="10" t="s">
        <v>41</v>
      </c>
      <c r="V17" s="10" t="s">
        <v>41</v>
      </c>
      <c r="W17" s="10" t="s">
        <v>41</v>
      </c>
      <c r="X17" s="29" t="s">
        <v>4</v>
      </c>
      <c r="Y17" s="29" t="s">
        <v>4</v>
      </c>
      <c r="Z17" s="17" t="s">
        <v>10</v>
      </c>
      <c r="AA17" s="17" t="s">
        <v>10</v>
      </c>
      <c r="AB17" s="17" t="s">
        <v>10</v>
      </c>
      <c r="AC17" s="17" t="s">
        <v>10</v>
      </c>
      <c r="AD17" s="16" t="s">
        <v>8</v>
      </c>
      <c r="AE17" s="29" t="s">
        <v>4</v>
      </c>
      <c r="AF17" s="29" t="s">
        <v>4</v>
      </c>
      <c r="AG17" s="25" t="s">
        <v>6</v>
      </c>
      <c r="AH17" s="25" t="s">
        <v>6</v>
      </c>
      <c r="AI17" s="25" t="s">
        <v>3</v>
      </c>
      <c r="AJ17" s="25" t="s">
        <v>6</v>
      </c>
      <c r="AK17" s="25" t="s">
        <v>6</v>
      </c>
      <c r="AL17" s="29" t="s">
        <v>4</v>
      </c>
      <c r="AM17" s="29" t="s">
        <v>4</v>
      </c>
    </row>
    <row r="19" spans="1:39" x14ac:dyDescent="0.35">
      <c r="A19" s="24" t="s">
        <v>23</v>
      </c>
      <c r="B19" s="71"/>
      <c r="C19" s="71"/>
      <c r="D19" s="71"/>
    </row>
    <row r="20" spans="1:39" x14ac:dyDescent="0.35">
      <c r="A20" s="1" t="s">
        <v>24</v>
      </c>
      <c r="B20" s="103"/>
      <c r="C20" s="103"/>
      <c r="D20" s="103"/>
    </row>
    <row r="21" spans="1:39" x14ac:dyDescent="0.35">
      <c r="A21" s="1" t="s">
        <v>25</v>
      </c>
      <c r="B21" s="103"/>
      <c r="C21" s="103"/>
      <c r="D21" s="103"/>
    </row>
    <row r="22" spans="1:39" x14ac:dyDescent="0.35">
      <c r="A22" s="1" t="s">
        <v>47</v>
      </c>
      <c r="B22" s="103"/>
      <c r="C22" s="103"/>
      <c r="D22" s="103"/>
    </row>
    <row r="23" spans="1:39" x14ac:dyDescent="0.35">
      <c r="A23" s="1" t="s">
        <v>48</v>
      </c>
      <c r="B23" s="103"/>
      <c r="C23" s="103"/>
      <c r="D23" s="103"/>
    </row>
    <row r="24" spans="1:39" x14ac:dyDescent="0.35">
      <c r="A24" s="26" t="s">
        <v>26</v>
      </c>
      <c r="B24" s="104"/>
      <c r="C24" s="104"/>
      <c r="D24" s="104"/>
    </row>
    <row r="25" spans="1:39" x14ac:dyDescent="0.35">
      <c r="A25" s="26" t="s">
        <v>27</v>
      </c>
      <c r="B25" s="104"/>
      <c r="C25" s="104"/>
      <c r="D25" s="104"/>
    </row>
    <row r="26" spans="1:39" x14ac:dyDescent="0.35">
      <c r="A26" s="26" t="s">
        <v>28</v>
      </c>
      <c r="B26" s="104"/>
      <c r="C26" s="104"/>
      <c r="D26" s="104"/>
    </row>
    <row r="27" spans="1:39" x14ac:dyDescent="0.35">
      <c r="A27" s="26" t="s">
        <v>29</v>
      </c>
      <c r="B27" s="104"/>
      <c r="C27" s="104"/>
      <c r="D27" s="104"/>
    </row>
    <row r="28" spans="1:39" x14ac:dyDescent="0.35">
      <c r="A28" s="26" t="s">
        <v>49</v>
      </c>
      <c r="B28" s="104"/>
      <c r="C28" s="104"/>
      <c r="D28" s="104"/>
    </row>
    <row r="29" spans="1:39" x14ac:dyDescent="0.35">
      <c r="A29" s="26" t="s">
        <v>50</v>
      </c>
      <c r="B29" s="104"/>
      <c r="C29" s="104"/>
      <c r="D29" s="104"/>
    </row>
    <row r="30" spans="1:39" x14ac:dyDescent="0.35">
      <c r="A30" s="26" t="s">
        <v>31</v>
      </c>
      <c r="B30" s="104"/>
      <c r="C30" s="104"/>
      <c r="D30" s="104"/>
    </row>
    <row r="31" spans="1:39" x14ac:dyDescent="0.35">
      <c r="A31" s="26" t="s">
        <v>32</v>
      </c>
      <c r="B31" s="104"/>
      <c r="C31" s="104"/>
      <c r="D31" s="104"/>
    </row>
    <row r="32" spans="1:39" x14ac:dyDescent="0.35">
      <c r="A32" s="26" t="s">
        <v>33</v>
      </c>
      <c r="B32" s="104"/>
      <c r="C32" s="104"/>
      <c r="D32" s="104"/>
    </row>
    <row r="33" spans="1:4" x14ac:dyDescent="0.35">
      <c r="A33" s="26" t="s">
        <v>35</v>
      </c>
      <c r="B33" s="104"/>
      <c r="C33" s="104"/>
      <c r="D33" s="104"/>
    </row>
    <row r="34" spans="1:4" x14ac:dyDescent="0.35">
      <c r="A34" s="26" t="s">
        <v>36</v>
      </c>
      <c r="B34" s="104"/>
      <c r="C34" s="104"/>
      <c r="D34" s="104"/>
    </row>
    <row r="35" spans="1:4" x14ac:dyDescent="0.35">
      <c r="A35" s="26" t="s">
        <v>38</v>
      </c>
      <c r="B35" s="104"/>
      <c r="C35" s="104"/>
      <c r="D35" s="104"/>
    </row>
    <row r="36" spans="1:4" x14ac:dyDescent="0.35">
      <c r="A36" s="26" t="s">
        <v>36</v>
      </c>
      <c r="B36" s="104"/>
      <c r="C36" s="104"/>
      <c r="D36" s="104"/>
    </row>
    <row r="37" spans="1:4" x14ac:dyDescent="0.35">
      <c r="A37" s="26" t="s">
        <v>38</v>
      </c>
      <c r="B37" s="104"/>
      <c r="C37" s="104"/>
      <c r="D37" s="104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49"/>
  <sheetViews>
    <sheetView zoomScale="76" zoomScaleNormal="76" workbookViewId="0">
      <pane xSplit="1" topLeftCell="B1" activePane="topRight" state="frozen"/>
      <selection pane="topRight" activeCell="W5" sqref="W5:X5"/>
    </sheetView>
  </sheetViews>
  <sheetFormatPr defaultColWidth="9.1796875" defaultRowHeight="14.5" x14ac:dyDescent="0.35"/>
  <cols>
    <col min="1" max="1" width="41" style="45" customWidth="1"/>
    <col min="2" max="4" width="5.6328125" style="45" hidden="1" customWidth="1"/>
    <col min="5" max="6" width="7.1796875" style="45" hidden="1" customWidth="1"/>
    <col min="7" max="8" width="7.26953125" style="45" customWidth="1"/>
    <col min="9" max="10" width="9.26953125" style="45" customWidth="1"/>
    <col min="11" max="12" width="7.26953125" style="45" customWidth="1"/>
    <col min="13" max="13" width="7.54296875" style="45" customWidth="1"/>
    <col min="14" max="14" width="7.26953125" style="45" customWidth="1"/>
    <col min="15" max="15" width="7.54296875" style="45" customWidth="1"/>
    <col min="16" max="17" width="9.26953125" style="45" customWidth="1"/>
    <col min="18" max="18" width="7.54296875" style="45" customWidth="1"/>
    <col min="19" max="19" width="9.26953125" style="45" customWidth="1"/>
    <col min="20" max="22" width="7.54296875" style="45" customWidth="1"/>
    <col min="23" max="23" width="9.26953125" style="45" customWidth="1"/>
    <col min="24" max="26" width="6.7265625" style="45" customWidth="1"/>
    <col min="27" max="29" width="9.1796875" style="45" customWidth="1"/>
    <col min="30" max="16384" width="9.1796875" style="45"/>
  </cols>
  <sheetData>
    <row r="1" spans="1:37" ht="15" customHeight="1" x14ac:dyDescent="0.35">
      <c r="A1" s="30"/>
      <c r="B1" s="2" t="str">
        <f t="shared" ref="B1:F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ref="G1:AK1" si="1">TEXT(G2,"ddd")</f>
        <v>Mon</v>
      </c>
      <c r="H1" s="2" t="str">
        <f t="shared" si="1"/>
        <v>Tue</v>
      </c>
      <c r="I1" s="2" t="str">
        <f t="shared" si="1"/>
        <v>Wed</v>
      </c>
      <c r="J1" s="2" t="str">
        <f t="shared" si="1"/>
        <v>Thu</v>
      </c>
      <c r="K1" s="2" t="str">
        <f t="shared" si="1"/>
        <v>Fri</v>
      </c>
      <c r="L1" s="2" t="str">
        <f t="shared" si="1"/>
        <v>Sat</v>
      </c>
      <c r="M1" s="2" t="str">
        <f t="shared" si="1"/>
        <v>Sun</v>
      </c>
      <c r="N1" s="2" t="str">
        <f t="shared" si="1"/>
        <v>Mon</v>
      </c>
      <c r="O1" s="2" t="str">
        <f t="shared" si="1"/>
        <v>Tue</v>
      </c>
      <c r="P1" s="2" t="str">
        <f t="shared" si="1"/>
        <v>Wed</v>
      </c>
      <c r="Q1" s="2" t="str">
        <f t="shared" si="1"/>
        <v>Thu</v>
      </c>
      <c r="R1" s="2" t="str">
        <f t="shared" si="1"/>
        <v>Fri</v>
      </c>
      <c r="S1" s="2" t="str">
        <f t="shared" si="1"/>
        <v>Sat</v>
      </c>
      <c r="T1" s="2" t="str">
        <f t="shared" si="1"/>
        <v>Sun</v>
      </c>
      <c r="U1" s="2" t="str">
        <f t="shared" si="1"/>
        <v>Mon</v>
      </c>
      <c r="V1" s="2" t="str">
        <f t="shared" si="1"/>
        <v>Tue</v>
      </c>
      <c r="W1" s="2" t="str">
        <f t="shared" si="1"/>
        <v>Wed</v>
      </c>
      <c r="X1" s="2" t="str">
        <f t="shared" si="1"/>
        <v>Thu</v>
      </c>
      <c r="Y1" s="2" t="str">
        <f t="shared" si="1"/>
        <v>Fri</v>
      </c>
      <c r="Z1" s="2" t="str">
        <f t="shared" si="1"/>
        <v>Sat</v>
      </c>
      <c r="AA1" s="2" t="str">
        <f t="shared" si="1"/>
        <v>Sun</v>
      </c>
      <c r="AB1" s="2" t="str">
        <f t="shared" si="1"/>
        <v>Mon</v>
      </c>
      <c r="AC1" s="2" t="str">
        <f t="shared" si="1"/>
        <v>Tue</v>
      </c>
      <c r="AD1" s="2" t="str">
        <f t="shared" si="1"/>
        <v>Wed</v>
      </c>
      <c r="AE1" s="2" t="str">
        <f t="shared" si="1"/>
        <v>Thu</v>
      </c>
      <c r="AF1" s="2" t="str">
        <f t="shared" si="1"/>
        <v>Fri</v>
      </c>
      <c r="AG1" s="2" t="str">
        <f t="shared" si="1"/>
        <v>Sat</v>
      </c>
      <c r="AH1" s="2" t="str">
        <f t="shared" si="1"/>
        <v>Sun</v>
      </c>
      <c r="AI1" s="2" t="str">
        <f t="shared" si="1"/>
        <v>Mon</v>
      </c>
      <c r="AJ1" s="2" t="str">
        <f t="shared" si="1"/>
        <v>Tue</v>
      </c>
      <c r="AK1" s="2" t="str">
        <f t="shared" si="1"/>
        <v>Wed</v>
      </c>
    </row>
    <row r="2" spans="1:37" x14ac:dyDescent="0.35">
      <c r="A2" s="7" t="s">
        <v>0</v>
      </c>
      <c r="B2" s="31">
        <v>44769</v>
      </c>
      <c r="C2" s="31">
        <v>44770</v>
      </c>
      <c r="D2" s="31">
        <v>44771</v>
      </c>
      <c r="E2" s="31">
        <v>44772</v>
      </c>
      <c r="F2" s="31">
        <v>44773</v>
      </c>
      <c r="G2" s="31">
        <v>44774</v>
      </c>
      <c r="H2" s="31">
        <v>44775</v>
      </c>
      <c r="I2" s="31">
        <v>44776</v>
      </c>
      <c r="J2" s="31">
        <v>44777</v>
      </c>
      <c r="K2" s="31">
        <v>44778</v>
      </c>
      <c r="L2" s="31">
        <v>44779</v>
      </c>
      <c r="M2" s="31">
        <v>44780</v>
      </c>
      <c r="N2" s="31">
        <v>44781</v>
      </c>
      <c r="O2" s="31">
        <v>44782</v>
      </c>
      <c r="P2" s="31">
        <v>44783</v>
      </c>
      <c r="Q2" s="31">
        <v>44784</v>
      </c>
      <c r="R2" s="31">
        <v>44785</v>
      </c>
      <c r="S2" s="31">
        <v>44786</v>
      </c>
      <c r="T2" s="31">
        <v>44787</v>
      </c>
      <c r="U2" s="31">
        <v>44788</v>
      </c>
      <c r="V2" s="31">
        <v>44789</v>
      </c>
      <c r="W2" s="31">
        <v>44790</v>
      </c>
      <c r="X2" s="31">
        <v>44791</v>
      </c>
      <c r="Y2" s="31">
        <v>44792</v>
      </c>
      <c r="Z2" s="31">
        <v>44793</v>
      </c>
      <c r="AA2" s="31">
        <v>44794</v>
      </c>
      <c r="AB2" s="31">
        <v>44795</v>
      </c>
      <c r="AC2" s="31">
        <v>44796</v>
      </c>
      <c r="AD2" s="31">
        <v>44797</v>
      </c>
      <c r="AE2" s="31">
        <v>44798</v>
      </c>
      <c r="AF2" s="31">
        <v>44799</v>
      </c>
      <c r="AG2" s="31">
        <v>44800</v>
      </c>
      <c r="AH2" s="31">
        <v>44801</v>
      </c>
      <c r="AI2" s="31">
        <v>44802</v>
      </c>
      <c r="AJ2" s="31">
        <v>44803</v>
      </c>
      <c r="AK2" s="31">
        <v>44804</v>
      </c>
    </row>
    <row r="3" spans="1:37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</row>
    <row r="4" spans="1:37" x14ac:dyDescent="0.35">
      <c r="A4" s="67" t="s">
        <v>1</v>
      </c>
      <c r="B4" s="12" t="s">
        <v>2</v>
      </c>
      <c r="C4" s="25" t="s">
        <v>6</v>
      </c>
      <c r="D4" s="25" t="s">
        <v>6</v>
      </c>
      <c r="E4" s="25" t="s">
        <v>3</v>
      </c>
      <c r="F4" s="25" t="s">
        <v>3</v>
      </c>
      <c r="G4" s="25" t="s">
        <v>6</v>
      </c>
      <c r="H4" s="12" t="s">
        <v>2</v>
      </c>
      <c r="I4" s="25" t="s">
        <v>6</v>
      </c>
      <c r="J4" s="25" t="s">
        <v>6</v>
      </c>
      <c r="K4" s="12" t="s">
        <v>2</v>
      </c>
      <c r="L4" s="25" t="s">
        <v>3</v>
      </c>
      <c r="M4" s="25" t="s">
        <v>3</v>
      </c>
      <c r="N4" s="25" t="s">
        <v>6</v>
      </c>
      <c r="O4" s="85" t="s">
        <v>95</v>
      </c>
      <c r="P4" s="25" t="s">
        <v>6</v>
      </c>
      <c r="Q4" s="25" t="s">
        <v>6</v>
      </c>
      <c r="R4" s="12" t="s">
        <v>2</v>
      </c>
      <c r="S4" s="25" t="s">
        <v>3</v>
      </c>
      <c r="T4" s="25" t="s">
        <v>3</v>
      </c>
      <c r="U4" s="25" t="s">
        <v>3</v>
      </c>
      <c r="V4" s="12" t="s">
        <v>2</v>
      </c>
      <c r="W4" s="25" t="s">
        <v>6</v>
      </c>
      <c r="X4" s="25" t="s">
        <v>6</v>
      </c>
      <c r="Y4" s="12" t="s">
        <v>2</v>
      </c>
      <c r="Z4" s="25" t="s">
        <v>3</v>
      </c>
      <c r="AA4" s="25" t="s">
        <v>3</v>
      </c>
      <c r="AB4" s="25" t="s">
        <v>6</v>
      </c>
      <c r="AC4" s="25" t="s">
        <v>6</v>
      </c>
      <c r="AD4" s="12" t="s">
        <v>2</v>
      </c>
      <c r="AE4" s="25" t="s">
        <v>6</v>
      </c>
      <c r="AF4" s="12" t="s">
        <v>2</v>
      </c>
      <c r="AG4" s="25" t="s">
        <v>3</v>
      </c>
      <c r="AH4" s="25" t="s">
        <v>3</v>
      </c>
      <c r="AI4" s="25" t="s">
        <v>6</v>
      </c>
      <c r="AJ4" s="12" t="s">
        <v>2</v>
      </c>
      <c r="AK4" s="25" t="s">
        <v>3</v>
      </c>
    </row>
    <row r="5" spans="1:37" x14ac:dyDescent="0.35">
      <c r="A5" s="67" t="s">
        <v>9</v>
      </c>
      <c r="B5" s="17" t="s">
        <v>10</v>
      </c>
      <c r="C5" s="12" t="s">
        <v>2</v>
      </c>
      <c r="D5" s="83" t="s">
        <v>16</v>
      </c>
      <c r="E5" s="17" t="s">
        <v>11</v>
      </c>
      <c r="F5" s="17" t="s">
        <v>11</v>
      </c>
      <c r="G5" s="12" t="s">
        <v>2</v>
      </c>
      <c r="H5" s="83" t="s">
        <v>16</v>
      </c>
      <c r="I5" s="83" t="s">
        <v>16</v>
      </c>
      <c r="J5" s="83" t="s">
        <v>16</v>
      </c>
      <c r="K5" s="83" t="s">
        <v>16</v>
      </c>
      <c r="L5" s="29" t="s">
        <v>4</v>
      </c>
      <c r="M5" s="17" t="s">
        <v>11</v>
      </c>
      <c r="N5" s="17" t="s">
        <v>10</v>
      </c>
      <c r="O5" s="17" t="s">
        <v>10</v>
      </c>
      <c r="P5" s="17" t="s">
        <v>10</v>
      </c>
      <c r="Q5" s="17" t="s">
        <v>10</v>
      </c>
      <c r="R5" s="17" t="s">
        <v>10</v>
      </c>
      <c r="S5" s="68" t="s">
        <v>4</v>
      </c>
      <c r="T5" s="17" t="s">
        <v>11</v>
      </c>
      <c r="U5" s="17" t="s">
        <v>11</v>
      </c>
      <c r="V5" s="12" t="s">
        <v>2</v>
      </c>
      <c r="W5" s="17" t="s">
        <v>10</v>
      </c>
      <c r="X5" s="17" t="s">
        <v>10</v>
      </c>
      <c r="Y5" s="17" t="s">
        <v>10</v>
      </c>
      <c r="Z5" s="68" t="s">
        <v>4</v>
      </c>
      <c r="AA5" s="68" t="s">
        <v>4</v>
      </c>
      <c r="AB5" s="13" t="s">
        <v>5</v>
      </c>
      <c r="AC5" s="13" t="s">
        <v>5</v>
      </c>
      <c r="AD5" s="13" t="s">
        <v>5</v>
      </c>
      <c r="AE5" s="83" t="s">
        <v>16</v>
      </c>
      <c r="AF5" s="17" t="s">
        <v>10</v>
      </c>
      <c r="AG5" s="17" t="s">
        <v>11</v>
      </c>
      <c r="AH5" s="17" t="s">
        <v>11</v>
      </c>
      <c r="AI5" s="12" t="s">
        <v>2</v>
      </c>
      <c r="AJ5" s="83" t="s">
        <v>16</v>
      </c>
      <c r="AK5" s="13" t="s">
        <v>5</v>
      </c>
    </row>
    <row r="6" spans="1:37" x14ac:dyDescent="0.35">
      <c r="A6" s="67" t="s">
        <v>12</v>
      </c>
      <c r="B6" s="83" t="s">
        <v>41</v>
      </c>
      <c r="C6" s="83" t="s">
        <v>41</v>
      </c>
      <c r="D6" s="83" t="s">
        <v>41</v>
      </c>
      <c r="E6" s="102" t="s">
        <v>154</v>
      </c>
      <c r="F6" s="102" t="s">
        <v>154</v>
      </c>
      <c r="G6" s="12" t="s">
        <v>2</v>
      </c>
      <c r="H6" s="12" t="s">
        <v>2</v>
      </c>
      <c r="I6" s="83" t="s">
        <v>41</v>
      </c>
      <c r="J6" s="83" t="s">
        <v>41</v>
      </c>
      <c r="K6" s="83" t="s">
        <v>41</v>
      </c>
      <c r="L6" s="83" t="s">
        <v>42</v>
      </c>
      <c r="M6" s="83" t="s">
        <v>42</v>
      </c>
      <c r="N6" s="83" t="s">
        <v>41</v>
      </c>
      <c r="O6" s="13" t="s">
        <v>5</v>
      </c>
      <c r="P6" s="13" t="s">
        <v>5</v>
      </c>
      <c r="Q6" s="13" t="s">
        <v>5</v>
      </c>
      <c r="R6" s="13" t="s">
        <v>5</v>
      </c>
      <c r="S6" s="10" t="s">
        <v>42</v>
      </c>
      <c r="T6" s="10" t="s">
        <v>42</v>
      </c>
      <c r="U6" s="10" t="s">
        <v>42</v>
      </c>
      <c r="V6" s="10" t="s">
        <v>41</v>
      </c>
      <c r="W6" s="12" t="s">
        <v>2</v>
      </c>
      <c r="X6" s="10" t="s">
        <v>41</v>
      </c>
      <c r="Y6" s="10" t="s">
        <v>41</v>
      </c>
      <c r="Z6" s="29" t="s">
        <v>4</v>
      </c>
      <c r="AA6" s="29" t="s">
        <v>4</v>
      </c>
      <c r="AB6" s="10" t="s">
        <v>41</v>
      </c>
      <c r="AC6" s="10" t="s">
        <v>41</v>
      </c>
      <c r="AD6" s="10" t="s">
        <v>41</v>
      </c>
      <c r="AE6" s="10" t="s">
        <v>41</v>
      </c>
      <c r="AF6" s="12" t="s">
        <v>2</v>
      </c>
      <c r="AG6" s="10" t="s">
        <v>42</v>
      </c>
      <c r="AH6" s="10" t="s">
        <v>42</v>
      </c>
      <c r="AI6" s="10" t="s">
        <v>41</v>
      </c>
      <c r="AJ6" s="10" t="s">
        <v>41</v>
      </c>
      <c r="AK6" s="10" t="s">
        <v>42</v>
      </c>
    </row>
    <row r="7" spans="1:37" x14ac:dyDescent="0.35">
      <c r="A7" s="67" t="s">
        <v>14</v>
      </c>
      <c r="B7" s="10" t="s">
        <v>41</v>
      </c>
      <c r="C7" s="10" t="s">
        <v>41</v>
      </c>
      <c r="D7" s="13" t="s">
        <v>5</v>
      </c>
      <c r="E7" s="68" t="s">
        <v>4</v>
      </c>
      <c r="F7" s="68" t="s">
        <v>4</v>
      </c>
      <c r="G7" s="83" t="s">
        <v>41</v>
      </c>
      <c r="H7" s="83" t="s">
        <v>41</v>
      </c>
      <c r="I7" s="83" t="s">
        <v>16</v>
      </c>
      <c r="J7" s="83" t="s">
        <v>16</v>
      </c>
      <c r="K7" s="83" t="s">
        <v>16</v>
      </c>
      <c r="L7" s="102" t="s">
        <v>30</v>
      </c>
      <c r="M7" s="68" t="s">
        <v>4</v>
      </c>
      <c r="N7" s="13" t="s">
        <v>5</v>
      </c>
      <c r="O7" s="10" t="s">
        <v>41</v>
      </c>
      <c r="P7" s="10" t="s">
        <v>41</v>
      </c>
      <c r="Q7" s="10" t="s">
        <v>41</v>
      </c>
      <c r="R7" s="10" t="s">
        <v>41</v>
      </c>
      <c r="S7" s="68" t="s">
        <v>4</v>
      </c>
      <c r="T7" s="68" t="s">
        <v>4</v>
      </c>
      <c r="U7" s="10" t="s">
        <v>42</v>
      </c>
      <c r="V7" s="10" t="s">
        <v>41</v>
      </c>
      <c r="W7" s="10" t="s">
        <v>41</v>
      </c>
      <c r="X7" s="10" t="s">
        <v>41</v>
      </c>
      <c r="Y7" s="12" t="s">
        <v>2</v>
      </c>
      <c r="Z7" s="10" t="s">
        <v>42</v>
      </c>
      <c r="AA7" s="10" t="s">
        <v>42</v>
      </c>
      <c r="AB7" s="12" t="s">
        <v>2</v>
      </c>
      <c r="AC7" s="10" t="s">
        <v>41</v>
      </c>
      <c r="AD7" s="10" t="s">
        <v>41</v>
      </c>
      <c r="AE7" s="10" t="s">
        <v>41</v>
      </c>
      <c r="AF7" s="10" t="s">
        <v>41</v>
      </c>
      <c r="AG7" s="68" t="s">
        <v>4</v>
      </c>
      <c r="AH7" s="68" t="s">
        <v>4</v>
      </c>
      <c r="AI7" s="13" t="s">
        <v>5</v>
      </c>
      <c r="AJ7" s="13" t="s">
        <v>5</v>
      </c>
      <c r="AK7" s="13" t="s">
        <v>5</v>
      </c>
    </row>
    <row r="8" spans="1:37" x14ac:dyDescent="0.35">
      <c r="A8" s="67" t="s">
        <v>15</v>
      </c>
      <c r="B8" s="17" t="s">
        <v>10</v>
      </c>
      <c r="C8" s="17" t="s">
        <v>10</v>
      </c>
      <c r="D8" s="17" t="s">
        <v>10</v>
      </c>
      <c r="E8" s="17" t="s">
        <v>11</v>
      </c>
      <c r="F8" s="29" t="s">
        <v>4</v>
      </c>
      <c r="G8" s="17" t="s">
        <v>10</v>
      </c>
      <c r="H8" s="17" t="s">
        <v>10</v>
      </c>
      <c r="I8" s="17" t="s">
        <v>10</v>
      </c>
      <c r="J8" s="17" t="s">
        <v>10</v>
      </c>
      <c r="K8" s="17" t="s">
        <v>10</v>
      </c>
      <c r="L8" s="17" t="s">
        <v>11</v>
      </c>
      <c r="M8" s="29" t="s">
        <v>4</v>
      </c>
      <c r="N8" s="12" t="s">
        <v>2</v>
      </c>
      <c r="O8" s="17" t="s">
        <v>10</v>
      </c>
      <c r="P8" s="17" t="s">
        <v>10</v>
      </c>
      <c r="Q8" s="12" t="s">
        <v>2</v>
      </c>
      <c r="R8" s="17" t="s">
        <v>10</v>
      </c>
      <c r="S8" s="17" t="s">
        <v>11</v>
      </c>
      <c r="T8" s="29" t="s">
        <v>4</v>
      </c>
      <c r="U8" s="85" t="s">
        <v>37</v>
      </c>
      <c r="V8" s="17" t="s">
        <v>10</v>
      </c>
      <c r="W8" s="17" t="s">
        <v>10</v>
      </c>
      <c r="X8" s="17" t="s">
        <v>10</v>
      </c>
      <c r="Y8" s="12" t="s">
        <v>2</v>
      </c>
      <c r="Z8" s="17" t="s">
        <v>11</v>
      </c>
      <c r="AA8" s="17" t="s">
        <v>11</v>
      </c>
      <c r="AB8" s="17" t="s">
        <v>10</v>
      </c>
      <c r="AC8" s="17" t="s">
        <v>10</v>
      </c>
      <c r="AD8" s="17" t="s">
        <v>10</v>
      </c>
      <c r="AE8" s="17" t="s">
        <v>10</v>
      </c>
      <c r="AF8" s="12" t="s">
        <v>2</v>
      </c>
      <c r="AG8" s="29" t="s">
        <v>4</v>
      </c>
      <c r="AH8" s="17" t="s">
        <v>11</v>
      </c>
      <c r="AI8" s="17" t="s">
        <v>10</v>
      </c>
      <c r="AJ8" s="17" t="s">
        <v>10</v>
      </c>
      <c r="AK8" s="17" t="s">
        <v>11</v>
      </c>
    </row>
    <row r="9" spans="1:37" ht="15" thickBot="1" x14ac:dyDescent="0.4">
      <c r="A9" s="67" t="s">
        <v>18</v>
      </c>
      <c r="B9" s="25" t="s">
        <v>6</v>
      </c>
      <c r="C9" s="12" t="s">
        <v>2</v>
      </c>
      <c r="D9" s="25" t="s">
        <v>6</v>
      </c>
      <c r="E9" s="25" t="s">
        <v>3</v>
      </c>
      <c r="F9" s="25" t="s">
        <v>3</v>
      </c>
      <c r="G9" s="25" t="s">
        <v>6</v>
      </c>
      <c r="H9" s="25" t="s">
        <v>6</v>
      </c>
      <c r="I9" s="12" t="s">
        <v>2</v>
      </c>
      <c r="J9" s="25" t="s">
        <v>6</v>
      </c>
      <c r="K9" s="25" t="s">
        <v>6</v>
      </c>
      <c r="L9" s="29" t="s">
        <v>4</v>
      </c>
      <c r="M9" s="29" t="s">
        <v>4</v>
      </c>
      <c r="N9" s="25" t="s">
        <v>6</v>
      </c>
      <c r="O9" s="25" t="s">
        <v>6</v>
      </c>
      <c r="P9" s="25" t="s">
        <v>6</v>
      </c>
      <c r="Q9" s="25" t="s">
        <v>6</v>
      </c>
      <c r="R9" s="25" t="s">
        <v>6</v>
      </c>
      <c r="S9" s="66" t="s">
        <v>30</v>
      </c>
      <c r="T9" s="29" t="s">
        <v>4</v>
      </c>
      <c r="U9" s="85" t="s">
        <v>37</v>
      </c>
      <c r="V9" s="25" t="s">
        <v>6</v>
      </c>
      <c r="W9" s="25" t="s">
        <v>6</v>
      </c>
      <c r="X9" s="25" t="s">
        <v>6</v>
      </c>
      <c r="Y9" s="25" t="s">
        <v>6</v>
      </c>
      <c r="Z9" s="25" t="s">
        <v>3</v>
      </c>
      <c r="AA9" s="29" t="s">
        <v>4</v>
      </c>
      <c r="AB9" s="84" t="s">
        <v>16</v>
      </c>
      <c r="AC9" s="84" t="s">
        <v>16</v>
      </c>
      <c r="AD9" s="84" t="s">
        <v>6</v>
      </c>
      <c r="AE9" s="84" t="s">
        <v>6</v>
      </c>
      <c r="AF9" s="84" t="s">
        <v>6</v>
      </c>
      <c r="AG9" s="84" t="s">
        <v>3</v>
      </c>
      <c r="AH9" s="29" t="s">
        <v>4</v>
      </c>
      <c r="AI9" s="25" t="s">
        <v>6</v>
      </c>
      <c r="AJ9" s="25" t="s">
        <v>6</v>
      </c>
      <c r="AK9" s="25" t="s">
        <v>6</v>
      </c>
    </row>
    <row r="10" spans="1:37" ht="14" customHeight="1" x14ac:dyDescent="0.35">
      <c r="A10" s="67" t="s">
        <v>21</v>
      </c>
      <c r="B10" s="12" t="s">
        <v>2</v>
      </c>
      <c r="C10" s="17" t="s">
        <v>10</v>
      </c>
      <c r="D10" s="17" t="s">
        <v>10</v>
      </c>
      <c r="E10" s="29" t="s">
        <v>4</v>
      </c>
      <c r="F10" s="17" t="s">
        <v>11</v>
      </c>
      <c r="G10" s="17" t="s">
        <v>10</v>
      </c>
      <c r="H10" s="17" t="s">
        <v>10</v>
      </c>
      <c r="I10" s="17" t="s">
        <v>10</v>
      </c>
      <c r="J10" s="12" t="s">
        <v>2</v>
      </c>
      <c r="K10" s="17" t="s">
        <v>10</v>
      </c>
      <c r="L10" s="17" t="s">
        <v>11</v>
      </c>
      <c r="M10" s="17" t="s">
        <v>11</v>
      </c>
      <c r="N10" s="17" t="s">
        <v>10</v>
      </c>
      <c r="O10" s="12" t="s">
        <v>2</v>
      </c>
      <c r="P10" s="12" t="s">
        <v>2</v>
      </c>
      <c r="Q10" s="17" t="s">
        <v>10</v>
      </c>
      <c r="R10" s="17" t="s">
        <v>10</v>
      </c>
      <c r="S10" s="29" t="s">
        <v>4</v>
      </c>
      <c r="T10" s="29" t="s">
        <v>4</v>
      </c>
      <c r="U10" s="85" t="s">
        <v>37</v>
      </c>
      <c r="V10" s="17" t="s">
        <v>10</v>
      </c>
      <c r="W10" s="13" t="s">
        <v>5</v>
      </c>
      <c r="X10" s="13" t="s">
        <v>5</v>
      </c>
      <c r="Y10" s="17" t="s">
        <v>10</v>
      </c>
      <c r="Z10" s="17" t="s">
        <v>11</v>
      </c>
      <c r="AA10" s="17" t="s">
        <v>11</v>
      </c>
      <c r="AB10" s="17" t="s">
        <v>10</v>
      </c>
      <c r="AC10" s="17" t="s">
        <v>10</v>
      </c>
      <c r="AD10" s="12" t="s">
        <v>2</v>
      </c>
      <c r="AE10" s="83" t="s">
        <v>16</v>
      </c>
      <c r="AF10" s="83" t="s">
        <v>16</v>
      </c>
      <c r="AG10" s="84" t="s">
        <v>30</v>
      </c>
      <c r="AH10" s="84" t="s">
        <v>3</v>
      </c>
      <c r="AI10" s="83" t="s">
        <v>16</v>
      </c>
      <c r="AJ10" s="83" t="s">
        <v>16</v>
      </c>
      <c r="AK10" s="85" t="s">
        <v>37</v>
      </c>
    </row>
    <row r="11" spans="1:37" x14ac:dyDescent="0.35">
      <c r="A11" s="67" t="s">
        <v>43</v>
      </c>
      <c r="B11" s="25" t="s">
        <v>6</v>
      </c>
      <c r="C11" s="25" t="s">
        <v>6</v>
      </c>
      <c r="D11" s="25" t="s">
        <v>6</v>
      </c>
      <c r="E11" s="29" t="s">
        <v>4</v>
      </c>
      <c r="F11" s="29" t="s">
        <v>4</v>
      </c>
      <c r="G11" s="83" t="s">
        <v>6</v>
      </c>
      <c r="H11" s="83" t="s">
        <v>6</v>
      </c>
      <c r="I11" s="83" t="s">
        <v>6</v>
      </c>
      <c r="J11" s="83" t="s">
        <v>6</v>
      </c>
      <c r="K11" s="83" t="s">
        <v>6</v>
      </c>
      <c r="L11" s="83" t="s">
        <v>3</v>
      </c>
      <c r="M11" s="29" t="s">
        <v>4</v>
      </c>
      <c r="N11" s="12" t="s">
        <v>2</v>
      </c>
      <c r="O11" s="25" t="s">
        <v>6</v>
      </c>
      <c r="P11" s="12" t="s">
        <v>2</v>
      </c>
      <c r="Q11" s="25" t="s">
        <v>6</v>
      </c>
      <c r="R11" s="25" t="s">
        <v>6</v>
      </c>
      <c r="S11" s="25" t="s">
        <v>3</v>
      </c>
      <c r="T11" s="25" t="s">
        <v>3</v>
      </c>
      <c r="U11" s="25" t="s">
        <v>3</v>
      </c>
      <c r="V11" s="25" t="s">
        <v>6</v>
      </c>
      <c r="W11" s="12" t="s">
        <v>2</v>
      </c>
      <c r="X11" s="25" t="s">
        <v>6</v>
      </c>
      <c r="Y11" s="25" t="s">
        <v>6</v>
      </c>
      <c r="Z11" s="29" t="s">
        <v>4</v>
      </c>
      <c r="AA11" s="29" t="s">
        <v>4</v>
      </c>
      <c r="AB11" s="25" t="s">
        <v>6</v>
      </c>
      <c r="AC11" s="25" t="s">
        <v>6</v>
      </c>
      <c r="AD11" s="25" t="s">
        <v>6</v>
      </c>
      <c r="AE11" s="25" t="s">
        <v>6</v>
      </c>
      <c r="AF11" s="25" t="s">
        <v>6</v>
      </c>
      <c r="AG11" s="29" t="s">
        <v>4</v>
      </c>
      <c r="AH11" s="29" t="s">
        <v>4</v>
      </c>
      <c r="AI11" s="25" t="s">
        <v>6</v>
      </c>
      <c r="AJ11" s="25" t="s">
        <v>6</v>
      </c>
      <c r="AK11" s="25" t="s">
        <v>3</v>
      </c>
    </row>
    <row r="12" spans="1:37" x14ac:dyDescent="0.35">
      <c r="A12" s="67" t="s">
        <v>86</v>
      </c>
      <c r="B12" s="10" t="s">
        <v>41</v>
      </c>
      <c r="C12" s="13" t="s">
        <v>5</v>
      </c>
      <c r="D12" s="13" t="s">
        <v>5</v>
      </c>
      <c r="E12" s="68" t="s">
        <v>4</v>
      </c>
      <c r="F12" s="68" t="s">
        <v>4</v>
      </c>
      <c r="G12" s="10" t="s">
        <v>41</v>
      </c>
      <c r="H12" s="10" t="s">
        <v>41</v>
      </c>
      <c r="I12" s="10" t="s">
        <v>41</v>
      </c>
      <c r="J12" s="10" t="s">
        <v>41</v>
      </c>
      <c r="K12" s="10" t="s">
        <v>41</v>
      </c>
      <c r="L12" s="10" t="s">
        <v>42</v>
      </c>
      <c r="M12" s="29" t="s">
        <v>4</v>
      </c>
      <c r="N12" s="10" t="s">
        <v>41</v>
      </c>
      <c r="O12" s="10" t="s">
        <v>41</v>
      </c>
      <c r="P12" s="83" t="s">
        <v>41</v>
      </c>
      <c r="Q12" s="10" t="s">
        <v>41</v>
      </c>
      <c r="R12" s="83" t="s">
        <v>41</v>
      </c>
      <c r="S12" s="29" t="s">
        <v>4</v>
      </c>
      <c r="T12" s="29" t="s">
        <v>4</v>
      </c>
      <c r="U12" s="85" t="s">
        <v>37</v>
      </c>
      <c r="V12" s="10" t="s">
        <v>41</v>
      </c>
      <c r="W12" s="83" t="s">
        <v>41</v>
      </c>
      <c r="X12" s="12" t="s">
        <v>2</v>
      </c>
      <c r="Y12" s="83" t="s">
        <v>41</v>
      </c>
      <c r="Z12" s="10" t="s">
        <v>42</v>
      </c>
      <c r="AA12" s="10" t="s">
        <v>42</v>
      </c>
      <c r="AB12" s="10" t="s">
        <v>41</v>
      </c>
      <c r="AC12" s="12" t="s">
        <v>2</v>
      </c>
      <c r="AD12" s="84" t="s">
        <v>6</v>
      </c>
      <c r="AE12" s="10" t="s">
        <v>41</v>
      </c>
      <c r="AF12" s="83" t="s">
        <v>41</v>
      </c>
      <c r="AG12" s="29" t="s">
        <v>4</v>
      </c>
      <c r="AH12" s="29" t="s">
        <v>4</v>
      </c>
      <c r="AI12" s="10" t="s">
        <v>41</v>
      </c>
      <c r="AJ12" s="10" t="s">
        <v>41</v>
      </c>
      <c r="AK12" s="10" t="s">
        <v>41</v>
      </c>
    </row>
    <row r="13" spans="1:37" x14ac:dyDescent="0.35">
      <c r="A13" s="67" t="s">
        <v>22</v>
      </c>
      <c r="B13" s="84" t="s">
        <v>16</v>
      </c>
      <c r="C13" s="84" t="s">
        <v>16</v>
      </c>
      <c r="D13" s="84" t="s">
        <v>16</v>
      </c>
      <c r="E13" s="84" t="s">
        <v>30</v>
      </c>
      <c r="F13" s="29" t="s">
        <v>4</v>
      </c>
      <c r="G13" s="17" t="s">
        <v>10</v>
      </c>
      <c r="H13" s="17" t="s">
        <v>10</v>
      </c>
      <c r="I13" s="17" t="s">
        <v>10</v>
      </c>
      <c r="J13" s="17" t="s">
        <v>10</v>
      </c>
      <c r="K13" s="13" t="s">
        <v>5</v>
      </c>
      <c r="L13" s="68" t="s">
        <v>4</v>
      </c>
      <c r="M13" s="68" t="s">
        <v>4</v>
      </c>
      <c r="N13" s="13" t="s">
        <v>5</v>
      </c>
      <c r="O13" s="13" t="s">
        <v>5</v>
      </c>
      <c r="P13" s="13" t="s">
        <v>5</v>
      </c>
      <c r="Q13" s="13" t="s">
        <v>5</v>
      </c>
      <c r="R13" s="17" t="s">
        <v>10</v>
      </c>
      <c r="S13" s="17" t="s">
        <v>11</v>
      </c>
      <c r="T13" s="17" t="s">
        <v>11</v>
      </c>
      <c r="U13" s="17" t="s">
        <v>11</v>
      </c>
      <c r="V13" s="12" t="s">
        <v>2</v>
      </c>
      <c r="W13" s="83" t="s">
        <v>16</v>
      </c>
      <c r="X13" s="83" t="s">
        <v>16</v>
      </c>
      <c r="Y13" s="83" t="s">
        <v>16</v>
      </c>
      <c r="Z13" s="83" t="s">
        <v>30</v>
      </c>
      <c r="AA13" s="83" t="s">
        <v>3</v>
      </c>
      <c r="AB13" s="83" t="s">
        <v>16</v>
      </c>
      <c r="AC13" s="12" t="s">
        <v>2</v>
      </c>
      <c r="AD13" s="17" t="s">
        <v>10</v>
      </c>
      <c r="AE13" s="17" t="s">
        <v>10</v>
      </c>
      <c r="AF13" s="17" t="s">
        <v>10</v>
      </c>
      <c r="AG13" s="17" t="s">
        <v>11</v>
      </c>
      <c r="AH13" s="29" t="s">
        <v>4</v>
      </c>
      <c r="AI13" s="17" t="s">
        <v>10</v>
      </c>
      <c r="AJ13" s="17" t="s">
        <v>10</v>
      </c>
      <c r="AK13" s="17" t="s">
        <v>10</v>
      </c>
    </row>
    <row r="14" spans="1:37" x14ac:dyDescent="0.35">
      <c r="A14" s="67" t="s">
        <v>71</v>
      </c>
      <c r="B14" s="13" t="s">
        <v>5</v>
      </c>
      <c r="C14" s="84" t="s">
        <v>16</v>
      </c>
      <c r="D14" s="13" t="s">
        <v>5</v>
      </c>
      <c r="E14" s="29" t="s">
        <v>4</v>
      </c>
      <c r="F14" s="29" t="s">
        <v>4</v>
      </c>
      <c r="G14" s="13" t="s">
        <v>5</v>
      </c>
      <c r="H14" s="25" t="s">
        <v>6</v>
      </c>
      <c r="I14" s="13" t="s">
        <v>5</v>
      </c>
      <c r="J14" s="25" t="s">
        <v>6</v>
      </c>
      <c r="K14" s="25" t="s">
        <v>6</v>
      </c>
      <c r="L14" s="29" t="s">
        <v>4</v>
      </c>
      <c r="M14" s="25" t="s">
        <v>3</v>
      </c>
      <c r="N14" s="25" t="s">
        <v>6</v>
      </c>
      <c r="O14" s="25" t="s">
        <v>6</v>
      </c>
      <c r="P14" s="25" t="s">
        <v>6</v>
      </c>
      <c r="Q14" s="85" t="s">
        <v>37</v>
      </c>
      <c r="R14" s="25" t="s">
        <v>6</v>
      </c>
      <c r="S14" s="29" t="s">
        <v>4</v>
      </c>
      <c r="T14" s="29" t="s">
        <v>4</v>
      </c>
      <c r="U14" s="85" t="s">
        <v>37</v>
      </c>
      <c r="V14" s="83" t="s">
        <v>16</v>
      </c>
      <c r="W14" s="83" t="s">
        <v>16</v>
      </c>
      <c r="X14" s="83" t="s">
        <v>16</v>
      </c>
      <c r="Y14" s="25" t="s">
        <v>6</v>
      </c>
      <c r="Z14" s="29" t="s">
        <v>4</v>
      </c>
      <c r="AA14" s="29" t="s">
        <v>4</v>
      </c>
      <c r="AB14" s="25" t="s">
        <v>6</v>
      </c>
      <c r="AC14" s="83" t="s">
        <v>16</v>
      </c>
      <c r="AD14" s="83" t="s">
        <v>16</v>
      </c>
      <c r="AE14" s="83" t="s">
        <v>16</v>
      </c>
      <c r="AF14" s="25" t="s">
        <v>6</v>
      </c>
      <c r="AG14" s="29" t="s">
        <v>4</v>
      </c>
      <c r="AH14" s="10" t="s">
        <v>42</v>
      </c>
      <c r="AI14" s="25" t="s">
        <v>6</v>
      </c>
      <c r="AJ14" s="25" t="s">
        <v>6</v>
      </c>
      <c r="AK14" s="13" t="s">
        <v>5</v>
      </c>
    </row>
    <row r="15" spans="1:37" x14ac:dyDescent="0.35">
      <c r="A15" s="67" t="s">
        <v>87</v>
      </c>
      <c r="B15" s="12" t="s">
        <v>2</v>
      </c>
      <c r="C15" s="10" t="s">
        <v>41</v>
      </c>
      <c r="D15" s="10" t="s">
        <v>41</v>
      </c>
      <c r="E15" s="29" t="s">
        <v>4</v>
      </c>
      <c r="F15" s="10" t="s">
        <v>42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29" t="s">
        <v>4</v>
      </c>
      <c r="M15" s="10" t="s">
        <v>42</v>
      </c>
      <c r="N15" s="10" t="s">
        <v>41</v>
      </c>
      <c r="O15" s="10" t="s">
        <v>41</v>
      </c>
      <c r="P15" s="10" t="s">
        <v>41</v>
      </c>
      <c r="Q15" s="12" t="s">
        <v>2</v>
      </c>
      <c r="R15" s="10" t="s">
        <v>41</v>
      </c>
      <c r="S15" s="10" t="s">
        <v>42</v>
      </c>
      <c r="T15" s="29" t="s">
        <v>4</v>
      </c>
      <c r="U15" s="85" t="s">
        <v>37</v>
      </c>
      <c r="V15" s="83" t="s">
        <v>16</v>
      </c>
      <c r="W15" s="83" t="s">
        <v>16</v>
      </c>
      <c r="X15" s="83" t="s">
        <v>16</v>
      </c>
      <c r="Y15" s="83" t="s">
        <v>16</v>
      </c>
      <c r="Z15" s="29" t="s">
        <v>4</v>
      </c>
      <c r="AA15" s="29" t="s">
        <v>4</v>
      </c>
      <c r="AB15" s="83" t="s">
        <v>16</v>
      </c>
      <c r="AC15" s="83" t="s">
        <v>16</v>
      </c>
      <c r="AD15" s="10" t="s">
        <v>41</v>
      </c>
      <c r="AE15" s="10" t="s">
        <v>41</v>
      </c>
      <c r="AF15" s="10" t="s">
        <v>41</v>
      </c>
      <c r="AG15" s="29" t="s">
        <v>4</v>
      </c>
      <c r="AH15" s="29" t="s">
        <v>4</v>
      </c>
      <c r="AI15" s="10" t="s">
        <v>41</v>
      </c>
      <c r="AJ15" s="13" t="s">
        <v>5</v>
      </c>
      <c r="AK15" s="85" t="s">
        <v>37</v>
      </c>
    </row>
    <row r="16" spans="1:37" x14ac:dyDescent="0.35">
      <c r="A16" s="67" t="s">
        <v>85</v>
      </c>
      <c r="B16" s="25" t="s">
        <v>6</v>
      </c>
      <c r="C16" s="25" t="s">
        <v>6</v>
      </c>
      <c r="D16" s="25" t="s">
        <v>6</v>
      </c>
      <c r="E16" s="29" t="s">
        <v>4</v>
      </c>
      <c r="F16" s="29" t="s">
        <v>4</v>
      </c>
      <c r="G16" s="25" t="s">
        <v>6</v>
      </c>
      <c r="H16" s="25" t="s">
        <v>6</v>
      </c>
      <c r="I16" s="25" t="s">
        <v>6</v>
      </c>
      <c r="J16" s="25" t="s">
        <v>6</v>
      </c>
      <c r="K16" s="25" t="s">
        <v>6</v>
      </c>
      <c r="L16" s="29" t="s">
        <v>4</v>
      </c>
      <c r="M16" s="29" t="s">
        <v>4</v>
      </c>
      <c r="N16" s="25" t="s">
        <v>6</v>
      </c>
      <c r="O16" s="25" t="s">
        <v>6</v>
      </c>
      <c r="P16" s="25" t="s">
        <v>6</v>
      </c>
      <c r="Q16" s="85" t="s">
        <v>37</v>
      </c>
      <c r="R16" s="25" t="s">
        <v>6</v>
      </c>
      <c r="S16" s="29" t="s">
        <v>4</v>
      </c>
      <c r="T16" s="29" t="s">
        <v>4</v>
      </c>
      <c r="U16" s="25" t="s">
        <v>3</v>
      </c>
      <c r="V16" s="25" t="s">
        <v>6</v>
      </c>
      <c r="W16" s="25" t="s">
        <v>6</v>
      </c>
      <c r="X16" s="25" t="s">
        <v>6</v>
      </c>
      <c r="Y16" s="25" t="s">
        <v>6</v>
      </c>
      <c r="Z16" s="29" t="s">
        <v>4</v>
      </c>
      <c r="AA16" s="29" t="s">
        <v>4</v>
      </c>
      <c r="AB16" s="25" t="s">
        <v>6</v>
      </c>
      <c r="AC16" s="25" t="s">
        <v>6</v>
      </c>
      <c r="AD16" s="83" t="s">
        <v>16</v>
      </c>
      <c r="AE16" s="83" t="s">
        <v>16</v>
      </c>
      <c r="AF16" s="83" t="s">
        <v>16</v>
      </c>
      <c r="AG16" s="29" t="s">
        <v>4</v>
      </c>
      <c r="AH16" s="29" t="s">
        <v>4</v>
      </c>
      <c r="AI16" s="83" t="s">
        <v>16</v>
      </c>
      <c r="AJ16" s="83" t="s">
        <v>16</v>
      </c>
      <c r="AK16" s="83" t="s">
        <v>30</v>
      </c>
    </row>
    <row r="17" spans="1:37" x14ac:dyDescent="0.35">
      <c r="A17" s="67" t="s">
        <v>88</v>
      </c>
      <c r="B17" s="84" t="s">
        <v>16</v>
      </c>
      <c r="C17" s="84" t="s">
        <v>16</v>
      </c>
      <c r="D17" s="84" t="s">
        <v>16</v>
      </c>
      <c r="E17" s="83" t="s">
        <v>154</v>
      </c>
      <c r="F17" s="29" t="s">
        <v>4</v>
      </c>
      <c r="G17" s="84" t="s">
        <v>16</v>
      </c>
      <c r="H17" s="84" t="s">
        <v>16</v>
      </c>
      <c r="I17" s="84" t="s">
        <v>16</v>
      </c>
      <c r="J17" s="83" t="s">
        <v>41</v>
      </c>
      <c r="K17" s="83" t="s">
        <v>41</v>
      </c>
      <c r="L17" s="29" t="s">
        <v>4</v>
      </c>
      <c r="M17" s="29" t="s">
        <v>4</v>
      </c>
      <c r="N17" s="84" t="s">
        <v>16</v>
      </c>
      <c r="O17" s="13" t="s">
        <v>5</v>
      </c>
      <c r="P17" s="10" t="s">
        <v>41</v>
      </c>
      <c r="Q17" s="10" t="s">
        <v>41</v>
      </c>
      <c r="R17" s="10" t="s">
        <v>41</v>
      </c>
      <c r="S17" s="29" t="s">
        <v>4</v>
      </c>
      <c r="T17" s="10" t="s">
        <v>42</v>
      </c>
      <c r="U17" s="10" t="s">
        <v>42</v>
      </c>
      <c r="V17" s="13" t="s">
        <v>5</v>
      </c>
      <c r="W17" s="10" t="s">
        <v>41</v>
      </c>
      <c r="X17" s="10" t="s">
        <v>41</v>
      </c>
      <c r="Y17" s="10" t="s">
        <v>41</v>
      </c>
      <c r="Z17" s="29" t="s">
        <v>4</v>
      </c>
      <c r="AA17" s="29" t="s">
        <v>4</v>
      </c>
      <c r="AB17" s="10" t="s">
        <v>41</v>
      </c>
      <c r="AC17" s="10" t="s">
        <v>41</v>
      </c>
      <c r="AD17" s="10" t="s">
        <v>41</v>
      </c>
      <c r="AE17" s="12" t="s">
        <v>2</v>
      </c>
      <c r="AF17" s="10" t="s">
        <v>41</v>
      </c>
      <c r="AG17" s="10" t="s">
        <v>42</v>
      </c>
      <c r="AH17" s="29" t="s">
        <v>4</v>
      </c>
      <c r="AI17" s="10" t="s">
        <v>41</v>
      </c>
      <c r="AJ17" s="10" t="s">
        <v>41</v>
      </c>
      <c r="AK17" s="10" t="s">
        <v>41</v>
      </c>
    </row>
    <row r="18" spans="1:37" x14ac:dyDescent="0.35">
      <c r="A18" s="117" t="s">
        <v>183</v>
      </c>
      <c r="B18" s="118"/>
      <c r="C18" s="118"/>
      <c r="D18" s="118"/>
      <c r="E18" s="119"/>
      <c r="F18" s="120"/>
      <c r="G18" s="22" t="s">
        <v>16</v>
      </c>
      <c r="H18" s="22" t="s">
        <v>16</v>
      </c>
      <c r="I18" s="22" t="s">
        <v>16</v>
      </c>
      <c r="J18" s="22" t="s">
        <v>16</v>
      </c>
      <c r="K18" s="22" t="s">
        <v>16</v>
      </c>
      <c r="L18" s="29" t="s">
        <v>4</v>
      </c>
      <c r="M18" s="29" t="s">
        <v>4</v>
      </c>
      <c r="N18" s="22" t="s">
        <v>16</v>
      </c>
      <c r="O18" s="22" t="s">
        <v>16</v>
      </c>
      <c r="P18" s="22" t="s">
        <v>16</v>
      </c>
      <c r="Q18" s="22" t="s">
        <v>16</v>
      </c>
      <c r="R18" s="22" t="s">
        <v>16</v>
      </c>
      <c r="S18" s="29" t="s">
        <v>4</v>
      </c>
      <c r="T18" s="29" t="s">
        <v>4</v>
      </c>
      <c r="U18" s="22" t="s">
        <v>16</v>
      </c>
      <c r="V18" s="22" t="s">
        <v>16</v>
      </c>
      <c r="W18" s="22" t="s">
        <v>16</v>
      </c>
      <c r="X18" s="22" t="s">
        <v>16</v>
      </c>
      <c r="Y18" s="22" t="s">
        <v>16</v>
      </c>
      <c r="Z18" s="29" t="s">
        <v>4</v>
      </c>
      <c r="AA18" s="29" t="s">
        <v>4</v>
      </c>
      <c r="AB18" s="22" t="s">
        <v>16</v>
      </c>
      <c r="AC18" s="22" t="s">
        <v>16</v>
      </c>
      <c r="AD18" s="22" t="s">
        <v>16</v>
      </c>
      <c r="AE18" s="22" t="s">
        <v>16</v>
      </c>
      <c r="AF18" s="22" t="s">
        <v>16</v>
      </c>
      <c r="AG18" s="29" t="s">
        <v>4</v>
      </c>
      <c r="AH18" s="29" t="s">
        <v>4</v>
      </c>
      <c r="AI18" s="22" t="s">
        <v>16</v>
      </c>
      <c r="AJ18" s="22" t="s">
        <v>16</v>
      </c>
      <c r="AK18" s="22" t="s">
        <v>16</v>
      </c>
    </row>
    <row r="19" spans="1:37" x14ac:dyDescent="0.35">
      <c r="B19" s="71"/>
      <c r="C19" s="71"/>
      <c r="D19" s="71"/>
      <c r="E19" s="71"/>
      <c r="F19" s="71"/>
    </row>
    <row r="20" spans="1:37" x14ac:dyDescent="0.35">
      <c r="A20" s="105" t="s">
        <v>177</v>
      </c>
      <c r="B20" s="106">
        <f>COUNTIF(B4:B17,"*MS")</f>
        <v>3</v>
      </c>
      <c r="C20" s="106">
        <f t="shared" ref="C20:AK20" si="2">COUNTIF(C4:C17,"*MS")</f>
        <v>3</v>
      </c>
      <c r="D20" s="106">
        <f t="shared" si="2"/>
        <v>4</v>
      </c>
      <c r="E20" s="106">
        <f t="shared" si="2"/>
        <v>2</v>
      </c>
      <c r="F20" s="106">
        <f t="shared" si="2"/>
        <v>2</v>
      </c>
      <c r="G20" s="106">
        <f t="shared" si="2"/>
        <v>4</v>
      </c>
      <c r="H20" s="106">
        <f t="shared" si="2"/>
        <v>4</v>
      </c>
      <c r="I20" s="106">
        <f t="shared" si="2"/>
        <v>3</v>
      </c>
      <c r="J20" s="106">
        <f t="shared" si="2"/>
        <v>5</v>
      </c>
      <c r="K20" s="106">
        <f t="shared" si="2"/>
        <v>4</v>
      </c>
      <c r="L20" s="106">
        <f t="shared" si="2"/>
        <v>2</v>
      </c>
      <c r="M20" s="106">
        <f t="shared" si="2"/>
        <v>2</v>
      </c>
      <c r="N20" s="106">
        <f t="shared" si="2"/>
        <v>4</v>
      </c>
      <c r="O20" s="106">
        <f t="shared" si="2"/>
        <v>4</v>
      </c>
      <c r="P20" s="106">
        <f t="shared" si="2"/>
        <v>4</v>
      </c>
      <c r="Q20" s="106">
        <f t="shared" si="2"/>
        <v>3</v>
      </c>
      <c r="R20" s="106">
        <f t="shared" si="2"/>
        <v>4</v>
      </c>
      <c r="S20" s="106">
        <f t="shared" si="2"/>
        <v>2</v>
      </c>
      <c r="T20" s="106">
        <f t="shared" si="2"/>
        <v>2</v>
      </c>
      <c r="U20" s="106">
        <f t="shared" si="2"/>
        <v>3</v>
      </c>
      <c r="V20" s="106">
        <f t="shared" si="2"/>
        <v>3</v>
      </c>
      <c r="W20" s="106">
        <f t="shared" si="2"/>
        <v>3</v>
      </c>
      <c r="X20" s="106">
        <f t="shared" si="2"/>
        <v>4</v>
      </c>
      <c r="Y20" s="106">
        <f t="shared" si="2"/>
        <v>4</v>
      </c>
      <c r="Z20" s="106">
        <f t="shared" si="2"/>
        <v>2</v>
      </c>
      <c r="AA20" s="106">
        <f t="shared" si="2"/>
        <v>2</v>
      </c>
      <c r="AB20" s="106">
        <f t="shared" si="2"/>
        <v>4</v>
      </c>
      <c r="AC20" s="106">
        <f t="shared" si="2"/>
        <v>3</v>
      </c>
      <c r="AD20" s="106">
        <f t="shared" si="2"/>
        <v>3</v>
      </c>
      <c r="AE20" s="106">
        <f t="shared" si="2"/>
        <v>3</v>
      </c>
      <c r="AF20" s="106">
        <f t="shared" si="2"/>
        <v>3</v>
      </c>
      <c r="AG20" s="106">
        <f t="shared" si="2"/>
        <v>2</v>
      </c>
      <c r="AH20" s="106">
        <f t="shared" si="2"/>
        <v>2</v>
      </c>
      <c r="AI20" s="106">
        <f t="shared" si="2"/>
        <v>4</v>
      </c>
      <c r="AJ20" s="106">
        <f t="shared" si="2"/>
        <v>3</v>
      </c>
      <c r="AK20" s="106">
        <f t="shared" si="2"/>
        <v>3</v>
      </c>
    </row>
    <row r="21" spans="1:37" x14ac:dyDescent="0.35">
      <c r="A21" s="107" t="s">
        <v>178</v>
      </c>
      <c r="B21" s="108">
        <f>COUNTIF(B4:B17,"*AS*")</f>
        <v>3</v>
      </c>
      <c r="C21" s="108">
        <f t="shared" ref="C21:AK21" si="3">COUNTIF(C4:C17,"*AS*")</f>
        <v>3</v>
      </c>
      <c r="D21" s="108">
        <f t="shared" si="3"/>
        <v>2</v>
      </c>
      <c r="E21" s="108">
        <f t="shared" si="3"/>
        <v>2</v>
      </c>
      <c r="F21" s="108">
        <f t="shared" si="3"/>
        <v>2</v>
      </c>
      <c r="G21" s="108">
        <f t="shared" si="3"/>
        <v>3</v>
      </c>
      <c r="H21" s="108">
        <f t="shared" si="3"/>
        <v>3</v>
      </c>
      <c r="I21" s="108">
        <f t="shared" si="3"/>
        <v>3</v>
      </c>
      <c r="J21" s="108">
        <f t="shared" si="3"/>
        <v>4</v>
      </c>
      <c r="K21" s="108">
        <f t="shared" si="3"/>
        <v>4</v>
      </c>
      <c r="L21" s="108">
        <f t="shared" si="3"/>
        <v>2</v>
      </c>
      <c r="M21" s="108">
        <f t="shared" si="3"/>
        <v>2</v>
      </c>
      <c r="N21" s="108">
        <f t="shared" si="3"/>
        <v>3</v>
      </c>
      <c r="O21" s="108">
        <f t="shared" si="3"/>
        <v>3</v>
      </c>
      <c r="P21" s="108">
        <f t="shared" si="3"/>
        <v>4</v>
      </c>
      <c r="Q21" s="108">
        <f t="shared" si="3"/>
        <v>3</v>
      </c>
      <c r="R21" s="108">
        <f t="shared" si="3"/>
        <v>4</v>
      </c>
      <c r="S21" s="108">
        <f t="shared" si="3"/>
        <v>2</v>
      </c>
      <c r="T21" s="108">
        <f t="shared" si="3"/>
        <v>2</v>
      </c>
      <c r="U21" s="108">
        <f t="shared" si="3"/>
        <v>3</v>
      </c>
      <c r="V21" s="108">
        <f t="shared" si="3"/>
        <v>3</v>
      </c>
      <c r="W21" s="108">
        <f t="shared" si="3"/>
        <v>3</v>
      </c>
      <c r="X21" s="108">
        <f t="shared" si="3"/>
        <v>3</v>
      </c>
      <c r="Y21" s="108">
        <f t="shared" si="3"/>
        <v>3</v>
      </c>
      <c r="Z21" s="108">
        <f t="shared" si="3"/>
        <v>2</v>
      </c>
      <c r="AA21" s="108">
        <f t="shared" si="3"/>
        <v>2</v>
      </c>
      <c r="AB21" s="108">
        <f t="shared" si="3"/>
        <v>3</v>
      </c>
      <c r="AC21" s="108">
        <f t="shared" si="3"/>
        <v>3</v>
      </c>
      <c r="AD21" s="108">
        <f t="shared" si="3"/>
        <v>4</v>
      </c>
      <c r="AE21" s="108">
        <f t="shared" si="3"/>
        <v>4</v>
      </c>
      <c r="AF21" s="108">
        <f t="shared" si="3"/>
        <v>4</v>
      </c>
      <c r="AG21" s="108">
        <f t="shared" si="3"/>
        <v>2</v>
      </c>
      <c r="AH21" s="108">
        <f t="shared" si="3"/>
        <v>2</v>
      </c>
      <c r="AI21" s="108">
        <f t="shared" si="3"/>
        <v>4</v>
      </c>
      <c r="AJ21" s="108">
        <f t="shared" si="3"/>
        <v>3</v>
      </c>
      <c r="AK21" s="108">
        <f t="shared" si="3"/>
        <v>3</v>
      </c>
    </row>
    <row r="22" spans="1:37" x14ac:dyDescent="0.35">
      <c r="A22" s="109" t="s">
        <v>179</v>
      </c>
      <c r="B22" s="110">
        <f>COUNTIF(B4:B17,"*GS*")</f>
        <v>2</v>
      </c>
      <c r="C22" s="110">
        <f t="shared" ref="C22:AK22" si="4">COUNTIF(C4:C17,"*GS*")</f>
        <v>3</v>
      </c>
      <c r="D22" s="110">
        <f t="shared" si="4"/>
        <v>3</v>
      </c>
      <c r="E22" s="110">
        <f t="shared" si="4"/>
        <v>1</v>
      </c>
      <c r="F22" s="110">
        <f t="shared" si="4"/>
        <v>0</v>
      </c>
      <c r="G22" s="110">
        <f t="shared" si="4"/>
        <v>1</v>
      </c>
      <c r="H22" s="110">
        <f t="shared" si="4"/>
        <v>2</v>
      </c>
      <c r="I22" s="110">
        <f t="shared" si="4"/>
        <v>3</v>
      </c>
      <c r="J22" s="110">
        <f t="shared" si="4"/>
        <v>2</v>
      </c>
      <c r="K22" s="110">
        <f t="shared" si="4"/>
        <v>2</v>
      </c>
      <c r="L22" s="110">
        <f t="shared" si="4"/>
        <v>1</v>
      </c>
      <c r="M22" s="110">
        <f t="shared" si="4"/>
        <v>0</v>
      </c>
      <c r="N22" s="110">
        <f t="shared" si="4"/>
        <v>1</v>
      </c>
      <c r="O22" s="110">
        <f t="shared" si="4"/>
        <v>0</v>
      </c>
      <c r="P22" s="110">
        <f t="shared" si="4"/>
        <v>0</v>
      </c>
      <c r="Q22" s="110">
        <f t="shared" si="4"/>
        <v>0</v>
      </c>
      <c r="R22" s="110">
        <f t="shared" si="4"/>
        <v>0</v>
      </c>
      <c r="S22" s="110">
        <f t="shared" si="4"/>
        <v>1</v>
      </c>
      <c r="T22" s="110">
        <f t="shared" si="4"/>
        <v>0</v>
      </c>
      <c r="U22" s="110">
        <f t="shared" si="4"/>
        <v>0</v>
      </c>
      <c r="V22" s="110">
        <f t="shared" si="4"/>
        <v>2</v>
      </c>
      <c r="W22" s="110">
        <f t="shared" si="4"/>
        <v>3</v>
      </c>
      <c r="X22" s="110">
        <f t="shared" si="4"/>
        <v>3</v>
      </c>
      <c r="Y22" s="110">
        <f t="shared" si="4"/>
        <v>2</v>
      </c>
      <c r="Z22" s="110">
        <f t="shared" si="4"/>
        <v>1</v>
      </c>
      <c r="AA22" s="110">
        <f t="shared" si="4"/>
        <v>0</v>
      </c>
      <c r="AB22" s="110">
        <f t="shared" si="4"/>
        <v>3</v>
      </c>
      <c r="AC22" s="110">
        <f t="shared" si="4"/>
        <v>3</v>
      </c>
      <c r="AD22" s="110">
        <f t="shared" si="4"/>
        <v>2</v>
      </c>
      <c r="AE22" s="110">
        <f t="shared" si="4"/>
        <v>4</v>
      </c>
      <c r="AF22" s="110">
        <f t="shared" si="4"/>
        <v>2</v>
      </c>
      <c r="AG22" s="110">
        <f t="shared" si="4"/>
        <v>1</v>
      </c>
      <c r="AH22" s="110">
        <f t="shared" si="4"/>
        <v>0</v>
      </c>
      <c r="AI22" s="110">
        <f t="shared" si="4"/>
        <v>2</v>
      </c>
      <c r="AJ22" s="110">
        <f t="shared" si="4"/>
        <v>3</v>
      </c>
      <c r="AK22" s="110">
        <f t="shared" si="4"/>
        <v>1</v>
      </c>
    </row>
    <row r="23" spans="1:37" x14ac:dyDescent="0.35">
      <c r="A23" s="111" t="s">
        <v>180</v>
      </c>
      <c r="B23" s="112">
        <f>COUNTIF(B4:B17,"*NS*")</f>
        <v>2</v>
      </c>
      <c r="C23" s="112">
        <f t="shared" ref="C23:AK23" si="5">COUNTIF(C4:C17,"*NS*")</f>
        <v>2</v>
      </c>
      <c r="D23" s="112">
        <f t="shared" si="5"/>
        <v>2</v>
      </c>
      <c r="E23" s="112">
        <f t="shared" si="5"/>
        <v>2</v>
      </c>
      <c r="F23" s="112">
        <f t="shared" si="5"/>
        <v>2</v>
      </c>
      <c r="G23" s="112">
        <f t="shared" si="5"/>
        <v>3</v>
      </c>
      <c r="H23" s="112">
        <f t="shared" si="5"/>
        <v>3</v>
      </c>
      <c r="I23" s="112">
        <f t="shared" si="5"/>
        <v>3</v>
      </c>
      <c r="J23" s="112">
        <f t="shared" si="5"/>
        <v>2</v>
      </c>
      <c r="K23" s="112">
        <f t="shared" si="5"/>
        <v>2</v>
      </c>
      <c r="L23" s="112">
        <f t="shared" si="5"/>
        <v>2</v>
      </c>
      <c r="M23" s="112">
        <f t="shared" si="5"/>
        <v>2</v>
      </c>
      <c r="N23" s="112">
        <f t="shared" si="5"/>
        <v>2</v>
      </c>
      <c r="O23" s="112">
        <f t="shared" si="5"/>
        <v>2</v>
      </c>
      <c r="P23" s="112">
        <f t="shared" si="5"/>
        <v>2</v>
      </c>
      <c r="Q23" s="112">
        <f t="shared" si="5"/>
        <v>2</v>
      </c>
      <c r="R23" s="112">
        <f t="shared" si="5"/>
        <v>4</v>
      </c>
      <c r="S23" s="112">
        <f t="shared" si="5"/>
        <v>2</v>
      </c>
      <c r="T23" s="112">
        <f t="shared" si="5"/>
        <v>2</v>
      </c>
      <c r="U23" s="112">
        <f t="shared" si="5"/>
        <v>2</v>
      </c>
      <c r="V23" s="112">
        <f t="shared" si="5"/>
        <v>2</v>
      </c>
      <c r="W23" s="112">
        <f t="shared" si="5"/>
        <v>2</v>
      </c>
      <c r="X23" s="112">
        <f t="shared" si="5"/>
        <v>2</v>
      </c>
      <c r="Y23" s="112">
        <f t="shared" si="5"/>
        <v>2</v>
      </c>
      <c r="Z23" s="112">
        <f t="shared" si="5"/>
        <v>2</v>
      </c>
      <c r="AA23" s="112">
        <f t="shared" si="5"/>
        <v>2</v>
      </c>
      <c r="AB23" s="112">
        <f t="shared" si="5"/>
        <v>2</v>
      </c>
      <c r="AC23" s="112">
        <f t="shared" si="5"/>
        <v>2</v>
      </c>
      <c r="AD23" s="112">
        <f t="shared" si="5"/>
        <v>2</v>
      </c>
      <c r="AE23" s="112">
        <f t="shared" si="5"/>
        <v>2</v>
      </c>
      <c r="AF23" s="112">
        <f t="shared" si="5"/>
        <v>2</v>
      </c>
      <c r="AG23" s="112">
        <f t="shared" si="5"/>
        <v>2</v>
      </c>
      <c r="AH23" s="112">
        <f t="shared" si="5"/>
        <v>2</v>
      </c>
      <c r="AI23" s="112">
        <f t="shared" si="5"/>
        <v>2</v>
      </c>
      <c r="AJ23" s="112">
        <f t="shared" si="5"/>
        <v>2</v>
      </c>
      <c r="AK23" s="112">
        <f t="shared" si="5"/>
        <v>2</v>
      </c>
    </row>
    <row r="24" spans="1:37" x14ac:dyDescent="0.35">
      <c r="A24" s="113" t="s">
        <v>181</v>
      </c>
      <c r="B24" s="114">
        <f>COUNTIF(B2:B17,"N*3")</f>
        <v>0</v>
      </c>
      <c r="C24" s="114">
        <f t="shared" ref="C24:AK24" si="6">COUNTIF(C2:C17,"N*3")</f>
        <v>0</v>
      </c>
      <c r="D24" s="114">
        <f t="shared" si="6"/>
        <v>0</v>
      </c>
      <c r="E24" s="114">
        <f t="shared" si="6"/>
        <v>0</v>
      </c>
      <c r="F24" s="114">
        <f t="shared" si="6"/>
        <v>0</v>
      </c>
      <c r="G24" s="114">
        <f t="shared" si="6"/>
        <v>0</v>
      </c>
      <c r="H24" s="114">
        <f t="shared" si="6"/>
        <v>0</v>
      </c>
      <c r="I24" s="114">
        <f t="shared" si="6"/>
        <v>0</v>
      </c>
      <c r="J24" s="114">
        <f t="shared" si="6"/>
        <v>0</v>
      </c>
      <c r="K24" s="114">
        <f t="shared" si="6"/>
        <v>0</v>
      </c>
      <c r="L24" s="114">
        <f t="shared" si="6"/>
        <v>0</v>
      </c>
      <c r="M24" s="114">
        <f t="shared" si="6"/>
        <v>0</v>
      </c>
      <c r="N24" s="114">
        <f t="shared" si="6"/>
        <v>0</v>
      </c>
      <c r="O24" s="114">
        <f t="shared" si="6"/>
        <v>0</v>
      </c>
      <c r="P24" s="114">
        <f t="shared" si="6"/>
        <v>0</v>
      </c>
      <c r="Q24" s="114">
        <f t="shared" si="6"/>
        <v>0</v>
      </c>
      <c r="R24" s="114">
        <f t="shared" si="6"/>
        <v>0</v>
      </c>
      <c r="S24" s="114">
        <f t="shared" si="6"/>
        <v>0</v>
      </c>
      <c r="T24" s="114">
        <f t="shared" si="6"/>
        <v>0</v>
      </c>
      <c r="U24" s="114">
        <f t="shared" si="6"/>
        <v>0</v>
      </c>
      <c r="V24" s="114">
        <f t="shared" si="6"/>
        <v>0</v>
      </c>
      <c r="W24" s="114">
        <f t="shared" si="6"/>
        <v>0</v>
      </c>
      <c r="X24" s="114">
        <f t="shared" si="6"/>
        <v>0</v>
      </c>
      <c r="Y24" s="114">
        <f t="shared" si="6"/>
        <v>0</v>
      </c>
      <c r="Z24" s="114">
        <f t="shared" si="6"/>
        <v>0</v>
      </c>
      <c r="AA24" s="114">
        <f t="shared" si="6"/>
        <v>0</v>
      </c>
      <c r="AB24" s="114">
        <f t="shared" si="6"/>
        <v>0</v>
      </c>
      <c r="AC24" s="114">
        <f t="shared" si="6"/>
        <v>0</v>
      </c>
      <c r="AD24" s="114">
        <f t="shared" si="6"/>
        <v>0</v>
      </c>
      <c r="AE24" s="114">
        <f t="shared" si="6"/>
        <v>0</v>
      </c>
      <c r="AF24" s="114">
        <f t="shared" si="6"/>
        <v>0</v>
      </c>
      <c r="AG24" s="114">
        <f t="shared" si="6"/>
        <v>0</v>
      </c>
      <c r="AH24" s="114">
        <f t="shared" si="6"/>
        <v>0</v>
      </c>
      <c r="AI24" s="114">
        <f t="shared" si="6"/>
        <v>0</v>
      </c>
      <c r="AJ24" s="114">
        <f t="shared" si="6"/>
        <v>0</v>
      </c>
      <c r="AK24" s="114">
        <f t="shared" si="6"/>
        <v>0</v>
      </c>
    </row>
    <row r="25" spans="1:37" x14ac:dyDescent="0.35">
      <c r="A25" s="115" t="s">
        <v>182</v>
      </c>
      <c r="B25" s="116">
        <f t="shared" ref="B25" si="7">SUM(B20:B24)</f>
        <v>10</v>
      </c>
      <c r="C25" s="116">
        <f t="shared" ref="C25:S25" si="8">SUM(C20:C24)</f>
        <v>11</v>
      </c>
      <c r="D25" s="116">
        <f t="shared" si="8"/>
        <v>11</v>
      </c>
      <c r="E25" s="116">
        <f t="shared" si="8"/>
        <v>7</v>
      </c>
      <c r="F25" s="116">
        <f t="shared" si="8"/>
        <v>6</v>
      </c>
      <c r="G25" s="116">
        <f t="shared" si="8"/>
        <v>11</v>
      </c>
      <c r="H25" s="116">
        <f>SUM(H20:H24)</f>
        <v>12</v>
      </c>
      <c r="I25" s="116">
        <f t="shared" si="8"/>
        <v>12</v>
      </c>
      <c r="J25" s="116">
        <f>SUM(J20:J24)</f>
        <v>13</v>
      </c>
      <c r="K25" s="116">
        <f t="shared" si="8"/>
        <v>12</v>
      </c>
      <c r="L25" s="116">
        <f t="shared" si="8"/>
        <v>7</v>
      </c>
      <c r="M25" s="116">
        <f t="shared" si="8"/>
        <v>6</v>
      </c>
      <c r="N25" s="116">
        <f t="shared" si="8"/>
        <v>10</v>
      </c>
      <c r="O25" s="116">
        <f t="shared" si="8"/>
        <v>9</v>
      </c>
      <c r="P25" s="116">
        <f t="shared" si="8"/>
        <v>10</v>
      </c>
      <c r="Q25" s="116">
        <f t="shared" si="8"/>
        <v>8</v>
      </c>
      <c r="R25" s="116">
        <f t="shared" si="8"/>
        <v>12</v>
      </c>
      <c r="S25" s="116">
        <f t="shared" si="8"/>
        <v>7</v>
      </c>
      <c r="T25" s="116">
        <f t="shared" ref="T25" si="9">SUM(T20:T24)</f>
        <v>6</v>
      </c>
      <c r="U25" s="116">
        <f t="shared" ref="U25:Y25" si="10">SUM(U20:U24)</f>
        <v>8</v>
      </c>
      <c r="V25" s="116">
        <f t="shared" si="10"/>
        <v>10</v>
      </c>
      <c r="W25" s="116">
        <f t="shared" si="10"/>
        <v>11</v>
      </c>
      <c r="X25" s="116">
        <f t="shared" si="10"/>
        <v>12</v>
      </c>
      <c r="Y25" s="116">
        <f t="shared" si="10"/>
        <v>11</v>
      </c>
      <c r="Z25" s="116">
        <f>SUM(Z20:Z24)</f>
        <v>7</v>
      </c>
      <c r="AA25" s="116">
        <f t="shared" ref="AA25:AK25" si="11">SUM(AA20:AA24)</f>
        <v>6</v>
      </c>
      <c r="AB25" s="116">
        <f t="shared" si="11"/>
        <v>12</v>
      </c>
      <c r="AC25" s="116">
        <f t="shared" si="11"/>
        <v>11</v>
      </c>
      <c r="AD25" s="116">
        <f t="shared" si="11"/>
        <v>11</v>
      </c>
      <c r="AE25" s="116">
        <f t="shared" si="11"/>
        <v>13</v>
      </c>
      <c r="AF25" s="116">
        <f t="shared" si="11"/>
        <v>11</v>
      </c>
      <c r="AG25" s="116">
        <f t="shared" si="11"/>
        <v>7</v>
      </c>
      <c r="AH25" s="116">
        <f t="shared" si="11"/>
        <v>6</v>
      </c>
      <c r="AI25" s="116">
        <f t="shared" si="11"/>
        <v>12</v>
      </c>
      <c r="AJ25" s="116">
        <f t="shared" si="11"/>
        <v>11</v>
      </c>
      <c r="AK25" s="116">
        <f t="shared" si="11"/>
        <v>9</v>
      </c>
    </row>
    <row r="26" spans="1:37" x14ac:dyDescent="0.35">
      <c r="B26" s="104"/>
      <c r="C26" s="104"/>
      <c r="D26" s="104"/>
      <c r="E26" s="104"/>
      <c r="F26" s="104"/>
    </row>
    <row r="27" spans="1:37" x14ac:dyDescent="0.35">
      <c r="B27" s="104"/>
      <c r="C27" s="104"/>
      <c r="D27" s="104"/>
      <c r="E27" s="104"/>
      <c r="F27" s="104"/>
    </row>
    <row r="28" spans="1:37" x14ac:dyDescent="0.35">
      <c r="B28" s="104"/>
      <c r="C28" s="104"/>
      <c r="D28" s="104"/>
      <c r="E28" s="104"/>
      <c r="F28" s="104"/>
    </row>
    <row r="29" spans="1:37" x14ac:dyDescent="0.35">
      <c r="B29" s="104"/>
      <c r="C29" s="104"/>
      <c r="D29" s="104"/>
      <c r="E29" s="104"/>
      <c r="F29" s="104"/>
    </row>
    <row r="30" spans="1:37" x14ac:dyDescent="0.35">
      <c r="B30" s="104"/>
      <c r="C30" s="104"/>
      <c r="D30" s="104"/>
      <c r="E30" s="104"/>
      <c r="F30" s="104"/>
    </row>
    <row r="31" spans="1:37" x14ac:dyDescent="0.35">
      <c r="A31" s="24" t="s">
        <v>23</v>
      </c>
      <c r="B31" s="104"/>
      <c r="C31" s="104"/>
      <c r="D31" s="104"/>
      <c r="E31" s="104"/>
      <c r="F31" s="104"/>
    </row>
    <row r="32" spans="1:37" x14ac:dyDescent="0.35">
      <c r="A32" s="1" t="s">
        <v>24</v>
      </c>
      <c r="B32" s="104"/>
      <c r="C32" s="104"/>
      <c r="D32" s="104"/>
      <c r="E32" s="104"/>
      <c r="F32" s="104"/>
    </row>
    <row r="33" spans="1:6" x14ac:dyDescent="0.35">
      <c r="A33" s="1" t="s">
        <v>25</v>
      </c>
      <c r="B33" s="104"/>
      <c r="C33" s="104"/>
      <c r="D33" s="104"/>
      <c r="E33" s="104"/>
      <c r="F33" s="104"/>
    </row>
    <row r="34" spans="1:6" x14ac:dyDescent="0.35">
      <c r="A34" s="1" t="s">
        <v>47</v>
      </c>
      <c r="B34" s="104"/>
      <c r="C34" s="104"/>
      <c r="D34" s="104"/>
      <c r="E34" s="104"/>
      <c r="F34" s="104"/>
    </row>
    <row r="35" spans="1:6" x14ac:dyDescent="0.35">
      <c r="A35" s="1" t="s">
        <v>48</v>
      </c>
      <c r="B35" s="104"/>
      <c r="C35" s="104"/>
      <c r="D35" s="104"/>
      <c r="E35" s="104"/>
      <c r="F35" s="104"/>
    </row>
    <row r="36" spans="1:6" x14ac:dyDescent="0.35">
      <c r="A36" s="26" t="s">
        <v>26</v>
      </c>
      <c r="B36" s="104"/>
      <c r="C36" s="104"/>
      <c r="D36" s="104"/>
      <c r="E36" s="104"/>
      <c r="F36" s="104"/>
    </row>
    <row r="37" spans="1:6" x14ac:dyDescent="0.35">
      <c r="A37" s="26" t="s">
        <v>27</v>
      </c>
      <c r="B37" s="104"/>
      <c r="C37" s="104"/>
      <c r="D37" s="104"/>
      <c r="E37" s="104"/>
      <c r="F37" s="104"/>
    </row>
    <row r="38" spans="1:6" x14ac:dyDescent="0.35">
      <c r="A38" s="26" t="s">
        <v>28</v>
      </c>
    </row>
    <row r="39" spans="1:6" x14ac:dyDescent="0.35">
      <c r="A39" s="26" t="s">
        <v>29</v>
      </c>
    </row>
    <row r="40" spans="1:6" x14ac:dyDescent="0.35">
      <c r="A40" s="26" t="s">
        <v>49</v>
      </c>
    </row>
    <row r="41" spans="1:6" x14ac:dyDescent="0.35">
      <c r="A41" s="26" t="s">
        <v>50</v>
      </c>
    </row>
    <row r="42" spans="1:6" x14ac:dyDescent="0.35">
      <c r="A42" s="26" t="s">
        <v>31</v>
      </c>
    </row>
    <row r="43" spans="1:6" x14ac:dyDescent="0.35">
      <c r="A43" s="26" t="s">
        <v>32</v>
      </c>
    </row>
    <row r="44" spans="1:6" x14ac:dyDescent="0.35">
      <c r="A44" s="26" t="s">
        <v>33</v>
      </c>
    </row>
    <row r="45" spans="1:6" x14ac:dyDescent="0.35">
      <c r="A45" s="26" t="s">
        <v>35</v>
      </c>
    </row>
    <row r="46" spans="1:6" x14ac:dyDescent="0.35">
      <c r="A46" s="26" t="s">
        <v>36</v>
      </c>
    </row>
    <row r="47" spans="1:6" x14ac:dyDescent="0.35">
      <c r="A47" s="26" t="s">
        <v>38</v>
      </c>
    </row>
    <row r="48" spans="1:6" x14ac:dyDescent="0.35">
      <c r="A48" s="26" t="s">
        <v>36</v>
      </c>
    </row>
    <row r="49" spans="1:1" x14ac:dyDescent="0.35">
      <c r="A49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I30"/>
  <sheetViews>
    <sheetView topLeftCell="B1" zoomScale="80" zoomScaleNormal="80" workbookViewId="0">
      <pane xSplit="1" topLeftCell="N1" activePane="topRight" state="frozen"/>
      <selection activeCell="B1" sqref="B1"/>
      <selection pane="topRight" activeCell="U11" sqref="U11"/>
    </sheetView>
  </sheetViews>
  <sheetFormatPr defaultRowHeight="14.5" x14ac:dyDescent="0.35"/>
  <cols>
    <col min="1" max="1" width="0" hidden="1" customWidth="1"/>
    <col min="2" max="2" width="17.453125" bestFit="1" customWidth="1"/>
    <col min="3" max="35" width="8.7265625" customWidth="1"/>
  </cols>
  <sheetData>
    <row r="2" spans="1:35" x14ac:dyDescent="0.35">
      <c r="B2" s="30"/>
      <c r="C2" s="2" t="str">
        <f t="shared" ref="C2:AI2" si="0">TEXT(C3,"ddd")</f>
        <v>Sat</v>
      </c>
      <c r="D2" s="2" t="str">
        <f t="shared" si="0"/>
        <v>Sun</v>
      </c>
      <c r="E2" s="2" t="str">
        <f t="shared" si="0"/>
        <v>Mon</v>
      </c>
      <c r="F2" s="2" t="str">
        <f t="shared" si="0"/>
        <v>Tue</v>
      </c>
      <c r="G2" s="2" t="str">
        <f t="shared" si="0"/>
        <v>Wed</v>
      </c>
      <c r="H2" s="2" t="str">
        <f t="shared" si="0"/>
        <v>Thu</v>
      </c>
      <c r="I2" s="2" t="str">
        <f t="shared" si="0"/>
        <v>Fri</v>
      </c>
      <c r="J2" s="2" t="str">
        <f t="shared" si="0"/>
        <v>Sat</v>
      </c>
      <c r="K2" s="2" t="str">
        <f t="shared" si="0"/>
        <v>Sun</v>
      </c>
      <c r="L2" s="2" t="str">
        <f t="shared" si="0"/>
        <v>Mon</v>
      </c>
      <c r="M2" s="2" t="str">
        <f t="shared" si="0"/>
        <v>Tue</v>
      </c>
      <c r="N2" s="2" t="str">
        <f t="shared" si="0"/>
        <v>Wed</v>
      </c>
      <c r="O2" s="2" t="str">
        <f t="shared" si="0"/>
        <v>Thu</v>
      </c>
      <c r="P2" s="2" t="str">
        <f t="shared" si="0"/>
        <v>Fri</v>
      </c>
      <c r="Q2" s="2" t="str">
        <f t="shared" si="0"/>
        <v>Sat</v>
      </c>
      <c r="R2" s="2" t="str">
        <f t="shared" si="0"/>
        <v>Sun</v>
      </c>
      <c r="S2" s="2" t="str">
        <f t="shared" si="0"/>
        <v>Mon</v>
      </c>
      <c r="T2" s="2" t="str">
        <f t="shared" si="0"/>
        <v>Tue</v>
      </c>
      <c r="U2" s="2" t="str">
        <f t="shared" si="0"/>
        <v>Wed</v>
      </c>
      <c r="V2" s="2" t="str">
        <f t="shared" si="0"/>
        <v>Thu</v>
      </c>
      <c r="W2" s="2" t="str">
        <f t="shared" si="0"/>
        <v>Fri</v>
      </c>
      <c r="X2" s="2" t="str">
        <f t="shared" si="0"/>
        <v>Sat</v>
      </c>
      <c r="Y2" s="2" t="str">
        <f t="shared" si="0"/>
        <v>Sun</v>
      </c>
      <c r="Z2" s="2" t="str">
        <f t="shared" si="0"/>
        <v>Mon</v>
      </c>
      <c r="AA2" s="2" t="str">
        <f t="shared" si="0"/>
        <v>Tue</v>
      </c>
      <c r="AB2" s="2" t="str">
        <f t="shared" si="0"/>
        <v>Wed</v>
      </c>
      <c r="AC2" s="2" t="str">
        <f t="shared" si="0"/>
        <v>Thu</v>
      </c>
      <c r="AD2" s="2" t="str">
        <f t="shared" si="0"/>
        <v>Fri</v>
      </c>
      <c r="AE2" s="2" t="str">
        <f t="shared" si="0"/>
        <v>Sat</v>
      </c>
      <c r="AF2" s="2" t="str">
        <f t="shared" si="0"/>
        <v>Sun</v>
      </c>
      <c r="AG2" s="2" t="str">
        <f t="shared" si="0"/>
        <v>Mon</v>
      </c>
      <c r="AH2" s="2" t="str">
        <f t="shared" si="0"/>
        <v>Tue</v>
      </c>
      <c r="AI2" s="2" t="str">
        <f t="shared" si="0"/>
        <v>Wed</v>
      </c>
    </row>
    <row r="3" spans="1:35" x14ac:dyDescent="0.35">
      <c r="A3" s="124" t="s">
        <v>159</v>
      </c>
      <c r="B3" s="124" t="s">
        <v>0</v>
      </c>
      <c r="C3" s="31">
        <v>44772</v>
      </c>
      <c r="D3" s="31">
        <v>44773</v>
      </c>
      <c r="E3" s="31">
        <v>44774</v>
      </c>
      <c r="F3" s="31">
        <v>44775</v>
      </c>
      <c r="G3" s="31">
        <v>44776</v>
      </c>
      <c r="H3" s="31">
        <v>44777</v>
      </c>
      <c r="I3" s="31">
        <v>44778</v>
      </c>
      <c r="J3" s="31">
        <v>44779</v>
      </c>
      <c r="K3" s="31">
        <v>44780</v>
      </c>
      <c r="L3" s="31">
        <v>44781</v>
      </c>
      <c r="M3" s="31">
        <v>44782</v>
      </c>
      <c r="N3" s="31">
        <v>44783</v>
      </c>
      <c r="O3" s="31">
        <v>44784</v>
      </c>
      <c r="P3" s="31">
        <v>44785</v>
      </c>
      <c r="Q3" s="31">
        <v>44786</v>
      </c>
      <c r="R3" s="31">
        <v>44787</v>
      </c>
      <c r="S3" s="31">
        <v>44788</v>
      </c>
      <c r="T3" s="31">
        <v>44789</v>
      </c>
      <c r="U3" s="31">
        <v>44790</v>
      </c>
      <c r="V3" s="31">
        <v>44791</v>
      </c>
      <c r="W3" s="31">
        <v>44792</v>
      </c>
      <c r="X3" s="31">
        <v>44793</v>
      </c>
      <c r="Y3" s="31">
        <v>44794</v>
      </c>
      <c r="Z3" s="31">
        <v>44795</v>
      </c>
      <c r="AA3" s="31">
        <v>44796</v>
      </c>
      <c r="AB3" s="31">
        <v>44797</v>
      </c>
      <c r="AC3" s="31">
        <v>44798</v>
      </c>
      <c r="AD3" s="31">
        <v>44799</v>
      </c>
      <c r="AE3" s="31">
        <v>44800</v>
      </c>
      <c r="AF3" s="31">
        <v>44801</v>
      </c>
      <c r="AG3" s="31">
        <v>44802</v>
      </c>
      <c r="AH3" s="31">
        <v>44803</v>
      </c>
      <c r="AI3" s="31">
        <v>44804</v>
      </c>
    </row>
    <row r="4" spans="1:35" ht="15" thickBot="1" x14ac:dyDescent="0.4">
      <c r="A4" s="227" t="s">
        <v>163</v>
      </c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</row>
    <row r="5" spans="1:35" ht="15" thickBot="1" x14ac:dyDescent="0.4">
      <c r="A5" s="228"/>
      <c r="B5" s="127" t="s">
        <v>14</v>
      </c>
      <c r="C5" s="128" t="s">
        <v>4</v>
      </c>
      <c r="D5" s="129" t="s">
        <v>5</v>
      </c>
      <c r="E5" s="132" t="s">
        <v>6</v>
      </c>
      <c r="F5" s="132" t="s">
        <v>6</v>
      </c>
      <c r="G5" s="132" t="s">
        <v>6</v>
      </c>
      <c r="H5" s="132" t="s">
        <v>6</v>
      </c>
      <c r="I5" s="160" t="s">
        <v>6</v>
      </c>
      <c r="J5" s="132" t="s">
        <v>3</v>
      </c>
      <c r="K5" s="136" t="s">
        <v>4</v>
      </c>
      <c r="L5" s="84" t="s">
        <v>16</v>
      </c>
      <c r="M5" s="84" t="s">
        <v>16</v>
      </c>
      <c r="N5" s="25" t="s">
        <v>6</v>
      </c>
      <c r="O5" s="160" t="s">
        <v>6</v>
      </c>
      <c r="P5" s="160" t="s">
        <v>6</v>
      </c>
      <c r="Q5" s="136" t="s">
        <v>4</v>
      </c>
      <c r="R5" s="136" t="s">
        <v>4</v>
      </c>
      <c r="S5" s="132" t="s">
        <v>3</v>
      </c>
      <c r="T5" s="132" t="s">
        <v>6</v>
      </c>
      <c r="U5" s="132" t="s">
        <v>6</v>
      </c>
      <c r="V5" s="129" t="s">
        <v>5</v>
      </c>
      <c r="W5" s="133" t="s">
        <v>2</v>
      </c>
      <c r="X5" s="128" t="s">
        <v>4</v>
      </c>
      <c r="Y5" s="132" t="s">
        <v>3</v>
      </c>
      <c r="Z5" s="132" t="s">
        <v>6</v>
      </c>
      <c r="AA5" s="132" t="s">
        <v>6</v>
      </c>
      <c r="AB5" s="132" t="s">
        <v>6</v>
      </c>
      <c r="AC5" s="132" t="s">
        <v>6</v>
      </c>
      <c r="AD5" s="132" t="s">
        <v>6</v>
      </c>
      <c r="AE5" s="136" t="s">
        <v>4</v>
      </c>
      <c r="AF5" s="129" t="s">
        <v>5</v>
      </c>
      <c r="AG5" s="129" t="s">
        <v>5</v>
      </c>
      <c r="AH5" s="129" t="s">
        <v>5</v>
      </c>
      <c r="AI5" s="144" t="s">
        <v>37</v>
      </c>
    </row>
    <row r="6" spans="1:35" ht="15" thickBot="1" x14ac:dyDescent="0.4">
      <c r="A6" s="228"/>
      <c r="B6" s="135" t="s">
        <v>12</v>
      </c>
      <c r="C6" s="134" t="s">
        <v>3</v>
      </c>
      <c r="D6" s="134" t="s">
        <v>3</v>
      </c>
      <c r="E6" s="131" t="s">
        <v>2</v>
      </c>
      <c r="F6" s="131" t="s">
        <v>2</v>
      </c>
      <c r="G6" s="131" t="s">
        <v>2</v>
      </c>
      <c r="H6" s="159" t="s">
        <v>6</v>
      </c>
      <c r="I6" s="160" t="s">
        <v>6</v>
      </c>
      <c r="J6" s="160" t="s">
        <v>3</v>
      </c>
      <c r="K6" s="161" t="s">
        <v>3</v>
      </c>
      <c r="L6" s="161" t="s">
        <v>6</v>
      </c>
      <c r="M6" s="84" t="s">
        <v>16</v>
      </c>
      <c r="N6" s="136" t="s">
        <v>5</v>
      </c>
      <c r="O6" s="136" t="s">
        <v>5</v>
      </c>
      <c r="P6" s="136" t="s">
        <v>5</v>
      </c>
      <c r="Q6" s="134" t="s">
        <v>3</v>
      </c>
      <c r="R6" s="134" t="s">
        <v>3</v>
      </c>
      <c r="S6" s="132" t="s">
        <v>3</v>
      </c>
      <c r="T6" s="132" t="s">
        <v>6</v>
      </c>
      <c r="U6" s="131" t="s">
        <v>2</v>
      </c>
      <c r="V6" s="132" t="s">
        <v>6</v>
      </c>
      <c r="W6" s="134" t="s">
        <v>6</v>
      </c>
      <c r="X6" s="134" t="s">
        <v>3</v>
      </c>
      <c r="Y6" s="130" t="s">
        <v>4</v>
      </c>
      <c r="Z6" s="132" t="s">
        <v>6</v>
      </c>
      <c r="AA6" s="134" t="s">
        <v>6</v>
      </c>
      <c r="AB6" s="134" t="s">
        <v>6</v>
      </c>
      <c r="AC6" s="137" t="s">
        <v>2</v>
      </c>
      <c r="AD6" s="137" t="s">
        <v>2</v>
      </c>
      <c r="AE6" s="134" t="s">
        <v>3</v>
      </c>
      <c r="AF6" s="134" t="s">
        <v>3</v>
      </c>
      <c r="AG6" s="134" t="s">
        <v>6</v>
      </c>
      <c r="AH6" s="134" t="s">
        <v>6</v>
      </c>
      <c r="AI6" s="141" t="s">
        <v>3</v>
      </c>
    </row>
    <row r="7" spans="1:35" x14ac:dyDescent="0.35">
      <c r="A7" s="227"/>
      <c r="B7" s="138" t="s">
        <v>86</v>
      </c>
      <c r="C7" s="139" t="s">
        <v>4</v>
      </c>
      <c r="D7" s="140" t="s">
        <v>5</v>
      </c>
      <c r="E7" s="25" t="s">
        <v>6</v>
      </c>
      <c r="F7" s="25" t="s">
        <v>6</v>
      </c>
      <c r="G7" s="141" t="s">
        <v>6</v>
      </c>
      <c r="H7" s="141" t="s">
        <v>6</v>
      </c>
      <c r="I7" s="137" t="s">
        <v>2</v>
      </c>
      <c r="J7" s="139" t="s">
        <v>4</v>
      </c>
      <c r="K7" s="132" t="s">
        <v>3</v>
      </c>
      <c r="L7" s="132" t="s">
        <v>6</v>
      </c>
      <c r="M7" s="132" t="s">
        <v>6</v>
      </c>
      <c r="N7" s="132" t="s">
        <v>6</v>
      </c>
      <c r="O7" s="132" t="s">
        <v>6</v>
      </c>
      <c r="P7" s="137" t="s">
        <v>2</v>
      </c>
      <c r="Q7" s="139" t="s">
        <v>4</v>
      </c>
      <c r="R7" s="141" t="s">
        <v>3</v>
      </c>
      <c r="S7" s="132" t="s">
        <v>3</v>
      </c>
      <c r="T7" s="161" t="s">
        <v>6</v>
      </c>
      <c r="U7" s="161" t="s">
        <v>6</v>
      </c>
      <c r="V7" s="161" t="s">
        <v>6</v>
      </c>
      <c r="W7" s="137" t="s">
        <v>2</v>
      </c>
      <c r="X7" s="139" t="s">
        <v>4</v>
      </c>
      <c r="Y7" s="141" t="s">
        <v>3</v>
      </c>
      <c r="Z7" s="141" t="s">
        <v>6</v>
      </c>
      <c r="AA7" s="84" t="s">
        <v>16</v>
      </c>
      <c r="AB7" s="84" t="s">
        <v>16</v>
      </c>
      <c r="AC7" s="141" t="s">
        <v>6</v>
      </c>
      <c r="AD7" s="137" t="s">
        <v>2</v>
      </c>
      <c r="AE7" s="139" t="s">
        <v>4</v>
      </c>
      <c r="AF7" s="141" t="s">
        <v>3</v>
      </c>
      <c r="AG7" s="141" t="s">
        <v>6</v>
      </c>
      <c r="AH7" s="161" t="s">
        <v>6</v>
      </c>
      <c r="AI7" s="141" t="s">
        <v>3</v>
      </c>
    </row>
    <row r="8" spans="1:35" ht="15" thickBot="1" x14ac:dyDescent="0.4">
      <c r="A8" s="227"/>
      <c r="B8" s="142" t="s">
        <v>88</v>
      </c>
      <c r="C8" s="25" t="s">
        <v>3</v>
      </c>
      <c r="D8" s="29" t="s">
        <v>4</v>
      </c>
      <c r="E8" s="83" t="s">
        <v>6</v>
      </c>
      <c r="F8" s="83" t="s">
        <v>6</v>
      </c>
      <c r="G8" s="83" t="s">
        <v>6</v>
      </c>
      <c r="H8" s="83" t="s">
        <v>6</v>
      </c>
      <c r="I8" s="83" t="s">
        <v>6</v>
      </c>
      <c r="J8" s="143" t="s">
        <v>4</v>
      </c>
      <c r="K8" s="143" t="s">
        <v>4</v>
      </c>
      <c r="L8" s="84" t="s">
        <v>16</v>
      </c>
      <c r="M8" s="136" t="s">
        <v>5</v>
      </c>
      <c r="N8" s="22" t="s">
        <v>16</v>
      </c>
      <c r="O8" s="25" t="s">
        <v>6</v>
      </c>
      <c r="P8" s="25" t="s">
        <v>6</v>
      </c>
      <c r="Q8" s="25" t="s">
        <v>3</v>
      </c>
      <c r="R8" s="143" t="s">
        <v>4</v>
      </c>
      <c r="S8" s="144" t="s">
        <v>37</v>
      </c>
      <c r="T8" s="136" t="s">
        <v>5</v>
      </c>
      <c r="U8" s="141" t="s">
        <v>6</v>
      </c>
      <c r="V8" s="141" t="s">
        <v>6</v>
      </c>
      <c r="W8" s="25" t="s">
        <v>6</v>
      </c>
      <c r="X8" s="25" t="s">
        <v>3</v>
      </c>
      <c r="Y8" s="143" t="s">
        <v>4</v>
      </c>
      <c r="Z8" s="145" t="s">
        <v>2</v>
      </c>
      <c r="AA8" s="25" t="s">
        <v>6</v>
      </c>
      <c r="AB8" s="25" t="s">
        <v>6</v>
      </c>
      <c r="AC8" s="25" t="s">
        <v>6</v>
      </c>
      <c r="AD8" s="25" t="s">
        <v>6</v>
      </c>
      <c r="AE8" s="25" t="s">
        <v>3</v>
      </c>
      <c r="AF8" s="143" t="s">
        <v>4</v>
      </c>
      <c r="AG8" s="25" t="s">
        <v>6</v>
      </c>
      <c r="AH8" s="25" t="s">
        <v>6</v>
      </c>
      <c r="AI8" s="141" t="s">
        <v>3</v>
      </c>
    </row>
    <row r="9" spans="1:35" ht="15" thickBot="1" x14ac:dyDescent="0.4">
      <c r="A9" s="227"/>
      <c r="B9" s="142" t="s">
        <v>87</v>
      </c>
      <c r="C9" s="146" t="s">
        <v>30</v>
      </c>
      <c r="D9" s="25" t="s">
        <v>3</v>
      </c>
      <c r="E9" s="25" t="s">
        <v>6</v>
      </c>
      <c r="F9" s="25" t="s">
        <v>6</v>
      </c>
      <c r="G9" s="145" t="s">
        <v>2</v>
      </c>
      <c r="H9" s="145" t="s">
        <v>2</v>
      </c>
      <c r="I9" s="22" t="s">
        <v>16</v>
      </c>
      <c r="J9" s="146" t="s">
        <v>30</v>
      </c>
      <c r="K9" s="143" t="s">
        <v>4</v>
      </c>
      <c r="L9" s="149" t="s">
        <v>41</v>
      </c>
      <c r="M9" s="132" t="s">
        <v>6</v>
      </c>
      <c r="N9" s="147" t="s">
        <v>41</v>
      </c>
      <c r="O9" s="137" t="s">
        <v>2</v>
      </c>
      <c r="P9" s="25" t="s">
        <v>6</v>
      </c>
      <c r="Q9" s="143" t="s">
        <v>4</v>
      </c>
      <c r="R9" s="143" t="s">
        <v>4</v>
      </c>
      <c r="S9" s="22" t="s">
        <v>30</v>
      </c>
      <c r="T9" s="145" t="s">
        <v>2</v>
      </c>
      <c r="U9" s="84" t="s">
        <v>16</v>
      </c>
      <c r="V9" s="141" t="s">
        <v>6</v>
      </c>
      <c r="W9" s="83" t="s">
        <v>6</v>
      </c>
      <c r="X9" s="147" t="s">
        <v>42</v>
      </c>
      <c r="Y9" s="147" t="s">
        <v>42</v>
      </c>
      <c r="Z9" s="162" t="s">
        <v>41</v>
      </c>
      <c r="AA9" s="83" t="s">
        <v>6</v>
      </c>
      <c r="AB9" s="25" t="s">
        <v>6</v>
      </c>
      <c r="AC9" s="137" t="s">
        <v>2</v>
      </c>
      <c r="AD9" s="25" t="s">
        <v>6</v>
      </c>
      <c r="AE9" s="146" t="s">
        <v>30</v>
      </c>
      <c r="AF9" s="143" t="s">
        <v>4</v>
      </c>
      <c r="AG9" s="25" t="s">
        <v>6</v>
      </c>
      <c r="AH9" s="129" t="s">
        <v>2</v>
      </c>
      <c r="AI9" s="144" t="s">
        <v>37</v>
      </c>
    </row>
    <row r="10" spans="1:35" ht="15" thickBot="1" x14ac:dyDescent="0.4"/>
    <row r="11" spans="1:35" ht="15" thickBot="1" x14ac:dyDescent="0.4">
      <c r="A11" s="228" t="s">
        <v>167</v>
      </c>
      <c r="B11" s="127" t="s">
        <v>9</v>
      </c>
      <c r="C11" s="147" t="s">
        <v>42</v>
      </c>
      <c r="D11" s="128" t="s">
        <v>4</v>
      </c>
      <c r="E11" s="83" t="s">
        <v>41</v>
      </c>
      <c r="F11" s="147" t="s">
        <v>41</v>
      </c>
      <c r="G11" s="131" t="s">
        <v>2</v>
      </c>
      <c r="H11" s="131" t="s">
        <v>2</v>
      </c>
      <c r="I11" s="83" t="s">
        <v>41</v>
      </c>
      <c r="J11" s="149" t="s">
        <v>42</v>
      </c>
      <c r="K11" s="128" t="s">
        <v>4</v>
      </c>
      <c r="L11" s="149" t="s">
        <v>41</v>
      </c>
      <c r="M11" s="132" t="s">
        <v>6</v>
      </c>
      <c r="N11" s="147" t="s">
        <v>41</v>
      </c>
      <c r="O11" s="131" t="s">
        <v>2</v>
      </c>
      <c r="P11" s="147" t="s">
        <v>41</v>
      </c>
      <c r="Q11" s="128" t="s">
        <v>4</v>
      </c>
      <c r="R11" s="128" t="s">
        <v>4</v>
      </c>
      <c r="S11" s="83" t="s">
        <v>42</v>
      </c>
      <c r="T11" s="145" t="s">
        <v>2</v>
      </c>
      <c r="U11" s="83" t="s">
        <v>41</v>
      </c>
      <c r="V11" s="147" t="s">
        <v>41</v>
      </c>
      <c r="W11" s="83" t="s">
        <v>41</v>
      </c>
      <c r="X11" s="147" t="s">
        <v>42</v>
      </c>
      <c r="Y11" s="129" t="s">
        <v>4</v>
      </c>
      <c r="Z11" s="129" t="s">
        <v>2</v>
      </c>
      <c r="AA11" s="129" t="s">
        <v>5</v>
      </c>
      <c r="AB11" s="129" t="s">
        <v>5</v>
      </c>
      <c r="AC11" s="129" t="s">
        <v>5</v>
      </c>
      <c r="AD11" s="163" t="s">
        <v>41</v>
      </c>
      <c r="AE11" s="147" t="s">
        <v>42</v>
      </c>
      <c r="AF11" s="128" t="s">
        <v>4</v>
      </c>
      <c r="AG11" s="133" t="s">
        <v>2</v>
      </c>
      <c r="AH11" s="147" t="s">
        <v>41</v>
      </c>
      <c r="AI11" s="147" t="s">
        <v>42</v>
      </c>
    </row>
    <row r="12" spans="1:35" ht="15" thickBot="1" x14ac:dyDescent="0.4">
      <c r="A12" s="228"/>
      <c r="B12" s="135" t="s">
        <v>15</v>
      </c>
      <c r="C12" s="148" t="s">
        <v>4</v>
      </c>
      <c r="D12" s="149" t="s">
        <v>42</v>
      </c>
      <c r="E12" s="149" t="s">
        <v>41</v>
      </c>
      <c r="F12" s="149" t="s">
        <v>41</v>
      </c>
      <c r="G12" s="149" t="s">
        <v>41</v>
      </c>
      <c r="H12" s="149" t="s">
        <v>41</v>
      </c>
      <c r="I12" s="131" t="s">
        <v>2</v>
      </c>
      <c r="J12" s="130" t="s">
        <v>4</v>
      </c>
      <c r="K12" s="149" t="s">
        <v>42</v>
      </c>
      <c r="L12" s="149" t="s">
        <v>41</v>
      </c>
      <c r="M12" s="149" t="s">
        <v>41</v>
      </c>
      <c r="N12" s="149" t="s">
        <v>41</v>
      </c>
      <c r="O12" s="149" t="s">
        <v>41</v>
      </c>
      <c r="P12" s="131" t="s">
        <v>2</v>
      </c>
      <c r="Q12" s="149" t="s">
        <v>42</v>
      </c>
      <c r="R12" s="149" t="s">
        <v>42</v>
      </c>
      <c r="S12" s="149" t="s">
        <v>42</v>
      </c>
      <c r="T12" s="147" t="s">
        <v>41</v>
      </c>
      <c r="U12" s="147" t="s">
        <v>41</v>
      </c>
      <c r="V12" s="147" t="s">
        <v>41</v>
      </c>
      <c r="W12" s="149" t="s">
        <v>41</v>
      </c>
      <c r="X12" s="130" t="s">
        <v>4</v>
      </c>
      <c r="Y12" s="149" t="s">
        <v>42</v>
      </c>
      <c r="Z12" s="149" t="s">
        <v>41</v>
      </c>
      <c r="AA12" s="149" t="s">
        <v>41</v>
      </c>
      <c r="AB12" s="149" t="s">
        <v>41</v>
      </c>
      <c r="AC12" s="149" t="s">
        <v>41</v>
      </c>
      <c r="AD12" s="131" t="s">
        <v>2</v>
      </c>
      <c r="AE12" s="130" t="s">
        <v>4</v>
      </c>
      <c r="AF12" s="149" t="s">
        <v>42</v>
      </c>
      <c r="AG12" s="149" t="s">
        <v>41</v>
      </c>
      <c r="AH12" s="129" t="s">
        <v>5</v>
      </c>
      <c r="AI12" s="129" t="s">
        <v>5</v>
      </c>
    </row>
    <row r="13" spans="1:35" ht="15" thickBot="1" x14ac:dyDescent="0.4">
      <c r="A13" s="227"/>
      <c r="B13" s="138" t="s">
        <v>21</v>
      </c>
      <c r="C13" s="139" t="s">
        <v>4</v>
      </c>
      <c r="D13" s="149" t="s">
        <v>42</v>
      </c>
      <c r="E13" s="137" t="s">
        <v>2</v>
      </c>
      <c r="F13" s="137" t="s">
        <v>2</v>
      </c>
      <c r="G13" s="150" t="s">
        <v>41</v>
      </c>
      <c r="H13" s="150" t="s">
        <v>41</v>
      </c>
      <c r="I13" s="150" t="s">
        <v>41</v>
      </c>
      <c r="J13" s="150" t="s">
        <v>42</v>
      </c>
      <c r="K13" s="150" t="s">
        <v>42</v>
      </c>
      <c r="L13" s="137" t="s">
        <v>2</v>
      </c>
      <c r="M13" s="149" t="s">
        <v>41</v>
      </c>
      <c r="N13" s="137" t="s">
        <v>2</v>
      </c>
      <c r="O13" s="150" t="s">
        <v>41</v>
      </c>
      <c r="P13" s="150" t="s">
        <v>41</v>
      </c>
      <c r="Q13" s="150" t="s">
        <v>42</v>
      </c>
      <c r="R13" s="19" t="s">
        <v>42</v>
      </c>
      <c r="S13" s="144" t="s">
        <v>37</v>
      </c>
      <c r="T13" s="149" t="s">
        <v>41</v>
      </c>
      <c r="U13" s="140" t="s">
        <v>5</v>
      </c>
      <c r="V13" s="140" t="s">
        <v>5</v>
      </c>
      <c r="W13" s="149" t="s">
        <v>41</v>
      </c>
      <c r="X13" s="147" t="s">
        <v>42</v>
      </c>
      <c r="Y13" s="139" t="s">
        <v>4</v>
      </c>
      <c r="Z13" s="137" t="s">
        <v>2</v>
      </c>
      <c r="AA13" s="163" t="s">
        <v>41</v>
      </c>
      <c r="AB13" s="163" t="s">
        <v>41</v>
      </c>
      <c r="AC13" s="163" t="s">
        <v>41</v>
      </c>
      <c r="AD13" s="163" t="s">
        <v>41</v>
      </c>
      <c r="AE13" s="163" t="s">
        <v>42</v>
      </c>
      <c r="AF13" s="163" t="s">
        <v>42</v>
      </c>
      <c r="AG13" s="137" t="s">
        <v>2</v>
      </c>
      <c r="AH13" s="150" t="s">
        <v>41</v>
      </c>
      <c r="AI13" s="147" t="s">
        <v>42</v>
      </c>
    </row>
    <row r="14" spans="1:35" ht="15" thickBot="1" x14ac:dyDescent="0.4">
      <c r="A14" s="227"/>
      <c r="B14" s="142" t="s">
        <v>22</v>
      </c>
      <c r="C14" s="19" t="s">
        <v>42</v>
      </c>
      <c r="D14" s="139" t="s">
        <v>4</v>
      </c>
      <c r="E14" s="19" t="s">
        <v>41</v>
      </c>
      <c r="F14" s="19" t="s">
        <v>41</v>
      </c>
      <c r="G14" s="19" t="s">
        <v>41</v>
      </c>
      <c r="H14" s="19" t="s">
        <v>41</v>
      </c>
      <c r="I14" s="151" t="s">
        <v>2</v>
      </c>
      <c r="J14" s="151" t="s">
        <v>4</v>
      </c>
      <c r="K14" s="151" t="s">
        <v>5</v>
      </c>
      <c r="L14" s="151" t="s">
        <v>5</v>
      </c>
      <c r="M14" s="151" t="s">
        <v>5</v>
      </c>
      <c r="N14" s="151" t="s">
        <v>5</v>
      </c>
      <c r="O14" s="151" t="s">
        <v>5</v>
      </c>
      <c r="P14" s="150" t="s">
        <v>41</v>
      </c>
      <c r="Q14" s="146" t="s">
        <v>30</v>
      </c>
      <c r="R14" s="143" t="s">
        <v>4</v>
      </c>
      <c r="S14" s="149" t="s">
        <v>42</v>
      </c>
      <c r="T14" s="145" t="s">
        <v>2</v>
      </c>
      <c r="U14" s="162" t="s">
        <v>16</v>
      </c>
      <c r="V14" s="162" t="s">
        <v>16</v>
      </c>
      <c r="W14" s="164" t="s">
        <v>16</v>
      </c>
      <c r="X14" s="164" t="s">
        <v>30</v>
      </c>
      <c r="Y14" s="164" t="s">
        <v>30</v>
      </c>
      <c r="Z14" s="164" t="s">
        <v>16</v>
      </c>
      <c r="AA14" s="137" t="s">
        <v>2</v>
      </c>
      <c r="AB14" s="137" t="s">
        <v>2</v>
      </c>
      <c r="AC14" s="19" t="s">
        <v>41</v>
      </c>
      <c r="AD14" s="19" t="s">
        <v>41</v>
      </c>
      <c r="AE14" s="143" t="s">
        <v>4</v>
      </c>
      <c r="AF14" s="143" t="s">
        <v>4</v>
      </c>
      <c r="AG14" s="19" t="s">
        <v>41</v>
      </c>
      <c r="AH14" s="19" t="s">
        <v>41</v>
      </c>
      <c r="AI14" s="147" t="s">
        <v>42</v>
      </c>
    </row>
    <row r="15" spans="1:35" ht="15" thickBot="1" x14ac:dyDescent="0.4">
      <c r="A15" s="227"/>
      <c r="B15" s="142" t="s">
        <v>200</v>
      </c>
      <c r="C15" s="143" t="s">
        <v>4</v>
      </c>
      <c r="D15" s="143" t="s">
        <v>4</v>
      </c>
      <c r="E15" s="22" t="s">
        <v>16</v>
      </c>
      <c r="F15" s="22" t="s">
        <v>16</v>
      </c>
      <c r="G15" s="22" t="s">
        <v>16</v>
      </c>
      <c r="H15" s="22" t="s">
        <v>16</v>
      </c>
      <c r="I15" s="84" t="s">
        <v>16</v>
      </c>
      <c r="J15" s="143" t="s">
        <v>4</v>
      </c>
      <c r="K15" s="143" t="s">
        <v>4</v>
      </c>
      <c r="L15" s="84" t="s">
        <v>16</v>
      </c>
      <c r="M15" s="84" t="s">
        <v>16</v>
      </c>
      <c r="N15" s="84" t="s">
        <v>16</v>
      </c>
      <c r="O15" s="22" t="s">
        <v>16</v>
      </c>
      <c r="P15" s="22" t="s">
        <v>16</v>
      </c>
      <c r="Q15" s="143" t="s">
        <v>4</v>
      </c>
      <c r="R15" s="143" t="s">
        <v>4</v>
      </c>
      <c r="S15" s="144" t="s">
        <v>37</v>
      </c>
      <c r="T15" s="149" t="s">
        <v>41</v>
      </c>
      <c r="U15" s="149" t="s">
        <v>41</v>
      </c>
      <c r="V15" s="149" t="s">
        <v>41</v>
      </c>
      <c r="W15" s="149" t="s">
        <v>41</v>
      </c>
      <c r="X15" s="143" t="s">
        <v>4</v>
      </c>
      <c r="Y15" s="143" t="s">
        <v>4</v>
      </c>
      <c r="Z15" s="19" t="s">
        <v>41</v>
      </c>
      <c r="AA15" s="19" t="s">
        <v>41</v>
      </c>
      <c r="AB15" s="19" t="s">
        <v>41</v>
      </c>
      <c r="AC15" s="84" t="s">
        <v>16</v>
      </c>
      <c r="AD15" s="162" t="s">
        <v>41</v>
      </c>
      <c r="AE15" s="143" t="s">
        <v>4</v>
      </c>
      <c r="AF15" s="143" t="s">
        <v>4</v>
      </c>
      <c r="AG15" s="19" t="s">
        <v>41</v>
      </c>
      <c r="AH15" s="22" t="s">
        <v>16</v>
      </c>
      <c r="AI15" s="146" t="s">
        <v>30</v>
      </c>
    </row>
    <row r="16" spans="1:35" ht="15" thickBot="1" x14ac:dyDescent="0.4"/>
    <row r="17" spans="1:35" ht="15" thickBot="1" x14ac:dyDescent="0.4">
      <c r="A17" s="228" t="s">
        <v>173</v>
      </c>
      <c r="B17" s="127" t="s">
        <v>1</v>
      </c>
      <c r="C17" s="152" t="s">
        <v>11</v>
      </c>
      <c r="D17" s="152" t="s">
        <v>11</v>
      </c>
      <c r="E17" s="131" t="s">
        <v>2</v>
      </c>
      <c r="F17" s="151" t="s">
        <v>5</v>
      </c>
      <c r="G17" s="84" t="s">
        <v>16</v>
      </c>
      <c r="H17" s="156" t="s">
        <v>10</v>
      </c>
      <c r="I17" s="156" t="s">
        <v>10</v>
      </c>
      <c r="J17" s="153" t="s">
        <v>11</v>
      </c>
      <c r="K17" s="152" t="s">
        <v>11</v>
      </c>
      <c r="L17" s="152" t="s">
        <v>10</v>
      </c>
      <c r="M17" s="144" t="s">
        <v>37</v>
      </c>
      <c r="N17" s="152" t="s">
        <v>10</v>
      </c>
      <c r="O17" s="133" t="s">
        <v>2</v>
      </c>
      <c r="P17" s="153" t="s">
        <v>10</v>
      </c>
      <c r="Q17" s="16" t="s">
        <v>11</v>
      </c>
      <c r="R17" s="152" t="s">
        <v>11</v>
      </c>
      <c r="S17" s="152" t="s">
        <v>11</v>
      </c>
      <c r="T17" s="153" t="s">
        <v>10</v>
      </c>
      <c r="U17" s="153" t="s">
        <v>10</v>
      </c>
      <c r="V17" s="133" t="s">
        <v>2</v>
      </c>
      <c r="W17" s="133" t="s">
        <v>2</v>
      </c>
      <c r="X17" s="153" t="s">
        <v>11</v>
      </c>
      <c r="Y17" s="152" t="s">
        <v>11</v>
      </c>
      <c r="Z17" s="152" t="s">
        <v>10</v>
      </c>
      <c r="AA17" s="152" t="s">
        <v>10</v>
      </c>
      <c r="AB17" s="152" t="s">
        <v>10</v>
      </c>
      <c r="AC17" s="152" t="s">
        <v>10</v>
      </c>
      <c r="AD17" s="133" t="s">
        <v>2</v>
      </c>
      <c r="AE17" s="130" t="s">
        <v>4</v>
      </c>
      <c r="AF17" s="152" t="s">
        <v>11</v>
      </c>
      <c r="AG17" s="152" t="s">
        <v>10</v>
      </c>
      <c r="AH17" s="152" t="s">
        <v>10</v>
      </c>
      <c r="AI17" s="144" t="s">
        <v>37</v>
      </c>
    </row>
    <row r="18" spans="1:35" ht="15" thickBot="1" x14ac:dyDescent="0.4">
      <c r="A18" s="228"/>
      <c r="B18" s="135" t="s">
        <v>18</v>
      </c>
      <c r="C18" s="153" t="s">
        <v>11</v>
      </c>
      <c r="D18" s="148" t="s">
        <v>4</v>
      </c>
      <c r="E18" s="153" t="s">
        <v>10</v>
      </c>
      <c r="F18" s="153" t="s">
        <v>10</v>
      </c>
      <c r="G18" s="153" t="s">
        <v>10</v>
      </c>
      <c r="H18" s="153" t="s">
        <v>10</v>
      </c>
      <c r="I18" s="153" t="s">
        <v>10</v>
      </c>
      <c r="J18" s="130" t="s">
        <v>4</v>
      </c>
      <c r="K18" s="130" t="s">
        <v>4</v>
      </c>
      <c r="L18" s="149" t="s">
        <v>41</v>
      </c>
      <c r="M18" s="152" t="s">
        <v>10</v>
      </c>
      <c r="N18" s="152" t="s">
        <v>10</v>
      </c>
      <c r="O18" s="152" t="s">
        <v>10</v>
      </c>
      <c r="P18" s="153" t="s">
        <v>10</v>
      </c>
      <c r="Q18" s="130" t="s">
        <v>4</v>
      </c>
      <c r="R18" s="130" t="s">
        <v>4</v>
      </c>
      <c r="S18" s="144" t="s">
        <v>37</v>
      </c>
      <c r="T18" s="149" t="s">
        <v>41</v>
      </c>
      <c r="U18" s="22" t="s">
        <v>16</v>
      </c>
      <c r="V18" s="153" t="s">
        <v>10</v>
      </c>
      <c r="W18" s="153" t="s">
        <v>10</v>
      </c>
      <c r="X18" s="130" t="s">
        <v>4</v>
      </c>
      <c r="Y18" s="130" t="s">
        <v>4</v>
      </c>
      <c r="Z18" s="163" t="s">
        <v>41</v>
      </c>
      <c r="AA18" s="163" t="s">
        <v>41</v>
      </c>
      <c r="AB18" s="163" t="s">
        <v>41</v>
      </c>
      <c r="AC18" s="163" t="s">
        <v>41</v>
      </c>
      <c r="AD18" s="153" t="s">
        <v>10</v>
      </c>
      <c r="AE18" s="152" t="s">
        <v>11</v>
      </c>
      <c r="AF18" s="130" t="s">
        <v>4</v>
      </c>
      <c r="AG18" s="131" t="s">
        <v>2</v>
      </c>
      <c r="AH18" s="153" t="s">
        <v>10</v>
      </c>
      <c r="AI18" s="152" t="s">
        <v>11</v>
      </c>
    </row>
    <row r="19" spans="1:35" ht="15" thickBot="1" x14ac:dyDescent="0.4">
      <c r="A19" s="227"/>
      <c r="B19" s="138" t="s">
        <v>85</v>
      </c>
      <c r="C19" s="155" t="s">
        <v>4</v>
      </c>
      <c r="D19" s="156" t="s">
        <v>11</v>
      </c>
      <c r="E19" s="156" t="s">
        <v>10</v>
      </c>
      <c r="F19" s="156" t="s">
        <v>10</v>
      </c>
      <c r="G19" s="156" t="s">
        <v>10</v>
      </c>
      <c r="H19" s="156" t="s">
        <v>10</v>
      </c>
      <c r="I19" s="137" t="s">
        <v>2</v>
      </c>
      <c r="J19" s="139" t="s">
        <v>4</v>
      </c>
      <c r="K19" s="156" t="s">
        <v>11</v>
      </c>
      <c r="L19" s="156" t="s">
        <v>10</v>
      </c>
      <c r="M19" s="152" t="s">
        <v>10</v>
      </c>
      <c r="N19" s="133" t="s">
        <v>2</v>
      </c>
      <c r="O19" s="84" t="s">
        <v>16</v>
      </c>
      <c r="P19" s="84" t="s">
        <v>16</v>
      </c>
      <c r="Q19" s="130" t="s">
        <v>4</v>
      </c>
      <c r="R19" s="152" t="s">
        <v>11</v>
      </c>
      <c r="S19" s="152" t="s">
        <v>11</v>
      </c>
      <c r="T19" s="156" t="s">
        <v>10</v>
      </c>
      <c r="U19" s="156" t="s">
        <v>10</v>
      </c>
      <c r="V19" s="156" t="s">
        <v>10</v>
      </c>
      <c r="W19" s="137" t="s">
        <v>2</v>
      </c>
      <c r="X19" s="139" t="s">
        <v>4</v>
      </c>
      <c r="Y19" s="156" t="s">
        <v>11</v>
      </c>
      <c r="Z19" s="137" t="s">
        <v>2</v>
      </c>
      <c r="AA19" s="16" t="s">
        <v>10</v>
      </c>
      <c r="AB19" s="16" t="s">
        <v>10</v>
      </c>
      <c r="AC19" s="16" t="s">
        <v>10</v>
      </c>
      <c r="AD19" s="16" t="s">
        <v>10</v>
      </c>
      <c r="AE19" s="139" t="s">
        <v>4</v>
      </c>
      <c r="AF19" s="156" t="s">
        <v>11</v>
      </c>
      <c r="AG19" s="156" t="s">
        <v>10</v>
      </c>
      <c r="AH19" s="156" t="s">
        <v>10</v>
      </c>
      <c r="AI19" s="152" t="s">
        <v>11</v>
      </c>
    </row>
    <row r="20" spans="1:35" ht="15" thickBot="1" x14ac:dyDescent="0.4">
      <c r="A20" s="227"/>
      <c r="B20" s="142" t="s">
        <v>43</v>
      </c>
      <c r="C20" s="16" t="s">
        <v>11</v>
      </c>
      <c r="D20" s="29" t="s">
        <v>4</v>
      </c>
      <c r="E20" s="84" t="s">
        <v>41</v>
      </c>
      <c r="F20" s="84" t="s">
        <v>41</v>
      </c>
      <c r="G20" s="84" t="s">
        <v>16</v>
      </c>
      <c r="H20" s="16" t="s">
        <v>10</v>
      </c>
      <c r="I20" s="16" t="s">
        <v>10</v>
      </c>
      <c r="J20" s="16" t="s">
        <v>11</v>
      </c>
      <c r="K20" s="143" t="s">
        <v>4</v>
      </c>
      <c r="L20" s="145" t="s">
        <v>2</v>
      </c>
      <c r="M20" s="16" t="s">
        <v>10</v>
      </c>
      <c r="N20" s="16" t="s">
        <v>10</v>
      </c>
      <c r="O20" s="16" t="s">
        <v>10</v>
      </c>
      <c r="P20" s="133" t="s">
        <v>2</v>
      </c>
      <c r="Q20" s="16" t="s">
        <v>11</v>
      </c>
      <c r="R20" s="143" t="s">
        <v>4</v>
      </c>
      <c r="S20" s="144" t="s">
        <v>37</v>
      </c>
      <c r="T20" s="156" t="s">
        <v>10</v>
      </c>
      <c r="U20" s="156" t="s">
        <v>10</v>
      </c>
      <c r="V20" s="16" t="s">
        <v>10</v>
      </c>
      <c r="W20" s="16" t="s">
        <v>10</v>
      </c>
      <c r="X20" s="16" t="s">
        <v>11</v>
      </c>
      <c r="Y20" s="143" t="s">
        <v>4</v>
      </c>
      <c r="Z20" s="152" t="s">
        <v>10</v>
      </c>
      <c r="AA20" s="16" t="s">
        <v>10</v>
      </c>
      <c r="AB20" s="16" t="s">
        <v>10</v>
      </c>
      <c r="AC20" s="16" t="s">
        <v>10</v>
      </c>
      <c r="AD20" s="133" t="s">
        <v>2</v>
      </c>
      <c r="AE20" s="16" t="s">
        <v>11</v>
      </c>
      <c r="AF20" s="143" t="s">
        <v>4</v>
      </c>
      <c r="AG20" s="145" t="s">
        <v>2</v>
      </c>
      <c r="AH20" s="154" t="s">
        <v>16</v>
      </c>
      <c r="AI20" s="152" t="s">
        <v>11</v>
      </c>
    </row>
    <row r="21" spans="1:35" ht="15" thickBot="1" x14ac:dyDescent="0.4">
      <c r="A21" s="227"/>
      <c r="B21" s="142" t="s">
        <v>71</v>
      </c>
      <c r="C21" s="16" t="s">
        <v>11</v>
      </c>
      <c r="D21" s="16" t="s">
        <v>11</v>
      </c>
      <c r="E21" s="136" t="s">
        <v>2</v>
      </c>
      <c r="F21" s="84" t="s">
        <v>16</v>
      </c>
      <c r="G21" s="136" t="s">
        <v>2</v>
      </c>
      <c r="H21" s="84" t="s">
        <v>16</v>
      </c>
      <c r="I21" s="16" t="s">
        <v>10</v>
      </c>
      <c r="J21" s="16" t="s">
        <v>11</v>
      </c>
      <c r="K21" s="16" t="s">
        <v>11</v>
      </c>
      <c r="L21" s="16" t="s">
        <v>10</v>
      </c>
      <c r="M21" s="133" t="s">
        <v>2</v>
      </c>
      <c r="N21" s="133" t="s">
        <v>2</v>
      </c>
      <c r="O21" s="16" t="s">
        <v>10</v>
      </c>
      <c r="P21" s="16" t="s">
        <v>10</v>
      </c>
      <c r="Q21" s="143" t="s">
        <v>4</v>
      </c>
      <c r="R21" s="16" t="s">
        <v>11</v>
      </c>
      <c r="S21" s="152" t="s">
        <v>11</v>
      </c>
      <c r="T21" s="133" t="s">
        <v>2</v>
      </c>
      <c r="U21" s="133" t="s">
        <v>2</v>
      </c>
      <c r="V21" s="84" t="s">
        <v>16</v>
      </c>
      <c r="W21" s="16" t="s">
        <v>10</v>
      </c>
      <c r="X21" s="16" t="s">
        <v>11</v>
      </c>
      <c r="Y21" s="16" t="s">
        <v>11</v>
      </c>
      <c r="Z21" s="16" t="s">
        <v>10</v>
      </c>
      <c r="AA21" s="133" t="s">
        <v>2</v>
      </c>
      <c r="AB21" s="133" t="s">
        <v>2</v>
      </c>
      <c r="AC21" s="84" t="s">
        <v>16</v>
      </c>
      <c r="AD21" s="16" t="s">
        <v>10</v>
      </c>
      <c r="AE21" s="16" t="s">
        <v>11</v>
      </c>
      <c r="AF21" s="16" t="s">
        <v>11</v>
      </c>
      <c r="AG21" s="16" t="s">
        <v>10</v>
      </c>
      <c r="AH21" s="133" t="s">
        <v>2</v>
      </c>
      <c r="AI21" s="144" t="s">
        <v>37</v>
      </c>
    </row>
    <row r="23" spans="1:35" x14ac:dyDescent="0.35">
      <c r="B23" s="157" t="s">
        <v>201</v>
      </c>
      <c r="C23">
        <f>COUNTIF(C5:C21,"WMS")</f>
        <v>2</v>
      </c>
      <c r="D23">
        <f>COUNTIF(D5:D21,"WMS")</f>
        <v>2</v>
      </c>
      <c r="E23">
        <f>COUNTIF(E5:E21,"MS")</f>
        <v>4</v>
      </c>
      <c r="F23">
        <f>COUNTIF(F5:F21,"MS")</f>
        <v>4</v>
      </c>
      <c r="G23">
        <f t="shared" ref="G23:I23" si="1">COUNTIF(G5:G21,"MS")</f>
        <v>3</v>
      </c>
      <c r="H23">
        <f t="shared" si="1"/>
        <v>4</v>
      </c>
      <c r="I23">
        <f t="shared" si="1"/>
        <v>3</v>
      </c>
      <c r="J23">
        <f>COUNTIF(J5:J21,"WMS")</f>
        <v>2</v>
      </c>
      <c r="K23">
        <f>COUNTIF(K5:K21,"WMS")</f>
        <v>2</v>
      </c>
      <c r="L23">
        <f>COUNTIF(L5:L21,"MS")</f>
        <v>2</v>
      </c>
      <c r="M23">
        <f>COUNTIF(M5:M21,"MS")</f>
        <v>3</v>
      </c>
      <c r="N23">
        <f t="shared" ref="N23:P23" si="2">COUNTIF(N5:N21,"MS")</f>
        <v>2</v>
      </c>
      <c r="O23">
        <f t="shared" si="2"/>
        <v>3</v>
      </c>
      <c r="P23">
        <f t="shared" si="2"/>
        <v>3</v>
      </c>
      <c r="Q23">
        <f>COUNTIF(Q5:Q21,"WMS")</f>
        <v>2</v>
      </c>
      <c r="R23">
        <f>COUNTIF(R5:R21,"WMS")</f>
        <v>2</v>
      </c>
      <c r="S23">
        <f>COUNTIF(S5:S21,"MS")</f>
        <v>0</v>
      </c>
      <c r="T23">
        <f>COUNTIF(T5:T21,"MS")</f>
        <v>3</v>
      </c>
      <c r="U23">
        <f t="shared" ref="U23:W23" si="3">COUNTIF(U5:U21,"MS")</f>
        <v>3</v>
      </c>
      <c r="V23">
        <f t="shared" si="3"/>
        <v>4</v>
      </c>
      <c r="W23">
        <f t="shared" si="3"/>
        <v>3</v>
      </c>
      <c r="X23">
        <f>COUNTIF(X5:X21,"WMS")</f>
        <v>2</v>
      </c>
      <c r="Y23">
        <f>COUNTIF(Y5:Y21,"WMS")</f>
        <v>2</v>
      </c>
      <c r="Z23">
        <f>COUNTIF(Z5:Z21,"MS")</f>
        <v>3</v>
      </c>
      <c r="AA23">
        <f>COUNTIF(AA5:AA21,"MS")</f>
        <v>4</v>
      </c>
      <c r="AB23">
        <f t="shared" ref="AB23:AD23" si="4">COUNTIF(AB5:AB21,"MS")</f>
        <v>4</v>
      </c>
      <c r="AC23">
        <f t="shared" si="4"/>
        <v>3</v>
      </c>
      <c r="AD23">
        <f t="shared" si="4"/>
        <v>3</v>
      </c>
      <c r="AE23">
        <f>COUNTIF(AE5:AE21,"WMS")</f>
        <v>2</v>
      </c>
      <c r="AF23">
        <f>COUNTIF(AF5:AF21,"WMS")</f>
        <v>2</v>
      </c>
      <c r="AG23">
        <f>COUNTIF(AG5:AG21,"MS")</f>
        <v>4</v>
      </c>
      <c r="AH23">
        <f>COUNTIF(AH5:AH21,"MS")</f>
        <v>3</v>
      </c>
      <c r="AI23">
        <f>COUNTIF(AI5:AI21,"*MS")</f>
        <v>3</v>
      </c>
    </row>
    <row r="24" spans="1:35" x14ac:dyDescent="0.35">
      <c r="B24" s="157" t="s">
        <v>202</v>
      </c>
      <c r="C24">
        <f>COUNTIF(C5:C21,"WASS1")</f>
        <v>2</v>
      </c>
      <c r="D24">
        <f>COUNTIF(D5:D21,"WASS1")</f>
        <v>2</v>
      </c>
      <c r="E24">
        <f>COUNTIF(E5:E21,"ASS1")</f>
        <v>4</v>
      </c>
      <c r="F24">
        <f t="shared" ref="F24:I24" si="5">COUNTIF(F5:F21,"ASS1")</f>
        <v>4</v>
      </c>
      <c r="G24">
        <f t="shared" si="5"/>
        <v>3</v>
      </c>
      <c r="H24">
        <f t="shared" si="5"/>
        <v>3</v>
      </c>
      <c r="I24">
        <f t="shared" si="5"/>
        <v>2</v>
      </c>
      <c r="J24">
        <f>COUNTIF(J5:J21,"WASS1")</f>
        <v>2</v>
      </c>
      <c r="K24">
        <f>COUNTIF(K5:K21,"WASS1")</f>
        <v>2</v>
      </c>
      <c r="L24">
        <f>COUNTIF(L5:L21,"ASS1")</f>
        <v>4</v>
      </c>
      <c r="M24">
        <f t="shared" ref="M24:P24" si="6">COUNTIF(M5:M21,"ASS1")</f>
        <v>2</v>
      </c>
      <c r="N24">
        <f t="shared" si="6"/>
        <v>3</v>
      </c>
      <c r="O24">
        <f t="shared" si="6"/>
        <v>2</v>
      </c>
      <c r="P24">
        <f t="shared" si="6"/>
        <v>3</v>
      </c>
      <c r="Q24">
        <f>COUNTIF(Q5:Q21,"WASS1")</f>
        <v>2</v>
      </c>
      <c r="R24">
        <f>COUNTIF(R5:R21,"WASS1")</f>
        <v>2</v>
      </c>
      <c r="S24">
        <f>COUNTIF(S5:S21,"ASS1")</f>
        <v>0</v>
      </c>
      <c r="T24">
        <f t="shared" ref="T24:W24" si="7">COUNTIF(T5:T21,"ASS1")</f>
        <v>4</v>
      </c>
      <c r="U24">
        <f t="shared" si="7"/>
        <v>3</v>
      </c>
      <c r="V24">
        <f t="shared" si="7"/>
        <v>3</v>
      </c>
      <c r="W24">
        <f t="shared" si="7"/>
        <v>4</v>
      </c>
      <c r="X24">
        <f>COUNTIF(X5:X21,"WASS1")</f>
        <v>3</v>
      </c>
      <c r="Y24">
        <f>COUNTIF(Y5:Y21,"WASS1")</f>
        <v>2</v>
      </c>
      <c r="Z24">
        <f>COUNTIF(Z5:Z21,"ASS1")</f>
        <v>4</v>
      </c>
      <c r="AA24">
        <f t="shared" ref="AA24:AD24" si="8">COUNTIF(AA5:AA21,"ASS1")</f>
        <v>4</v>
      </c>
      <c r="AB24">
        <f t="shared" si="8"/>
        <v>4</v>
      </c>
      <c r="AC24">
        <f t="shared" si="8"/>
        <v>4</v>
      </c>
      <c r="AD24">
        <f t="shared" si="8"/>
        <v>4</v>
      </c>
      <c r="AE24">
        <f>COUNTIF(AE5:AE21,"WASS1")</f>
        <v>2</v>
      </c>
      <c r="AF24">
        <f>COUNTIF(AF5:AF21,"WASS1")</f>
        <v>2</v>
      </c>
      <c r="AG24">
        <f>COUNTIF(AG5:AG21,"ASS1")</f>
        <v>3</v>
      </c>
      <c r="AH24">
        <f t="shared" ref="AH24" si="9">COUNTIF(AH5:AH21,"ASS1")</f>
        <v>3</v>
      </c>
      <c r="AI24">
        <f>COUNTIF(AI5:AI21,"*ASS1")</f>
        <v>3</v>
      </c>
    </row>
    <row r="25" spans="1:35" x14ac:dyDescent="0.35">
      <c r="B25" s="157" t="s">
        <v>203</v>
      </c>
      <c r="C25">
        <f>COUNTIF(C5:C21,"WNST7")</f>
        <v>4</v>
      </c>
      <c r="D25">
        <f>COUNTIF(D5:D21,"WNST7")</f>
        <v>3</v>
      </c>
      <c r="E25">
        <f>COUNTIF(E5:E21,"NST7")</f>
        <v>2</v>
      </c>
      <c r="F25">
        <f t="shared" ref="F25:I25" si="10">COUNTIF(F5:F21,"NST7")</f>
        <v>2</v>
      </c>
      <c r="G25">
        <f t="shared" si="10"/>
        <v>2</v>
      </c>
      <c r="H25">
        <f t="shared" si="10"/>
        <v>4</v>
      </c>
      <c r="I25">
        <f t="shared" si="10"/>
        <v>4</v>
      </c>
      <c r="J25">
        <f>COUNTIF(J5:J21,"WNST7")</f>
        <v>3</v>
      </c>
      <c r="K25">
        <f>COUNTIF(K5:K21,"WNST7")</f>
        <v>3</v>
      </c>
      <c r="L25">
        <f>COUNTIF(L5:L21,"NST7")</f>
        <v>3</v>
      </c>
      <c r="M25">
        <f t="shared" ref="M25:P25" si="11">COUNTIF(M5:M21,"NST7")</f>
        <v>3</v>
      </c>
      <c r="N25">
        <f t="shared" si="11"/>
        <v>3</v>
      </c>
      <c r="O25">
        <f t="shared" si="11"/>
        <v>3</v>
      </c>
      <c r="P25">
        <f t="shared" si="11"/>
        <v>3</v>
      </c>
      <c r="Q25">
        <f>COUNTIF(Q5:Q21,"WNST7")</f>
        <v>2</v>
      </c>
      <c r="R25">
        <f>COUNTIF(R5:R21,"WNST7")</f>
        <v>3</v>
      </c>
      <c r="S25">
        <f>COUNTIF(S5:S21,"NST7")</f>
        <v>0</v>
      </c>
      <c r="T25">
        <f t="shared" ref="T25:W25" si="12">COUNTIF(T5:T21,"NST7")</f>
        <v>3</v>
      </c>
      <c r="U25">
        <f t="shared" si="12"/>
        <v>3</v>
      </c>
      <c r="V25">
        <f t="shared" si="12"/>
        <v>3</v>
      </c>
      <c r="W25">
        <f t="shared" si="12"/>
        <v>3</v>
      </c>
      <c r="X25">
        <f>COUNTIF(X5:X21,"WNST7")</f>
        <v>3</v>
      </c>
      <c r="Y25">
        <f>COUNTIF(Y5:Y21,"WNST7")</f>
        <v>3</v>
      </c>
      <c r="Z25">
        <f>COUNTIF(Z5:Z21,"NST7")</f>
        <v>3</v>
      </c>
      <c r="AA25">
        <f t="shared" ref="AA25:AD25" si="13">COUNTIF(AA5:AA21,"NST7")</f>
        <v>3</v>
      </c>
      <c r="AB25">
        <f t="shared" si="13"/>
        <v>3</v>
      </c>
      <c r="AC25">
        <f t="shared" si="13"/>
        <v>3</v>
      </c>
      <c r="AD25">
        <f t="shared" si="13"/>
        <v>3</v>
      </c>
      <c r="AE25">
        <f>COUNTIF(AE5:AE21,"WNST7")</f>
        <v>3</v>
      </c>
      <c r="AF25">
        <f>COUNTIF(AF5:AF21,"WNST7")</f>
        <v>3</v>
      </c>
      <c r="AG25">
        <f>COUNTIF(AG5:AG21,"NST7")</f>
        <v>3</v>
      </c>
      <c r="AH25">
        <f t="shared" ref="AH25" si="14">COUNTIF(AH5:AH21,"NST7")</f>
        <v>3</v>
      </c>
      <c r="AI25">
        <f>COUNTIF(AI5:AI21,"*NST7")</f>
        <v>3</v>
      </c>
    </row>
    <row r="26" spans="1:35" x14ac:dyDescent="0.35">
      <c r="B26" s="157" t="s">
        <v>204</v>
      </c>
      <c r="C26">
        <f>COUNTIF(C5:C21,"WGS")</f>
        <v>1</v>
      </c>
      <c r="D26">
        <f>COUNTIF(D5:D21,"WGS")</f>
        <v>0</v>
      </c>
      <c r="E26">
        <f>COUNTIF(E5:E21,"GS")</f>
        <v>1</v>
      </c>
      <c r="F26">
        <f t="shared" ref="F26:I26" si="15">COUNTIF(F5:F21,"GS")</f>
        <v>2</v>
      </c>
      <c r="G26">
        <f t="shared" si="15"/>
        <v>3</v>
      </c>
      <c r="H26">
        <f t="shared" si="15"/>
        <v>2</v>
      </c>
      <c r="I26">
        <f t="shared" si="15"/>
        <v>2</v>
      </c>
      <c r="J26">
        <f>COUNTIF(J5:J21,"WGS")</f>
        <v>1</v>
      </c>
      <c r="K26">
        <f>COUNTIF(K5:K21,"WGS")</f>
        <v>0</v>
      </c>
      <c r="L26">
        <f>COUNTIF(L5:L21,"GS")</f>
        <v>3</v>
      </c>
      <c r="M26">
        <f t="shared" ref="M26:P26" si="16">COUNTIF(M5:M21,"GS")</f>
        <v>3</v>
      </c>
      <c r="N26">
        <f t="shared" si="16"/>
        <v>2</v>
      </c>
      <c r="O26">
        <f t="shared" si="16"/>
        <v>2</v>
      </c>
      <c r="P26">
        <f t="shared" si="16"/>
        <v>2</v>
      </c>
      <c r="Q26">
        <f>COUNTIF(Q5:Q21,"WGS")</f>
        <v>1</v>
      </c>
      <c r="R26">
        <f>COUNTIF(R5:R21,"WGS")</f>
        <v>0</v>
      </c>
      <c r="S26">
        <f>COUNTIF(S5:S21,"GS")</f>
        <v>0</v>
      </c>
      <c r="T26">
        <f t="shared" ref="T26:W26" si="17">COUNTIF(T5:T21,"GS")</f>
        <v>0</v>
      </c>
      <c r="U26">
        <f t="shared" si="17"/>
        <v>3</v>
      </c>
      <c r="V26">
        <f t="shared" si="17"/>
        <v>2</v>
      </c>
      <c r="W26">
        <f t="shared" si="17"/>
        <v>1</v>
      </c>
      <c r="X26">
        <f>COUNTIF(X5:X21,"WGS")</f>
        <v>1</v>
      </c>
      <c r="Y26">
        <f>COUNTIF(Y5:Y21,"WGS")</f>
        <v>1</v>
      </c>
      <c r="Z26">
        <f>COUNTIF(Z5:Z21,"GS")</f>
        <v>1</v>
      </c>
      <c r="AA26">
        <f t="shared" ref="AA26:AD26" si="18">COUNTIF(AA5:AA21,"GS")</f>
        <v>1</v>
      </c>
      <c r="AB26">
        <f t="shared" si="18"/>
        <v>1</v>
      </c>
      <c r="AC26">
        <f t="shared" si="18"/>
        <v>2</v>
      </c>
      <c r="AD26">
        <f t="shared" si="18"/>
        <v>0</v>
      </c>
      <c r="AE26">
        <f>COUNTIF(AE5:AE21,"WGS")</f>
        <v>1</v>
      </c>
      <c r="AF26">
        <f>COUNTIF(AF5:AF21,"WGS")</f>
        <v>0</v>
      </c>
      <c r="AG26">
        <f>COUNTIF(AG5:AG21,"GS")</f>
        <v>0</v>
      </c>
      <c r="AH26">
        <f t="shared" ref="AH26" si="19">COUNTIF(AH5:AH21,"GS")</f>
        <v>2</v>
      </c>
      <c r="AI26">
        <f>COUNTIF(AI5:AI21,"*GS")</f>
        <v>1</v>
      </c>
    </row>
    <row r="27" spans="1:35" x14ac:dyDescent="0.35">
      <c r="B27" s="157" t="s">
        <v>205</v>
      </c>
      <c r="C27">
        <f>COUNTIF(C5:C21,"WO")</f>
        <v>6</v>
      </c>
      <c r="D27">
        <f>COUNTIF(D5:D21,"WO")</f>
        <v>6</v>
      </c>
      <c r="E27">
        <f>COUNTIF(E5:E21,"C")</f>
        <v>4</v>
      </c>
      <c r="F27">
        <f t="shared" ref="F27:I27" si="20">COUNTIF(F5:F21,"C")</f>
        <v>2</v>
      </c>
      <c r="G27">
        <f t="shared" si="20"/>
        <v>4</v>
      </c>
      <c r="H27">
        <f t="shared" si="20"/>
        <v>2</v>
      </c>
      <c r="I27">
        <f t="shared" si="20"/>
        <v>4</v>
      </c>
      <c r="J27">
        <f>COUNTIF(J5:J21,"WO")</f>
        <v>7</v>
      </c>
      <c r="K27">
        <f>COUNTIF(K5:K21,"WO")</f>
        <v>7</v>
      </c>
      <c r="L27">
        <f>COUNTIF(L5:L21,"C")</f>
        <v>2</v>
      </c>
      <c r="M27">
        <f t="shared" ref="M27:P27" si="21">COUNTIF(M5:M21,"C")</f>
        <v>1</v>
      </c>
      <c r="N27">
        <f t="shared" si="21"/>
        <v>3</v>
      </c>
      <c r="O27">
        <f t="shared" si="21"/>
        <v>3</v>
      </c>
      <c r="P27">
        <f t="shared" si="21"/>
        <v>3</v>
      </c>
      <c r="Q27">
        <f>COUNTIF(Q5:Q21,"WO")</f>
        <v>8</v>
      </c>
      <c r="R27">
        <f>COUNTIF(R5:R21,"WO")</f>
        <v>8</v>
      </c>
      <c r="S27">
        <f>COUNTIF(S5:S21,"C")</f>
        <v>0</v>
      </c>
      <c r="T27">
        <f t="shared" ref="T27:W27" si="22">COUNTIF(T5:T21,"C")</f>
        <v>4</v>
      </c>
      <c r="U27">
        <f t="shared" si="22"/>
        <v>2</v>
      </c>
      <c r="V27">
        <f t="shared" si="22"/>
        <v>1</v>
      </c>
      <c r="W27">
        <f t="shared" si="22"/>
        <v>4</v>
      </c>
      <c r="X27">
        <f>COUNTIF(X5:X21,"WO")</f>
        <v>6</v>
      </c>
      <c r="Y27">
        <f>COUNTIF(Y5:Y21,"WO")</f>
        <v>7</v>
      </c>
      <c r="Z27">
        <f>COUNTIF(Z5:Z21,"C")</f>
        <v>4</v>
      </c>
      <c r="AA27">
        <f t="shared" ref="AA27:AD27" si="23">COUNTIF(AA5:AA21,"C")</f>
        <v>2</v>
      </c>
      <c r="AB27">
        <f t="shared" si="23"/>
        <v>2</v>
      </c>
      <c r="AC27">
        <f t="shared" si="23"/>
        <v>2</v>
      </c>
      <c r="AD27">
        <f t="shared" si="23"/>
        <v>5</v>
      </c>
      <c r="AE27">
        <f>COUNTIF(AE5:AE21,"WO")</f>
        <v>7</v>
      </c>
      <c r="AF27">
        <f>COUNTIF(AF5:AF21,"WO")</f>
        <v>7</v>
      </c>
      <c r="AG27">
        <f>COUNTIF(AG5:AG21,"C")</f>
        <v>4</v>
      </c>
      <c r="AH27">
        <f t="shared" ref="AH27:AI27" si="24">COUNTIF(AH5:AH21,"C")</f>
        <v>2</v>
      </c>
      <c r="AI27">
        <f t="shared" si="24"/>
        <v>0</v>
      </c>
    </row>
    <row r="28" spans="1:35" x14ac:dyDescent="0.35">
      <c r="B28" s="157" t="s">
        <v>206</v>
      </c>
      <c r="C28">
        <f t="shared" ref="C28:AI28" si="25">COUNTIF(C5:C21,"PL")</f>
        <v>0</v>
      </c>
      <c r="D28">
        <f t="shared" si="25"/>
        <v>2</v>
      </c>
      <c r="E28">
        <f t="shared" si="25"/>
        <v>0</v>
      </c>
      <c r="F28">
        <f t="shared" si="25"/>
        <v>1</v>
      </c>
      <c r="G28">
        <f t="shared" si="25"/>
        <v>0</v>
      </c>
      <c r="H28">
        <f t="shared" si="25"/>
        <v>0</v>
      </c>
      <c r="I28">
        <f t="shared" si="25"/>
        <v>0</v>
      </c>
      <c r="J28">
        <f t="shared" si="25"/>
        <v>0</v>
      </c>
      <c r="K28">
        <f t="shared" si="25"/>
        <v>1</v>
      </c>
      <c r="L28">
        <f t="shared" si="25"/>
        <v>1</v>
      </c>
      <c r="M28">
        <f t="shared" si="25"/>
        <v>2</v>
      </c>
      <c r="N28">
        <f t="shared" si="25"/>
        <v>2</v>
      </c>
      <c r="O28">
        <f t="shared" si="25"/>
        <v>2</v>
      </c>
      <c r="P28">
        <f t="shared" si="25"/>
        <v>1</v>
      </c>
      <c r="Q28">
        <f t="shared" si="25"/>
        <v>0</v>
      </c>
      <c r="R28">
        <f t="shared" si="25"/>
        <v>0</v>
      </c>
      <c r="S28">
        <f t="shared" si="25"/>
        <v>0</v>
      </c>
      <c r="T28">
        <f t="shared" si="25"/>
        <v>1</v>
      </c>
      <c r="U28">
        <f t="shared" si="25"/>
        <v>1</v>
      </c>
      <c r="V28">
        <f t="shared" si="25"/>
        <v>2</v>
      </c>
      <c r="W28">
        <f t="shared" si="25"/>
        <v>0</v>
      </c>
      <c r="X28">
        <f t="shared" si="25"/>
        <v>0</v>
      </c>
      <c r="Y28">
        <f t="shared" si="25"/>
        <v>0</v>
      </c>
      <c r="Z28">
        <f t="shared" si="25"/>
        <v>0</v>
      </c>
      <c r="AA28">
        <f t="shared" si="25"/>
        <v>1</v>
      </c>
      <c r="AB28">
        <f t="shared" si="25"/>
        <v>1</v>
      </c>
      <c r="AC28">
        <f t="shared" si="25"/>
        <v>1</v>
      </c>
      <c r="AD28">
        <f t="shared" si="25"/>
        <v>0</v>
      </c>
      <c r="AE28">
        <f t="shared" si="25"/>
        <v>0</v>
      </c>
      <c r="AF28">
        <f t="shared" si="25"/>
        <v>1</v>
      </c>
      <c r="AG28">
        <f t="shared" si="25"/>
        <v>1</v>
      </c>
      <c r="AH28">
        <f t="shared" si="25"/>
        <v>2</v>
      </c>
      <c r="AI28">
        <f t="shared" si="25"/>
        <v>1</v>
      </c>
    </row>
    <row r="29" spans="1:35" x14ac:dyDescent="0.35">
      <c r="B29" s="157" t="s">
        <v>33</v>
      </c>
      <c r="C29">
        <f>COUNTIF(C5:C21,"UPL")</f>
        <v>0</v>
      </c>
      <c r="D29">
        <f>COUNTIF(D5:D21,"UPL")</f>
        <v>0</v>
      </c>
      <c r="E29">
        <f>COUNTIF(E5:E21,"UPL")</f>
        <v>0</v>
      </c>
      <c r="F29">
        <f t="shared" ref="F29:I29" si="26">COUNTIF(F5:F21,"UPL")</f>
        <v>0</v>
      </c>
      <c r="G29">
        <f t="shared" si="26"/>
        <v>0</v>
      </c>
      <c r="H29">
        <f t="shared" si="26"/>
        <v>0</v>
      </c>
      <c r="I29">
        <f t="shared" si="26"/>
        <v>0</v>
      </c>
      <c r="J29">
        <f>COUNTIF(J5:J21,"UPL")</f>
        <v>0</v>
      </c>
      <c r="K29">
        <f>COUNTIF(K5:K21,"UPL")</f>
        <v>0</v>
      </c>
      <c r="L29">
        <f>COUNTIF(L5:L21,"UPL")</f>
        <v>0</v>
      </c>
      <c r="M29">
        <f t="shared" ref="M29:P29" si="27">COUNTIF(M5:M21,"UPL")</f>
        <v>0</v>
      </c>
      <c r="N29">
        <f t="shared" si="27"/>
        <v>0</v>
      </c>
      <c r="O29">
        <f t="shared" si="27"/>
        <v>0</v>
      </c>
      <c r="P29">
        <f t="shared" si="27"/>
        <v>0</v>
      </c>
      <c r="Q29">
        <f>COUNTIF(Q5:Q21,"UPL")</f>
        <v>0</v>
      </c>
      <c r="R29">
        <f>COUNTIF(R5:R21,"UPL")</f>
        <v>0</v>
      </c>
      <c r="S29">
        <f>COUNTIF(S5:S21,"UPL")</f>
        <v>0</v>
      </c>
      <c r="T29">
        <f t="shared" ref="T29:W29" si="28">COUNTIF(T5:T21,"UPL")</f>
        <v>0</v>
      </c>
      <c r="U29">
        <f t="shared" si="28"/>
        <v>0</v>
      </c>
      <c r="V29">
        <f t="shared" si="28"/>
        <v>0</v>
      </c>
      <c r="W29">
        <f t="shared" si="28"/>
        <v>0</v>
      </c>
      <c r="X29">
        <f>COUNTIF(X5:X21,"UPL")</f>
        <v>0</v>
      </c>
      <c r="Y29">
        <f>COUNTIF(Y5:Y21,"UPL")</f>
        <v>0</v>
      </c>
      <c r="Z29">
        <f>COUNTIF(Z5:Z21,"UPL")</f>
        <v>0</v>
      </c>
      <c r="AA29">
        <f t="shared" ref="AA29:AD29" si="29">COUNTIF(AA5:AA21,"UPL")</f>
        <v>0</v>
      </c>
      <c r="AB29">
        <f t="shared" si="29"/>
        <v>0</v>
      </c>
      <c r="AC29">
        <f t="shared" si="29"/>
        <v>0</v>
      </c>
      <c r="AD29">
        <f t="shared" si="29"/>
        <v>0</v>
      </c>
      <c r="AE29">
        <f>COUNTIF(AE5:AE21,"UPL")</f>
        <v>0</v>
      </c>
      <c r="AF29">
        <f>COUNTIF(AF5:AF21,"UPL")</f>
        <v>0</v>
      </c>
      <c r="AG29">
        <f>COUNTIF(AG5:AG21,"UPL")</f>
        <v>0</v>
      </c>
      <c r="AH29">
        <f t="shared" ref="AH29:AI29" si="30">COUNTIF(AH5:AH21,"UPL")</f>
        <v>0</v>
      </c>
      <c r="AI29">
        <f t="shared" si="30"/>
        <v>0</v>
      </c>
    </row>
    <row r="30" spans="1:35" x14ac:dyDescent="0.35">
      <c r="B30" s="157" t="s">
        <v>207</v>
      </c>
      <c r="C30" s="158">
        <f>SUM(C23:C29)</f>
        <v>15</v>
      </c>
      <c r="D30" s="158">
        <f>SUM(D23:D29)</f>
        <v>15</v>
      </c>
      <c r="E30" s="158">
        <f t="shared" ref="E30:AI30" si="31">SUM(E23:E29)</f>
        <v>15</v>
      </c>
      <c r="F30" s="158">
        <f t="shared" si="31"/>
        <v>15</v>
      </c>
      <c r="G30" s="158">
        <f t="shared" si="31"/>
        <v>15</v>
      </c>
      <c r="H30" s="158">
        <f t="shared" si="31"/>
        <v>15</v>
      </c>
      <c r="I30" s="158">
        <f t="shared" si="31"/>
        <v>15</v>
      </c>
      <c r="J30" s="158">
        <f t="shared" si="31"/>
        <v>15</v>
      </c>
      <c r="K30" s="158">
        <f t="shared" si="31"/>
        <v>15</v>
      </c>
      <c r="L30" s="158">
        <f t="shared" si="31"/>
        <v>15</v>
      </c>
      <c r="M30" s="158">
        <f t="shared" si="31"/>
        <v>14</v>
      </c>
      <c r="N30" s="158">
        <f t="shared" si="31"/>
        <v>15</v>
      </c>
      <c r="O30" s="158">
        <f t="shared" si="31"/>
        <v>15</v>
      </c>
      <c r="P30" s="158">
        <f t="shared" si="31"/>
        <v>15</v>
      </c>
      <c r="Q30" s="158">
        <f t="shared" si="31"/>
        <v>15</v>
      </c>
      <c r="R30" s="158">
        <f t="shared" si="31"/>
        <v>15</v>
      </c>
      <c r="S30" s="158">
        <f t="shared" si="31"/>
        <v>0</v>
      </c>
      <c r="T30" s="158">
        <f t="shared" si="31"/>
        <v>15</v>
      </c>
      <c r="U30" s="158">
        <f t="shared" si="31"/>
        <v>15</v>
      </c>
      <c r="V30" s="158">
        <f t="shared" si="31"/>
        <v>15</v>
      </c>
      <c r="W30" s="158">
        <f t="shared" si="31"/>
        <v>15</v>
      </c>
      <c r="X30" s="158">
        <f t="shared" si="31"/>
        <v>15</v>
      </c>
      <c r="Y30" s="158">
        <f t="shared" si="31"/>
        <v>15</v>
      </c>
      <c r="Z30" s="158">
        <f t="shared" si="31"/>
        <v>15</v>
      </c>
      <c r="AA30" s="158">
        <f t="shared" si="31"/>
        <v>15</v>
      </c>
      <c r="AB30" s="158">
        <f t="shared" si="31"/>
        <v>15</v>
      </c>
      <c r="AC30" s="158">
        <f t="shared" si="31"/>
        <v>15</v>
      </c>
      <c r="AD30" s="158">
        <f t="shared" si="31"/>
        <v>15</v>
      </c>
      <c r="AE30" s="158">
        <f t="shared" si="31"/>
        <v>15</v>
      </c>
      <c r="AF30" s="158">
        <f t="shared" si="31"/>
        <v>15</v>
      </c>
      <c r="AG30" s="158">
        <f t="shared" si="31"/>
        <v>15</v>
      </c>
      <c r="AH30" s="158">
        <f t="shared" si="31"/>
        <v>15</v>
      </c>
      <c r="AI30" s="158">
        <f t="shared" si="31"/>
        <v>11</v>
      </c>
    </row>
  </sheetData>
  <mergeCells count="3">
    <mergeCell ref="A4:A9"/>
    <mergeCell ref="A11:A15"/>
    <mergeCell ref="A17:A21"/>
  </mergeCells>
  <conditionalFormatting sqref="C23:D26">
    <cfRule type="cellIs" dxfId="50" priority="4" operator="lessThan">
      <formula>2</formula>
    </cfRule>
  </conditionalFormatting>
  <conditionalFormatting sqref="E23:I26">
    <cfRule type="cellIs" dxfId="49" priority="3" operator="lessThan">
      <formula>3</formula>
    </cfRule>
  </conditionalFormatting>
  <conditionalFormatting sqref="J23:K26 Q23:R26 X23:Y26 AE23:AF26">
    <cfRule type="cellIs" dxfId="48" priority="2" operator="lessThan">
      <formula>2</formula>
    </cfRule>
  </conditionalFormatting>
  <conditionalFormatting sqref="L23:P26 S23:W26 Z23:AC26 AG23:AI26">
    <cfRule type="cellIs" dxfId="47" priority="1" operator="lessThan">
      <formula>3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H41"/>
  <sheetViews>
    <sheetView zoomScale="60" zoomScaleNormal="60" workbookViewId="0"/>
  </sheetViews>
  <sheetFormatPr defaultRowHeight="14.5" x14ac:dyDescent="0.35"/>
  <cols>
    <col min="2" max="2" width="18.26953125" bestFit="1" customWidth="1"/>
    <col min="3" max="5" width="0" hidden="1" customWidth="1"/>
  </cols>
  <sheetData>
    <row r="2" spans="1:34" x14ac:dyDescent="0.35">
      <c r="B2" s="30"/>
      <c r="C2" s="2" t="str">
        <f t="shared" ref="C2:E2" si="0">TEXT(C3,"ddd")</f>
        <v>Mon</v>
      </c>
      <c r="D2" s="2" t="str">
        <f t="shared" si="0"/>
        <v>Tue</v>
      </c>
      <c r="E2" s="2" t="str">
        <f t="shared" si="0"/>
        <v>Wed</v>
      </c>
      <c r="F2" s="2" t="str">
        <f t="shared" ref="F2:AH2" si="1">TEXT(F3,"ddd")</f>
        <v>Thu</v>
      </c>
      <c r="G2" s="2" t="str">
        <f t="shared" si="1"/>
        <v>Fri</v>
      </c>
      <c r="H2" s="2" t="str">
        <f t="shared" si="1"/>
        <v>Sat</v>
      </c>
      <c r="I2" s="2" t="str">
        <f t="shared" si="1"/>
        <v>Sun</v>
      </c>
      <c r="J2" s="2" t="str">
        <f t="shared" si="1"/>
        <v>Mon</v>
      </c>
      <c r="K2" s="2" t="str">
        <f t="shared" si="1"/>
        <v>Tue</v>
      </c>
      <c r="L2" s="2" t="str">
        <f t="shared" si="1"/>
        <v>Wed</v>
      </c>
      <c r="M2" s="2" t="str">
        <f t="shared" si="1"/>
        <v>Thu</v>
      </c>
      <c r="N2" s="2" t="str">
        <f t="shared" si="1"/>
        <v>Fri</v>
      </c>
      <c r="O2" s="2" t="str">
        <f t="shared" si="1"/>
        <v>Sat</v>
      </c>
      <c r="P2" s="2" t="str">
        <f t="shared" si="1"/>
        <v>Sun</v>
      </c>
      <c r="Q2" s="2" t="str">
        <f t="shared" si="1"/>
        <v>Mon</v>
      </c>
      <c r="R2" s="2" t="str">
        <f t="shared" si="1"/>
        <v>Tue</v>
      </c>
      <c r="S2" s="2" t="str">
        <f t="shared" si="1"/>
        <v>Wed</v>
      </c>
      <c r="T2" s="2" t="str">
        <f t="shared" si="1"/>
        <v>Thu</v>
      </c>
      <c r="U2" s="2" t="str">
        <f t="shared" si="1"/>
        <v>Fri</v>
      </c>
      <c r="V2" s="2" t="str">
        <f t="shared" si="1"/>
        <v>Sat</v>
      </c>
      <c r="W2" s="2" t="str">
        <f t="shared" si="1"/>
        <v>Sun</v>
      </c>
      <c r="X2" s="2" t="str">
        <f t="shared" si="1"/>
        <v>Mon</v>
      </c>
      <c r="Y2" s="2" t="str">
        <f t="shared" si="1"/>
        <v>Tue</v>
      </c>
      <c r="Z2" s="2" t="str">
        <f t="shared" si="1"/>
        <v>Wed</v>
      </c>
      <c r="AA2" s="2" t="str">
        <f t="shared" si="1"/>
        <v>Thu</v>
      </c>
      <c r="AB2" s="2" t="str">
        <f t="shared" si="1"/>
        <v>Fri</v>
      </c>
      <c r="AC2" s="2" t="str">
        <f t="shared" si="1"/>
        <v>Sat</v>
      </c>
      <c r="AD2" s="2" t="str">
        <f t="shared" si="1"/>
        <v>Sun</v>
      </c>
      <c r="AE2" s="2" t="str">
        <f t="shared" si="1"/>
        <v>Mon</v>
      </c>
      <c r="AF2" s="2" t="str">
        <f t="shared" si="1"/>
        <v>Tue</v>
      </c>
      <c r="AG2" s="2" t="str">
        <f t="shared" si="1"/>
        <v>Wed</v>
      </c>
      <c r="AH2" s="2" t="str">
        <f t="shared" si="1"/>
        <v>Thu</v>
      </c>
    </row>
    <row r="3" spans="1:34" x14ac:dyDescent="0.35">
      <c r="A3" s="165" t="s">
        <v>159</v>
      </c>
      <c r="B3" s="124" t="s">
        <v>0</v>
      </c>
      <c r="C3" s="31">
        <v>44802</v>
      </c>
      <c r="D3" s="31">
        <v>44803</v>
      </c>
      <c r="E3" s="31">
        <v>44804</v>
      </c>
      <c r="F3" s="31">
        <v>44805</v>
      </c>
      <c r="G3" s="31">
        <v>44806</v>
      </c>
      <c r="H3" s="31">
        <v>44807</v>
      </c>
      <c r="I3" s="31">
        <v>44808</v>
      </c>
      <c r="J3" s="31">
        <v>44809</v>
      </c>
      <c r="K3" s="31">
        <v>44810</v>
      </c>
      <c r="L3" s="31">
        <v>44811</v>
      </c>
      <c r="M3" s="31">
        <v>44812</v>
      </c>
      <c r="N3" s="31">
        <v>44813</v>
      </c>
      <c r="O3" s="31">
        <v>44814</v>
      </c>
      <c r="P3" s="31">
        <v>44815</v>
      </c>
      <c r="Q3" s="31">
        <v>44816</v>
      </c>
      <c r="R3" s="31">
        <v>44817</v>
      </c>
      <c r="S3" s="31">
        <v>44818</v>
      </c>
      <c r="T3" s="31">
        <v>44819</v>
      </c>
      <c r="U3" s="31">
        <v>44820</v>
      </c>
      <c r="V3" s="31">
        <v>44821</v>
      </c>
      <c r="W3" s="31">
        <v>44822</v>
      </c>
      <c r="X3" s="31">
        <v>44823</v>
      </c>
      <c r="Y3" s="31">
        <v>44824</v>
      </c>
      <c r="Z3" s="31">
        <v>44825</v>
      </c>
      <c r="AA3" s="31">
        <v>44826</v>
      </c>
      <c r="AB3" s="31">
        <v>44827</v>
      </c>
      <c r="AC3" s="31">
        <v>44828</v>
      </c>
      <c r="AD3" s="31">
        <v>44829</v>
      </c>
      <c r="AE3" s="31">
        <v>44830</v>
      </c>
      <c r="AF3" s="31">
        <v>44831</v>
      </c>
      <c r="AG3" s="31">
        <v>44832</v>
      </c>
      <c r="AH3" s="31">
        <v>44833</v>
      </c>
    </row>
    <row r="4" spans="1:34" ht="15" thickBot="1" x14ac:dyDescent="0.4">
      <c r="A4" s="228" t="s">
        <v>196</v>
      </c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</row>
    <row r="5" spans="1:34" x14ac:dyDescent="0.35">
      <c r="A5" s="228"/>
      <c r="B5" s="166" t="s">
        <v>14</v>
      </c>
      <c r="C5" s="129" t="s">
        <v>5</v>
      </c>
      <c r="D5" s="129" t="s">
        <v>5</v>
      </c>
      <c r="E5" s="144" t="s">
        <v>37</v>
      </c>
      <c r="F5" s="132" t="s">
        <v>6</v>
      </c>
      <c r="G5" s="132" t="s">
        <v>6</v>
      </c>
      <c r="H5" s="132" t="s">
        <v>3</v>
      </c>
      <c r="I5" s="128" t="s">
        <v>4</v>
      </c>
      <c r="J5" s="147" t="s">
        <v>41</v>
      </c>
      <c r="K5" s="147" t="s">
        <v>41</v>
      </c>
      <c r="L5" s="129" t="s">
        <v>5</v>
      </c>
      <c r="M5" s="129" t="s">
        <v>5</v>
      </c>
      <c r="N5" s="129" t="s">
        <v>5</v>
      </c>
      <c r="O5" s="19" t="s">
        <v>42</v>
      </c>
      <c r="P5" s="128" t="s">
        <v>4</v>
      </c>
      <c r="Q5" s="133" t="s">
        <v>2</v>
      </c>
      <c r="R5" s="147" t="s">
        <v>41</v>
      </c>
      <c r="S5" s="147" t="s">
        <v>41</v>
      </c>
      <c r="T5" s="147" t="s">
        <v>41</v>
      </c>
      <c r="U5" s="129" t="s">
        <v>5</v>
      </c>
      <c r="V5" s="129" t="s">
        <v>5</v>
      </c>
      <c r="W5" s="128" t="s">
        <v>4</v>
      </c>
      <c r="X5" s="133" t="s">
        <v>2</v>
      </c>
      <c r="Y5" s="147" t="s">
        <v>41</v>
      </c>
      <c r="Z5" s="147" t="s">
        <v>41</v>
      </c>
      <c r="AA5" s="147" t="s">
        <v>41</v>
      </c>
      <c r="AB5" s="147" t="s">
        <v>41</v>
      </c>
      <c r="AC5" s="147" t="s">
        <v>42</v>
      </c>
      <c r="AD5" s="128" t="s">
        <v>4</v>
      </c>
      <c r="AE5" s="147" t="s">
        <v>41</v>
      </c>
      <c r="AF5" s="147" t="s">
        <v>41</v>
      </c>
      <c r="AG5" s="147" t="s">
        <v>41</v>
      </c>
      <c r="AH5" s="147" t="s">
        <v>41</v>
      </c>
    </row>
    <row r="6" spans="1:34" ht="15" thickBot="1" x14ac:dyDescent="0.4">
      <c r="A6" s="228"/>
      <c r="B6" s="167" t="s">
        <v>12</v>
      </c>
      <c r="C6" s="134" t="s">
        <v>6</v>
      </c>
      <c r="D6" s="134" t="s">
        <v>6</v>
      </c>
      <c r="E6" s="141" t="s">
        <v>3</v>
      </c>
      <c r="F6" s="168" t="s">
        <v>16</v>
      </c>
      <c r="G6" s="131" t="s">
        <v>2</v>
      </c>
      <c r="H6" s="130" t="s">
        <v>4</v>
      </c>
      <c r="I6" s="149" t="s">
        <v>42</v>
      </c>
      <c r="J6" s="149" t="s">
        <v>41</v>
      </c>
      <c r="K6" s="149" t="s">
        <v>41</v>
      </c>
      <c r="L6" s="149" t="s">
        <v>41</v>
      </c>
      <c r="M6" s="149" t="s">
        <v>41</v>
      </c>
      <c r="N6" s="149" t="s">
        <v>41</v>
      </c>
      <c r="O6" s="130" t="s">
        <v>4</v>
      </c>
      <c r="P6" s="149" t="s">
        <v>42</v>
      </c>
      <c r="Q6" s="149" t="s">
        <v>41</v>
      </c>
      <c r="R6" s="149" t="s">
        <v>41</v>
      </c>
      <c r="S6" s="131" t="s">
        <v>2</v>
      </c>
      <c r="T6" s="131" t="s">
        <v>2</v>
      </c>
      <c r="U6" s="149" t="s">
        <v>41</v>
      </c>
      <c r="V6" s="149" t="s">
        <v>42</v>
      </c>
      <c r="W6" s="149" t="s">
        <v>42</v>
      </c>
      <c r="X6" s="149" t="s">
        <v>41</v>
      </c>
      <c r="Y6" s="131" t="s">
        <v>2</v>
      </c>
      <c r="Z6" s="136" t="s">
        <v>5</v>
      </c>
      <c r="AA6" s="136" t="s">
        <v>5</v>
      </c>
      <c r="AB6" s="131" t="s">
        <v>2</v>
      </c>
      <c r="AC6" s="130" t="s">
        <v>4</v>
      </c>
      <c r="AD6" s="149" t="s">
        <v>42</v>
      </c>
      <c r="AE6" s="149" t="s">
        <v>41</v>
      </c>
      <c r="AF6" s="149" t="s">
        <v>41</v>
      </c>
      <c r="AG6" s="149" t="s">
        <v>41</v>
      </c>
      <c r="AH6" s="149" t="s">
        <v>41</v>
      </c>
    </row>
    <row r="7" spans="1:34" x14ac:dyDescent="0.35">
      <c r="A7" s="228"/>
      <c r="B7" s="169" t="s">
        <v>86</v>
      </c>
      <c r="C7" s="141" t="s">
        <v>6</v>
      </c>
      <c r="D7" s="141" t="s">
        <v>6</v>
      </c>
      <c r="E7" s="141" t="s">
        <v>3</v>
      </c>
      <c r="F7" s="147" t="s">
        <v>41</v>
      </c>
      <c r="G7" s="137" t="s">
        <v>2</v>
      </c>
      <c r="H7" s="139" t="s">
        <v>4</v>
      </c>
      <c r="I7" s="150" t="s">
        <v>42</v>
      </c>
      <c r="J7" s="150" t="s">
        <v>41</v>
      </c>
      <c r="K7" s="150" t="s">
        <v>41</v>
      </c>
      <c r="L7" s="150" t="s">
        <v>41</v>
      </c>
      <c r="M7" s="150" t="s">
        <v>41</v>
      </c>
      <c r="N7" s="137" t="s">
        <v>2</v>
      </c>
      <c r="O7" s="139" t="s">
        <v>4</v>
      </c>
      <c r="P7" s="150" t="s">
        <v>42</v>
      </c>
      <c r="Q7" s="150" t="s">
        <v>41</v>
      </c>
      <c r="R7" s="150" t="s">
        <v>41</v>
      </c>
      <c r="S7" s="150" t="s">
        <v>41</v>
      </c>
      <c r="T7" s="150" t="s">
        <v>41</v>
      </c>
      <c r="U7" s="137" t="s">
        <v>2</v>
      </c>
      <c r="V7" s="139" t="s">
        <v>4</v>
      </c>
      <c r="W7" s="150" t="s">
        <v>42</v>
      </c>
      <c r="X7" s="150" t="s">
        <v>41</v>
      </c>
      <c r="Y7" s="150" t="s">
        <v>41</v>
      </c>
      <c r="Z7" s="150" t="s">
        <v>41</v>
      </c>
      <c r="AA7" s="150" t="s">
        <v>41</v>
      </c>
      <c r="AB7" s="137" t="s">
        <v>2</v>
      </c>
      <c r="AC7" s="139" t="s">
        <v>4</v>
      </c>
      <c r="AD7" s="140" t="s">
        <v>5</v>
      </c>
      <c r="AE7" s="140" t="s">
        <v>5</v>
      </c>
      <c r="AF7" s="140" t="s">
        <v>5</v>
      </c>
      <c r="AG7" s="140" t="s">
        <v>5</v>
      </c>
      <c r="AH7" s="140" t="s">
        <v>5</v>
      </c>
    </row>
    <row r="8" spans="1:34" ht="15" thickBot="1" x14ac:dyDescent="0.4">
      <c r="A8" s="228"/>
      <c r="B8" s="170" t="s">
        <v>88</v>
      </c>
      <c r="C8" s="25" t="s">
        <v>6</v>
      </c>
      <c r="D8" s="25" t="s">
        <v>6</v>
      </c>
      <c r="E8" s="141" t="s">
        <v>3</v>
      </c>
      <c r="F8" s="145" t="s">
        <v>2</v>
      </c>
      <c r="G8" s="25" t="s">
        <v>6</v>
      </c>
      <c r="H8" s="25" t="s">
        <v>3</v>
      </c>
      <c r="I8" s="143" t="s">
        <v>4</v>
      </c>
      <c r="J8" s="145" t="s">
        <v>2</v>
      </c>
      <c r="K8" s="145" t="s">
        <v>2</v>
      </c>
      <c r="L8" s="19" t="s">
        <v>41</v>
      </c>
      <c r="M8" s="19" t="s">
        <v>41</v>
      </c>
      <c r="N8" s="19" t="s">
        <v>41</v>
      </c>
      <c r="O8" s="19" t="s">
        <v>42</v>
      </c>
      <c r="P8" s="143" t="s">
        <v>4</v>
      </c>
      <c r="Q8" s="145" t="s">
        <v>2</v>
      </c>
      <c r="R8" s="22" t="s">
        <v>16</v>
      </c>
      <c r="S8" s="19" t="s">
        <v>41</v>
      </c>
      <c r="T8" s="19" t="s">
        <v>41</v>
      </c>
      <c r="U8" s="19" t="s">
        <v>41</v>
      </c>
      <c r="V8" s="19" t="s">
        <v>42</v>
      </c>
      <c r="W8" s="143" t="s">
        <v>4</v>
      </c>
      <c r="X8" s="145" t="s">
        <v>2</v>
      </c>
      <c r="Y8" s="19" t="s">
        <v>41</v>
      </c>
      <c r="Z8" s="19" t="s">
        <v>41</v>
      </c>
      <c r="AA8" s="19" t="s">
        <v>41</v>
      </c>
      <c r="AB8" s="19" t="s">
        <v>41</v>
      </c>
      <c r="AC8" s="19" t="s">
        <v>42</v>
      </c>
      <c r="AD8" s="143" t="s">
        <v>4</v>
      </c>
      <c r="AE8" s="145" t="s">
        <v>2</v>
      </c>
      <c r="AF8" s="19" t="s">
        <v>41</v>
      </c>
      <c r="AG8" s="19" t="s">
        <v>41</v>
      </c>
      <c r="AH8" s="19" t="s">
        <v>41</v>
      </c>
    </row>
    <row r="9" spans="1:34" x14ac:dyDescent="0.35">
      <c r="A9" s="228"/>
      <c r="B9" s="170" t="s">
        <v>87</v>
      </c>
      <c r="C9" s="25" t="s">
        <v>6</v>
      </c>
      <c r="D9" s="129" t="s">
        <v>2</v>
      </c>
      <c r="E9" s="144" t="s">
        <v>37</v>
      </c>
      <c r="F9" s="25" t="s">
        <v>6</v>
      </c>
      <c r="G9" s="25" t="s">
        <v>6</v>
      </c>
      <c r="H9" s="146" t="s">
        <v>30</v>
      </c>
      <c r="I9" s="143" t="s">
        <v>4</v>
      </c>
      <c r="J9" s="145" t="s">
        <v>2</v>
      </c>
      <c r="K9" s="22" t="s">
        <v>16</v>
      </c>
      <c r="L9" s="22" t="s">
        <v>16</v>
      </c>
      <c r="M9" s="22" t="s">
        <v>16</v>
      </c>
      <c r="N9" s="19" t="s">
        <v>41</v>
      </c>
      <c r="O9" s="146" t="s">
        <v>30</v>
      </c>
      <c r="P9" s="143" t="s">
        <v>4</v>
      </c>
      <c r="Q9" s="19" t="s">
        <v>41</v>
      </c>
      <c r="R9" s="145" t="s">
        <v>2</v>
      </c>
      <c r="S9" s="22" t="s">
        <v>16</v>
      </c>
      <c r="T9" s="22" t="s">
        <v>16</v>
      </c>
      <c r="U9" s="19" t="s">
        <v>41</v>
      </c>
      <c r="V9" s="143" t="s">
        <v>4</v>
      </c>
      <c r="W9" s="143" t="s">
        <v>4</v>
      </c>
      <c r="X9" s="19" t="s">
        <v>41</v>
      </c>
      <c r="Y9" s="22" t="s">
        <v>16</v>
      </c>
      <c r="Z9" s="22" t="s">
        <v>16</v>
      </c>
      <c r="AA9" s="22" t="s">
        <v>16</v>
      </c>
      <c r="AB9" s="19" t="s">
        <v>41</v>
      </c>
      <c r="AC9" s="143" t="s">
        <v>4</v>
      </c>
      <c r="AD9" s="19" t="s">
        <v>42</v>
      </c>
      <c r="AE9" s="19" t="s">
        <v>41</v>
      </c>
      <c r="AF9" s="22" t="s">
        <v>16</v>
      </c>
      <c r="AG9" s="22" t="s">
        <v>16</v>
      </c>
      <c r="AH9" s="22" t="s">
        <v>16</v>
      </c>
    </row>
    <row r="10" spans="1:34" ht="15" thickBot="1" x14ac:dyDescent="0.4"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</row>
    <row r="11" spans="1:34" ht="15" thickBot="1" x14ac:dyDescent="0.4">
      <c r="A11" s="228" t="s">
        <v>197</v>
      </c>
      <c r="B11" s="166" t="s">
        <v>9</v>
      </c>
      <c r="C11" s="133" t="s">
        <v>2</v>
      </c>
      <c r="D11" s="147" t="s">
        <v>41</v>
      </c>
      <c r="E11" s="147" t="s">
        <v>42</v>
      </c>
      <c r="F11" s="147" t="s">
        <v>41</v>
      </c>
      <c r="G11" s="147" t="s">
        <v>41</v>
      </c>
      <c r="H11" s="147" t="s">
        <v>42</v>
      </c>
      <c r="I11" s="153" t="s">
        <v>11</v>
      </c>
      <c r="J11" s="133" t="s">
        <v>2</v>
      </c>
      <c r="K11" s="152" t="s">
        <v>10</v>
      </c>
      <c r="L11" s="152" t="s">
        <v>10</v>
      </c>
      <c r="M11" s="152" t="s">
        <v>10</v>
      </c>
      <c r="N11" s="133" t="s">
        <v>2</v>
      </c>
      <c r="O11" s="128" t="s">
        <v>4</v>
      </c>
      <c r="P11" s="153" t="s">
        <v>11</v>
      </c>
      <c r="Q11" s="133" t="s">
        <v>2</v>
      </c>
      <c r="R11" s="152" t="s">
        <v>10</v>
      </c>
      <c r="S11" s="152" t="s">
        <v>10</v>
      </c>
      <c r="T11" s="152" t="s">
        <v>10</v>
      </c>
      <c r="U11" s="152" t="s">
        <v>10</v>
      </c>
      <c r="V11" s="152" t="s">
        <v>11</v>
      </c>
      <c r="W11" s="128" t="s">
        <v>4</v>
      </c>
      <c r="X11" s="133" t="s">
        <v>2</v>
      </c>
      <c r="Y11" s="152" t="s">
        <v>10</v>
      </c>
      <c r="Z11" s="152" t="s">
        <v>10</v>
      </c>
      <c r="AA11" s="152" t="s">
        <v>10</v>
      </c>
      <c r="AB11" s="129" t="s">
        <v>5</v>
      </c>
      <c r="AC11" s="129" t="s">
        <v>5</v>
      </c>
      <c r="AD11" s="128" t="s">
        <v>4</v>
      </c>
      <c r="AE11" s="133" t="s">
        <v>2</v>
      </c>
      <c r="AF11" s="152" t="s">
        <v>10</v>
      </c>
      <c r="AG11" s="152" t="s">
        <v>10</v>
      </c>
      <c r="AH11" s="152" t="s">
        <v>10</v>
      </c>
    </row>
    <row r="12" spans="1:34" ht="15" thickBot="1" x14ac:dyDescent="0.4">
      <c r="A12" s="228"/>
      <c r="B12" s="167" t="s">
        <v>15</v>
      </c>
      <c r="C12" s="149" t="s">
        <v>41</v>
      </c>
      <c r="D12" s="129" t="s">
        <v>5</v>
      </c>
      <c r="E12" s="129" t="s">
        <v>5</v>
      </c>
      <c r="F12" s="136" t="s">
        <v>5</v>
      </c>
      <c r="G12" s="131" t="s">
        <v>2</v>
      </c>
      <c r="H12" s="130" t="s">
        <v>4</v>
      </c>
      <c r="I12" s="130" t="s">
        <v>4</v>
      </c>
      <c r="J12" s="153" t="s">
        <v>10</v>
      </c>
      <c r="K12" s="153" t="s">
        <v>10</v>
      </c>
      <c r="L12" s="131" t="s">
        <v>2</v>
      </c>
      <c r="M12" s="131" t="s">
        <v>2</v>
      </c>
      <c r="N12" s="153" t="s">
        <v>10</v>
      </c>
      <c r="O12" s="153" t="s">
        <v>11</v>
      </c>
      <c r="P12" s="153" t="s">
        <v>11</v>
      </c>
      <c r="Q12" s="153" t="s">
        <v>10</v>
      </c>
      <c r="R12" s="153" t="s">
        <v>10</v>
      </c>
      <c r="S12" s="131" t="s">
        <v>2</v>
      </c>
      <c r="T12" s="131" t="s">
        <v>2</v>
      </c>
      <c r="U12" s="153" t="s">
        <v>10</v>
      </c>
      <c r="V12" s="153" t="s">
        <v>11</v>
      </c>
      <c r="W12" s="153" t="s">
        <v>11</v>
      </c>
      <c r="X12" s="153" t="s">
        <v>10</v>
      </c>
      <c r="Y12" s="153" t="s">
        <v>10</v>
      </c>
      <c r="Z12" s="131" t="s">
        <v>2</v>
      </c>
      <c r="AA12" s="131" t="s">
        <v>2</v>
      </c>
      <c r="AB12" s="153" t="s">
        <v>10</v>
      </c>
      <c r="AC12" s="153" t="s">
        <v>11</v>
      </c>
      <c r="AD12" s="153" t="s">
        <v>11</v>
      </c>
      <c r="AE12" s="153" t="s">
        <v>10</v>
      </c>
      <c r="AF12" s="153" t="s">
        <v>10</v>
      </c>
      <c r="AG12" s="131" t="s">
        <v>2</v>
      </c>
      <c r="AH12" s="131" t="s">
        <v>2</v>
      </c>
    </row>
    <row r="13" spans="1:34" ht="15" thickBot="1" x14ac:dyDescent="0.4">
      <c r="A13" s="228"/>
      <c r="B13" s="169" t="s">
        <v>21</v>
      </c>
      <c r="C13" s="137" t="s">
        <v>2</v>
      </c>
      <c r="D13" s="150" t="s">
        <v>41</v>
      </c>
      <c r="E13" s="147" t="s">
        <v>42</v>
      </c>
      <c r="F13" s="25" t="s">
        <v>6</v>
      </c>
      <c r="G13" s="150" t="s">
        <v>41</v>
      </c>
      <c r="H13" s="150" t="s">
        <v>42</v>
      </c>
      <c r="I13" s="139" t="s">
        <v>4</v>
      </c>
      <c r="J13" s="137" t="s">
        <v>2</v>
      </c>
      <c r="K13" s="137" t="s">
        <v>2</v>
      </c>
      <c r="L13" s="156" t="s">
        <v>10</v>
      </c>
      <c r="M13" s="156" t="s">
        <v>10</v>
      </c>
      <c r="N13" s="156" t="s">
        <v>10</v>
      </c>
      <c r="O13" s="156" t="s">
        <v>11</v>
      </c>
      <c r="P13" s="128" t="s">
        <v>4</v>
      </c>
      <c r="Q13" s="137" t="s">
        <v>2</v>
      </c>
      <c r="R13" s="137" t="s">
        <v>2</v>
      </c>
      <c r="S13" s="156" t="s">
        <v>10</v>
      </c>
      <c r="T13" s="156" t="s">
        <v>10</v>
      </c>
      <c r="U13" s="156" t="s">
        <v>10</v>
      </c>
      <c r="V13" s="156" t="s">
        <v>11</v>
      </c>
      <c r="W13" s="139" t="s">
        <v>4</v>
      </c>
      <c r="X13" s="137" t="s">
        <v>2</v>
      </c>
      <c r="Y13" s="156" t="s">
        <v>10</v>
      </c>
      <c r="Z13" s="156" t="s">
        <v>10</v>
      </c>
      <c r="AA13" s="156" t="s">
        <v>10</v>
      </c>
      <c r="AB13" s="156" t="s">
        <v>10</v>
      </c>
      <c r="AC13" s="156" t="s">
        <v>11</v>
      </c>
      <c r="AD13" s="139" t="s">
        <v>4</v>
      </c>
      <c r="AE13" s="137" t="s">
        <v>2</v>
      </c>
      <c r="AF13" s="137" t="s">
        <v>2</v>
      </c>
      <c r="AG13" s="156" t="s">
        <v>10</v>
      </c>
      <c r="AH13" s="156" t="s">
        <v>10</v>
      </c>
    </row>
    <row r="14" spans="1:34" x14ac:dyDescent="0.35">
      <c r="A14" s="228"/>
      <c r="B14" s="170" t="s">
        <v>22</v>
      </c>
      <c r="C14" s="19" t="s">
        <v>41</v>
      </c>
      <c r="D14" s="19" t="s">
        <v>41</v>
      </c>
      <c r="E14" s="147" t="s">
        <v>42</v>
      </c>
      <c r="F14" s="19" t="s">
        <v>41</v>
      </c>
      <c r="G14" s="145" t="s">
        <v>2</v>
      </c>
      <c r="H14" s="143" t="s">
        <v>4</v>
      </c>
      <c r="I14" s="16" t="s">
        <v>11</v>
      </c>
      <c r="J14" s="16" t="s">
        <v>10</v>
      </c>
      <c r="K14" s="16" t="s">
        <v>10</v>
      </c>
      <c r="L14" s="16" t="s">
        <v>10</v>
      </c>
      <c r="M14" s="145" t="s">
        <v>2</v>
      </c>
      <c r="N14" s="143" t="s">
        <v>4</v>
      </c>
      <c r="O14" s="16" t="s">
        <v>11</v>
      </c>
      <c r="P14" s="16" t="s">
        <v>11</v>
      </c>
      <c r="Q14" s="16" t="s">
        <v>10</v>
      </c>
      <c r="R14" s="145" t="s">
        <v>2</v>
      </c>
      <c r="S14" s="16" t="s">
        <v>10</v>
      </c>
      <c r="T14" s="16" t="s">
        <v>10</v>
      </c>
      <c r="U14" s="145" t="s">
        <v>2</v>
      </c>
      <c r="V14" s="143" t="s">
        <v>4</v>
      </c>
      <c r="W14" s="16" t="s">
        <v>11</v>
      </c>
      <c r="X14" s="16" t="s">
        <v>10</v>
      </c>
      <c r="Y14" s="16" t="s">
        <v>10</v>
      </c>
      <c r="Z14" s="16" t="s">
        <v>10</v>
      </c>
      <c r="AA14" s="16" t="s">
        <v>10</v>
      </c>
      <c r="AB14" s="145" t="s">
        <v>2</v>
      </c>
      <c r="AC14" s="143" t="s">
        <v>4</v>
      </c>
      <c r="AD14" s="16" t="s">
        <v>11</v>
      </c>
      <c r="AE14" s="16" t="s">
        <v>10</v>
      </c>
      <c r="AF14" s="16" t="s">
        <v>10</v>
      </c>
      <c r="AG14" s="16" t="s">
        <v>10</v>
      </c>
      <c r="AH14" s="16" t="s">
        <v>10</v>
      </c>
    </row>
    <row r="15" spans="1:34" x14ac:dyDescent="0.35">
      <c r="A15" s="228"/>
      <c r="B15" s="170" t="s">
        <v>200</v>
      </c>
      <c r="C15" s="19" t="s">
        <v>41</v>
      </c>
      <c r="D15" s="22" t="s">
        <v>16</v>
      </c>
      <c r="E15" s="146" t="s">
        <v>30</v>
      </c>
      <c r="F15" s="22" t="s">
        <v>16</v>
      </c>
      <c r="G15" s="19" t="s">
        <v>41</v>
      </c>
      <c r="H15" s="143" t="s">
        <v>4</v>
      </c>
      <c r="I15" s="16" t="s">
        <v>11</v>
      </c>
      <c r="J15" s="16" t="s">
        <v>10</v>
      </c>
      <c r="K15" s="145" t="s">
        <v>2</v>
      </c>
      <c r="L15" s="145" t="s">
        <v>2</v>
      </c>
      <c r="M15" s="16" t="s">
        <v>10</v>
      </c>
      <c r="N15" s="16" t="s">
        <v>10</v>
      </c>
      <c r="O15" s="143" t="s">
        <v>4</v>
      </c>
      <c r="P15" s="143" t="s">
        <v>4</v>
      </c>
      <c r="Q15" s="16" t="s">
        <v>10</v>
      </c>
      <c r="R15" s="16" t="s">
        <v>10</v>
      </c>
      <c r="S15" s="22" t="s">
        <v>16</v>
      </c>
      <c r="T15" s="22" t="s">
        <v>16</v>
      </c>
      <c r="U15" s="22" t="s">
        <v>16</v>
      </c>
      <c r="V15" s="143" t="s">
        <v>4</v>
      </c>
      <c r="W15" s="16" t="s">
        <v>11</v>
      </c>
      <c r="X15" s="16" t="s">
        <v>10</v>
      </c>
      <c r="Y15" s="145" t="s">
        <v>2</v>
      </c>
      <c r="Z15" s="145" t="s">
        <v>2</v>
      </c>
      <c r="AA15" s="22" t="s">
        <v>16</v>
      </c>
      <c r="AB15" s="16" t="s">
        <v>10</v>
      </c>
      <c r="AC15" s="16" t="s">
        <v>11</v>
      </c>
      <c r="AD15" s="16" t="s">
        <v>11</v>
      </c>
      <c r="AE15" s="16" t="s">
        <v>10</v>
      </c>
      <c r="AF15" s="145" t="s">
        <v>2</v>
      </c>
      <c r="AG15" s="145" t="s">
        <v>2</v>
      </c>
      <c r="AH15" s="22" t="s">
        <v>16</v>
      </c>
    </row>
    <row r="16" spans="1:34" ht="15" thickBot="1" x14ac:dyDescent="0.4"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</row>
    <row r="17" spans="1:34" ht="15" thickBot="1" x14ac:dyDescent="0.4">
      <c r="A17" s="228" t="s">
        <v>198</v>
      </c>
      <c r="B17" s="166" t="s">
        <v>1</v>
      </c>
      <c r="C17" s="152" t="s">
        <v>10</v>
      </c>
      <c r="D17" s="152" t="s">
        <v>10</v>
      </c>
      <c r="E17" s="144" t="s">
        <v>37</v>
      </c>
      <c r="F17" s="136" t="s">
        <v>5</v>
      </c>
      <c r="G17" s="152" t="s">
        <v>10</v>
      </c>
      <c r="H17" s="128" t="s">
        <v>4</v>
      </c>
      <c r="I17" s="132" t="s">
        <v>3</v>
      </c>
      <c r="J17" s="132" t="s">
        <v>6</v>
      </c>
      <c r="K17" s="132" t="s">
        <v>6</v>
      </c>
      <c r="L17" s="132" t="s">
        <v>6</v>
      </c>
      <c r="M17" s="132" t="s">
        <v>6</v>
      </c>
      <c r="N17" s="133" t="s">
        <v>2</v>
      </c>
      <c r="O17" s="128" t="s">
        <v>4</v>
      </c>
      <c r="P17" s="132" t="s">
        <v>3</v>
      </c>
      <c r="Q17" s="132" t="s">
        <v>6</v>
      </c>
      <c r="R17" s="132" t="s">
        <v>6</v>
      </c>
      <c r="S17" s="132" t="s">
        <v>6</v>
      </c>
      <c r="T17" s="132" t="s">
        <v>6</v>
      </c>
      <c r="U17" s="133" t="s">
        <v>2</v>
      </c>
      <c r="V17" s="130" t="s">
        <v>4</v>
      </c>
      <c r="W17" s="132" t="s">
        <v>3</v>
      </c>
      <c r="X17" s="131" t="s">
        <v>2</v>
      </c>
      <c r="Y17" s="132" t="s">
        <v>6</v>
      </c>
      <c r="Z17" s="132" t="s">
        <v>6</v>
      </c>
      <c r="AA17" s="133" t="s">
        <v>2</v>
      </c>
      <c r="AB17" s="133" t="s">
        <v>2</v>
      </c>
      <c r="AC17" s="132" t="s">
        <v>3</v>
      </c>
      <c r="AD17" s="132" t="s">
        <v>3</v>
      </c>
      <c r="AE17" s="132" t="s">
        <v>6</v>
      </c>
      <c r="AF17" s="132" t="s">
        <v>6</v>
      </c>
      <c r="AG17" s="132" t="s">
        <v>6</v>
      </c>
      <c r="AH17" s="132" t="s">
        <v>6</v>
      </c>
    </row>
    <row r="18" spans="1:34" ht="15" thickBot="1" x14ac:dyDescent="0.4">
      <c r="A18" s="228"/>
      <c r="B18" s="167" t="s">
        <v>18</v>
      </c>
      <c r="C18" s="131" t="s">
        <v>2</v>
      </c>
      <c r="D18" s="153" t="s">
        <v>10</v>
      </c>
      <c r="E18" s="152" t="s">
        <v>11</v>
      </c>
      <c r="F18" s="136" t="s">
        <v>5</v>
      </c>
      <c r="G18" s="136" t="s">
        <v>5</v>
      </c>
      <c r="H18" s="136" t="s">
        <v>5</v>
      </c>
      <c r="I18" s="130" t="s">
        <v>4</v>
      </c>
      <c r="J18" s="136" t="s">
        <v>5</v>
      </c>
      <c r="K18" s="136" t="s">
        <v>5</v>
      </c>
      <c r="L18" s="136" t="s">
        <v>5</v>
      </c>
      <c r="M18" s="134" t="s">
        <v>6</v>
      </c>
      <c r="N18" s="134" t="s">
        <v>6</v>
      </c>
      <c r="O18" s="134" t="s">
        <v>3</v>
      </c>
      <c r="P18" s="130" t="s">
        <v>4</v>
      </c>
      <c r="Q18" s="131" t="s">
        <v>2</v>
      </c>
      <c r="R18" s="134" t="s">
        <v>6</v>
      </c>
      <c r="S18" s="134" t="s">
        <v>6</v>
      </c>
      <c r="T18" s="134" t="s">
        <v>6</v>
      </c>
      <c r="U18" s="134" t="s">
        <v>6</v>
      </c>
      <c r="V18" s="134" t="s">
        <v>3</v>
      </c>
      <c r="W18" s="130" t="s">
        <v>4</v>
      </c>
      <c r="X18" s="134" t="s">
        <v>6</v>
      </c>
      <c r="Y18" s="134" t="s">
        <v>6</v>
      </c>
      <c r="Z18" s="134" t="s">
        <v>6</v>
      </c>
      <c r="AA18" s="134" t="s">
        <v>6</v>
      </c>
      <c r="AB18" s="134" t="s">
        <v>6</v>
      </c>
      <c r="AC18" s="130" t="s">
        <v>4</v>
      </c>
      <c r="AD18" s="130" t="s">
        <v>4</v>
      </c>
      <c r="AE18" s="131" t="s">
        <v>2</v>
      </c>
      <c r="AF18" s="134" t="s">
        <v>6</v>
      </c>
      <c r="AG18" s="134" t="s">
        <v>6</v>
      </c>
      <c r="AH18" s="134" t="s">
        <v>6</v>
      </c>
    </row>
    <row r="19" spans="1:34" ht="15" thickBot="1" x14ac:dyDescent="0.4">
      <c r="A19" s="228"/>
      <c r="B19" s="169" t="s">
        <v>85</v>
      </c>
      <c r="C19" s="156" t="s">
        <v>10</v>
      </c>
      <c r="D19" s="156" t="s">
        <v>10</v>
      </c>
      <c r="E19" s="152" t="s">
        <v>11</v>
      </c>
      <c r="F19" s="156" t="s">
        <v>10</v>
      </c>
      <c r="G19" s="137" t="s">
        <v>2</v>
      </c>
      <c r="H19" s="139" t="s">
        <v>4</v>
      </c>
      <c r="I19" s="141" t="s">
        <v>3</v>
      </c>
      <c r="J19" s="141" t="s">
        <v>6</v>
      </c>
      <c r="K19" s="141" t="s">
        <v>6</v>
      </c>
      <c r="L19" s="141" t="s">
        <v>6</v>
      </c>
      <c r="M19" s="141" t="s">
        <v>6</v>
      </c>
      <c r="N19" s="141" t="s">
        <v>6</v>
      </c>
      <c r="O19" s="139" t="s">
        <v>4</v>
      </c>
      <c r="P19" s="141" t="s">
        <v>3</v>
      </c>
      <c r="Q19" s="141" t="s">
        <v>6</v>
      </c>
      <c r="R19" s="141" t="s">
        <v>6</v>
      </c>
      <c r="S19" s="141" t="s">
        <v>6</v>
      </c>
      <c r="T19" s="141" t="s">
        <v>6</v>
      </c>
      <c r="U19" s="141" t="s">
        <v>6</v>
      </c>
      <c r="V19" s="134" t="s">
        <v>3</v>
      </c>
      <c r="W19" s="139" t="s">
        <v>4</v>
      </c>
      <c r="X19" s="141" t="s">
        <v>6</v>
      </c>
      <c r="Y19" s="141" t="s">
        <v>6</v>
      </c>
      <c r="Z19" s="141" t="s">
        <v>6</v>
      </c>
      <c r="AA19" s="141" t="s">
        <v>6</v>
      </c>
      <c r="AB19" s="137" t="s">
        <v>2</v>
      </c>
      <c r="AC19" s="139" t="s">
        <v>4</v>
      </c>
      <c r="AD19" s="141" t="s">
        <v>3</v>
      </c>
      <c r="AE19" s="141" t="s">
        <v>6</v>
      </c>
      <c r="AF19" s="141" t="s">
        <v>6</v>
      </c>
      <c r="AG19" s="141" t="s">
        <v>6</v>
      </c>
      <c r="AH19" s="141" t="s">
        <v>6</v>
      </c>
    </row>
    <row r="20" spans="1:34" ht="15" thickBot="1" x14ac:dyDescent="0.4">
      <c r="A20" s="228"/>
      <c r="B20" s="170" t="s">
        <v>43</v>
      </c>
      <c r="C20" s="145" t="s">
        <v>2</v>
      </c>
      <c r="D20" s="154" t="s">
        <v>16</v>
      </c>
      <c r="E20" s="152" t="s">
        <v>11</v>
      </c>
      <c r="F20" s="16" t="s">
        <v>10</v>
      </c>
      <c r="G20" s="16" t="s">
        <v>10</v>
      </c>
      <c r="H20" s="16" t="s">
        <v>11</v>
      </c>
      <c r="I20" s="143" t="s">
        <v>4</v>
      </c>
      <c r="J20" s="25" t="s">
        <v>6</v>
      </c>
      <c r="K20" s="25" t="s">
        <v>6</v>
      </c>
      <c r="L20" s="25" t="s">
        <v>6</v>
      </c>
      <c r="M20" s="151" t="s">
        <v>5</v>
      </c>
      <c r="N20" s="151" t="s">
        <v>5</v>
      </c>
      <c r="O20" s="143" t="s">
        <v>4</v>
      </c>
      <c r="P20" s="143" t="s">
        <v>4</v>
      </c>
      <c r="Q20" s="145" t="s">
        <v>2</v>
      </c>
      <c r="R20" s="151" t="s">
        <v>5</v>
      </c>
      <c r="S20" s="151" t="s">
        <v>5</v>
      </c>
      <c r="T20" s="151" t="s">
        <v>5</v>
      </c>
      <c r="U20" s="151" t="s">
        <v>5</v>
      </c>
      <c r="V20" s="139" t="s">
        <v>4</v>
      </c>
      <c r="W20" s="25" t="s">
        <v>3</v>
      </c>
      <c r="X20" s="25" t="s">
        <v>6</v>
      </c>
      <c r="Y20" s="145" t="s">
        <v>2</v>
      </c>
      <c r="Z20" s="145" t="s">
        <v>2</v>
      </c>
      <c r="AA20" s="25" t="s">
        <v>6</v>
      </c>
      <c r="AB20" s="25" t="s">
        <v>6</v>
      </c>
      <c r="AC20" s="25" t="s">
        <v>3</v>
      </c>
      <c r="AD20" s="143" t="s">
        <v>4</v>
      </c>
      <c r="AE20" s="145" t="s">
        <v>2</v>
      </c>
      <c r="AF20" s="145" t="s">
        <v>2</v>
      </c>
      <c r="AG20" s="25" t="s">
        <v>6</v>
      </c>
      <c r="AH20" s="25" t="s">
        <v>6</v>
      </c>
    </row>
    <row r="21" spans="1:34" x14ac:dyDescent="0.35">
      <c r="A21" s="228"/>
      <c r="B21" s="170" t="s">
        <v>71</v>
      </c>
      <c r="C21" s="16" t="s">
        <v>10</v>
      </c>
      <c r="D21" s="133" t="s">
        <v>2</v>
      </c>
      <c r="E21" s="144" t="s">
        <v>37</v>
      </c>
      <c r="F21" s="16" t="s">
        <v>10</v>
      </c>
      <c r="G21" s="16" t="s">
        <v>10</v>
      </c>
      <c r="H21" s="16" t="s">
        <v>11</v>
      </c>
      <c r="I21" s="143" t="s">
        <v>4</v>
      </c>
      <c r="J21" s="145" t="s">
        <v>2</v>
      </c>
      <c r="K21" s="151" t="s">
        <v>5</v>
      </c>
      <c r="L21" s="22" t="s">
        <v>16</v>
      </c>
      <c r="M21" s="22" t="s">
        <v>16</v>
      </c>
      <c r="N21" s="25" t="s">
        <v>6</v>
      </c>
      <c r="O21" s="25" t="s">
        <v>3</v>
      </c>
      <c r="P21" s="143" t="s">
        <v>4</v>
      </c>
      <c r="Q21" s="25" t="s">
        <v>6</v>
      </c>
      <c r="R21" s="22" t="s">
        <v>16</v>
      </c>
      <c r="S21" s="22" t="s">
        <v>16</v>
      </c>
      <c r="T21" s="22" t="s">
        <v>16</v>
      </c>
      <c r="U21" s="25" t="s">
        <v>6</v>
      </c>
      <c r="V21" s="146" t="s">
        <v>30</v>
      </c>
      <c r="W21" s="143" t="s">
        <v>4</v>
      </c>
      <c r="X21" s="22" t="s">
        <v>16</v>
      </c>
      <c r="Y21" s="22" t="s">
        <v>16</v>
      </c>
      <c r="Z21" s="22" t="s">
        <v>16</v>
      </c>
      <c r="AA21" s="22" t="s">
        <v>16</v>
      </c>
      <c r="AB21" s="25" t="s">
        <v>6</v>
      </c>
      <c r="AC21" s="143" t="s">
        <v>4</v>
      </c>
      <c r="AD21" s="143" t="s">
        <v>4</v>
      </c>
      <c r="AE21" s="25" t="s">
        <v>6</v>
      </c>
      <c r="AF21" s="22" t="s">
        <v>16</v>
      </c>
      <c r="AG21" s="22" t="s">
        <v>16</v>
      </c>
      <c r="AH21" s="22" t="s">
        <v>16</v>
      </c>
    </row>
    <row r="23" spans="1:34" x14ac:dyDescent="0.35">
      <c r="B23" s="157" t="s">
        <v>201</v>
      </c>
      <c r="C23">
        <f>COUNTIF(C5:C21,"MS")</f>
        <v>4</v>
      </c>
      <c r="D23">
        <f>COUNTIF(D5:D21,"MS")</f>
        <v>3</v>
      </c>
      <c r="E23">
        <f t="shared" ref="E23:G23" si="2">COUNTIF(E5:E21,"MS")</f>
        <v>0</v>
      </c>
      <c r="F23">
        <f t="shared" si="2"/>
        <v>3</v>
      </c>
      <c r="G23">
        <f t="shared" si="2"/>
        <v>3</v>
      </c>
      <c r="H23">
        <f>COUNTIF(H5:H21,"WMS")</f>
        <v>2</v>
      </c>
      <c r="I23">
        <f>COUNTIF(I5:I21,"WMS")</f>
        <v>2</v>
      </c>
      <c r="J23">
        <f>COUNTIF(J5:J21,"MS")</f>
        <v>3</v>
      </c>
      <c r="K23">
        <f>COUNTIF(K5:K21,"MS")</f>
        <v>3</v>
      </c>
      <c r="L23">
        <f t="shared" ref="L23:N23" si="3">COUNTIF(L5:L21,"MS")</f>
        <v>3</v>
      </c>
      <c r="M23">
        <f t="shared" si="3"/>
        <v>3</v>
      </c>
      <c r="N23">
        <f t="shared" si="3"/>
        <v>3</v>
      </c>
      <c r="O23">
        <f>COUNTIF(O5:O21,"WMS")</f>
        <v>2</v>
      </c>
      <c r="P23">
        <f>COUNTIF(P5:P21,"WMS")</f>
        <v>2</v>
      </c>
      <c r="Q23">
        <f>COUNTIF(Q5:Q21,"MS")</f>
        <v>3</v>
      </c>
      <c r="R23">
        <f>COUNTIF(R5:R21,"MS")</f>
        <v>3</v>
      </c>
      <c r="S23">
        <f t="shared" ref="S23:U23" si="4">COUNTIF(S5:S21,"MS")</f>
        <v>3</v>
      </c>
      <c r="T23">
        <f t="shared" si="4"/>
        <v>3</v>
      </c>
      <c r="U23">
        <f t="shared" si="4"/>
        <v>3</v>
      </c>
      <c r="V23">
        <f>COUNTIF(V5:V21,"WMS")</f>
        <v>2</v>
      </c>
      <c r="W23">
        <f>COUNTIF(W5:W21,"WMS")</f>
        <v>2</v>
      </c>
      <c r="X23">
        <f>COUNTIF(X5:X21,"MS")</f>
        <v>3</v>
      </c>
      <c r="Y23">
        <f>COUNTIF(Y5:Y21,"MS")</f>
        <v>3</v>
      </c>
      <c r="Z23">
        <f t="shared" ref="Z23:AB23" si="5">COUNTIF(Z5:Z21,"MS")</f>
        <v>3</v>
      </c>
      <c r="AA23">
        <f t="shared" si="5"/>
        <v>3</v>
      </c>
      <c r="AB23">
        <f t="shared" si="5"/>
        <v>3</v>
      </c>
      <c r="AC23">
        <f>COUNTIF(AC5:AC21,"WMS")</f>
        <v>2</v>
      </c>
      <c r="AD23">
        <f>COUNTIF(AD5:AD21,"WMS")</f>
        <v>2</v>
      </c>
      <c r="AE23">
        <f>COUNTIF(AE5:AE21,"MS")</f>
        <v>3</v>
      </c>
      <c r="AF23">
        <f>COUNTIF(AF5:AF21,"MS")</f>
        <v>3</v>
      </c>
      <c r="AG23">
        <f t="shared" ref="AG23:AH23" si="6">COUNTIF(AG5:AG21,"MS")</f>
        <v>4</v>
      </c>
      <c r="AH23">
        <f t="shared" si="6"/>
        <v>4</v>
      </c>
    </row>
    <row r="24" spans="1:34" x14ac:dyDescent="0.35">
      <c r="B24" s="157" t="s">
        <v>202</v>
      </c>
      <c r="C24">
        <f>COUNTIF(C5:C21,"ASS1")</f>
        <v>3</v>
      </c>
      <c r="D24">
        <f t="shared" ref="D24:G24" si="7">COUNTIF(D5:D21,"ASS1")</f>
        <v>3</v>
      </c>
      <c r="E24">
        <f t="shared" si="7"/>
        <v>0</v>
      </c>
      <c r="F24">
        <f t="shared" si="7"/>
        <v>3</v>
      </c>
      <c r="G24">
        <f t="shared" si="7"/>
        <v>3</v>
      </c>
      <c r="H24">
        <f>COUNTIF(H5:H21,"WASS1")</f>
        <v>2</v>
      </c>
      <c r="I24">
        <f>COUNTIF(I5:I21,"WASS1")</f>
        <v>2</v>
      </c>
      <c r="J24">
        <f>COUNTIF(J5:J21,"ASS1")</f>
        <v>3</v>
      </c>
      <c r="K24">
        <f t="shared" ref="K24:N24" si="8">COUNTIF(K5:K21,"ASS1")</f>
        <v>3</v>
      </c>
      <c r="L24">
        <f t="shared" si="8"/>
        <v>3</v>
      </c>
      <c r="M24">
        <f t="shared" si="8"/>
        <v>3</v>
      </c>
      <c r="N24">
        <f t="shared" si="8"/>
        <v>3</v>
      </c>
      <c r="O24">
        <f>COUNTIF(O5:O21,"WASS1")</f>
        <v>2</v>
      </c>
      <c r="P24">
        <f>COUNTIF(P5:P21,"WASS1")</f>
        <v>2</v>
      </c>
      <c r="Q24">
        <f>COUNTIF(Q5:Q21,"ASS1")</f>
        <v>3</v>
      </c>
      <c r="R24">
        <f t="shared" ref="R24:U24" si="9">COUNTIF(R5:R21,"ASS1")</f>
        <v>3</v>
      </c>
      <c r="S24">
        <f t="shared" si="9"/>
        <v>3</v>
      </c>
      <c r="T24">
        <f t="shared" si="9"/>
        <v>3</v>
      </c>
      <c r="U24">
        <f t="shared" si="9"/>
        <v>3</v>
      </c>
      <c r="V24">
        <f>COUNTIF(V5:V21,"WASS1")</f>
        <v>2</v>
      </c>
      <c r="W24">
        <f>COUNTIF(W5:W21,"WASS1")</f>
        <v>2</v>
      </c>
      <c r="X24">
        <f>COUNTIF(X5:X21,"ASS1")</f>
        <v>3</v>
      </c>
      <c r="Y24">
        <f t="shared" ref="Y24:AB24" si="10">COUNTIF(Y5:Y21,"ASS1")</f>
        <v>3</v>
      </c>
      <c r="Z24">
        <f t="shared" si="10"/>
        <v>3</v>
      </c>
      <c r="AA24">
        <f t="shared" si="10"/>
        <v>3</v>
      </c>
      <c r="AB24">
        <f t="shared" si="10"/>
        <v>3</v>
      </c>
      <c r="AC24">
        <f>COUNTIF(AC5:AC21,"WASS1")</f>
        <v>2</v>
      </c>
      <c r="AD24">
        <f>COUNTIF(AD5:AD21,"WASS1")</f>
        <v>2</v>
      </c>
      <c r="AE24">
        <f>COUNTIF(AE5:AE21,"ASS1")</f>
        <v>3</v>
      </c>
      <c r="AF24">
        <f t="shared" ref="AF24:AH24" si="11">COUNTIF(AF5:AF21,"ASS1")</f>
        <v>3</v>
      </c>
      <c r="AG24">
        <f t="shared" si="11"/>
        <v>3</v>
      </c>
      <c r="AH24">
        <f t="shared" si="11"/>
        <v>3</v>
      </c>
    </row>
    <row r="25" spans="1:34" x14ac:dyDescent="0.35">
      <c r="B25" s="157" t="s">
        <v>203</v>
      </c>
      <c r="C25">
        <f>COUNTIF(C5:C21,"NST7")</f>
        <v>3</v>
      </c>
      <c r="D25">
        <f t="shared" ref="D25:G25" si="12">COUNTIF(D5:D21,"NST7")</f>
        <v>3</v>
      </c>
      <c r="E25">
        <f t="shared" si="12"/>
        <v>0</v>
      </c>
      <c r="F25">
        <f t="shared" si="12"/>
        <v>3</v>
      </c>
      <c r="G25">
        <f t="shared" si="12"/>
        <v>3</v>
      </c>
      <c r="H25">
        <f>COUNTIF(H5:H21,"WNST7")</f>
        <v>2</v>
      </c>
      <c r="I25">
        <f>COUNTIF(I5:I21,"WNST7")</f>
        <v>3</v>
      </c>
      <c r="J25">
        <f>COUNTIF(J5:J21,"NST7")</f>
        <v>3</v>
      </c>
      <c r="K25">
        <f t="shared" ref="K25:N25" si="13">COUNTIF(K5:K21,"NST7")</f>
        <v>3</v>
      </c>
      <c r="L25">
        <f t="shared" si="13"/>
        <v>3</v>
      </c>
      <c r="M25">
        <f t="shared" si="13"/>
        <v>3</v>
      </c>
      <c r="N25">
        <f t="shared" si="13"/>
        <v>3</v>
      </c>
      <c r="O25">
        <f>COUNTIF(O5:O21,"WNST7")</f>
        <v>3</v>
      </c>
      <c r="P25">
        <f>COUNTIF(P5:P21,"WNST7")</f>
        <v>3</v>
      </c>
      <c r="Q25">
        <f>COUNTIF(Q5:Q21,"NST7")</f>
        <v>3</v>
      </c>
      <c r="R25">
        <f t="shared" ref="R25:U25" si="14">COUNTIF(R5:R21,"NST7")</f>
        <v>3</v>
      </c>
      <c r="S25">
        <f t="shared" si="14"/>
        <v>3</v>
      </c>
      <c r="T25">
        <f t="shared" si="14"/>
        <v>3</v>
      </c>
      <c r="U25">
        <f t="shared" si="14"/>
        <v>3</v>
      </c>
      <c r="V25">
        <f>COUNTIF(V5:V21,"WNST7")</f>
        <v>3</v>
      </c>
      <c r="W25">
        <f>COUNTIF(W5:W21,"WNST7")</f>
        <v>3</v>
      </c>
      <c r="X25">
        <f>COUNTIF(X5:X21,"NST7")</f>
        <v>3</v>
      </c>
      <c r="Y25">
        <f t="shared" ref="Y25:AB25" si="15">COUNTIF(Y5:Y21,"NST7")</f>
        <v>4</v>
      </c>
      <c r="Z25">
        <f t="shared" si="15"/>
        <v>3</v>
      </c>
      <c r="AA25">
        <f t="shared" si="15"/>
        <v>3</v>
      </c>
      <c r="AB25">
        <f t="shared" si="15"/>
        <v>3</v>
      </c>
      <c r="AC25">
        <f>COUNTIF(AC5:AC21,"WNST7")</f>
        <v>3</v>
      </c>
      <c r="AD25">
        <f>COUNTIF(AD5:AD21,"WNST7")</f>
        <v>3</v>
      </c>
      <c r="AE25">
        <f>COUNTIF(AE5:AE21,"NST7")</f>
        <v>3</v>
      </c>
      <c r="AF25">
        <f t="shared" ref="AF25:AH25" si="16">COUNTIF(AF5:AF21,"NST7")</f>
        <v>3</v>
      </c>
      <c r="AG25">
        <f t="shared" si="16"/>
        <v>3</v>
      </c>
      <c r="AH25">
        <f t="shared" si="16"/>
        <v>3</v>
      </c>
    </row>
    <row r="26" spans="1:34" x14ac:dyDescent="0.35">
      <c r="B26" s="157" t="s">
        <v>204</v>
      </c>
      <c r="C26">
        <f>COUNTIF(C5:C21,"GS")</f>
        <v>0</v>
      </c>
      <c r="D26">
        <f t="shared" ref="D26:G26" si="17">COUNTIF(D5:D21,"GS")</f>
        <v>2</v>
      </c>
      <c r="E26">
        <f t="shared" si="17"/>
        <v>0</v>
      </c>
      <c r="F26">
        <f t="shared" si="17"/>
        <v>2</v>
      </c>
      <c r="G26">
        <f t="shared" si="17"/>
        <v>0</v>
      </c>
      <c r="H26">
        <f>COUNTIF(H4:H21,"WGS")</f>
        <v>1</v>
      </c>
      <c r="I26">
        <f>COUNTIF(I4:I21,"WGS")</f>
        <v>0</v>
      </c>
      <c r="J26">
        <f>COUNTIF(J5:J21,"GS")</f>
        <v>0</v>
      </c>
      <c r="K26">
        <f t="shared" ref="K26:N26" si="18">COUNTIF(K5:K21,"GS")</f>
        <v>1</v>
      </c>
      <c r="L26">
        <f t="shared" si="18"/>
        <v>2</v>
      </c>
      <c r="M26">
        <f t="shared" si="18"/>
        <v>2</v>
      </c>
      <c r="N26">
        <f t="shared" si="18"/>
        <v>0</v>
      </c>
      <c r="O26">
        <f>COUNTIF(O4:O21,"WGS")</f>
        <v>1</v>
      </c>
      <c r="P26">
        <f>COUNTIF(P4:P21,"WGS")</f>
        <v>0</v>
      </c>
      <c r="Q26">
        <f>COUNTIF(Q5:Q21,"GS")</f>
        <v>0</v>
      </c>
      <c r="R26">
        <f t="shared" ref="R26:U26" si="19">COUNTIF(R5:R21,"GS")</f>
        <v>2</v>
      </c>
      <c r="S26">
        <f t="shared" si="19"/>
        <v>3</v>
      </c>
      <c r="T26">
        <f t="shared" si="19"/>
        <v>3</v>
      </c>
      <c r="U26">
        <f t="shared" si="19"/>
        <v>1</v>
      </c>
      <c r="V26">
        <f>COUNTIF(V4:V21,"WGS")</f>
        <v>1</v>
      </c>
      <c r="W26">
        <f>COUNTIF(W4:W21,"WGS")</f>
        <v>0</v>
      </c>
      <c r="X26">
        <f>COUNTIF(X5:X21,"GS")</f>
        <v>1</v>
      </c>
      <c r="Y26">
        <f t="shared" ref="Y26:AB26" si="20">COUNTIF(Y5:Y21,"GS")</f>
        <v>2</v>
      </c>
      <c r="Z26">
        <f t="shared" si="20"/>
        <v>2</v>
      </c>
      <c r="AA26">
        <f t="shared" si="20"/>
        <v>3</v>
      </c>
      <c r="AB26">
        <f t="shared" si="20"/>
        <v>0</v>
      </c>
      <c r="AC26">
        <f>COUNTIF(AC4:AC21,"WGS")</f>
        <v>0</v>
      </c>
      <c r="AD26">
        <f>COUNTIF(AD4:AD21,"WGS")</f>
        <v>0</v>
      </c>
      <c r="AE26">
        <f>COUNTIF(AE5:AE21,"GS")</f>
        <v>0</v>
      </c>
      <c r="AF26">
        <f t="shared" ref="AF26:AH26" si="21">COUNTIF(AF5:AF21,"GS")</f>
        <v>2</v>
      </c>
      <c r="AG26">
        <f t="shared" si="21"/>
        <v>2</v>
      </c>
      <c r="AH26">
        <f t="shared" si="21"/>
        <v>3</v>
      </c>
    </row>
    <row r="27" spans="1:34" x14ac:dyDescent="0.35">
      <c r="B27" s="157" t="s">
        <v>205</v>
      </c>
      <c r="C27">
        <f>COUNTIF(C5:C21,"C")</f>
        <v>4</v>
      </c>
      <c r="D27">
        <f t="shared" ref="D27:G27" si="22">COUNTIF(D5:D21,"C")</f>
        <v>2</v>
      </c>
      <c r="E27">
        <f t="shared" si="22"/>
        <v>0</v>
      </c>
      <c r="F27">
        <f t="shared" si="22"/>
        <v>1</v>
      </c>
      <c r="G27">
        <f t="shared" si="22"/>
        <v>5</v>
      </c>
      <c r="H27">
        <f>COUNTIF(H5:H21,"WO")</f>
        <v>7</v>
      </c>
      <c r="I27">
        <f>COUNTIF(I5:I21,"WO")</f>
        <v>8</v>
      </c>
      <c r="J27">
        <f>COUNTIF(J5:J21,"C")</f>
        <v>5</v>
      </c>
      <c r="K27">
        <f t="shared" ref="K27:N27" si="23">COUNTIF(K5:K21,"C")</f>
        <v>3</v>
      </c>
      <c r="L27">
        <f t="shared" si="23"/>
        <v>2</v>
      </c>
      <c r="M27">
        <f t="shared" si="23"/>
        <v>2</v>
      </c>
      <c r="N27">
        <f t="shared" si="23"/>
        <v>3</v>
      </c>
      <c r="O27">
        <f>COUNTIF(O5:O21,"WO")</f>
        <v>7</v>
      </c>
      <c r="P27">
        <f>COUNTIF(P5:P21,"WO")</f>
        <v>8</v>
      </c>
      <c r="Q27">
        <f>COUNTIF(Q5:Q21,"C")</f>
        <v>6</v>
      </c>
      <c r="R27">
        <f t="shared" ref="R27:U27" si="24">COUNTIF(R5:R21,"C")</f>
        <v>3</v>
      </c>
      <c r="S27">
        <f t="shared" si="24"/>
        <v>2</v>
      </c>
      <c r="T27">
        <f t="shared" si="24"/>
        <v>2</v>
      </c>
      <c r="U27">
        <f t="shared" si="24"/>
        <v>3</v>
      </c>
      <c r="V27">
        <f>COUNTIF(V5:V21,"WO")</f>
        <v>6</v>
      </c>
      <c r="W27">
        <f>COUNTIF(W5:W21,"WO")</f>
        <v>8</v>
      </c>
      <c r="X27">
        <f>COUNTIF(X5:X21,"C")</f>
        <v>5</v>
      </c>
      <c r="Y27">
        <f t="shared" ref="Y27:AB27" si="25">COUNTIF(Y5:Y21,"C")</f>
        <v>3</v>
      </c>
      <c r="Z27">
        <f t="shared" si="25"/>
        <v>3</v>
      </c>
      <c r="AA27">
        <f t="shared" si="25"/>
        <v>2</v>
      </c>
      <c r="AB27">
        <f t="shared" si="25"/>
        <v>5</v>
      </c>
      <c r="AC27">
        <f>COUNTIF(AC5:AC21,"WO")</f>
        <v>7</v>
      </c>
      <c r="AD27">
        <f>COUNTIF(AD5:AD21,"WO")</f>
        <v>7</v>
      </c>
      <c r="AE27">
        <f>COUNTIF(AE5:AE21,"C")</f>
        <v>5</v>
      </c>
      <c r="AF27">
        <f t="shared" ref="AF27:AH27" si="26">COUNTIF(AF5:AF21,"C")</f>
        <v>3</v>
      </c>
      <c r="AG27">
        <f t="shared" si="26"/>
        <v>2</v>
      </c>
      <c r="AH27">
        <f t="shared" si="26"/>
        <v>1</v>
      </c>
    </row>
    <row r="28" spans="1:34" x14ac:dyDescent="0.35">
      <c r="B28" s="157" t="s">
        <v>206</v>
      </c>
      <c r="C28">
        <f t="shared" ref="C28:G28" si="27">COUNTIF(C5:C21,"PL")</f>
        <v>1</v>
      </c>
      <c r="D28">
        <f t="shared" si="27"/>
        <v>2</v>
      </c>
      <c r="E28">
        <f t="shared" si="27"/>
        <v>1</v>
      </c>
      <c r="F28">
        <f t="shared" si="27"/>
        <v>3</v>
      </c>
      <c r="G28">
        <f t="shared" si="27"/>
        <v>1</v>
      </c>
      <c r="H28">
        <f>COUNTIF(H5:H22,"PL")</f>
        <v>1</v>
      </c>
      <c r="I28">
        <f>COUNTIF(I5:I22,"PL")</f>
        <v>0</v>
      </c>
      <c r="J28">
        <f t="shared" ref="J28:N28" si="28">COUNTIF(J5:J21,"PL")</f>
        <v>1</v>
      </c>
      <c r="K28">
        <f t="shared" si="28"/>
        <v>2</v>
      </c>
      <c r="L28">
        <f t="shared" si="28"/>
        <v>2</v>
      </c>
      <c r="M28">
        <f t="shared" si="28"/>
        <v>2</v>
      </c>
      <c r="N28">
        <f t="shared" si="28"/>
        <v>2</v>
      </c>
      <c r="O28">
        <f>COUNTIF(O5:O22,"PL")</f>
        <v>0</v>
      </c>
      <c r="P28">
        <f>COUNTIF(P5:P22,"PL")</f>
        <v>0</v>
      </c>
      <c r="Q28">
        <f t="shared" ref="Q28:U28" si="29">COUNTIF(Q5:Q21,"PL")</f>
        <v>0</v>
      </c>
      <c r="R28">
        <f t="shared" si="29"/>
        <v>1</v>
      </c>
      <c r="S28">
        <f t="shared" si="29"/>
        <v>1</v>
      </c>
      <c r="T28">
        <f t="shared" si="29"/>
        <v>1</v>
      </c>
      <c r="U28">
        <f t="shared" si="29"/>
        <v>2</v>
      </c>
      <c r="V28">
        <f>COUNTIF(V5:V22,"PL")</f>
        <v>1</v>
      </c>
      <c r="W28">
        <f>COUNTIF(W5:W22,"PL")</f>
        <v>0</v>
      </c>
      <c r="X28">
        <f t="shared" ref="X28:AB28" si="30">COUNTIF(X5:X21,"PL")</f>
        <v>0</v>
      </c>
      <c r="Y28">
        <f t="shared" si="30"/>
        <v>0</v>
      </c>
      <c r="Z28">
        <f t="shared" si="30"/>
        <v>1</v>
      </c>
      <c r="AA28">
        <f t="shared" si="30"/>
        <v>1</v>
      </c>
      <c r="AB28">
        <f t="shared" si="30"/>
        <v>1</v>
      </c>
      <c r="AC28">
        <f>COUNTIF(AC5:AC22,"PL")</f>
        <v>1</v>
      </c>
      <c r="AD28">
        <f>COUNTIF(AD5:AD22,"PL")</f>
        <v>1</v>
      </c>
      <c r="AE28">
        <f t="shared" ref="AE28:AH28" si="31">COUNTIF(AE5:AE21,"PL")</f>
        <v>1</v>
      </c>
      <c r="AF28">
        <f t="shared" si="31"/>
        <v>1</v>
      </c>
      <c r="AG28">
        <f t="shared" si="31"/>
        <v>1</v>
      </c>
      <c r="AH28">
        <f t="shared" si="31"/>
        <v>1</v>
      </c>
    </row>
    <row r="29" spans="1:34" x14ac:dyDescent="0.35">
      <c r="B29" s="157" t="s">
        <v>33</v>
      </c>
      <c r="C29">
        <f>COUNTIF(C5:C21,"UPL")</f>
        <v>0</v>
      </c>
      <c r="D29">
        <f t="shared" ref="D29:G29" si="32">COUNTIF(D5:D21,"UPL")</f>
        <v>0</v>
      </c>
      <c r="E29">
        <f t="shared" si="32"/>
        <v>0</v>
      </c>
      <c r="F29">
        <f t="shared" si="32"/>
        <v>0</v>
      </c>
      <c r="G29">
        <f t="shared" si="32"/>
        <v>0</v>
      </c>
      <c r="H29">
        <f>COUNTIF(H5:H21,"UPL")</f>
        <v>0</v>
      </c>
      <c r="I29">
        <f>COUNTIF(I5:I21,"UPL")</f>
        <v>0</v>
      </c>
      <c r="J29">
        <f>COUNTIF(J5:J21,"UPL")</f>
        <v>0</v>
      </c>
      <c r="K29">
        <f t="shared" ref="K29:N29" si="33">COUNTIF(K5:K21,"UPL")</f>
        <v>0</v>
      </c>
      <c r="L29">
        <f t="shared" si="33"/>
        <v>0</v>
      </c>
      <c r="M29">
        <f t="shared" si="33"/>
        <v>0</v>
      </c>
      <c r="N29">
        <f t="shared" si="33"/>
        <v>0</v>
      </c>
      <c r="O29">
        <f>COUNTIF(O5:O21,"UPL")</f>
        <v>0</v>
      </c>
      <c r="P29">
        <f>COUNTIF(P5:P21,"UPL")</f>
        <v>0</v>
      </c>
      <c r="Q29">
        <f>COUNTIF(Q5:Q21,"UPL")</f>
        <v>0</v>
      </c>
      <c r="R29">
        <f t="shared" ref="R29:U29" si="34">COUNTIF(R5:R21,"UPL")</f>
        <v>0</v>
      </c>
      <c r="S29">
        <f t="shared" si="34"/>
        <v>0</v>
      </c>
      <c r="T29">
        <f t="shared" si="34"/>
        <v>0</v>
      </c>
      <c r="U29">
        <f t="shared" si="34"/>
        <v>0</v>
      </c>
      <c r="V29">
        <f>COUNTIF(V5:V21,"UPL")</f>
        <v>0</v>
      </c>
      <c r="W29">
        <f>COUNTIF(W5:W21,"UPL")</f>
        <v>0</v>
      </c>
      <c r="X29">
        <f>COUNTIF(X5:X21,"UPL")</f>
        <v>0</v>
      </c>
      <c r="Y29">
        <f t="shared" ref="Y29:AB29" si="35">COUNTIF(Y5:Y21,"UPL")</f>
        <v>0</v>
      </c>
      <c r="Z29">
        <f t="shared" si="35"/>
        <v>0</v>
      </c>
      <c r="AA29">
        <f t="shared" si="35"/>
        <v>0</v>
      </c>
      <c r="AB29">
        <f t="shared" si="35"/>
        <v>0</v>
      </c>
      <c r="AC29">
        <f>COUNTIF(AC5:AC21,"UPL")</f>
        <v>0</v>
      </c>
      <c r="AD29">
        <f>COUNTIF(AD5:AD21,"UPL")</f>
        <v>0</v>
      </c>
      <c r="AE29">
        <f>COUNTIF(AE5:AE21,"UPL")</f>
        <v>0</v>
      </c>
      <c r="AF29">
        <f t="shared" ref="AF29:AH29" si="36">COUNTIF(AF5:AF21,"UPL")</f>
        <v>0</v>
      </c>
      <c r="AG29">
        <f t="shared" si="36"/>
        <v>0</v>
      </c>
      <c r="AH29">
        <f t="shared" si="36"/>
        <v>0</v>
      </c>
    </row>
    <row r="30" spans="1:34" x14ac:dyDescent="0.35">
      <c r="B30" s="157" t="s">
        <v>207</v>
      </c>
      <c r="C30" s="158">
        <f t="shared" ref="C30:AH30" si="37">SUM(C23:C29)</f>
        <v>15</v>
      </c>
      <c r="D30" s="158">
        <f t="shared" si="37"/>
        <v>15</v>
      </c>
      <c r="E30" s="158">
        <f t="shared" si="37"/>
        <v>1</v>
      </c>
      <c r="F30" s="158">
        <f t="shared" si="37"/>
        <v>15</v>
      </c>
      <c r="G30" s="158">
        <f t="shared" si="37"/>
        <v>15</v>
      </c>
      <c r="H30" s="158">
        <f t="shared" si="37"/>
        <v>15</v>
      </c>
      <c r="I30" s="158">
        <f t="shared" si="37"/>
        <v>15</v>
      </c>
      <c r="J30" s="158">
        <f t="shared" si="37"/>
        <v>15</v>
      </c>
      <c r="K30" s="158">
        <f t="shared" si="37"/>
        <v>15</v>
      </c>
      <c r="L30" s="158">
        <f t="shared" si="37"/>
        <v>15</v>
      </c>
      <c r="M30" s="158">
        <f t="shared" si="37"/>
        <v>15</v>
      </c>
      <c r="N30" s="158">
        <f t="shared" si="37"/>
        <v>14</v>
      </c>
      <c r="O30" s="158">
        <f t="shared" si="37"/>
        <v>15</v>
      </c>
      <c r="P30" s="158">
        <f t="shared" si="37"/>
        <v>15</v>
      </c>
      <c r="Q30" s="158">
        <f t="shared" si="37"/>
        <v>15</v>
      </c>
      <c r="R30" s="158">
        <f t="shared" si="37"/>
        <v>15</v>
      </c>
      <c r="S30" s="158">
        <f t="shared" si="37"/>
        <v>15</v>
      </c>
      <c r="T30" s="158">
        <f t="shared" si="37"/>
        <v>15</v>
      </c>
      <c r="U30" s="158">
        <f t="shared" si="37"/>
        <v>15</v>
      </c>
      <c r="V30" s="158">
        <f t="shared" si="37"/>
        <v>15</v>
      </c>
      <c r="W30" s="158">
        <f t="shared" si="37"/>
        <v>15</v>
      </c>
      <c r="X30" s="158">
        <f t="shared" si="37"/>
        <v>15</v>
      </c>
      <c r="Y30" s="158">
        <f t="shared" si="37"/>
        <v>15</v>
      </c>
      <c r="Z30" s="158">
        <f t="shared" si="37"/>
        <v>15</v>
      </c>
      <c r="AA30" s="158">
        <f t="shared" si="37"/>
        <v>15</v>
      </c>
      <c r="AB30" s="158">
        <f t="shared" si="37"/>
        <v>15</v>
      </c>
      <c r="AC30" s="158">
        <f t="shared" si="37"/>
        <v>15</v>
      </c>
      <c r="AD30" s="158">
        <f t="shared" si="37"/>
        <v>15</v>
      </c>
      <c r="AE30" s="158">
        <f t="shared" si="37"/>
        <v>15</v>
      </c>
      <c r="AF30" s="158">
        <f t="shared" si="37"/>
        <v>15</v>
      </c>
      <c r="AG30" s="158">
        <f t="shared" si="37"/>
        <v>15</v>
      </c>
      <c r="AH30" s="158">
        <f t="shared" si="37"/>
        <v>15</v>
      </c>
    </row>
    <row r="32" spans="1:34" x14ac:dyDescent="0.35">
      <c r="B32" t="s">
        <v>212</v>
      </c>
    </row>
    <row r="33" spans="2:4" ht="15" thickBot="1" x14ac:dyDescent="0.4"/>
    <row r="34" spans="2:4" x14ac:dyDescent="0.35">
      <c r="B34" t="s">
        <v>213</v>
      </c>
      <c r="D34" s="132"/>
    </row>
    <row r="35" spans="2:4" ht="15" thickBot="1" x14ac:dyDescent="0.4">
      <c r="B35" t="s">
        <v>214</v>
      </c>
      <c r="D35" s="149"/>
    </row>
    <row r="36" spans="2:4" ht="15" thickBot="1" x14ac:dyDescent="0.4">
      <c r="B36" t="s">
        <v>215</v>
      </c>
      <c r="D36" s="153"/>
    </row>
    <row r="37" spans="2:4" ht="15" thickBot="1" x14ac:dyDescent="0.4">
      <c r="B37" t="s">
        <v>24</v>
      </c>
      <c r="D37" s="175"/>
    </row>
    <row r="38" spans="2:4" x14ac:dyDescent="0.35">
      <c r="B38" t="s">
        <v>216</v>
      </c>
      <c r="D38" s="176"/>
    </row>
    <row r="39" spans="2:4" x14ac:dyDescent="0.35">
      <c r="B39" t="s">
        <v>32</v>
      </c>
      <c r="D39" s="151"/>
    </row>
    <row r="40" spans="2:4" x14ac:dyDescent="0.35">
      <c r="B40" t="s">
        <v>33</v>
      </c>
      <c r="D40" s="177"/>
    </row>
    <row r="41" spans="2:4" ht="15" thickBot="1" x14ac:dyDescent="0.4">
      <c r="B41" t="s">
        <v>217</v>
      </c>
      <c r="D41" s="178"/>
    </row>
  </sheetData>
  <mergeCells count="3">
    <mergeCell ref="A4:A9"/>
    <mergeCell ref="A11:A15"/>
    <mergeCell ref="A17:A21"/>
  </mergeCells>
  <conditionalFormatting sqref="H23:I26">
    <cfRule type="cellIs" dxfId="46" priority="9" operator="lessThan">
      <formula>2</formula>
    </cfRule>
  </conditionalFormatting>
  <conditionalFormatting sqref="C23:G26">
    <cfRule type="cellIs" dxfId="45" priority="8" operator="lessThan">
      <formula>3</formula>
    </cfRule>
  </conditionalFormatting>
  <conditionalFormatting sqref="O23:P26">
    <cfRule type="cellIs" dxfId="44" priority="7" operator="lessThan">
      <formula>2</formula>
    </cfRule>
  </conditionalFormatting>
  <conditionalFormatting sqref="J23:N26">
    <cfRule type="cellIs" dxfId="43" priority="6" operator="lessThan">
      <formula>3</formula>
    </cfRule>
  </conditionalFormatting>
  <conditionalFormatting sqref="V23:W26">
    <cfRule type="cellIs" dxfId="42" priority="5" operator="lessThan">
      <formula>2</formula>
    </cfRule>
  </conditionalFormatting>
  <conditionalFormatting sqref="Q23:U26">
    <cfRule type="cellIs" dxfId="41" priority="4" operator="lessThan">
      <formula>3</formula>
    </cfRule>
  </conditionalFormatting>
  <conditionalFormatting sqref="AC23:AD26">
    <cfRule type="cellIs" dxfId="40" priority="3" operator="lessThan">
      <formula>2</formula>
    </cfRule>
  </conditionalFormatting>
  <conditionalFormatting sqref="X23:AB26">
    <cfRule type="cellIs" dxfId="39" priority="2" operator="lessThan">
      <formula>3</formula>
    </cfRule>
  </conditionalFormatting>
  <conditionalFormatting sqref="AE23:AH26">
    <cfRule type="cellIs" dxfId="38" priority="1" operator="lessThan">
      <formula>3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AK41"/>
  <sheetViews>
    <sheetView topLeftCell="B2" zoomScale="71" zoomScaleNormal="71" workbookViewId="0">
      <pane xSplit="1" topLeftCell="Q1" activePane="topRight" state="frozen"/>
      <selection activeCell="B1" sqref="B1"/>
      <selection pane="topRight" activeCell="AF17" sqref="AF17"/>
    </sheetView>
  </sheetViews>
  <sheetFormatPr defaultRowHeight="14.5" x14ac:dyDescent="0.35"/>
  <cols>
    <col min="1" max="1" width="0" hidden="1" customWidth="1"/>
    <col min="2" max="2" width="21.26953125" bestFit="1" customWidth="1"/>
    <col min="3" max="5" width="8.7265625" hidden="1" customWidth="1"/>
    <col min="6" max="35" width="8.7265625" customWidth="1"/>
    <col min="36" max="37" width="8.7265625" hidden="1" customWidth="1"/>
  </cols>
  <sheetData>
    <row r="2" spans="1:37" x14ac:dyDescent="0.35">
      <c r="B2" s="30"/>
      <c r="C2" s="2" t="str">
        <f t="shared" ref="C2:AK2" si="0">TEXT(C3,"ddd")</f>
        <v>Mon</v>
      </c>
      <c r="D2" s="2" t="str">
        <f t="shared" si="0"/>
        <v>Tue</v>
      </c>
      <c r="E2" s="3" t="str">
        <f t="shared" si="0"/>
        <v>Wed</v>
      </c>
      <c r="F2" s="2" t="str">
        <f t="shared" si="0"/>
        <v>Thu</v>
      </c>
      <c r="G2" s="2" t="str">
        <f t="shared" si="0"/>
        <v>Fri</v>
      </c>
      <c r="H2" s="2" t="str">
        <f t="shared" si="0"/>
        <v>Sat</v>
      </c>
      <c r="I2" s="2" t="str">
        <f t="shared" si="0"/>
        <v>Sun</v>
      </c>
      <c r="J2" s="2" t="str">
        <f t="shared" si="0"/>
        <v>Mon</v>
      </c>
      <c r="K2" s="2" t="str">
        <f t="shared" si="0"/>
        <v>Tue</v>
      </c>
      <c r="L2" s="2" t="str">
        <f t="shared" si="0"/>
        <v>Wed</v>
      </c>
      <c r="M2" s="2" t="str">
        <f t="shared" si="0"/>
        <v>Thu</v>
      </c>
      <c r="N2" s="2" t="str">
        <f t="shared" si="0"/>
        <v>Fri</v>
      </c>
      <c r="O2" s="2" t="str">
        <f t="shared" si="0"/>
        <v>Sat</v>
      </c>
      <c r="P2" s="2" t="str">
        <f t="shared" si="0"/>
        <v>Sun</v>
      </c>
      <c r="Q2" s="2" t="str">
        <f t="shared" si="0"/>
        <v>Mon</v>
      </c>
      <c r="R2" s="2" t="str">
        <f t="shared" si="0"/>
        <v>Tue</v>
      </c>
      <c r="S2" s="2" t="str">
        <f t="shared" si="0"/>
        <v>Wed</v>
      </c>
      <c r="T2" s="2" t="str">
        <f t="shared" si="0"/>
        <v>Thu</v>
      </c>
      <c r="U2" s="2" t="str">
        <f t="shared" si="0"/>
        <v>Fri</v>
      </c>
      <c r="V2" s="2" t="str">
        <f t="shared" si="0"/>
        <v>Sat</v>
      </c>
      <c r="W2" s="2" t="str">
        <f t="shared" si="0"/>
        <v>Sun</v>
      </c>
      <c r="X2" s="2" t="str">
        <f t="shared" si="0"/>
        <v>Mon</v>
      </c>
      <c r="Y2" s="2" t="str">
        <f t="shared" si="0"/>
        <v>Tue</v>
      </c>
      <c r="Z2" s="2" t="str">
        <f t="shared" si="0"/>
        <v>Wed</v>
      </c>
      <c r="AA2" s="2" t="str">
        <f t="shared" si="0"/>
        <v>Thu</v>
      </c>
      <c r="AB2" s="2" t="str">
        <f t="shared" si="0"/>
        <v>Fri</v>
      </c>
      <c r="AC2" s="2" t="str">
        <f t="shared" si="0"/>
        <v>Sat</v>
      </c>
      <c r="AD2" s="2" t="str">
        <f t="shared" si="0"/>
        <v>Sun</v>
      </c>
      <c r="AE2" s="2" t="str">
        <f t="shared" si="0"/>
        <v>Mon</v>
      </c>
      <c r="AF2" s="2" t="str">
        <f t="shared" si="0"/>
        <v>Tue</v>
      </c>
      <c r="AG2" s="2" t="str">
        <f t="shared" si="0"/>
        <v>Wed</v>
      </c>
      <c r="AH2" s="2" t="str">
        <f t="shared" si="0"/>
        <v>Thu</v>
      </c>
      <c r="AI2" s="2" t="str">
        <f t="shared" si="0"/>
        <v>Fri</v>
      </c>
      <c r="AJ2" s="2" t="str">
        <f t="shared" si="0"/>
        <v>Sat</v>
      </c>
      <c r="AK2" s="2" t="str">
        <f t="shared" si="0"/>
        <v>Sun</v>
      </c>
    </row>
    <row r="3" spans="1:37" x14ac:dyDescent="0.35">
      <c r="A3" s="165" t="s">
        <v>159</v>
      </c>
      <c r="B3" s="124" t="s">
        <v>0</v>
      </c>
      <c r="C3" s="31">
        <v>44802</v>
      </c>
      <c r="D3" s="31">
        <v>44803</v>
      </c>
      <c r="E3" s="50">
        <v>44804</v>
      </c>
      <c r="F3" s="31">
        <v>44805</v>
      </c>
      <c r="G3" s="31">
        <v>44806</v>
      </c>
      <c r="H3" s="31">
        <v>44807</v>
      </c>
      <c r="I3" s="31">
        <v>44808</v>
      </c>
      <c r="J3" s="31">
        <v>44809</v>
      </c>
      <c r="K3" s="31">
        <v>44810</v>
      </c>
      <c r="L3" s="31">
        <v>44811</v>
      </c>
      <c r="M3" s="31">
        <v>44812</v>
      </c>
      <c r="N3" s="31">
        <v>44813</v>
      </c>
      <c r="O3" s="31">
        <v>44814</v>
      </c>
      <c r="P3" s="31">
        <v>44815</v>
      </c>
      <c r="Q3" s="31">
        <v>44816</v>
      </c>
      <c r="R3" s="31">
        <v>44817</v>
      </c>
      <c r="S3" s="31">
        <v>44818</v>
      </c>
      <c r="T3" s="31">
        <v>44819</v>
      </c>
      <c r="U3" s="31">
        <v>44820</v>
      </c>
      <c r="V3" s="31">
        <v>44821</v>
      </c>
      <c r="W3" s="31">
        <v>44822</v>
      </c>
      <c r="X3" s="31">
        <v>44823</v>
      </c>
      <c r="Y3" s="31">
        <v>44824</v>
      </c>
      <c r="Z3" s="31">
        <v>44825</v>
      </c>
      <c r="AA3" s="31">
        <v>44826</v>
      </c>
      <c r="AB3" s="31">
        <v>44827</v>
      </c>
      <c r="AC3" s="31">
        <v>44828</v>
      </c>
      <c r="AD3" s="31">
        <v>44829</v>
      </c>
      <c r="AE3" s="31">
        <v>44830</v>
      </c>
      <c r="AF3" s="31">
        <v>44831</v>
      </c>
      <c r="AG3" s="31">
        <v>44832</v>
      </c>
      <c r="AH3" s="31">
        <v>44833</v>
      </c>
      <c r="AI3" s="31">
        <v>44834</v>
      </c>
      <c r="AJ3" s="31">
        <v>44835</v>
      </c>
      <c r="AK3" s="31">
        <v>44836</v>
      </c>
    </row>
    <row r="4" spans="1:37" ht="15" thickBot="1" x14ac:dyDescent="0.4">
      <c r="A4" s="228" t="s">
        <v>196</v>
      </c>
      <c r="B4" s="125"/>
      <c r="C4" s="126"/>
      <c r="D4" s="126"/>
      <c r="E4" s="179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</row>
    <row r="5" spans="1:37" ht="15" thickBot="1" x14ac:dyDescent="0.4">
      <c r="A5" s="228"/>
      <c r="B5" s="166" t="s">
        <v>14</v>
      </c>
      <c r="C5" s="129" t="s">
        <v>5</v>
      </c>
      <c r="D5" s="129" t="s">
        <v>5</v>
      </c>
      <c r="E5" s="144" t="s">
        <v>37</v>
      </c>
      <c r="F5" s="132" t="s">
        <v>6</v>
      </c>
      <c r="G5" s="132" t="s">
        <v>6</v>
      </c>
      <c r="H5" s="132" t="s">
        <v>3</v>
      </c>
      <c r="I5" s="128" t="s">
        <v>4</v>
      </c>
      <c r="J5" s="147" t="s">
        <v>41</v>
      </c>
      <c r="K5" s="147" t="s">
        <v>41</v>
      </c>
      <c r="L5" s="129" t="s">
        <v>5</v>
      </c>
      <c r="M5" s="129" t="s">
        <v>5</v>
      </c>
      <c r="N5" s="129" t="s">
        <v>5</v>
      </c>
      <c r="O5" s="19" t="s">
        <v>42</v>
      </c>
      <c r="P5" s="128" t="s">
        <v>4</v>
      </c>
      <c r="Q5" s="133" t="s">
        <v>2</v>
      </c>
      <c r="R5" s="147" t="s">
        <v>41</v>
      </c>
      <c r="S5" s="147" t="s">
        <v>41</v>
      </c>
      <c r="T5" s="147" t="s">
        <v>41</v>
      </c>
      <c r="U5" s="129" t="s">
        <v>5</v>
      </c>
      <c r="V5" s="129" t="s">
        <v>4</v>
      </c>
      <c r="W5" s="128" t="s">
        <v>4</v>
      </c>
      <c r="X5" s="133" t="s">
        <v>2</v>
      </c>
      <c r="Y5" s="147" t="s">
        <v>41</v>
      </c>
      <c r="Z5" s="147" t="s">
        <v>41</v>
      </c>
      <c r="AA5" s="147" t="s">
        <v>41</v>
      </c>
      <c r="AB5" s="174" t="s">
        <v>41</v>
      </c>
      <c r="AC5" s="130" t="s">
        <v>4</v>
      </c>
      <c r="AD5" s="19" t="s">
        <v>42</v>
      </c>
      <c r="AE5" s="174" t="s">
        <v>41</v>
      </c>
      <c r="AF5" s="174" t="s">
        <v>41</v>
      </c>
      <c r="AG5" s="174" t="s">
        <v>41</v>
      </c>
      <c r="AH5" s="174" t="s">
        <v>41</v>
      </c>
      <c r="AI5" s="174" t="s">
        <v>41</v>
      </c>
      <c r="AJ5" s="181" t="s">
        <v>4</v>
      </c>
      <c r="AK5" s="181" t="s">
        <v>4</v>
      </c>
    </row>
    <row r="6" spans="1:37" ht="15" thickBot="1" x14ac:dyDescent="0.4">
      <c r="A6" s="228"/>
      <c r="B6" s="167" t="s">
        <v>12</v>
      </c>
      <c r="C6" s="134" t="s">
        <v>6</v>
      </c>
      <c r="D6" s="134" t="s">
        <v>6</v>
      </c>
      <c r="E6" s="182" t="s">
        <v>3</v>
      </c>
      <c r="F6" s="132" t="s">
        <v>6</v>
      </c>
      <c r="G6" s="131" t="s">
        <v>2</v>
      </c>
      <c r="H6" s="130" t="s">
        <v>4</v>
      </c>
      <c r="I6" s="149" t="s">
        <v>42</v>
      </c>
      <c r="J6" s="149" t="s">
        <v>41</v>
      </c>
      <c r="K6" s="145" t="s">
        <v>2</v>
      </c>
      <c r="L6" s="149" t="s">
        <v>41</v>
      </c>
      <c r="M6" s="149" t="s">
        <v>41</v>
      </c>
      <c r="N6" s="149" t="s">
        <v>41</v>
      </c>
      <c r="O6" s="130" t="s">
        <v>4</v>
      </c>
      <c r="P6" s="149" t="s">
        <v>42</v>
      </c>
      <c r="Q6" s="149" t="s">
        <v>41</v>
      </c>
      <c r="R6" s="149" t="s">
        <v>41</v>
      </c>
      <c r="S6" s="131" t="s">
        <v>2</v>
      </c>
      <c r="T6" s="131" t="s">
        <v>2</v>
      </c>
      <c r="U6" s="149" t="s">
        <v>41</v>
      </c>
      <c r="V6" s="149" t="s">
        <v>42</v>
      </c>
      <c r="W6" s="149" t="s">
        <v>42</v>
      </c>
      <c r="X6" s="149" t="s">
        <v>41</v>
      </c>
      <c r="Y6" s="136" t="s">
        <v>5</v>
      </c>
      <c r="Z6" s="136" t="s">
        <v>5</v>
      </c>
      <c r="AA6" s="136" t="s">
        <v>5</v>
      </c>
      <c r="AB6" s="136" t="s">
        <v>5</v>
      </c>
      <c r="AC6" s="130" t="s">
        <v>4</v>
      </c>
      <c r="AD6" s="143" t="s">
        <v>4</v>
      </c>
      <c r="AE6" s="140" t="s">
        <v>5</v>
      </c>
      <c r="AF6" s="140" t="s">
        <v>5</v>
      </c>
      <c r="AG6" s="140" t="s">
        <v>5</v>
      </c>
      <c r="AH6" s="140" t="s">
        <v>5</v>
      </c>
      <c r="AI6" s="140" t="s">
        <v>5</v>
      </c>
      <c r="AJ6" s="19" t="s">
        <v>42</v>
      </c>
      <c r="AK6" s="183" t="s">
        <v>11</v>
      </c>
    </row>
    <row r="7" spans="1:37" ht="15" thickBot="1" x14ac:dyDescent="0.4">
      <c r="A7" s="228"/>
      <c r="B7" s="169" t="s">
        <v>86</v>
      </c>
      <c r="C7" s="141" t="s">
        <v>6</v>
      </c>
      <c r="D7" s="141" t="s">
        <v>6</v>
      </c>
      <c r="E7" s="182" t="s">
        <v>3</v>
      </c>
      <c r="F7" s="132" t="s">
        <v>3</v>
      </c>
      <c r="G7" s="137" t="s">
        <v>2</v>
      </c>
      <c r="H7" s="139" t="s">
        <v>4</v>
      </c>
      <c r="I7" s="150" t="s">
        <v>42</v>
      </c>
      <c r="J7" s="150" t="s">
        <v>41</v>
      </c>
      <c r="K7" s="150" t="s">
        <v>41</v>
      </c>
      <c r="L7" s="163" t="s">
        <v>41</v>
      </c>
      <c r="M7" s="163" t="s">
        <v>41</v>
      </c>
      <c r="N7" s="137" t="s">
        <v>2</v>
      </c>
      <c r="O7" s="139" t="s">
        <v>4</v>
      </c>
      <c r="P7" s="150" t="s">
        <v>42</v>
      </c>
      <c r="Q7" s="163" t="s">
        <v>41</v>
      </c>
      <c r="R7" s="163" t="s">
        <v>41</v>
      </c>
      <c r="S7" s="163" t="s">
        <v>41</v>
      </c>
      <c r="T7" s="163" t="s">
        <v>41</v>
      </c>
      <c r="U7" s="137" t="s">
        <v>2</v>
      </c>
      <c r="V7" s="139" t="s">
        <v>4</v>
      </c>
      <c r="W7" s="150" t="s">
        <v>42</v>
      </c>
      <c r="X7" s="150" t="s">
        <v>41</v>
      </c>
      <c r="Y7" s="150" t="s">
        <v>41</v>
      </c>
      <c r="Z7" s="150" t="s">
        <v>41</v>
      </c>
      <c r="AA7" s="150" t="s">
        <v>41</v>
      </c>
      <c r="AB7" s="137" t="s">
        <v>2</v>
      </c>
      <c r="AC7" s="139" t="s">
        <v>4</v>
      </c>
      <c r="AD7" s="19" t="s">
        <v>42</v>
      </c>
      <c r="AE7" s="19" t="s">
        <v>41</v>
      </c>
      <c r="AF7" s="140" t="s">
        <v>5</v>
      </c>
      <c r="AG7" s="140" t="s">
        <v>5</v>
      </c>
      <c r="AH7" s="140" t="s">
        <v>5</v>
      </c>
      <c r="AI7" s="19" t="s">
        <v>41</v>
      </c>
      <c r="AJ7" s="139" t="s">
        <v>4</v>
      </c>
      <c r="AK7" s="156" t="s">
        <v>11</v>
      </c>
    </row>
    <row r="8" spans="1:37" ht="15" thickBot="1" x14ac:dyDescent="0.4">
      <c r="A8" s="228"/>
      <c r="B8" s="170" t="s">
        <v>88</v>
      </c>
      <c r="C8" s="25" t="s">
        <v>6</v>
      </c>
      <c r="D8" s="25" t="s">
        <v>6</v>
      </c>
      <c r="E8" s="182" t="s">
        <v>3</v>
      </c>
      <c r="F8" s="145" t="s">
        <v>2</v>
      </c>
      <c r="G8" s="25" t="s">
        <v>6</v>
      </c>
      <c r="H8" s="25" t="s">
        <v>3</v>
      </c>
      <c r="I8" s="143" t="s">
        <v>4</v>
      </c>
      <c r="J8" s="145" t="s">
        <v>2</v>
      </c>
      <c r="K8" s="150" t="s">
        <v>41</v>
      </c>
      <c r="L8" s="19" t="s">
        <v>41</v>
      </c>
      <c r="M8" s="19" t="s">
        <v>41</v>
      </c>
      <c r="N8" s="19" t="s">
        <v>41</v>
      </c>
      <c r="O8" s="146" t="s">
        <v>30</v>
      </c>
      <c r="P8" s="143" t="s">
        <v>4</v>
      </c>
      <c r="Q8" s="145" t="s">
        <v>2</v>
      </c>
      <c r="R8" s="22" t="s">
        <v>16</v>
      </c>
      <c r="S8" s="19" t="s">
        <v>41</v>
      </c>
      <c r="T8" s="19" t="s">
        <v>41</v>
      </c>
      <c r="U8" s="19" t="s">
        <v>41</v>
      </c>
      <c r="V8" s="19" t="s">
        <v>42</v>
      </c>
      <c r="W8" s="143" t="s">
        <v>4</v>
      </c>
      <c r="X8" s="145" t="s">
        <v>2</v>
      </c>
      <c r="Y8" s="19" t="s">
        <v>41</v>
      </c>
      <c r="Z8" s="19" t="s">
        <v>41</v>
      </c>
      <c r="AA8" s="19" t="s">
        <v>41</v>
      </c>
      <c r="AB8" s="19" t="s">
        <v>41</v>
      </c>
      <c r="AC8" s="19" t="s">
        <v>42</v>
      </c>
      <c r="AD8" s="143" t="s">
        <v>4</v>
      </c>
      <c r="AE8" s="145" t="s">
        <v>2</v>
      </c>
      <c r="AF8" s="19" t="s">
        <v>41</v>
      </c>
      <c r="AG8" s="19" t="s">
        <v>41</v>
      </c>
      <c r="AH8" s="19" t="s">
        <v>41</v>
      </c>
      <c r="AI8" s="19" t="s">
        <v>41</v>
      </c>
      <c r="AJ8" s="19" t="s">
        <v>42</v>
      </c>
      <c r="AK8" s="143" t="s">
        <v>4</v>
      </c>
    </row>
    <row r="9" spans="1:37" ht="15" thickBot="1" x14ac:dyDescent="0.4">
      <c r="A9" s="228"/>
      <c r="B9" s="170" t="s">
        <v>87</v>
      </c>
      <c r="C9" s="25" t="s">
        <v>6</v>
      </c>
      <c r="D9" s="136" t="s">
        <v>2</v>
      </c>
      <c r="E9" s="182" t="s">
        <v>3</v>
      </c>
      <c r="F9" s="25" t="s">
        <v>6</v>
      </c>
      <c r="G9" s="25" t="s">
        <v>6</v>
      </c>
      <c r="H9" s="146" t="s">
        <v>30</v>
      </c>
      <c r="I9" s="143" t="s">
        <v>4</v>
      </c>
      <c r="J9" s="145" t="s">
        <v>2</v>
      </c>
      <c r="K9" s="150" t="s">
        <v>41</v>
      </c>
      <c r="L9" s="22" t="s">
        <v>16</v>
      </c>
      <c r="M9" s="22" t="s">
        <v>16</v>
      </c>
      <c r="N9" s="19" t="s">
        <v>41</v>
      </c>
      <c r="O9" s="19" t="s">
        <v>42</v>
      </c>
      <c r="P9" s="143" t="s">
        <v>4</v>
      </c>
      <c r="Q9" s="19" t="s">
        <v>41</v>
      </c>
      <c r="R9" s="145" t="s">
        <v>2</v>
      </c>
      <c r="S9" s="84" t="s">
        <v>16</v>
      </c>
      <c r="T9" s="84" t="s">
        <v>16</v>
      </c>
      <c r="U9" s="162" t="s">
        <v>41</v>
      </c>
      <c r="V9" s="143" t="s">
        <v>4</v>
      </c>
      <c r="W9" s="143" t="s">
        <v>4</v>
      </c>
      <c r="X9" s="162" t="s">
        <v>41</v>
      </c>
      <c r="Y9" s="84" t="s">
        <v>16</v>
      </c>
      <c r="Z9" s="162" t="s">
        <v>41</v>
      </c>
      <c r="AA9" s="84" t="s">
        <v>16</v>
      </c>
      <c r="AB9" s="162" t="s">
        <v>41</v>
      </c>
      <c r="AC9" s="143" t="s">
        <v>4</v>
      </c>
      <c r="AD9" s="143" t="s">
        <v>4</v>
      </c>
      <c r="AE9" s="19" t="s">
        <v>41</v>
      </c>
      <c r="AF9" s="19" t="s">
        <v>41</v>
      </c>
      <c r="AG9" s="19" t="s">
        <v>41</v>
      </c>
      <c r="AH9" s="19" t="s">
        <v>41</v>
      </c>
      <c r="AI9" s="19" t="s">
        <v>41</v>
      </c>
      <c r="AJ9" s="143" t="s">
        <v>4</v>
      </c>
      <c r="AK9" s="143" t="s">
        <v>4</v>
      </c>
    </row>
    <row r="10" spans="1:37" ht="15" thickBot="1" x14ac:dyDescent="0.4"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</row>
    <row r="11" spans="1:37" ht="15" thickBot="1" x14ac:dyDescent="0.4">
      <c r="A11" s="228" t="s">
        <v>197</v>
      </c>
      <c r="B11" s="166" t="s">
        <v>9</v>
      </c>
      <c r="C11" s="133" t="s">
        <v>2</v>
      </c>
      <c r="D11" s="147" t="s">
        <v>41</v>
      </c>
      <c r="E11" s="184" t="s">
        <v>42</v>
      </c>
      <c r="F11" s="174" t="s">
        <v>41</v>
      </c>
      <c r="G11" s="174" t="s">
        <v>41</v>
      </c>
      <c r="H11" s="143" t="s">
        <v>4</v>
      </c>
      <c r="I11" s="153" t="s">
        <v>11</v>
      </c>
      <c r="J11" s="133" t="s">
        <v>2</v>
      </c>
      <c r="K11" s="152" t="s">
        <v>10</v>
      </c>
      <c r="L11" s="152" t="s">
        <v>10</v>
      </c>
      <c r="M11" s="152" t="s">
        <v>10</v>
      </c>
      <c r="N11" s="133" t="s">
        <v>2</v>
      </c>
      <c r="O11" s="129" t="s">
        <v>5</v>
      </c>
      <c r="P11" s="153" t="s">
        <v>11</v>
      </c>
      <c r="Q11" s="152" t="s">
        <v>10</v>
      </c>
      <c r="R11" s="152" t="s">
        <v>10</v>
      </c>
      <c r="S11" s="152" t="s">
        <v>10</v>
      </c>
      <c r="T11" s="152" t="s">
        <v>10</v>
      </c>
      <c r="U11" s="152" t="s">
        <v>10</v>
      </c>
      <c r="V11" s="143" t="s">
        <v>4</v>
      </c>
      <c r="W11" s="152" t="s">
        <v>11</v>
      </c>
      <c r="X11" s="153" t="s">
        <v>10</v>
      </c>
      <c r="Y11" s="152" t="s">
        <v>10</v>
      </c>
      <c r="Z11" s="152" t="s">
        <v>10</v>
      </c>
      <c r="AA11" s="152" t="s">
        <v>10</v>
      </c>
      <c r="AB11" s="129" t="s">
        <v>5</v>
      </c>
      <c r="AC11" s="129" t="s">
        <v>4</v>
      </c>
      <c r="AD11" s="153" t="s">
        <v>11</v>
      </c>
      <c r="AE11" s="153" t="s">
        <v>10</v>
      </c>
      <c r="AF11" s="152" t="s">
        <v>10</v>
      </c>
      <c r="AG11" s="152" t="s">
        <v>10</v>
      </c>
      <c r="AH11" s="152" t="s">
        <v>10</v>
      </c>
      <c r="AI11" s="152" t="s">
        <v>10</v>
      </c>
      <c r="AJ11" s="181" t="s">
        <v>4</v>
      </c>
      <c r="AK11" s="25" t="s">
        <v>3</v>
      </c>
    </row>
    <row r="12" spans="1:37" ht="15" thickBot="1" x14ac:dyDescent="0.4">
      <c r="A12" s="228"/>
      <c r="B12" s="167" t="s">
        <v>15</v>
      </c>
      <c r="C12" s="149" t="s">
        <v>41</v>
      </c>
      <c r="D12" s="149" t="s">
        <v>41</v>
      </c>
      <c r="E12" s="131" t="s">
        <v>2</v>
      </c>
      <c r="F12" s="136" t="s">
        <v>5</v>
      </c>
      <c r="G12" s="136" t="s">
        <v>2</v>
      </c>
      <c r="H12" s="136" t="s">
        <v>4</v>
      </c>
      <c r="I12" s="136" t="s">
        <v>4</v>
      </c>
      <c r="J12" s="153" t="s">
        <v>10</v>
      </c>
      <c r="K12" s="153" t="s">
        <v>10</v>
      </c>
      <c r="L12" s="131" t="s">
        <v>2</v>
      </c>
      <c r="M12" s="131" t="s">
        <v>2</v>
      </c>
      <c r="N12" s="153" t="s">
        <v>10</v>
      </c>
      <c r="O12" s="153" t="s">
        <v>11</v>
      </c>
      <c r="P12" s="143" t="s">
        <v>4</v>
      </c>
      <c r="Q12" s="153" t="s">
        <v>10</v>
      </c>
      <c r="R12" s="153" t="s">
        <v>10</v>
      </c>
      <c r="S12" s="131" t="s">
        <v>2</v>
      </c>
      <c r="T12" s="153" t="s">
        <v>10</v>
      </c>
      <c r="U12" s="153" t="s">
        <v>10</v>
      </c>
      <c r="V12" s="153" t="s">
        <v>11</v>
      </c>
      <c r="W12" s="143" t="s">
        <v>4</v>
      </c>
      <c r="X12" s="153" t="s">
        <v>10</v>
      </c>
      <c r="Y12" s="153" t="s">
        <v>10</v>
      </c>
      <c r="Z12" s="131" t="s">
        <v>2</v>
      </c>
      <c r="AA12" s="131" t="s">
        <v>2</v>
      </c>
      <c r="AB12" s="153" t="s">
        <v>10</v>
      </c>
      <c r="AC12" s="153" t="s">
        <v>11</v>
      </c>
      <c r="AD12" s="128" t="s">
        <v>4</v>
      </c>
      <c r="AE12" s="153" t="s">
        <v>10</v>
      </c>
      <c r="AF12" s="153" t="s">
        <v>10</v>
      </c>
      <c r="AG12" s="152" t="s">
        <v>10</v>
      </c>
      <c r="AH12" s="131" t="s">
        <v>2</v>
      </c>
      <c r="AI12" s="152" t="s">
        <v>10</v>
      </c>
      <c r="AJ12" s="152" t="s">
        <v>11</v>
      </c>
      <c r="AK12" s="181" t="s">
        <v>4</v>
      </c>
    </row>
    <row r="13" spans="1:37" ht="15" thickBot="1" x14ac:dyDescent="0.4">
      <c r="A13" s="228"/>
      <c r="B13" s="169" t="s">
        <v>21</v>
      </c>
      <c r="C13" s="137" t="s">
        <v>2</v>
      </c>
      <c r="D13" s="137" t="s">
        <v>2</v>
      </c>
      <c r="E13" s="184" t="s">
        <v>42</v>
      </c>
      <c r="F13" s="150" t="s">
        <v>41</v>
      </c>
      <c r="G13" s="150" t="s">
        <v>41</v>
      </c>
      <c r="H13" s="150" t="s">
        <v>42</v>
      </c>
      <c r="I13" s="139" t="s">
        <v>4</v>
      </c>
      <c r="J13" s="137" t="s">
        <v>2</v>
      </c>
      <c r="K13" s="137" t="s">
        <v>2</v>
      </c>
      <c r="L13" s="156" t="s">
        <v>10</v>
      </c>
      <c r="M13" s="156" t="s">
        <v>10</v>
      </c>
      <c r="N13" s="156" t="s">
        <v>10</v>
      </c>
      <c r="O13" s="156" t="s">
        <v>11</v>
      </c>
      <c r="P13" s="143" t="s">
        <v>4</v>
      </c>
      <c r="Q13" s="137" t="s">
        <v>2</v>
      </c>
      <c r="R13" s="137" t="s">
        <v>2</v>
      </c>
      <c r="S13" s="156" t="s">
        <v>10</v>
      </c>
      <c r="T13" s="156" t="s">
        <v>10</v>
      </c>
      <c r="U13" s="156" t="s">
        <v>10</v>
      </c>
      <c r="V13" s="156" t="s">
        <v>11</v>
      </c>
      <c r="W13" s="139" t="s">
        <v>4</v>
      </c>
      <c r="X13" s="137" t="s">
        <v>2</v>
      </c>
      <c r="Y13" s="156" t="s">
        <v>10</v>
      </c>
      <c r="Z13" s="156" t="s">
        <v>10</v>
      </c>
      <c r="AA13" s="156" t="s">
        <v>10</v>
      </c>
      <c r="AB13" s="156" t="s">
        <v>10</v>
      </c>
      <c r="AC13" s="128" t="s">
        <v>4</v>
      </c>
      <c r="AD13" s="156" t="s">
        <v>11</v>
      </c>
      <c r="AE13" s="137" t="s">
        <v>2</v>
      </c>
      <c r="AF13" s="137" t="s">
        <v>2</v>
      </c>
      <c r="AG13" s="140" t="s">
        <v>5</v>
      </c>
      <c r="AH13" s="156" t="s">
        <v>10</v>
      </c>
      <c r="AI13" s="156" t="s">
        <v>10</v>
      </c>
      <c r="AJ13" s="156" t="s">
        <v>11</v>
      </c>
      <c r="AK13" s="139" t="s">
        <v>4</v>
      </c>
    </row>
    <row r="14" spans="1:37" ht="15" thickBot="1" x14ac:dyDescent="0.4">
      <c r="A14" s="228"/>
      <c r="B14" s="170" t="s">
        <v>22</v>
      </c>
      <c r="C14" s="19" t="s">
        <v>41</v>
      </c>
      <c r="D14" s="19" t="s">
        <v>41</v>
      </c>
      <c r="E14" s="184" t="s">
        <v>42</v>
      </c>
      <c r="F14" s="150" t="s">
        <v>41</v>
      </c>
      <c r="G14" s="145" t="s">
        <v>2</v>
      </c>
      <c r="H14" s="150" t="s">
        <v>42</v>
      </c>
      <c r="I14" s="16" t="s">
        <v>11</v>
      </c>
      <c r="J14" s="16" t="s">
        <v>10</v>
      </c>
      <c r="K14" s="16" t="s">
        <v>10</v>
      </c>
      <c r="L14" s="16" t="s">
        <v>10</v>
      </c>
      <c r="M14" s="145" t="s">
        <v>2</v>
      </c>
      <c r="N14" s="145" t="s">
        <v>2</v>
      </c>
      <c r="O14" s="16" t="s">
        <v>11</v>
      </c>
      <c r="P14" s="16" t="s">
        <v>11</v>
      </c>
      <c r="Q14" s="16" t="s">
        <v>10</v>
      </c>
      <c r="R14" s="16" t="s">
        <v>10</v>
      </c>
      <c r="S14" s="16" t="s">
        <v>10</v>
      </c>
      <c r="T14" s="145" t="s">
        <v>2</v>
      </c>
      <c r="U14" s="145" t="s">
        <v>2</v>
      </c>
      <c r="V14" s="153" t="s">
        <v>11</v>
      </c>
      <c r="W14" s="16" t="s">
        <v>11</v>
      </c>
      <c r="X14" s="145" t="s">
        <v>2</v>
      </c>
      <c r="Y14" s="16" t="s">
        <v>10</v>
      </c>
      <c r="Z14" s="16" t="s">
        <v>10</v>
      </c>
      <c r="AA14" s="16" t="s">
        <v>10</v>
      </c>
      <c r="AB14" s="145" t="s">
        <v>2</v>
      </c>
      <c r="AC14" s="16" t="s">
        <v>11</v>
      </c>
      <c r="AD14" s="128" t="s">
        <v>4</v>
      </c>
      <c r="AE14" s="16" t="s">
        <v>10</v>
      </c>
      <c r="AF14" s="16" t="s">
        <v>10</v>
      </c>
      <c r="AG14" s="16" t="s">
        <v>10</v>
      </c>
      <c r="AH14" s="16" t="s">
        <v>10</v>
      </c>
      <c r="AI14" s="137" t="s">
        <v>2</v>
      </c>
      <c r="AJ14" s="130" t="s">
        <v>4</v>
      </c>
      <c r="AK14" s="83" t="s">
        <v>3</v>
      </c>
    </row>
    <row r="15" spans="1:37" x14ac:dyDescent="0.35">
      <c r="A15" s="228"/>
      <c r="B15" s="170" t="s">
        <v>200</v>
      </c>
      <c r="C15" s="19" t="s">
        <v>41</v>
      </c>
      <c r="D15" s="19" t="s">
        <v>41</v>
      </c>
      <c r="E15" s="146" t="s">
        <v>30</v>
      </c>
      <c r="F15" s="84" t="s">
        <v>16</v>
      </c>
      <c r="G15" s="162" t="s">
        <v>41</v>
      </c>
      <c r="H15" s="143" t="s">
        <v>4</v>
      </c>
      <c r="I15" s="16" t="s">
        <v>11</v>
      </c>
      <c r="J15" s="16" t="s">
        <v>10</v>
      </c>
      <c r="K15" s="145" t="s">
        <v>2</v>
      </c>
      <c r="L15" s="145" t="s">
        <v>2</v>
      </c>
      <c r="M15" s="16" t="s">
        <v>10</v>
      </c>
      <c r="N15" s="16" t="s">
        <v>10</v>
      </c>
      <c r="O15" s="143" t="s">
        <v>4</v>
      </c>
      <c r="P15" s="16" t="s">
        <v>11</v>
      </c>
      <c r="Q15" s="16" t="s">
        <v>10</v>
      </c>
      <c r="R15" s="16" t="s">
        <v>10</v>
      </c>
      <c r="S15" s="145" t="s">
        <v>2</v>
      </c>
      <c r="T15" s="16" t="s">
        <v>10</v>
      </c>
      <c r="U15" s="16" t="s">
        <v>10</v>
      </c>
      <c r="V15" s="143" t="s">
        <v>4</v>
      </c>
      <c r="W15" s="16" t="s">
        <v>11</v>
      </c>
      <c r="X15" s="16" t="s">
        <v>10</v>
      </c>
      <c r="Y15" s="145" t="s">
        <v>2</v>
      </c>
      <c r="Z15" s="22" t="s">
        <v>16</v>
      </c>
      <c r="AA15" s="16" t="s">
        <v>10</v>
      </c>
      <c r="AB15" s="16" t="s">
        <v>10</v>
      </c>
      <c r="AC15" s="16" t="s">
        <v>11</v>
      </c>
      <c r="AD15" s="16" t="s">
        <v>11</v>
      </c>
      <c r="AE15" s="16" t="s">
        <v>10</v>
      </c>
      <c r="AF15" s="145" t="s">
        <v>2</v>
      </c>
      <c r="AG15" s="145" t="s">
        <v>2</v>
      </c>
      <c r="AH15" s="163" t="s">
        <v>16</v>
      </c>
      <c r="AI15" s="16" t="s">
        <v>10</v>
      </c>
      <c r="AJ15" s="16" t="s">
        <v>11</v>
      </c>
      <c r="AK15" s="143" t="s">
        <v>4</v>
      </c>
    </row>
    <row r="16" spans="1:37" ht="15" thickBot="1" x14ac:dyDescent="0.4"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</row>
    <row r="17" spans="1:37" ht="15" thickBot="1" x14ac:dyDescent="0.4">
      <c r="A17" s="228" t="s">
        <v>198</v>
      </c>
      <c r="B17" s="166" t="s">
        <v>1</v>
      </c>
      <c r="C17" s="152" t="s">
        <v>10</v>
      </c>
      <c r="D17" s="152" t="s">
        <v>10</v>
      </c>
      <c r="E17" s="144" t="s">
        <v>37</v>
      </c>
      <c r="F17" s="152" t="s">
        <v>10</v>
      </c>
      <c r="G17" s="152" t="s">
        <v>10</v>
      </c>
      <c r="H17" s="128" t="s">
        <v>4</v>
      </c>
      <c r="I17" s="132" t="s">
        <v>3</v>
      </c>
      <c r="J17" s="132" t="s">
        <v>6</v>
      </c>
      <c r="K17" s="132" t="s">
        <v>6</v>
      </c>
      <c r="L17" s="132" t="s">
        <v>6</v>
      </c>
      <c r="M17" s="132" t="s">
        <v>6</v>
      </c>
      <c r="N17" s="133" t="s">
        <v>2</v>
      </c>
      <c r="O17" s="128" t="s">
        <v>4</v>
      </c>
      <c r="P17" s="132" t="s">
        <v>3</v>
      </c>
      <c r="Q17" s="132" t="s">
        <v>6</v>
      </c>
      <c r="R17" s="132" t="s">
        <v>6</v>
      </c>
      <c r="S17" s="132" t="s">
        <v>6</v>
      </c>
      <c r="T17" s="132" t="s">
        <v>6</v>
      </c>
      <c r="U17" s="133" t="s">
        <v>2</v>
      </c>
      <c r="V17" s="132" t="s">
        <v>3</v>
      </c>
      <c r="W17" s="132" t="s">
        <v>3</v>
      </c>
      <c r="X17" s="132" t="s">
        <v>6</v>
      </c>
      <c r="Y17" s="163" t="s">
        <v>6</v>
      </c>
      <c r="Z17" s="163" t="s">
        <v>6</v>
      </c>
      <c r="AA17" s="133" t="s">
        <v>2</v>
      </c>
      <c r="AB17" s="133" t="s">
        <v>2</v>
      </c>
      <c r="AC17" s="19" t="s">
        <v>42</v>
      </c>
      <c r="AD17" s="25" t="s">
        <v>3</v>
      </c>
      <c r="AE17" s="132" t="s">
        <v>6</v>
      </c>
      <c r="AF17" s="160" t="s">
        <v>6</v>
      </c>
      <c r="AG17" s="160" t="s">
        <v>6</v>
      </c>
      <c r="AH17" s="160" t="s">
        <v>6</v>
      </c>
      <c r="AI17" s="133" t="s">
        <v>2</v>
      </c>
      <c r="AJ17" s="134" t="s">
        <v>3</v>
      </c>
      <c r="AK17" s="186" t="s">
        <v>42</v>
      </c>
    </row>
    <row r="18" spans="1:37" ht="15" thickBot="1" x14ac:dyDescent="0.4">
      <c r="A18" s="228"/>
      <c r="B18" s="167" t="s">
        <v>18</v>
      </c>
      <c r="C18" s="131" t="s">
        <v>2</v>
      </c>
      <c r="D18" s="153" t="s">
        <v>10</v>
      </c>
      <c r="E18" s="187" t="s">
        <v>11</v>
      </c>
      <c r="F18" s="136" t="s">
        <v>5</v>
      </c>
      <c r="G18" s="136" t="s">
        <v>5</v>
      </c>
      <c r="H18" s="136" t="s">
        <v>4</v>
      </c>
      <c r="I18" s="136" t="s">
        <v>4</v>
      </c>
      <c r="J18" s="136" t="s">
        <v>5</v>
      </c>
      <c r="K18" s="136" t="s">
        <v>5</v>
      </c>
      <c r="L18" s="136" t="s">
        <v>5</v>
      </c>
      <c r="M18" s="134" t="s">
        <v>6</v>
      </c>
      <c r="N18" s="134" t="s">
        <v>6</v>
      </c>
      <c r="O18" s="134" t="s">
        <v>3</v>
      </c>
      <c r="P18" s="130" t="s">
        <v>4</v>
      </c>
      <c r="Q18" s="134" t="s">
        <v>6</v>
      </c>
      <c r="R18" s="134" t="s">
        <v>6</v>
      </c>
      <c r="S18" s="133" t="s">
        <v>2</v>
      </c>
      <c r="T18" s="134" t="s">
        <v>6</v>
      </c>
      <c r="U18" s="134" t="s">
        <v>6</v>
      </c>
      <c r="V18" s="134" t="s">
        <v>3</v>
      </c>
      <c r="W18" s="130" t="s">
        <v>4</v>
      </c>
      <c r="X18" s="134" t="s">
        <v>6</v>
      </c>
      <c r="Y18" s="134" t="s">
        <v>6</v>
      </c>
      <c r="Z18" s="134" t="s">
        <v>6</v>
      </c>
      <c r="AA18" s="134" t="s">
        <v>6</v>
      </c>
      <c r="AB18" s="134" t="s">
        <v>6</v>
      </c>
      <c r="AC18" s="134" t="s">
        <v>3</v>
      </c>
      <c r="AD18" s="130" t="s">
        <v>4</v>
      </c>
      <c r="AE18" s="131" t="s">
        <v>2</v>
      </c>
      <c r="AF18" s="160" t="s">
        <v>6</v>
      </c>
      <c r="AG18" s="160" t="s">
        <v>6</v>
      </c>
      <c r="AH18" s="160" t="s">
        <v>6</v>
      </c>
      <c r="AI18" s="160" t="s">
        <v>6</v>
      </c>
      <c r="AJ18" s="188" t="s">
        <v>4</v>
      </c>
      <c r="AK18" s="188" t="s">
        <v>4</v>
      </c>
    </row>
    <row r="19" spans="1:37" ht="15" thickBot="1" x14ac:dyDescent="0.4">
      <c r="A19" s="228"/>
      <c r="B19" s="169" t="s">
        <v>85</v>
      </c>
      <c r="C19" s="156" t="s">
        <v>10</v>
      </c>
      <c r="D19" s="156" t="s">
        <v>10</v>
      </c>
      <c r="E19" s="187" t="s">
        <v>11</v>
      </c>
      <c r="F19" s="156" t="s">
        <v>10</v>
      </c>
      <c r="G19" s="137" t="s">
        <v>2</v>
      </c>
      <c r="H19" s="139" t="s">
        <v>4</v>
      </c>
      <c r="I19" s="141" t="s">
        <v>3</v>
      </c>
      <c r="J19" s="141" t="s">
        <v>6</v>
      </c>
      <c r="K19" s="141" t="s">
        <v>6</v>
      </c>
      <c r="L19" s="141" t="s">
        <v>6</v>
      </c>
      <c r="M19" s="141" t="s">
        <v>6</v>
      </c>
      <c r="N19" s="141" t="s">
        <v>6</v>
      </c>
      <c r="O19" s="139" t="s">
        <v>4</v>
      </c>
      <c r="P19" s="143" t="s">
        <v>4</v>
      </c>
      <c r="Q19" s="141" t="s">
        <v>6</v>
      </c>
      <c r="R19" s="141" t="s">
        <v>6</v>
      </c>
      <c r="S19" s="141" t="s">
        <v>6</v>
      </c>
      <c r="T19" s="141" t="s">
        <v>6</v>
      </c>
      <c r="U19" s="141" t="s">
        <v>6</v>
      </c>
      <c r="V19" s="139" t="s">
        <v>4</v>
      </c>
      <c r="W19" s="139" t="s">
        <v>4</v>
      </c>
      <c r="X19" s="141" t="s">
        <v>6</v>
      </c>
      <c r="Y19" s="141" t="s">
        <v>6</v>
      </c>
      <c r="Z19" s="141" t="s">
        <v>6</v>
      </c>
      <c r="AA19" s="141" t="s">
        <v>6</v>
      </c>
      <c r="AB19" s="137" t="s">
        <v>2</v>
      </c>
      <c r="AC19" s="139" t="s">
        <v>4</v>
      </c>
      <c r="AD19" s="161" t="s">
        <v>3</v>
      </c>
      <c r="AE19" s="161" t="s">
        <v>6</v>
      </c>
      <c r="AF19" s="161" t="s">
        <v>6</v>
      </c>
      <c r="AG19" s="161" t="s">
        <v>6</v>
      </c>
      <c r="AH19" s="161" t="s">
        <v>6</v>
      </c>
      <c r="AI19" s="161" t="s">
        <v>6</v>
      </c>
      <c r="AJ19" s="139" t="s">
        <v>4</v>
      </c>
      <c r="AK19" s="150" t="s">
        <v>42</v>
      </c>
    </row>
    <row r="20" spans="1:37" ht="15" thickBot="1" x14ac:dyDescent="0.4">
      <c r="A20" s="228"/>
      <c r="B20" s="170" t="s">
        <v>43</v>
      </c>
      <c r="C20" s="145" t="s">
        <v>2</v>
      </c>
      <c r="D20" s="22" t="s">
        <v>16</v>
      </c>
      <c r="E20" s="187" t="s">
        <v>11</v>
      </c>
      <c r="F20" s="16" t="s">
        <v>10</v>
      </c>
      <c r="G20" s="16" t="s">
        <v>10</v>
      </c>
      <c r="H20" s="16" t="s">
        <v>11</v>
      </c>
      <c r="I20" s="143" t="s">
        <v>4</v>
      </c>
      <c r="J20" s="25" t="s">
        <v>6</v>
      </c>
      <c r="K20" s="25" t="s">
        <v>6</v>
      </c>
      <c r="L20" s="25" t="s">
        <v>6</v>
      </c>
      <c r="M20" s="133" t="s">
        <v>2</v>
      </c>
      <c r="N20" s="22" t="s">
        <v>16</v>
      </c>
      <c r="O20" s="143" t="s">
        <v>4</v>
      </c>
      <c r="P20" s="141" t="s">
        <v>3</v>
      </c>
      <c r="Q20" s="133" t="s">
        <v>2</v>
      </c>
      <c r="R20" s="141" t="s">
        <v>6</v>
      </c>
      <c r="S20" s="141" t="s">
        <v>6</v>
      </c>
      <c r="T20" s="141" t="s">
        <v>6</v>
      </c>
      <c r="U20" s="141" t="s">
        <v>6</v>
      </c>
      <c r="V20" s="143" t="s">
        <v>4</v>
      </c>
      <c r="W20" s="25" t="s">
        <v>3</v>
      </c>
      <c r="X20" s="25" t="s">
        <v>6</v>
      </c>
      <c r="Y20" s="25" t="s">
        <v>6</v>
      </c>
      <c r="Z20" s="25" t="s">
        <v>6</v>
      </c>
      <c r="AA20" s="25" t="s">
        <v>6</v>
      </c>
      <c r="AB20" s="25" t="s">
        <v>6</v>
      </c>
      <c r="AC20" s="25" t="s">
        <v>3</v>
      </c>
      <c r="AD20" s="143" t="s">
        <v>4</v>
      </c>
      <c r="AE20" s="145" t="s">
        <v>2</v>
      </c>
      <c r="AF20" s="25" t="s">
        <v>6</v>
      </c>
      <c r="AG20" s="25" t="s">
        <v>6</v>
      </c>
      <c r="AH20" s="25" t="s">
        <v>6</v>
      </c>
      <c r="AI20" s="25" t="s">
        <v>6</v>
      </c>
      <c r="AJ20" s="134" t="s">
        <v>3</v>
      </c>
      <c r="AK20" s="143" t="s">
        <v>4</v>
      </c>
    </row>
    <row r="21" spans="1:37" ht="15" thickBot="1" x14ac:dyDescent="0.4">
      <c r="A21" s="228"/>
      <c r="B21" s="170" t="s">
        <v>71</v>
      </c>
      <c r="C21" s="16" t="s">
        <v>10</v>
      </c>
      <c r="D21" s="145" t="s">
        <v>2</v>
      </c>
      <c r="E21" s="189" t="s">
        <v>2</v>
      </c>
      <c r="F21" s="16" t="s">
        <v>10</v>
      </c>
      <c r="G21" s="16" t="s">
        <v>10</v>
      </c>
      <c r="H21" s="16" t="s">
        <v>11</v>
      </c>
      <c r="I21" s="143" t="s">
        <v>4</v>
      </c>
      <c r="J21" s="145" t="s">
        <v>2</v>
      </c>
      <c r="K21" s="151" t="s">
        <v>5</v>
      </c>
      <c r="L21" s="22" t="s">
        <v>16</v>
      </c>
      <c r="M21" s="22" t="s">
        <v>16</v>
      </c>
      <c r="N21" s="83" t="s">
        <v>6</v>
      </c>
      <c r="O21" s="25" t="s">
        <v>3</v>
      </c>
      <c r="P21" s="143" t="s">
        <v>4</v>
      </c>
      <c r="Q21" s="83" t="s">
        <v>6</v>
      </c>
      <c r="R21" s="22" t="s">
        <v>16</v>
      </c>
      <c r="S21" s="134" t="s">
        <v>6</v>
      </c>
      <c r="T21" s="145" t="s">
        <v>2</v>
      </c>
      <c r="U21" s="84" t="s">
        <v>16</v>
      </c>
      <c r="V21" s="180" t="s">
        <v>30</v>
      </c>
      <c r="W21" s="143" t="s">
        <v>4</v>
      </c>
      <c r="X21" s="22" t="s">
        <v>16</v>
      </c>
      <c r="Y21" s="22" t="s">
        <v>16</v>
      </c>
      <c r="Z21" s="22" t="s">
        <v>16</v>
      </c>
      <c r="AA21" s="25" t="s">
        <v>6</v>
      </c>
      <c r="AB21" s="83" t="s">
        <v>6</v>
      </c>
      <c r="AC21" s="180" t="s">
        <v>30</v>
      </c>
      <c r="AD21" s="143" t="s">
        <v>4</v>
      </c>
      <c r="AE21" s="83" t="s">
        <v>6</v>
      </c>
      <c r="AF21" s="25" t="s">
        <v>6</v>
      </c>
      <c r="AG21" s="25" t="s">
        <v>6</v>
      </c>
      <c r="AH21" s="22" t="s">
        <v>16</v>
      </c>
      <c r="AI21" s="83" t="s">
        <v>6</v>
      </c>
      <c r="AJ21" s="180" t="s">
        <v>30</v>
      </c>
      <c r="AK21" s="143" t="s">
        <v>4</v>
      </c>
    </row>
    <row r="23" spans="1:37" x14ac:dyDescent="0.35">
      <c r="B23" s="157" t="s">
        <v>201</v>
      </c>
      <c r="C23">
        <f>COUNTIF(C5:C21,"MS")</f>
        <v>4</v>
      </c>
      <c r="D23">
        <f>COUNTIF(D5:D21,"MS")</f>
        <v>3</v>
      </c>
      <c r="E23">
        <f t="shared" ref="E23:G23" si="1">COUNTIF(E5:E21,"MS")</f>
        <v>0</v>
      </c>
      <c r="F23">
        <f t="shared" si="1"/>
        <v>3</v>
      </c>
      <c r="G23">
        <f t="shared" si="1"/>
        <v>3</v>
      </c>
      <c r="H23">
        <f>COUNTIF(H5:H21,"WMS")</f>
        <v>2</v>
      </c>
      <c r="I23">
        <f>COUNTIF(I5:I21,"WMS")</f>
        <v>2</v>
      </c>
      <c r="J23">
        <f>COUNTIF(J5:J21,"MS")</f>
        <v>3</v>
      </c>
      <c r="K23">
        <f>COUNTIF(K5:K21,"MS")</f>
        <v>3</v>
      </c>
      <c r="L23">
        <f t="shared" ref="L23:N23" si="2">COUNTIF(L5:L21,"MS")</f>
        <v>3</v>
      </c>
      <c r="M23">
        <f t="shared" si="2"/>
        <v>3</v>
      </c>
      <c r="N23">
        <f t="shared" si="2"/>
        <v>3</v>
      </c>
      <c r="O23">
        <f>COUNTIF(O5:O21,"WMS")</f>
        <v>2</v>
      </c>
      <c r="P23">
        <f>COUNTIF(P5:P21,"WMS")</f>
        <v>2</v>
      </c>
      <c r="Q23">
        <f>COUNTIF(Q5:Q21,"MS")</f>
        <v>4</v>
      </c>
      <c r="R23">
        <f>COUNTIF(R5:R21,"MS")</f>
        <v>4</v>
      </c>
      <c r="S23">
        <f t="shared" ref="S23:U23" si="3">COUNTIF(S5:S21,"MS")</f>
        <v>4</v>
      </c>
      <c r="T23">
        <f t="shared" si="3"/>
        <v>4</v>
      </c>
      <c r="U23">
        <f t="shared" si="3"/>
        <v>3</v>
      </c>
      <c r="V23">
        <f>COUNTIF(V5:V21,"WMS")</f>
        <v>2</v>
      </c>
      <c r="W23">
        <f>COUNTIF(W5:W21,"WMS")</f>
        <v>2</v>
      </c>
      <c r="X23">
        <f>COUNTIF(X5:X21,"MS")</f>
        <v>4</v>
      </c>
      <c r="Y23">
        <f>COUNTIF(Y5:Y21,"MS")</f>
        <v>4</v>
      </c>
      <c r="Z23">
        <f t="shared" ref="Z23:AB23" si="4">COUNTIF(Z5:Z21,"MS")</f>
        <v>4</v>
      </c>
      <c r="AA23">
        <f t="shared" si="4"/>
        <v>4</v>
      </c>
      <c r="AB23">
        <f t="shared" si="4"/>
        <v>3</v>
      </c>
      <c r="AC23">
        <f>COUNTIF(AC5:AC21,"WMS")</f>
        <v>2</v>
      </c>
      <c r="AD23">
        <f>COUNTIF(AD5:AD21,"WMS")</f>
        <v>2</v>
      </c>
      <c r="AE23">
        <f>COUNTIF(AE5:AE21,"MS")</f>
        <v>3</v>
      </c>
      <c r="AF23">
        <f>COUNTIF(AF5:AF21,"MS")</f>
        <v>5</v>
      </c>
      <c r="AG23">
        <f t="shared" ref="AG23:AI23" si="5">COUNTIF(AG5:AG21,"MS")</f>
        <v>5</v>
      </c>
      <c r="AH23">
        <f t="shared" si="5"/>
        <v>4</v>
      </c>
      <c r="AI23">
        <f t="shared" si="5"/>
        <v>4</v>
      </c>
      <c r="AJ23">
        <f>COUNTIF(AJ5:AJ21,"WMS")</f>
        <v>2</v>
      </c>
      <c r="AK23">
        <f>COUNTIF(AK5:AK21,"WMS")</f>
        <v>2</v>
      </c>
    </row>
    <row r="24" spans="1:37" x14ac:dyDescent="0.35">
      <c r="B24" s="157" t="s">
        <v>202</v>
      </c>
      <c r="C24">
        <f>COUNTIF(C5:C21,"ASS1")</f>
        <v>3</v>
      </c>
      <c r="D24">
        <f t="shared" ref="D24:G24" si="6">COUNTIF(D5:D21,"ASS1")</f>
        <v>4</v>
      </c>
      <c r="E24">
        <f t="shared" si="6"/>
        <v>0</v>
      </c>
      <c r="F24">
        <f t="shared" si="6"/>
        <v>3</v>
      </c>
      <c r="G24">
        <f t="shared" si="6"/>
        <v>3</v>
      </c>
      <c r="H24">
        <f>COUNTIF(H5:H21,"WASS1")</f>
        <v>2</v>
      </c>
      <c r="I24">
        <f>COUNTIF(I5:I21,"WASS1")</f>
        <v>2</v>
      </c>
      <c r="J24">
        <f>COUNTIF(J5:J21,"ASS1")</f>
        <v>3</v>
      </c>
      <c r="K24">
        <f t="shared" ref="K24:N24" si="7">COUNTIF(K5:K21,"ASS1")</f>
        <v>4</v>
      </c>
      <c r="L24">
        <f t="shared" si="7"/>
        <v>3</v>
      </c>
      <c r="M24">
        <f t="shared" si="7"/>
        <v>3</v>
      </c>
      <c r="N24">
        <f t="shared" si="7"/>
        <v>3</v>
      </c>
      <c r="O24">
        <f>COUNTIF(O5:O21,"WASS1")</f>
        <v>2</v>
      </c>
      <c r="P24">
        <f>COUNTIF(P5:P21,"WASS1")</f>
        <v>2</v>
      </c>
      <c r="Q24">
        <f>COUNTIF(Q5:Q21,"ASS1")</f>
        <v>3</v>
      </c>
      <c r="R24">
        <f t="shared" ref="R24:U24" si="8">COUNTIF(R5:R21,"ASS1")</f>
        <v>3</v>
      </c>
      <c r="S24">
        <f t="shared" si="8"/>
        <v>3</v>
      </c>
      <c r="T24">
        <f t="shared" si="8"/>
        <v>3</v>
      </c>
      <c r="U24">
        <f t="shared" si="8"/>
        <v>3</v>
      </c>
      <c r="V24">
        <f>COUNTIF(V5:V21,"WASS1")</f>
        <v>2</v>
      </c>
      <c r="W24">
        <f>COUNTIF(W5:W21,"WASS1")</f>
        <v>2</v>
      </c>
      <c r="X24">
        <f>COUNTIF(X5:X21,"ASS1")</f>
        <v>3</v>
      </c>
      <c r="Y24">
        <f t="shared" ref="Y24:AB24" si="9">COUNTIF(Y5:Y21,"ASS1")</f>
        <v>3</v>
      </c>
      <c r="Z24">
        <f t="shared" si="9"/>
        <v>4</v>
      </c>
      <c r="AA24">
        <f t="shared" si="9"/>
        <v>3</v>
      </c>
      <c r="AB24">
        <f t="shared" si="9"/>
        <v>3</v>
      </c>
      <c r="AC24">
        <f>COUNTIF(AC5:AC21,"WASS1")</f>
        <v>2</v>
      </c>
      <c r="AD24">
        <f>COUNTIF(AD5:AD21,"WASS1")</f>
        <v>2</v>
      </c>
      <c r="AE24">
        <f>COUNTIF(AE5:AE21,"ASS1")</f>
        <v>3</v>
      </c>
      <c r="AF24">
        <f t="shared" ref="AF24:AI24" si="10">COUNTIF(AF5:AF21,"ASS1")</f>
        <v>3</v>
      </c>
      <c r="AG24">
        <f t="shared" si="10"/>
        <v>3</v>
      </c>
      <c r="AH24">
        <f t="shared" si="10"/>
        <v>3</v>
      </c>
      <c r="AI24">
        <f t="shared" si="10"/>
        <v>4</v>
      </c>
      <c r="AJ24">
        <f>COUNTIF(AJ5:AJ21,"WASS1")</f>
        <v>2</v>
      </c>
      <c r="AK24">
        <f>COUNTIF(AK5:AK21,"WASS1")</f>
        <v>2</v>
      </c>
    </row>
    <row r="25" spans="1:37" x14ac:dyDescent="0.35">
      <c r="B25" s="157" t="s">
        <v>203</v>
      </c>
      <c r="C25">
        <f>COUNTIF(C5:C21,"NST7")</f>
        <v>3</v>
      </c>
      <c r="D25">
        <f t="shared" ref="D25:G25" si="11">COUNTIF(D5:D21,"NST7")</f>
        <v>3</v>
      </c>
      <c r="E25">
        <f t="shared" si="11"/>
        <v>0</v>
      </c>
      <c r="F25">
        <f t="shared" si="11"/>
        <v>4</v>
      </c>
      <c r="G25">
        <f t="shared" si="11"/>
        <v>3</v>
      </c>
      <c r="H25">
        <f>COUNTIF(H5:H21,"WNST7")</f>
        <v>2</v>
      </c>
      <c r="I25">
        <f>COUNTIF(I5:I21,"WNST7")</f>
        <v>3</v>
      </c>
      <c r="J25">
        <f>COUNTIF(J5:J21,"NST7")</f>
        <v>3</v>
      </c>
      <c r="K25">
        <f t="shared" ref="K25:N25" si="12">COUNTIF(K5:K21,"NST7")</f>
        <v>3</v>
      </c>
      <c r="L25">
        <f t="shared" si="12"/>
        <v>3</v>
      </c>
      <c r="M25">
        <f t="shared" si="12"/>
        <v>3</v>
      </c>
      <c r="N25">
        <f t="shared" si="12"/>
        <v>3</v>
      </c>
      <c r="O25">
        <f>COUNTIF(O5:O21,"WNST7")</f>
        <v>3</v>
      </c>
      <c r="P25">
        <f>COUNTIF(P5:P21,"WNST7")</f>
        <v>3</v>
      </c>
      <c r="Q25">
        <f>COUNTIF(Q5:Q21,"NST7")</f>
        <v>4</v>
      </c>
      <c r="R25">
        <f t="shared" ref="R25:U25" si="13">COUNTIF(R5:R21,"NST7")</f>
        <v>4</v>
      </c>
      <c r="S25">
        <f t="shared" si="13"/>
        <v>3</v>
      </c>
      <c r="T25">
        <f t="shared" si="13"/>
        <v>4</v>
      </c>
      <c r="U25">
        <f t="shared" si="13"/>
        <v>4</v>
      </c>
      <c r="V25">
        <f>COUNTIF(V5:V21,"WNST7")</f>
        <v>3</v>
      </c>
      <c r="W25">
        <f>COUNTIF(W5:W21,"WNST7")</f>
        <v>3</v>
      </c>
      <c r="X25">
        <f>COUNTIF(X5:X21,"NST7")</f>
        <v>3</v>
      </c>
      <c r="Y25">
        <f t="shared" ref="Y25:AB25" si="14">COUNTIF(Y5:Y21,"NST7")</f>
        <v>4</v>
      </c>
      <c r="Z25">
        <f t="shared" si="14"/>
        <v>3</v>
      </c>
      <c r="AA25">
        <f t="shared" si="14"/>
        <v>4</v>
      </c>
      <c r="AB25">
        <f t="shared" si="14"/>
        <v>3</v>
      </c>
      <c r="AC25">
        <f>COUNTIF(AC5:AC21,"WNST7")</f>
        <v>3</v>
      </c>
      <c r="AD25">
        <f>COUNTIF(AD5:AD21,"WNST7")</f>
        <v>3</v>
      </c>
      <c r="AE25">
        <f>COUNTIF(AE5:AE21,"NST7")</f>
        <v>4</v>
      </c>
      <c r="AF25">
        <f t="shared" ref="AF25:AI25" si="15">COUNTIF(AF5:AF21,"NST7")</f>
        <v>3</v>
      </c>
      <c r="AG25">
        <f t="shared" si="15"/>
        <v>3</v>
      </c>
      <c r="AH25">
        <f t="shared" si="15"/>
        <v>3</v>
      </c>
      <c r="AI25">
        <f t="shared" si="15"/>
        <v>4</v>
      </c>
      <c r="AJ25">
        <f>COUNTIF(AJ5:AJ21,"WNST7")</f>
        <v>3</v>
      </c>
      <c r="AK25">
        <f>COUNTIF(AK5:AK21,"WNST7")</f>
        <v>2</v>
      </c>
    </row>
    <row r="26" spans="1:37" x14ac:dyDescent="0.35">
      <c r="B26" s="157" t="s">
        <v>204</v>
      </c>
      <c r="C26">
        <f>COUNTIF(C5:C21,"GS")</f>
        <v>0</v>
      </c>
      <c r="D26">
        <f t="shared" ref="D26:G26" si="16">COUNTIF(D5:D21,"GS")</f>
        <v>1</v>
      </c>
      <c r="E26">
        <f t="shared" si="16"/>
        <v>0</v>
      </c>
      <c r="F26">
        <f t="shared" si="16"/>
        <v>1</v>
      </c>
      <c r="G26">
        <f t="shared" si="16"/>
        <v>0</v>
      </c>
      <c r="H26">
        <f>COUNTIF(H4:H21,"WGS")</f>
        <v>1</v>
      </c>
      <c r="I26">
        <f>COUNTIF(I4:I21,"WGS")</f>
        <v>0</v>
      </c>
      <c r="J26">
        <f>COUNTIF(J5:J21,"GS")</f>
        <v>0</v>
      </c>
      <c r="K26">
        <f t="shared" ref="K26:N26" si="17">COUNTIF(K5:K21,"GS")</f>
        <v>0</v>
      </c>
      <c r="L26">
        <f t="shared" si="17"/>
        <v>2</v>
      </c>
      <c r="M26">
        <f t="shared" si="17"/>
        <v>2</v>
      </c>
      <c r="N26">
        <f t="shared" si="17"/>
        <v>1</v>
      </c>
      <c r="O26">
        <f>COUNTIF(O4:O21,"WGS")</f>
        <v>1</v>
      </c>
      <c r="P26">
        <f>COUNTIF(P4:P21,"WGS")</f>
        <v>0</v>
      </c>
      <c r="Q26">
        <f>COUNTIF(Q5:Q21,"GS")</f>
        <v>0</v>
      </c>
      <c r="R26">
        <f t="shared" ref="R26:U26" si="18">COUNTIF(R5:R21,"GS")</f>
        <v>2</v>
      </c>
      <c r="S26">
        <f t="shared" si="18"/>
        <v>1</v>
      </c>
      <c r="T26">
        <f t="shared" si="18"/>
        <v>1</v>
      </c>
      <c r="U26">
        <f t="shared" si="18"/>
        <v>1</v>
      </c>
      <c r="V26">
        <f>COUNTIF(V4:V21,"WGS")</f>
        <v>1</v>
      </c>
      <c r="W26">
        <f>COUNTIF(W4:W21,"WGS")</f>
        <v>0</v>
      </c>
      <c r="X26">
        <f>COUNTIF(X5:X21,"GS")</f>
        <v>1</v>
      </c>
      <c r="Y26">
        <f t="shared" ref="Y26:AB26" si="19">COUNTIF(Y5:Y21,"GS")</f>
        <v>2</v>
      </c>
      <c r="Z26">
        <f t="shared" si="19"/>
        <v>2</v>
      </c>
      <c r="AA26">
        <f t="shared" si="19"/>
        <v>1</v>
      </c>
      <c r="AB26">
        <f t="shared" si="19"/>
        <v>0</v>
      </c>
      <c r="AC26">
        <f>COUNTIF(AC4:AC21,"WGS")</f>
        <v>1</v>
      </c>
      <c r="AD26">
        <f>COUNTIF(AD4:AD21,"WGS")</f>
        <v>0</v>
      </c>
      <c r="AE26">
        <f>COUNTIF(AE5:AE21,"GS")</f>
        <v>0</v>
      </c>
      <c r="AF26">
        <f t="shared" ref="AF26:AI26" si="20">COUNTIF(AF5:AF21,"GS")</f>
        <v>0</v>
      </c>
      <c r="AG26">
        <f t="shared" si="20"/>
        <v>0</v>
      </c>
      <c r="AH26">
        <f t="shared" si="20"/>
        <v>2</v>
      </c>
      <c r="AI26">
        <f t="shared" si="20"/>
        <v>0</v>
      </c>
      <c r="AJ26">
        <f>COUNTIF(AJ4:AJ21,"WGS")</f>
        <v>1</v>
      </c>
      <c r="AK26">
        <f>COUNTIF(AK4:AK21,"WGS")</f>
        <v>0</v>
      </c>
    </row>
    <row r="27" spans="1:37" x14ac:dyDescent="0.35">
      <c r="B27" s="157" t="s">
        <v>205</v>
      </c>
      <c r="C27">
        <f>COUNTIF(C5:C21,"C")</f>
        <v>4</v>
      </c>
      <c r="D27">
        <f t="shared" ref="D27:G27" si="21">COUNTIF(D5:D21,"C")</f>
        <v>3</v>
      </c>
      <c r="E27">
        <f t="shared" si="21"/>
        <v>2</v>
      </c>
      <c r="F27">
        <f t="shared" si="21"/>
        <v>1</v>
      </c>
      <c r="G27">
        <f t="shared" si="21"/>
        <v>5</v>
      </c>
      <c r="H27">
        <f>COUNTIF(H5:H21,"WO")</f>
        <v>8</v>
      </c>
      <c r="I27">
        <f>COUNTIF(I5:I21,"WO")</f>
        <v>8</v>
      </c>
      <c r="J27">
        <f>COUNTIF(J5:J21,"C")</f>
        <v>5</v>
      </c>
      <c r="K27">
        <f t="shared" ref="K27:N27" si="22">COUNTIF(K5:K21,"C")</f>
        <v>3</v>
      </c>
      <c r="L27">
        <f t="shared" si="22"/>
        <v>2</v>
      </c>
      <c r="M27">
        <f t="shared" si="22"/>
        <v>3</v>
      </c>
      <c r="N27">
        <f t="shared" si="22"/>
        <v>4</v>
      </c>
      <c r="O27">
        <f>COUNTIF(O5:O21,"WO")</f>
        <v>6</v>
      </c>
      <c r="P27">
        <f>COUNTIF(P5:P21,"WO")</f>
        <v>8</v>
      </c>
      <c r="Q27">
        <f>COUNTIF(Q5:Q21,"C")</f>
        <v>4</v>
      </c>
      <c r="R27">
        <f t="shared" ref="R27:U27" si="23">COUNTIF(R5:R21,"C")</f>
        <v>2</v>
      </c>
      <c r="S27">
        <f t="shared" si="23"/>
        <v>4</v>
      </c>
      <c r="T27">
        <f t="shared" si="23"/>
        <v>3</v>
      </c>
      <c r="U27">
        <f t="shared" si="23"/>
        <v>3</v>
      </c>
      <c r="V27">
        <f>COUNTIF(V5:V21,"WO")</f>
        <v>7</v>
      </c>
      <c r="W27">
        <f>COUNTIF(W5:W21,"WO")</f>
        <v>8</v>
      </c>
      <c r="X27">
        <f>COUNTIF(X5:X21,"C")</f>
        <v>4</v>
      </c>
      <c r="Y27">
        <f t="shared" ref="Y27:AB27" si="24">COUNTIF(Y5:Y21,"C")</f>
        <v>1</v>
      </c>
      <c r="Z27">
        <f t="shared" si="24"/>
        <v>1</v>
      </c>
      <c r="AA27">
        <f t="shared" si="24"/>
        <v>2</v>
      </c>
      <c r="AB27">
        <f t="shared" si="24"/>
        <v>4</v>
      </c>
      <c r="AC27">
        <f>COUNTIF(AC5:AC21,"WO")</f>
        <v>7</v>
      </c>
      <c r="AD27">
        <f>COUNTIF(AD5:AD21,"WO")</f>
        <v>8</v>
      </c>
      <c r="AE27">
        <f>COUNTIF(AE5:AE21,"C")</f>
        <v>4</v>
      </c>
      <c r="AF27">
        <f t="shared" ref="AF27:AI27" si="25">COUNTIF(AF5:AF21,"C")</f>
        <v>2</v>
      </c>
      <c r="AG27">
        <f t="shared" si="25"/>
        <v>1</v>
      </c>
      <c r="AH27">
        <f t="shared" si="25"/>
        <v>1</v>
      </c>
      <c r="AI27">
        <f t="shared" si="25"/>
        <v>2</v>
      </c>
      <c r="AJ27">
        <f>COUNTIF(AJ5:AJ21,"WO")</f>
        <v>7</v>
      </c>
      <c r="AK27">
        <f>COUNTIF(AK5:AK21,"WO")</f>
        <v>9</v>
      </c>
    </row>
    <row r="28" spans="1:37" x14ac:dyDescent="0.35">
      <c r="B28" s="157" t="s">
        <v>206</v>
      </c>
      <c r="C28">
        <f t="shared" ref="C28:G28" si="26">COUNTIF(C5:C21,"PL")</f>
        <v>1</v>
      </c>
      <c r="D28">
        <f t="shared" si="26"/>
        <v>1</v>
      </c>
      <c r="E28">
        <f t="shared" si="26"/>
        <v>0</v>
      </c>
      <c r="F28">
        <f t="shared" si="26"/>
        <v>2</v>
      </c>
      <c r="G28">
        <f t="shared" si="26"/>
        <v>1</v>
      </c>
      <c r="H28">
        <f>COUNTIF(H5:H22,"PL")</f>
        <v>0</v>
      </c>
      <c r="I28">
        <f>COUNTIF(I5:I22,"PL")</f>
        <v>0</v>
      </c>
      <c r="J28">
        <f t="shared" ref="J28:N28" si="27">COUNTIF(J5:J21,"PL")</f>
        <v>1</v>
      </c>
      <c r="K28">
        <f t="shared" si="27"/>
        <v>2</v>
      </c>
      <c r="L28">
        <f t="shared" si="27"/>
        <v>2</v>
      </c>
      <c r="M28">
        <f t="shared" si="27"/>
        <v>1</v>
      </c>
      <c r="N28">
        <f t="shared" si="27"/>
        <v>1</v>
      </c>
      <c r="O28">
        <f>COUNTIF(O5:O22,"PL")</f>
        <v>1</v>
      </c>
      <c r="P28">
        <f>COUNTIF(P5:P22,"PL")</f>
        <v>0</v>
      </c>
      <c r="Q28">
        <f t="shared" ref="Q28:U28" si="28">COUNTIF(Q5:Q21,"PL")</f>
        <v>0</v>
      </c>
      <c r="R28">
        <f t="shared" si="28"/>
        <v>0</v>
      </c>
      <c r="S28">
        <f t="shared" si="28"/>
        <v>0</v>
      </c>
      <c r="T28">
        <f t="shared" si="28"/>
        <v>0</v>
      </c>
      <c r="U28">
        <f t="shared" si="28"/>
        <v>1</v>
      </c>
      <c r="V28">
        <f>COUNTIF(V5:V22,"PL")</f>
        <v>0</v>
      </c>
      <c r="W28">
        <f>COUNTIF(W5:W22,"PL")</f>
        <v>0</v>
      </c>
      <c r="X28">
        <f t="shared" ref="X28:AB28" si="29">COUNTIF(X5:X21,"PL")</f>
        <v>0</v>
      </c>
      <c r="Y28">
        <f t="shared" si="29"/>
        <v>1</v>
      </c>
      <c r="Z28">
        <f t="shared" si="29"/>
        <v>1</v>
      </c>
      <c r="AA28">
        <f t="shared" si="29"/>
        <v>1</v>
      </c>
      <c r="AB28">
        <f t="shared" si="29"/>
        <v>2</v>
      </c>
      <c r="AC28">
        <f>COUNTIF(AC5:AC22,"PL")</f>
        <v>0</v>
      </c>
      <c r="AD28">
        <f>COUNTIF(AD5:AD22,"PL")</f>
        <v>0</v>
      </c>
      <c r="AE28">
        <f t="shared" ref="AE28:AI28" si="30">COUNTIF(AE5:AE21,"PL")</f>
        <v>1</v>
      </c>
      <c r="AF28">
        <f t="shared" si="30"/>
        <v>2</v>
      </c>
      <c r="AG28">
        <f t="shared" si="30"/>
        <v>3</v>
      </c>
      <c r="AH28">
        <f t="shared" si="30"/>
        <v>2</v>
      </c>
      <c r="AI28">
        <f t="shared" si="30"/>
        <v>1</v>
      </c>
      <c r="AJ28">
        <f>COUNTIF(AJ5:AJ22,"PL")</f>
        <v>0</v>
      </c>
      <c r="AK28">
        <f>COUNTIF(AK5:AK22,"PL")</f>
        <v>0</v>
      </c>
    </row>
    <row r="29" spans="1:37" x14ac:dyDescent="0.35">
      <c r="B29" s="157" t="s">
        <v>33</v>
      </c>
      <c r="C29">
        <f>COUNTIF(C5:C21,"UPL")</f>
        <v>0</v>
      </c>
      <c r="D29">
        <f t="shared" ref="D29:G29" si="31">COUNTIF(D5:D21,"UPL")</f>
        <v>0</v>
      </c>
      <c r="E29">
        <f t="shared" si="31"/>
        <v>0</v>
      </c>
      <c r="F29">
        <f t="shared" si="31"/>
        <v>0</v>
      </c>
      <c r="G29">
        <f t="shared" si="31"/>
        <v>0</v>
      </c>
      <c r="H29">
        <f>COUNTIF(H5:H21,"UPL")</f>
        <v>0</v>
      </c>
      <c r="I29">
        <f>COUNTIF(I5:I21,"UPL")</f>
        <v>0</v>
      </c>
      <c r="J29">
        <f>COUNTIF(J5:J21,"UPL")</f>
        <v>0</v>
      </c>
      <c r="K29">
        <f t="shared" ref="K29:N29" si="32">COUNTIF(K5:K21,"UPL")</f>
        <v>0</v>
      </c>
      <c r="L29">
        <f t="shared" si="32"/>
        <v>0</v>
      </c>
      <c r="M29">
        <f t="shared" si="32"/>
        <v>0</v>
      </c>
      <c r="N29">
        <f t="shared" si="32"/>
        <v>0</v>
      </c>
      <c r="O29">
        <f>COUNTIF(O5:O21,"UPL")</f>
        <v>0</v>
      </c>
      <c r="P29">
        <f>COUNTIF(P5:P21,"UPL")</f>
        <v>0</v>
      </c>
      <c r="Q29">
        <f>COUNTIF(Q5:Q21,"UPL")</f>
        <v>0</v>
      </c>
      <c r="R29">
        <f t="shared" ref="R29:U29" si="33">COUNTIF(R5:R21,"UPL")</f>
        <v>0</v>
      </c>
      <c r="S29">
        <f t="shared" si="33"/>
        <v>0</v>
      </c>
      <c r="T29">
        <f t="shared" si="33"/>
        <v>0</v>
      </c>
      <c r="U29">
        <f t="shared" si="33"/>
        <v>0</v>
      </c>
      <c r="V29">
        <f>COUNTIF(V5:V21,"UPL")</f>
        <v>0</v>
      </c>
      <c r="W29">
        <f>COUNTIF(W5:W21,"UPL")</f>
        <v>0</v>
      </c>
      <c r="X29">
        <f>COUNTIF(X5:X21,"UPL")</f>
        <v>0</v>
      </c>
      <c r="Y29">
        <f t="shared" ref="Y29:AB29" si="34">COUNTIF(Y5:Y21,"UPL")</f>
        <v>0</v>
      </c>
      <c r="Z29">
        <f t="shared" si="34"/>
        <v>0</v>
      </c>
      <c r="AA29">
        <f t="shared" si="34"/>
        <v>0</v>
      </c>
      <c r="AB29">
        <f t="shared" si="34"/>
        <v>0</v>
      </c>
      <c r="AC29">
        <f>COUNTIF(AC5:AC21,"UPL")</f>
        <v>0</v>
      </c>
      <c r="AD29">
        <f>COUNTIF(AD5:AD21,"UPL")</f>
        <v>0</v>
      </c>
      <c r="AE29">
        <f>COUNTIF(AE5:AE21,"UPL")</f>
        <v>0</v>
      </c>
      <c r="AF29">
        <f t="shared" ref="AF29:AI29" si="35">COUNTIF(AF5:AF21,"UPL")</f>
        <v>0</v>
      </c>
      <c r="AG29">
        <f t="shared" si="35"/>
        <v>0</v>
      </c>
      <c r="AH29">
        <f t="shared" si="35"/>
        <v>0</v>
      </c>
      <c r="AI29">
        <f t="shared" si="35"/>
        <v>0</v>
      </c>
      <c r="AJ29">
        <f>COUNTIF(AJ5:AJ21,"UPL")</f>
        <v>0</v>
      </c>
      <c r="AK29">
        <f>COUNTIF(AK5:AK21,"UPL")</f>
        <v>0</v>
      </c>
    </row>
    <row r="30" spans="1:37" x14ac:dyDescent="0.35">
      <c r="B30" s="157" t="s">
        <v>207</v>
      </c>
      <c r="C30" s="158">
        <f t="shared" ref="C30:AK30" si="36">SUM(C23:C29)</f>
        <v>15</v>
      </c>
      <c r="D30" s="158">
        <f t="shared" si="36"/>
        <v>15</v>
      </c>
      <c r="E30" s="158">
        <f t="shared" si="36"/>
        <v>2</v>
      </c>
      <c r="F30" s="158">
        <f t="shared" si="36"/>
        <v>14</v>
      </c>
      <c r="G30" s="158">
        <f t="shared" si="36"/>
        <v>15</v>
      </c>
      <c r="H30" s="158">
        <f t="shared" si="36"/>
        <v>15</v>
      </c>
      <c r="I30" s="158">
        <f t="shared" si="36"/>
        <v>15</v>
      </c>
      <c r="J30" s="158">
        <f t="shared" si="36"/>
        <v>15</v>
      </c>
      <c r="K30" s="158">
        <f t="shared" si="36"/>
        <v>15</v>
      </c>
      <c r="L30" s="158">
        <f t="shared" si="36"/>
        <v>15</v>
      </c>
      <c r="M30" s="158">
        <f t="shared" si="36"/>
        <v>15</v>
      </c>
      <c r="N30" s="158">
        <f t="shared" si="36"/>
        <v>15</v>
      </c>
      <c r="O30" s="158">
        <f t="shared" si="36"/>
        <v>15</v>
      </c>
      <c r="P30" s="158">
        <f t="shared" si="36"/>
        <v>15</v>
      </c>
      <c r="Q30" s="158">
        <f t="shared" si="36"/>
        <v>15</v>
      </c>
      <c r="R30" s="158">
        <f t="shared" si="36"/>
        <v>15</v>
      </c>
      <c r="S30" s="158">
        <f t="shared" si="36"/>
        <v>15</v>
      </c>
      <c r="T30" s="158">
        <f t="shared" si="36"/>
        <v>15</v>
      </c>
      <c r="U30" s="158">
        <f t="shared" si="36"/>
        <v>15</v>
      </c>
      <c r="V30" s="158">
        <f t="shared" si="36"/>
        <v>15</v>
      </c>
      <c r="W30" s="158">
        <f t="shared" si="36"/>
        <v>15</v>
      </c>
      <c r="X30" s="158">
        <f t="shared" si="36"/>
        <v>15</v>
      </c>
      <c r="Y30" s="158">
        <f t="shared" si="36"/>
        <v>15</v>
      </c>
      <c r="Z30" s="158">
        <f t="shared" si="36"/>
        <v>15</v>
      </c>
      <c r="AA30" s="158">
        <f t="shared" si="36"/>
        <v>15</v>
      </c>
      <c r="AB30" s="158">
        <f t="shared" si="36"/>
        <v>15</v>
      </c>
      <c r="AC30" s="158">
        <f t="shared" si="36"/>
        <v>15</v>
      </c>
      <c r="AD30" s="158">
        <f t="shared" si="36"/>
        <v>15</v>
      </c>
      <c r="AE30" s="158">
        <f t="shared" si="36"/>
        <v>15</v>
      </c>
      <c r="AF30" s="158">
        <f t="shared" si="36"/>
        <v>15</v>
      </c>
      <c r="AG30" s="158">
        <f t="shared" si="36"/>
        <v>15</v>
      </c>
      <c r="AH30" s="158">
        <f t="shared" si="36"/>
        <v>15</v>
      </c>
      <c r="AI30" s="158">
        <f t="shared" si="36"/>
        <v>15</v>
      </c>
      <c r="AJ30" s="158">
        <f t="shared" si="36"/>
        <v>15</v>
      </c>
      <c r="AK30" s="158">
        <f t="shared" si="36"/>
        <v>15</v>
      </c>
    </row>
    <row r="32" spans="1:37" x14ac:dyDescent="0.35">
      <c r="B32" t="s">
        <v>212</v>
      </c>
    </row>
    <row r="33" spans="2:4" ht="15" thickBot="1" x14ac:dyDescent="0.4"/>
    <row r="34" spans="2:4" x14ac:dyDescent="0.35">
      <c r="B34" t="s">
        <v>213</v>
      </c>
      <c r="D34" s="132"/>
    </row>
    <row r="35" spans="2:4" ht="15" thickBot="1" x14ac:dyDescent="0.4">
      <c r="B35" t="s">
        <v>214</v>
      </c>
      <c r="D35" s="149"/>
    </row>
    <row r="36" spans="2:4" ht="15" thickBot="1" x14ac:dyDescent="0.4">
      <c r="B36" t="s">
        <v>215</v>
      </c>
      <c r="D36" s="153"/>
    </row>
    <row r="37" spans="2:4" ht="15" thickBot="1" x14ac:dyDescent="0.4">
      <c r="B37" t="s">
        <v>24</v>
      </c>
      <c r="D37" s="175"/>
    </row>
    <row r="38" spans="2:4" x14ac:dyDescent="0.35">
      <c r="B38" t="s">
        <v>216</v>
      </c>
      <c r="D38" s="176"/>
    </row>
    <row r="39" spans="2:4" x14ac:dyDescent="0.35">
      <c r="B39" t="s">
        <v>32</v>
      </c>
      <c r="D39" s="151"/>
    </row>
    <row r="40" spans="2:4" x14ac:dyDescent="0.35">
      <c r="B40" t="s">
        <v>33</v>
      </c>
      <c r="D40" s="177"/>
    </row>
    <row r="41" spans="2:4" ht="15" thickBot="1" x14ac:dyDescent="0.4">
      <c r="B41" t="s">
        <v>217</v>
      </c>
      <c r="D41" s="178"/>
    </row>
  </sheetData>
  <mergeCells count="3">
    <mergeCell ref="A4:A9"/>
    <mergeCell ref="A11:A15"/>
    <mergeCell ref="A17:A21"/>
  </mergeCells>
  <conditionalFormatting sqref="H23:I26">
    <cfRule type="cellIs" dxfId="37" priority="10" operator="lessThan">
      <formula>2</formula>
    </cfRule>
  </conditionalFormatting>
  <conditionalFormatting sqref="C23:G26">
    <cfRule type="cellIs" dxfId="36" priority="9" operator="lessThan">
      <formula>3</formula>
    </cfRule>
  </conditionalFormatting>
  <conditionalFormatting sqref="O23:P26">
    <cfRule type="cellIs" dxfId="35" priority="8" operator="lessThan">
      <formula>2</formula>
    </cfRule>
  </conditionalFormatting>
  <conditionalFormatting sqref="J23:N26">
    <cfRule type="cellIs" dxfId="34" priority="7" operator="lessThan">
      <formula>3</formula>
    </cfRule>
  </conditionalFormatting>
  <conditionalFormatting sqref="V23:W26">
    <cfRule type="cellIs" dxfId="33" priority="6" operator="lessThan">
      <formula>2</formula>
    </cfRule>
  </conditionalFormatting>
  <conditionalFormatting sqref="Q23:U26">
    <cfRule type="cellIs" dxfId="32" priority="5" operator="lessThan">
      <formula>3</formula>
    </cfRule>
  </conditionalFormatting>
  <conditionalFormatting sqref="AC23:AD26">
    <cfRule type="cellIs" dxfId="31" priority="4" operator="lessThan">
      <formula>2</formula>
    </cfRule>
  </conditionalFormatting>
  <conditionalFormatting sqref="X23:AB26">
    <cfRule type="cellIs" dxfId="30" priority="3" operator="lessThan">
      <formula>3</formula>
    </cfRule>
  </conditionalFormatting>
  <conditionalFormatting sqref="AJ23:AK26">
    <cfRule type="cellIs" dxfId="29" priority="2" operator="lessThan">
      <formula>2</formula>
    </cfRule>
  </conditionalFormatting>
  <conditionalFormatting sqref="AE23:AI26">
    <cfRule type="cellIs" dxfId="28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9"/>
  <sheetViews>
    <sheetView zoomScale="77" zoomScaleNormal="78" workbookViewId="0">
      <pane xSplit="1" topLeftCell="B1" activePane="topRight" state="frozen"/>
      <selection pane="topRight" activeCell="C28" sqref="C28"/>
    </sheetView>
  </sheetViews>
  <sheetFormatPr defaultRowHeight="14.5" x14ac:dyDescent="0.35"/>
  <cols>
    <col min="1" max="1" width="17.453125" bestFit="1" customWidth="1"/>
  </cols>
  <sheetData>
    <row r="1" spans="1:40" x14ac:dyDescent="0.35">
      <c r="A1" s="30"/>
      <c r="B1" s="2" t="str">
        <f t="shared" ref="B1:AN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si="0"/>
        <v>Mon</v>
      </c>
      <c r="G1" s="2" t="str">
        <f t="shared" si="0"/>
        <v>Tue</v>
      </c>
      <c r="H1" s="2" t="str">
        <f t="shared" si="0"/>
        <v>Wed</v>
      </c>
      <c r="I1" s="2" t="str">
        <f t="shared" si="0"/>
        <v>Thu</v>
      </c>
      <c r="J1" s="2" t="str">
        <f t="shared" si="0"/>
        <v>Fri</v>
      </c>
      <c r="K1" s="2" t="str">
        <f t="shared" si="0"/>
        <v>Sat</v>
      </c>
      <c r="L1" s="2" t="str">
        <f t="shared" si="0"/>
        <v>Sun</v>
      </c>
      <c r="M1" s="2" t="str">
        <f t="shared" si="0"/>
        <v>Mon</v>
      </c>
      <c r="N1" s="2" t="str">
        <f t="shared" si="0"/>
        <v>Tue</v>
      </c>
      <c r="O1" s="2" t="str">
        <f t="shared" si="0"/>
        <v>Wed</v>
      </c>
      <c r="P1" s="2" t="str">
        <f t="shared" si="0"/>
        <v>Thu</v>
      </c>
      <c r="Q1" s="2" t="str">
        <f t="shared" si="0"/>
        <v>Fri</v>
      </c>
      <c r="R1" s="2" t="str">
        <f t="shared" si="0"/>
        <v>Sat</v>
      </c>
      <c r="S1" s="2" t="str">
        <f t="shared" si="0"/>
        <v>Sun</v>
      </c>
      <c r="T1" s="2" t="str">
        <f t="shared" si="0"/>
        <v>Mon</v>
      </c>
      <c r="U1" s="2" t="str">
        <f t="shared" si="0"/>
        <v>Tue</v>
      </c>
      <c r="V1" s="2" t="str">
        <f t="shared" si="0"/>
        <v>Wed</v>
      </c>
      <c r="W1" s="2" t="str">
        <f t="shared" si="0"/>
        <v>Thu</v>
      </c>
      <c r="X1" s="2" t="str">
        <f t="shared" si="0"/>
        <v>Fri</v>
      </c>
      <c r="Y1" s="2" t="str">
        <f t="shared" si="0"/>
        <v>Sat</v>
      </c>
      <c r="Z1" s="2" t="str">
        <f t="shared" si="0"/>
        <v>Sun</v>
      </c>
      <c r="AA1" s="2" t="str">
        <f t="shared" si="0"/>
        <v>Mon</v>
      </c>
      <c r="AB1" s="2" t="str">
        <f t="shared" si="0"/>
        <v>Tue</v>
      </c>
      <c r="AC1" s="2" t="str">
        <f t="shared" si="0"/>
        <v>Wed</v>
      </c>
      <c r="AD1" s="2" t="str">
        <f t="shared" si="0"/>
        <v>Thu</v>
      </c>
      <c r="AE1" s="2" t="str">
        <f t="shared" si="0"/>
        <v>Fri</v>
      </c>
      <c r="AF1" s="2" t="str">
        <f t="shared" si="0"/>
        <v>Sat</v>
      </c>
      <c r="AG1" s="2" t="str">
        <f t="shared" si="0"/>
        <v>Sun</v>
      </c>
      <c r="AH1" s="2" t="str">
        <f t="shared" si="0"/>
        <v>Mon</v>
      </c>
      <c r="AI1" s="2" t="str">
        <f t="shared" si="0"/>
        <v>Tue</v>
      </c>
      <c r="AJ1" s="2" t="str">
        <f t="shared" si="0"/>
        <v>Wed</v>
      </c>
      <c r="AK1" s="2" t="str">
        <f t="shared" si="0"/>
        <v>Thu</v>
      </c>
      <c r="AL1" s="2" t="str">
        <f t="shared" si="0"/>
        <v>Fri</v>
      </c>
      <c r="AM1" s="2" t="str">
        <f t="shared" si="0"/>
        <v>Sat</v>
      </c>
      <c r="AN1" s="2" t="str">
        <f t="shared" si="0"/>
        <v>Sun</v>
      </c>
    </row>
    <row r="2" spans="1:40" x14ac:dyDescent="0.35">
      <c r="A2" s="124" t="s">
        <v>0</v>
      </c>
      <c r="B2" s="31">
        <v>44833</v>
      </c>
      <c r="C2" s="31">
        <v>44834</v>
      </c>
      <c r="D2" s="31">
        <v>44835</v>
      </c>
      <c r="E2" s="31">
        <v>44836</v>
      </c>
      <c r="F2" s="31">
        <v>44837</v>
      </c>
      <c r="G2" s="31">
        <v>44838</v>
      </c>
      <c r="H2" s="31">
        <v>44839</v>
      </c>
      <c r="I2" s="31">
        <v>44840</v>
      </c>
      <c r="J2" s="31">
        <v>44841</v>
      </c>
      <c r="K2" s="31">
        <v>44842</v>
      </c>
      <c r="L2" s="31">
        <v>44843</v>
      </c>
      <c r="M2" s="31">
        <v>44844</v>
      </c>
      <c r="N2" s="31">
        <v>44845</v>
      </c>
      <c r="O2" s="31">
        <v>44846</v>
      </c>
      <c r="P2" s="31">
        <v>44847</v>
      </c>
      <c r="Q2" s="31">
        <v>44848</v>
      </c>
      <c r="R2" s="31">
        <v>44849</v>
      </c>
      <c r="S2" s="31">
        <v>44850</v>
      </c>
      <c r="T2" s="31">
        <v>44851</v>
      </c>
      <c r="U2" s="31">
        <v>44852</v>
      </c>
      <c r="V2" s="31">
        <v>44853</v>
      </c>
      <c r="W2" s="31">
        <v>44854</v>
      </c>
      <c r="X2" s="31">
        <v>44855</v>
      </c>
      <c r="Y2" s="31">
        <v>44856</v>
      </c>
      <c r="Z2" s="31">
        <v>44857</v>
      </c>
      <c r="AA2" s="31">
        <v>44858</v>
      </c>
      <c r="AB2" s="31">
        <v>44859</v>
      </c>
      <c r="AC2" s="31">
        <v>44860</v>
      </c>
      <c r="AD2" s="31">
        <v>44861</v>
      </c>
      <c r="AE2" s="31">
        <v>44862</v>
      </c>
      <c r="AF2" s="31">
        <v>44863</v>
      </c>
      <c r="AG2" s="31">
        <v>44864</v>
      </c>
      <c r="AH2" s="31">
        <v>44865</v>
      </c>
      <c r="AI2" s="31">
        <v>44866</v>
      </c>
      <c r="AJ2" s="31">
        <v>44867</v>
      </c>
      <c r="AK2" s="31">
        <v>44868</v>
      </c>
      <c r="AL2" s="31">
        <v>44869</v>
      </c>
      <c r="AM2" s="31">
        <v>44870</v>
      </c>
      <c r="AN2" s="31">
        <v>44871</v>
      </c>
    </row>
    <row r="3" spans="1:40" ht="15" thickBot="1" x14ac:dyDescent="0.4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</row>
    <row r="4" spans="1:40" ht="15" thickBot="1" x14ac:dyDescent="0.4">
      <c r="A4" s="166" t="s">
        <v>14</v>
      </c>
      <c r="B4" s="147" t="s">
        <v>41</v>
      </c>
      <c r="C4" s="147" t="s">
        <v>41</v>
      </c>
      <c r="D4" s="147" t="s">
        <v>42</v>
      </c>
      <c r="E4" s="181" t="s">
        <v>4</v>
      </c>
      <c r="F4" s="131" t="s">
        <v>2</v>
      </c>
      <c r="G4" s="129" t="s">
        <v>5</v>
      </c>
      <c r="H4" s="156" t="s">
        <v>11</v>
      </c>
      <c r="I4" s="156" t="s">
        <v>10</v>
      </c>
      <c r="J4" s="156" t="s">
        <v>10</v>
      </c>
      <c r="K4" s="183" t="s">
        <v>11</v>
      </c>
      <c r="L4" s="181" t="s">
        <v>4</v>
      </c>
      <c r="M4" s="156" t="s">
        <v>10</v>
      </c>
      <c r="N4" s="156" t="s">
        <v>10</v>
      </c>
      <c r="O4" s="156" t="s">
        <v>10</v>
      </c>
      <c r="P4" s="129" t="s">
        <v>5</v>
      </c>
      <c r="Q4" s="129" t="s">
        <v>5</v>
      </c>
      <c r="R4" s="129" t="s">
        <v>4</v>
      </c>
      <c r="S4" s="129" t="s">
        <v>4</v>
      </c>
      <c r="T4" s="129" t="s">
        <v>5</v>
      </c>
      <c r="U4" s="129" t="s">
        <v>5</v>
      </c>
      <c r="V4" s="129" t="s">
        <v>5</v>
      </c>
      <c r="W4" s="129" t="s">
        <v>5</v>
      </c>
      <c r="X4" s="129" t="s">
        <v>5</v>
      </c>
      <c r="Y4" s="129" t="s">
        <v>4</v>
      </c>
      <c r="Z4" s="129" t="s">
        <v>4</v>
      </c>
      <c r="AA4" s="156" t="s">
        <v>11</v>
      </c>
      <c r="AB4" s="156" t="s">
        <v>10</v>
      </c>
      <c r="AC4" s="156" t="s">
        <v>10</v>
      </c>
      <c r="AD4" s="156" t="s">
        <v>10</v>
      </c>
      <c r="AE4" s="156" t="s">
        <v>10</v>
      </c>
      <c r="AF4" s="181" t="s">
        <v>4</v>
      </c>
      <c r="AG4" s="141" t="s">
        <v>3</v>
      </c>
      <c r="AH4" s="131" t="s">
        <v>2</v>
      </c>
      <c r="AI4" s="131" t="s">
        <v>2</v>
      </c>
      <c r="AM4" s="181" t="s">
        <v>4</v>
      </c>
      <c r="AN4" s="181" t="s">
        <v>4</v>
      </c>
    </row>
    <row r="5" spans="1:40" ht="15" thickBot="1" x14ac:dyDescent="0.4">
      <c r="A5" s="167" t="s">
        <v>12</v>
      </c>
      <c r="B5" s="149" t="s">
        <v>41</v>
      </c>
      <c r="C5" s="131" t="s">
        <v>2</v>
      </c>
      <c r="D5" s="130" t="s">
        <v>4</v>
      </c>
      <c r="E5" s="183" t="s">
        <v>11</v>
      </c>
      <c r="F5" s="156" t="s">
        <v>10</v>
      </c>
      <c r="G5" s="156" t="s">
        <v>10</v>
      </c>
      <c r="H5" s="156" t="s">
        <v>11</v>
      </c>
      <c r="I5" s="131" t="s">
        <v>2</v>
      </c>
      <c r="J5" s="131" t="s">
        <v>2</v>
      </c>
      <c r="K5" s="131" t="s">
        <v>2</v>
      </c>
      <c r="L5" s="183" t="s">
        <v>11</v>
      </c>
      <c r="M5" s="156" t="s">
        <v>10</v>
      </c>
      <c r="N5" s="156" t="s">
        <v>10</v>
      </c>
      <c r="O5" s="131" t="s">
        <v>2</v>
      </c>
      <c r="P5" s="156" t="s">
        <v>10</v>
      </c>
      <c r="Q5" s="156" t="s">
        <v>10</v>
      </c>
      <c r="R5" s="156" t="s">
        <v>11</v>
      </c>
      <c r="S5" s="156" t="s">
        <v>11</v>
      </c>
      <c r="T5" s="156" t="s">
        <v>10</v>
      </c>
      <c r="U5" s="131" t="s">
        <v>2</v>
      </c>
      <c r="V5" s="131" t="s">
        <v>2</v>
      </c>
      <c r="W5" s="156" t="s">
        <v>10</v>
      </c>
      <c r="X5" s="156" t="s">
        <v>10</v>
      </c>
      <c r="Y5" s="156" t="s">
        <v>11</v>
      </c>
      <c r="Z5" s="156" t="s">
        <v>11</v>
      </c>
      <c r="AA5" s="129" t="s">
        <v>5</v>
      </c>
      <c r="AB5" s="129" t="s">
        <v>5</v>
      </c>
      <c r="AC5" s="129" t="s">
        <v>5</v>
      </c>
      <c r="AD5" s="129" t="s">
        <v>5</v>
      </c>
      <c r="AE5" s="129" t="s">
        <v>5</v>
      </c>
      <c r="AF5" s="156" t="s">
        <v>11</v>
      </c>
      <c r="AG5" s="181" t="s">
        <v>4</v>
      </c>
      <c r="AH5" s="25" t="s">
        <v>6</v>
      </c>
      <c r="AI5" s="25" t="s">
        <v>6</v>
      </c>
      <c r="AM5" s="181" t="s">
        <v>4</v>
      </c>
      <c r="AN5" s="181" t="s">
        <v>4</v>
      </c>
    </row>
    <row r="6" spans="1:40" ht="15" thickBot="1" x14ac:dyDescent="0.4">
      <c r="A6" s="169" t="s">
        <v>86</v>
      </c>
      <c r="B6" s="140" t="s">
        <v>5</v>
      </c>
      <c r="C6" s="137" t="s">
        <v>2</v>
      </c>
      <c r="D6" s="139" t="s">
        <v>4</v>
      </c>
      <c r="E6" s="156" t="s">
        <v>11</v>
      </c>
      <c r="F6" s="156" t="s">
        <v>10</v>
      </c>
      <c r="G6" s="156" t="s">
        <v>10</v>
      </c>
      <c r="H6" s="156" t="s">
        <v>10</v>
      </c>
      <c r="I6" s="131" t="s">
        <v>2</v>
      </c>
      <c r="J6" s="131" t="s">
        <v>2</v>
      </c>
      <c r="K6" s="181" t="s">
        <v>4</v>
      </c>
      <c r="L6" s="183" t="s">
        <v>11</v>
      </c>
      <c r="M6" s="156" t="s">
        <v>10</v>
      </c>
      <c r="N6" s="156" t="s">
        <v>10</v>
      </c>
      <c r="O6" s="156" t="s">
        <v>10</v>
      </c>
      <c r="P6" s="156" t="s">
        <v>10</v>
      </c>
      <c r="Q6" s="131" t="s">
        <v>2</v>
      </c>
      <c r="R6" s="181" t="s">
        <v>4</v>
      </c>
      <c r="S6" s="156" t="s">
        <v>11</v>
      </c>
      <c r="T6" s="156" t="s">
        <v>10</v>
      </c>
      <c r="U6" s="156" t="s">
        <v>10</v>
      </c>
      <c r="V6" s="156" t="s">
        <v>10</v>
      </c>
      <c r="W6" s="156" t="s">
        <v>10</v>
      </c>
      <c r="X6" s="131" t="s">
        <v>2</v>
      </c>
      <c r="Y6" s="156" t="s">
        <v>11</v>
      </c>
      <c r="Z6" s="156" t="s">
        <v>11</v>
      </c>
      <c r="AA6" s="156" t="s">
        <v>11</v>
      </c>
      <c r="AB6" s="156" t="s">
        <v>10</v>
      </c>
      <c r="AC6" s="156" t="s">
        <v>10</v>
      </c>
      <c r="AD6" s="131" t="s">
        <v>2</v>
      </c>
      <c r="AE6" s="131" t="s">
        <v>2</v>
      </c>
      <c r="AF6" s="181" t="s">
        <v>4</v>
      </c>
      <c r="AG6" s="141" t="s">
        <v>3</v>
      </c>
      <c r="AH6" s="25" t="s">
        <v>6</v>
      </c>
      <c r="AM6" s="181" t="s">
        <v>4</v>
      </c>
      <c r="AN6" s="181" t="s">
        <v>4</v>
      </c>
    </row>
    <row r="7" spans="1:40" ht="15" thickBot="1" x14ac:dyDescent="0.4">
      <c r="A7" s="170" t="s">
        <v>88</v>
      </c>
      <c r="B7" s="19" t="s">
        <v>41</v>
      </c>
      <c r="C7" s="19" t="s">
        <v>41</v>
      </c>
      <c r="D7" s="19" t="s">
        <v>42</v>
      </c>
      <c r="E7" s="143" t="s">
        <v>4</v>
      </c>
      <c r="F7" s="22" t="s">
        <v>16</v>
      </c>
      <c r="G7" s="22" t="s">
        <v>16</v>
      </c>
      <c r="H7" s="129" t="s">
        <v>5</v>
      </c>
      <c r="I7" s="156" t="s">
        <v>10</v>
      </c>
      <c r="J7" s="156" t="s">
        <v>10</v>
      </c>
      <c r="K7" s="183" t="s">
        <v>11</v>
      </c>
      <c r="L7" s="181" t="s">
        <v>4</v>
      </c>
      <c r="M7" s="131" t="s">
        <v>2</v>
      </c>
      <c r="N7" s="131" t="s">
        <v>2</v>
      </c>
      <c r="O7" s="156" t="s">
        <v>10</v>
      </c>
      <c r="P7" s="156" t="s">
        <v>10</v>
      </c>
      <c r="Q7" s="156" t="s">
        <v>10</v>
      </c>
      <c r="R7" s="156" t="s">
        <v>11</v>
      </c>
      <c r="S7" s="156" t="s">
        <v>11</v>
      </c>
      <c r="T7" s="131" t="s">
        <v>2</v>
      </c>
      <c r="U7" s="156" t="s">
        <v>10</v>
      </c>
      <c r="V7" s="156" t="s">
        <v>10</v>
      </c>
      <c r="W7" s="156" t="s">
        <v>10</v>
      </c>
      <c r="X7" s="156" t="s">
        <v>10</v>
      </c>
      <c r="Y7" s="129" t="s">
        <v>4</v>
      </c>
      <c r="Z7" s="129" t="s">
        <v>4</v>
      </c>
      <c r="AA7" s="156" t="s">
        <v>11</v>
      </c>
      <c r="AB7" s="131" t="s">
        <v>2</v>
      </c>
      <c r="AC7" s="156" t="s">
        <v>11</v>
      </c>
      <c r="AD7" s="156" t="s">
        <v>10</v>
      </c>
      <c r="AE7" s="156" t="s">
        <v>10</v>
      </c>
      <c r="AF7" s="156" t="s">
        <v>11</v>
      </c>
      <c r="AG7" s="181" t="s">
        <v>4</v>
      </c>
      <c r="AH7" s="131" t="s">
        <v>2</v>
      </c>
      <c r="AM7" s="181" t="s">
        <v>4</v>
      </c>
      <c r="AN7" s="181" t="s">
        <v>4</v>
      </c>
    </row>
    <row r="8" spans="1:40" ht="15" thickBot="1" x14ac:dyDescent="0.4">
      <c r="A8" s="170" t="s">
        <v>87</v>
      </c>
      <c r="B8" s="22" t="s">
        <v>16</v>
      </c>
      <c r="C8" s="19" t="s">
        <v>41</v>
      </c>
      <c r="D8" s="143" t="s">
        <v>4</v>
      </c>
      <c r="E8" s="143" t="s">
        <v>4</v>
      </c>
      <c r="F8" s="156" t="s">
        <v>10</v>
      </c>
      <c r="G8" s="156" t="s">
        <v>10</v>
      </c>
      <c r="H8" s="129" t="s">
        <v>5</v>
      </c>
      <c r="I8" s="156" t="s">
        <v>10</v>
      </c>
      <c r="J8" s="156" t="s">
        <v>10</v>
      </c>
      <c r="K8" s="183" t="s">
        <v>11</v>
      </c>
      <c r="L8" s="183" t="s">
        <v>11</v>
      </c>
      <c r="M8" s="131" t="s">
        <v>2</v>
      </c>
      <c r="N8" s="131" t="s">
        <v>2</v>
      </c>
      <c r="O8" s="22" t="s">
        <v>16</v>
      </c>
      <c r="P8" s="22" t="s">
        <v>16</v>
      </c>
      <c r="Q8" s="156" t="s">
        <v>10</v>
      </c>
      <c r="R8" s="156" t="s">
        <v>11</v>
      </c>
      <c r="S8" s="181" t="s">
        <v>4</v>
      </c>
      <c r="T8" s="156" t="s">
        <v>10</v>
      </c>
      <c r="U8" s="156" t="s">
        <v>10</v>
      </c>
      <c r="V8" s="156" t="s">
        <v>10</v>
      </c>
      <c r="W8" s="131" t="s">
        <v>2</v>
      </c>
      <c r="X8" s="156" t="s">
        <v>10</v>
      </c>
      <c r="Y8" s="156" t="s">
        <v>11</v>
      </c>
      <c r="Z8" s="156" t="s">
        <v>11</v>
      </c>
      <c r="AA8" s="129" t="s">
        <v>5</v>
      </c>
      <c r="AB8" s="156" t="s">
        <v>10</v>
      </c>
      <c r="AC8" s="129" t="s">
        <v>5</v>
      </c>
      <c r="AD8" s="156" t="s">
        <v>10</v>
      </c>
      <c r="AE8" s="156" t="s">
        <v>10</v>
      </c>
      <c r="AF8" s="156" t="s">
        <v>11</v>
      </c>
      <c r="AG8" s="181" t="s">
        <v>4</v>
      </c>
      <c r="AH8" s="25" t="s">
        <v>6</v>
      </c>
      <c r="AM8" s="181" t="s">
        <v>4</v>
      </c>
      <c r="AN8" s="181" t="s">
        <v>4</v>
      </c>
    </row>
    <row r="9" spans="1:40" ht="15" thickBot="1" x14ac:dyDescent="0.4">
      <c r="B9" s="171"/>
      <c r="C9" s="171"/>
      <c r="D9" s="171"/>
    </row>
    <row r="10" spans="1:40" ht="15" thickBot="1" x14ac:dyDescent="0.4">
      <c r="A10" s="166" t="s">
        <v>9</v>
      </c>
      <c r="B10" s="152" t="s">
        <v>10</v>
      </c>
      <c r="C10" s="152" t="s">
        <v>10</v>
      </c>
      <c r="D10" s="139" t="s">
        <v>4</v>
      </c>
      <c r="E10" s="185" t="s">
        <v>3</v>
      </c>
      <c r="F10" s="25" t="s">
        <v>6</v>
      </c>
      <c r="G10" s="185" t="s">
        <v>3</v>
      </c>
      <c r="H10" s="129" t="s">
        <v>5</v>
      </c>
      <c r="I10" s="129" t="s">
        <v>5</v>
      </c>
      <c r="J10" s="129" t="s">
        <v>5</v>
      </c>
      <c r="K10" s="129" t="s">
        <v>4</v>
      </c>
      <c r="L10" s="129" t="s">
        <v>4</v>
      </c>
      <c r="M10" s="25" t="s">
        <v>6</v>
      </c>
      <c r="N10" s="25" t="s">
        <v>6</v>
      </c>
      <c r="O10" s="25" t="s">
        <v>6</v>
      </c>
      <c r="P10" s="131" t="s">
        <v>2</v>
      </c>
      <c r="Q10" s="25" t="s">
        <v>6</v>
      </c>
      <c r="R10" s="25" t="s">
        <v>3</v>
      </c>
      <c r="S10" s="181" t="s">
        <v>4</v>
      </c>
      <c r="T10" s="131" t="s">
        <v>2</v>
      </c>
      <c r="U10" s="131" t="s">
        <v>2</v>
      </c>
      <c r="V10" s="25" t="s">
        <v>6</v>
      </c>
      <c r="W10" s="25" t="s">
        <v>6</v>
      </c>
      <c r="X10" s="131" t="s">
        <v>2</v>
      </c>
      <c r="Y10" s="181" t="s">
        <v>4</v>
      </c>
      <c r="Z10" s="185" t="s">
        <v>3</v>
      </c>
      <c r="AA10" s="185" t="s">
        <v>3</v>
      </c>
      <c r="AB10" s="25" t="s">
        <v>6</v>
      </c>
      <c r="AC10" s="129" t="s">
        <v>5</v>
      </c>
      <c r="AD10" s="25" t="s">
        <v>6</v>
      </c>
      <c r="AE10" s="131" t="s">
        <v>2</v>
      </c>
      <c r="AF10" s="25" t="s">
        <v>3</v>
      </c>
      <c r="AG10" s="181" t="s">
        <v>4</v>
      </c>
      <c r="AH10" s="131" t="s">
        <v>2</v>
      </c>
      <c r="AM10" s="181" t="s">
        <v>4</v>
      </c>
      <c r="AN10" s="181" t="s">
        <v>4</v>
      </c>
    </row>
    <row r="11" spans="1:40" ht="15" thickBot="1" x14ac:dyDescent="0.4">
      <c r="A11" s="167" t="s">
        <v>15</v>
      </c>
      <c r="B11" s="131" t="s">
        <v>2</v>
      </c>
      <c r="C11" s="22" t="s">
        <v>16</v>
      </c>
      <c r="D11" s="152" t="s">
        <v>11</v>
      </c>
      <c r="E11" s="139" t="s">
        <v>4</v>
      </c>
      <c r="F11" s="137" t="s">
        <v>2</v>
      </c>
      <c r="G11" s="25" t="s">
        <v>6</v>
      </c>
      <c r="H11" s="25" t="s">
        <v>3</v>
      </c>
      <c r="I11" s="25" t="s">
        <v>6</v>
      </c>
      <c r="J11" s="25" t="s">
        <v>6</v>
      </c>
      <c r="K11" s="25" t="s">
        <v>3</v>
      </c>
      <c r="L11" s="25" t="s">
        <v>3</v>
      </c>
      <c r="M11" s="137" t="s">
        <v>2</v>
      </c>
      <c r="N11" s="137" t="s">
        <v>2</v>
      </c>
      <c r="O11" s="25" t="s">
        <v>6</v>
      </c>
      <c r="P11" s="25" t="s">
        <v>6</v>
      </c>
      <c r="Q11" s="25" t="s">
        <v>6</v>
      </c>
      <c r="R11" s="181" t="s">
        <v>4</v>
      </c>
      <c r="S11" s="25" t="s">
        <v>3</v>
      </c>
      <c r="T11" s="25" t="s">
        <v>6</v>
      </c>
      <c r="U11" s="25" t="s">
        <v>6</v>
      </c>
      <c r="V11" s="131" t="s">
        <v>2</v>
      </c>
      <c r="W11" s="131" t="s">
        <v>2</v>
      </c>
      <c r="X11" s="25" t="s">
        <v>6</v>
      </c>
      <c r="Y11" s="25" t="s">
        <v>3</v>
      </c>
      <c r="Z11" s="181" t="s">
        <v>4</v>
      </c>
      <c r="AA11" s="144" t="s">
        <v>37</v>
      </c>
      <c r="AB11" s="25" t="s">
        <v>6</v>
      </c>
      <c r="AC11" s="25" t="s">
        <v>6</v>
      </c>
      <c r="AD11" s="129" t="s">
        <v>5</v>
      </c>
      <c r="AE11" s="25" t="s">
        <v>6</v>
      </c>
      <c r="AF11" s="181" t="s">
        <v>4</v>
      </c>
      <c r="AG11" s="19" t="s">
        <v>42</v>
      </c>
      <c r="AH11" s="19" t="s">
        <v>41</v>
      </c>
      <c r="AM11" s="181" t="s">
        <v>4</v>
      </c>
      <c r="AN11" s="181" t="s">
        <v>4</v>
      </c>
    </row>
    <row r="12" spans="1:40" ht="15" thickBot="1" x14ac:dyDescent="0.4">
      <c r="A12" s="169" t="s">
        <v>21</v>
      </c>
      <c r="B12" s="156" t="s">
        <v>10</v>
      </c>
      <c r="C12" s="156" t="s">
        <v>10</v>
      </c>
      <c r="D12" s="156" t="s">
        <v>11</v>
      </c>
      <c r="E12" s="139" t="s">
        <v>4</v>
      </c>
      <c r="F12" s="25" t="s">
        <v>6</v>
      </c>
      <c r="G12" s="129" t="s">
        <v>5</v>
      </c>
      <c r="H12" s="25" t="s">
        <v>3</v>
      </c>
      <c r="I12" s="25" t="s">
        <v>6</v>
      </c>
      <c r="J12" s="25" t="s">
        <v>6</v>
      </c>
      <c r="K12" s="25" t="s">
        <v>3</v>
      </c>
      <c r="L12" s="181" t="s">
        <v>4</v>
      </c>
      <c r="M12" s="137" t="s">
        <v>2</v>
      </c>
      <c r="N12" s="25" t="s">
        <v>6</v>
      </c>
      <c r="O12" s="25" t="s">
        <v>6</v>
      </c>
      <c r="P12" s="129" t="s">
        <v>5</v>
      </c>
      <c r="Q12" s="129" t="s">
        <v>5</v>
      </c>
      <c r="R12" s="181" t="s">
        <v>4</v>
      </c>
      <c r="S12" s="25" t="s">
        <v>3</v>
      </c>
      <c r="T12" s="25" t="s">
        <v>6</v>
      </c>
      <c r="U12" s="25" t="s">
        <v>6</v>
      </c>
      <c r="V12" s="25" t="s">
        <v>6</v>
      </c>
      <c r="W12" s="129" t="s">
        <v>5</v>
      </c>
      <c r="X12" s="129" t="s">
        <v>5</v>
      </c>
      <c r="Y12" s="181" t="s">
        <v>4</v>
      </c>
      <c r="Z12" s="185" t="s">
        <v>3</v>
      </c>
      <c r="AA12" s="185" t="s">
        <v>3</v>
      </c>
      <c r="AB12" s="131" t="s">
        <v>2</v>
      </c>
      <c r="AC12" s="83" t="s">
        <v>6</v>
      </c>
      <c r="AD12" s="83" t="s">
        <v>6</v>
      </c>
      <c r="AE12" s="83" t="s">
        <v>6</v>
      </c>
      <c r="AF12" s="84" t="s">
        <v>30</v>
      </c>
      <c r="AG12" s="162" t="s">
        <v>42</v>
      </c>
      <c r="AH12" s="162" t="s">
        <v>41</v>
      </c>
      <c r="AM12" s="181" t="s">
        <v>4</v>
      </c>
      <c r="AN12" s="181" t="s">
        <v>4</v>
      </c>
    </row>
    <row r="13" spans="1:40" ht="15" thickBot="1" x14ac:dyDescent="0.4">
      <c r="A13" s="170" t="s">
        <v>22</v>
      </c>
      <c r="B13" s="16" t="s">
        <v>10</v>
      </c>
      <c r="C13" s="130" t="s">
        <v>4</v>
      </c>
      <c r="D13" s="130" t="s">
        <v>4</v>
      </c>
      <c r="E13" s="83" t="s">
        <v>3</v>
      </c>
      <c r="F13" s="83" t="s">
        <v>6</v>
      </c>
      <c r="G13" s="83" t="s">
        <v>6</v>
      </c>
      <c r="H13" s="83" t="s">
        <v>3</v>
      </c>
      <c r="I13" s="83" t="s">
        <v>6</v>
      </c>
      <c r="J13" s="129" t="s">
        <v>5</v>
      </c>
      <c r="K13" s="129" t="s">
        <v>4</v>
      </c>
      <c r="L13" s="25" t="s">
        <v>3</v>
      </c>
      <c r="M13" s="25" t="s">
        <v>6</v>
      </c>
      <c r="N13" s="25" t="s">
        <v>6</v>
      </c>
      <c r="O13" s="131" t="s">
        <v>2</v>
      </c>
      <c r="P13" s="25" t="s">
        <v>6</v>
      </c>
      <c r="Q13" s="25" t="s">
        <v>6</v>
      </c>
      <c r="R13" s="25" t="s">
        <v>3</v>
      </c>
      <c r="S13" s="181" t="s">
        <v>4</v>
      </c>
      <c r="T13" s="137" t="s">
        <v>2</v>
      </c>
      <c r="U13" s="25" t="s">
        <v>6</v>
      </c>
      <c r="V13" s="25" t="s">
        <v>6</v>
      </c>
      <c r="W13" s="25" t="s">
        <v>6</v>
      </c>
      <c r="X13" s="25" t="s">
        <v>6</v>
      </c>
      <c r="Y13" s="25" t="s">
        <v>3</v>
      </c>
      <c r="Z13" s="181" t="s">
        <v>4</v>
      </c>
      <c r="AA13" s="129" t="s">
        <v>5</v>
      </c>
      <c r="AB13" s="129" t="s">
        <v>5</v>
      </c>
      <c r="AC13" s="25" t="s">
        <v>6</v>
      </c>
      <c r="AD13" s="25" t="s">
        <v>6</v>
      </c>
      <c r="AE13" s="25" t="s">
        <v>6</v>
      </c>
      <c r="AF13" s="25" t="s">
        <v>3</v>
      </c>
      <c r="AG13" s="181" t="s">
        <v>4</v>
      </c>
      <c r="AH13" s="84" t="s">
        <v>41</v>
      </c>
      <c r="AM13" s="181" t="s">
        <v>4</v>
      </c>
      <c r="AN13" s="181" t="s">
        <v>4</v>
      </c>
    </row>
    <row r="14" spans="1:40" ht="15" thickBot="1" x14ac:dyDescent="0.4">
      <c r="A14" s="170" t="s">
        <v>200</v>
      </c>
      <c r="B14" s="22" t="s">
        <v>16</v>
      </c>
      <c r="C14" s="16" t="s">
        <v>10</v>
      </c>
      <c r="D14" s="16" t="s">
        <v>11</v>
      </c>
      <c r="E14" s="143" t="s">
        <v>4</v>
      </c>
      <c r="F14" s="137" t="s">
        <v>2</v>
      </c>
      <c r="G14" s="25" t="s">
        <v>6</v>
      </c>
      <c r="H14" s="144" t="s">
        <v>37</v>
      </c>
      <c r="I14" s="25" t="s">
        <v>6</v>
      </c>
      <c r="J14" s="25" t="s">
        <v>6</v>
      </c>
      <c r="K14" s="22" t="s">
        <v>30</v>
      </c>
      <c r="L14" s="181" t="s">
        <v>4</v>
      </c>
      <c r="M14" s="25" t="s">
        <v>6</v>
      </c>
      <c r="N14" s="25" t="s">
        <v>6</v>
      </c>
      <c r="O14" s="131" t="s">
        <v>2</v>
      </c>
      <c r="P14" s="25" t="s">
        <v>6</v>
      </c>
      <c r="Q14" s="25" t="s">
        <v>6</v>
      </c>
      <c r="R14" s="22" t="s">
        <v>30</v>
      </c>
      <c r="S14" s="181" t="s">
        <v>4</v>
      </c>
      <c r="T14" s="25" t="s">
        <v>6</v>
      </c>
      <c r="U14" s="25" t="s">
        <v>6</v>
      </c>
      <c r="V14" s="131" t="s">
        <v>2</v>
      </c>
      <c r="W14" s="25" t="s">
        <v>6</v>
      </c>
      <c r="X14" s="25" t="s">
        <v>6</v>
      </c>
      <c r="Y14" s="22" t="s">
        <v>30</v>
      </c>
      <c r="Z14" s="181" t="s">
        <v>4</v>
      </c>
      <c r="AA14" s="185" t="s">
        <v>3</v>
      </c>
      <c r="AB14" s="25" t="s">
        <v>6</v>
      </c>
      <c r="AC14" s="25" t="s">
        <v>6</v>
      </c>
      <c r="AD14" s="129" t="s">
        <v>5</v>
      </c>
      <c r="AE14" s="129" t="s">
        <v>5</v>
      </c>
      <c r="AF14" s="181" t="s">
        <v>4</v>
      </c>
      <c r="AG14" s="181" t="s">
        <v>4</v>
      </c>
      <c r="AH14" s="19" t="s">
        <v>41</v>
      </c>
      <c r="AM14" s="181" t="s">
        <v>4</v>
      </c>
      <c r="AN14" s="181" t="s">
        <v>4</v>
      </c>
    </row>
    <row r="15" spans="1:40" ht="15" thickBot="1" x14ac:dyDescent="0.4">
      <c r="B15" s="171"/>
      <c r="C15" s="171"/>
      <c r="D15" s="171"/>
    </row>
    <row r="16" spans="1:40" ht="15" thickBot="1" x14ac:dyDescent="0.4">
      <c r="A16" s="166" t="s">
        <v>1</v>
      </c>
      <c r="B16" s="132" t="s">
        <v>6</v>
      </c>
      <c r="C16" s="133" t="s">
        <v>2</v>
      </c>
      <c r="D16" s="134" t="s">
        <v>3</v>
      </c>
      <c r="E16" s="186" t="s">
        <v>42</v>
      </c>
      <c r="F16" s="137" t="s">
        <v>2</v>
      </c>
      <c r="G16" s="215" t="s">
        <v>41</v>
      </c>
      <c r="H16" s="186" t="s">
        <v>42</v>
      </c>
      <c r="I16" s="162" t="s">
        <v>41</v>
      </c>
      <c r="J16" s="137" t="s">
        <v>2</v>
      </c>
      <c r="K16" s="186" t="s">
        <v>42</v>
      </c>
      <c r="L16" s="129" t="s">
        <v>4</v>
      </c>
      <c r="M16" s="162" t="s">
        <v>41</v>
      </c>
      <c r="N16" s="162" t="s">
        <v>41</v>
      </c>
      <c r="O16" s="19" t="s">
        <v>41</v>
      </c>
      <c r="P16" s="19" t="s">
        <v>41</v>
      </c>
      <c r="Q16" s="131" t="s">
        <v>2</v>
      </c>
      <c r="R16" s="181" t="s">
        <v>4</v>
      </c>
      <c r="S16" s="186" t="s">
        <v>42</v>
      </c>
      <c r="T16" s="162" t="s">
        <v>41</v>
      </c>
      <c r="U16" s="162" t="s">
        <v>41</v>
      </c>
      <c r="V16" s="19" t="s">
        <v>41</v>
      </c>
      <c r="W16" s="19" t="s">
        <v>41</v>
      </c>
      <c r="X16" s="19" t="s">
        <v>41</v>
      </c>
      <c r="Y16" s="181" t="s">
        <v>4</v>
      </c>
      <c r="Z16" s="186" t="s">
        <v>42</v>
      </c>
      <c r="AA16" s="19" t="s">
        <v>41</v>
      </c>
      <c r="AB16" s="19" t="s">
        <v>41</v>
      </c>
      <c r="AC16" s="19" t="s">
        <v>41</v>
      </c>
      <c r="AD16" s="131" t="s">
        <v>2</v>
      </c>
      <c r="AE16" s="131" t="s">
        <v>2</v>
      </c>
      <c r="AF16" s="186" t="s">
        <v>42</v>
      </c>
      <c r="AG16" s="129" t="s">
        <v>5</v>
      </c>
      <c r="AH16" s="129" t="s">
        <v>5</v>
      </c>
      <c r="AM16" s="181" t="s">
        <v>4</v>
      </c>
      <c r="AN16" s="181" t="s">
        <v>4</v>
      </c>
    </row>
    <row r="17" spans="1:40" ht="15" thickBot="1" x14ac:dyDescent="0.4">
      <c r="A17" s="167" t="s">
        <v>18</v>
      </c>
      <c r="B17" s="134" t="s">
        <v>6</v>
      </c>
      <c r="C17" s="134" t="s">
        <v>6</v>
      </c>
      <c r="D17" s="188" t="s">
        <v>4</v>
      </c>
      <c r="E17" s="188" t="s">
        <v>4</v>
      </c>
      <c r="F17" s="22" t="s">
        <v>16</v>
      </c>
      <c r="G17" s="22" t="s">
        <v>16</v>
      </c>
      <c r="H17" s="144" t="s">
        <v>37</v>
      </c>
      <c r="I17" s="22" t="s">
        <v>16</v>
      </c>
      <c r="J17" s="22" t="s">
        <v>16</v>
      </c>
      <c r="K17" s="181" t="s">
        <v>4</v>
      </c>
      <c r="L17" s="181" t="s">
        <v>4</v>
      </c>
      <c r="M17" s="22" t="s">
        <v>16</v>
      </c>
      <c r="N17" s="22" t="s">
        <v>16</v>
      </c>
      <c r="O17" s="22" t="s">
        <v>16</v>
      </c>
      <c r="P17" s="22" t="s">
        <v>16</v>
      </c>
      <c r="Q17" s="22" t="s">
        <v>16</v>
      </c>
      <c r="R17" s="181" t="s">
        <v>4</v>
      </c>
      <c r="S17" s="181" t="s">
        <v>4</v>
      </c>
      <c r="T17" s="22" t="s">
        <v>16</v>
      </c>
      <c r="U17" s="22" t="s">
        <v>16</v>
      </c>
      <c r="V17" s="22" t="s">
        <v>16</v>
      </c>
      <c r="W17" s="22" t="s">
        <v>16</v>
      </c>
      <c r="X17" s="22" t="s">
        <v>16</v>
      </c>
      <c r="Y17" s="181" t="s">
        <v>4</v>
      </c>
      <c r="Z17" s="181" t="s">
        <v>4</v>
      </c>
      <c r="AA17" s="144" t="s">
        <v>37</v>
      </c>
      <c r="AB17" s="22" t="s">
        <v>16</v>
      </c>
      <c r="AC17" s="191"/>
      <c r="AD17" s="191"/>
      <c r="AE17" s="191"/>
      <c r="AF17" s="181" t="s">
        <v>4</v>
      </c>
      <c r="AG17" s="181" t="s">
        <v>4</v>
      </c>
      <c r="AH17" s="191"/>
      <c r="AM17" s="181" t="s">
        <v>4</v>
      </c>
      <c r="AN17" s="181" t="s">
        <v>4</v>
      </c>
    </row>
    <row r="18" spans="1:40" ht="15" thickBot="1" x14ac:dyDescent="0.4">
      <c r="A18" s="169" t="s">
        <v>85</v>
      </c>
      <c r="B18" s="141" t="s">
        <v>6</v>
      </c>
      <c r="C18" s="137" t="s">
        <v>2</v>
      </c>
      <c r="D18" s="139" t="s">
        <v>4</v>
      </c>
      <c r="E18" s="163" t="s">
        <v>42</v>
      </c>
      <c r="F18" s="162" t="s">
        <v>41</v>
      </c>
      <c r="G18" s="162" t="s">
        <v>41</v>
      </c>
      <c r="H18" s="192" t="s">
        <v>42</v>
      </c>
      <c r="I18" s="162" t="s">
        <v>41</v>
      </c>
      <c r="J18" s="162" t="s">
        <v>41</v>
      </c>
      <c r="K18" s="181" t="s">
        <v>4</v>
      </c>
      <c r="L18" s="19" t="s">
        <v>42</v>
      </c>
      <c r="M18" s="19" t="s">
        <v>41</v>
      </c>
      <c r="N18" s="19" t="s">
        <v>41</v>
      </c>
      <c r="O18" s="131" t="s">
        <v>2</v>
      </c>
      <c r="P18" s="19" t="s">
        <v>41</v>
      </c>
      <c r="Q18" s="19" t="s">
        <v>41</v>
      </c>
      <c r="R18" s="181" t="s">
        <v>4</v>
      </c>
      <c r="S18" s="19" t="s">
        <v>41</v>
      </c>
      <c r="T18" s="131" t="s">
        <v>2</v>
      </c>
      <c r="U18" s="19" t="s">
        <v>41</v>
      </c>
      <c r="V18" s="19" t="s">
        <v>41</v>
      </c>
      <c r="W18" s="19" t="s">
        <v>41</v>
      </c>
      <c r="X18" s="19" t="s">
        <v>41</v>
      </c>
      <c r="Y18" s="186" t="s">
        <v>42</v>
      </c>
      <c r="Z18" s="181" t="s">
        <v>4</v>
      </c>
      <c r="AA18" s="129" t="s">
        <v>5</v>
      </c>
      <c r="AB18" s="129" t="s">
        <v>5</v>
      </c>
      <c r="AC18" s="129" t="s">
        <v>5</v>
      </c>
      <c r="AD18" s="19" t="s">
        <v>41</v>
      </c>
      <c r="AE18" s="19" t="s">
        <v>41</v>
      </c>
      <c r="AF18" s="186" t="s">
        <v>42</v>
      </c>
      <c r="AG18" s="156" t="s">
        <v>11</v>
      </c>
      <c r="AH18" s="156" t="s">
        <v>10</v>
      </c>
      <c r="AM18" s="181" t="s">
        <v>4</v>
      </c>
      <c r="AN18" s="181" t="s">
        <v>4</v>
      </c>
    </row>
    <row r="19" spans="1:40" ht="15" thickBot="1" x14ac:dyDescent="0.4">
      <c r="A19" s="170" t="s">
        <v>43</v>
      </c>
      <c r="B19" s="25" t="s">
        <v>6</v>
      </c>
      <c r="C19" s="25" t="s">
        <v>6</v>
      </c>
      <c r="D19" s="25" t="s">
        <v>3</v>
      </c>
      <c r="E19" s="188" t="s">
        <v>4</v>
      </c>
      <c r="F19" s="19" t="s">
        <v>41</v>
      </c>
      <c r="G19" s="19" t="s">
        <v>41</v>
      </c>
      <c r="H19" s="144" t="s">
        <v>37</v>
      </c>
      <c r="I19" s="19" t="s">
        <v>41</v>
      </c>
      <c r="J19" s="19" t="s">
        <v>41</v>
      </c>
      <c r="K19" s="181" t="s">
        <v>4</v>
      </c>
      <c r="L19" s="19" t="s">
        <v>42</v>
      </c>
      <c r="M19" s="162" t="s">
        <v>41</v>
      </c>
      <c r="N19" s="162" t="s">
        <v>41</v>
      </c>
      <c r="O19" s="162" t="s">
        <v>41</v>
      </c>
      <c r="P19" s="162" t="s">
        <v>41</v>
      </c>
      <c r="Q19" s="162" t="s">
        <v>41</v>
      </c>
      <c r="R19" s="192" t="s">
        <v>42</v>
      </c>
      <c r="S19" s="181" t="s">
        <v>4</v>
      </c>
      <c r="T19" s="19" t="s">
        <v>41</v>
      </c>
      <c r="U19" s="129" t="s">
        <v>5</v>
      </c>
      <c r="V19" s="129" t="s">
        <v>5</v>
      </c>
      <c r="W19" s="129" t="s">
        <v>5</v>
      </c>
      <c r="X19" s="129" t="s">
        <v>5</v>
      </c>
      <c r="Y19" s="186" t="s">
        <v>42</v>
      </c>
      <c r="Z19" s="181" t="s">
        <v>4</v>
      </c>
      <c r="AA19" s="19" t="s">
        <v>41</v>
      </c>
      <c r="AB19" s="19" t="s">
        <v>41</v>
      </c>
      <c r="AC19" s="19" t="s">
        <v>41</v>
      </c>
      <c r="AD19" s="19" t="s">
        <v>41</v>
      </c>
      <c r="AE19" s="19" t="s">
        <v>41</v>
      </c>
      <c r="AF19" s="181" t="s">
        <v>4</v>
      </c>
      <c r="AG19" s="156" t="s">
        <v>11</v>
      </c>
      <c r="AH19" s="156" t="s">
        <v>10</v>
      </c>
      <c r="AM19" s="181" t="s">
        <v>4</v>
      </c>
      <c r="AN19" s="181" t="s">
        <v>4</v>
      </c>
    </row>
    <row r="20" spans="1:40" x14ac:dyDescent="0.35">
      <c r="A20" s="170" t="s">
        <v>71</v>
      </c>
      <c r="B20" s="22" t="s">
        <v>16</v>
      </c>
      <c r="C20" s="25" t="s">
        <v>6</v>
      </c>
      <c r="D20" s="180" t="s">
        <v>30</v>
      </c>
      <c r="E20" s="143" t="s">
        <v>4</v>
      </c>
      <c r="F20" s="19" t="s">
        <v>41</v>
      </c>
      <c r="G20" s="19" t="s">
        <v>41</v>
      </c>
      <c r="H20" s="186" t="s">
        <v>42</v>
      </c>
      <c r="I20" s="129" t="s">
        <v>5</v>
      </c>
      <c r="J20" s="129" t="s">
        <v>5</v>
      </c>
      <c r="K20" s="19" t="s">
        <v>42</v>
      </c>
      <c r="L20" s="181" t="s">
        <v>4</v>
      </c>
      <c r="M20" s="129" t="s">
        <v>5</v>
      </c>
      <c r="N20" s="129" t="s">
        <v>5</v>
      </c>
      <c r="O20" s="84" t="s">
        <v>41</v>
      </c>
      <c r="P20" s="84" t="s">
        <v>41</v>
      </c>
      <c r="Q20" s="19" t="s">
        <v>41</v>
      </c>
      <c r="R20" s="186" t="s">
        <v>42</v>
      </c>
      <c r="S20" s="181" t="s">
        <v>4</v>
      </c>
      <c r="T20" s="19" t="s">
        <v>41</v>
      </c>
      <c r="U20" s="84" t="s">
        <v>41</v>
      </c>
      <c r="V20" s="84" t="s">
        <v>41</v>
      </c>
      <c r="W20" s="84" t="s">
        <v>41</v>
      </c>
      <c r="X20" s="84" t="s">
        <v>41</v>
      </c>
      <c r="Y20" s="181" t="s">
        <v>4</v>
      </c>
      <c r="Z20" s="186" t="s">
        <v>42</v>
      </c>
      <c r="AA20" s="186" t="s">
        <v>42</v>
      </c>
      <c r="AB20" s="19" t="s">
        <v>41</v>
      </c>
      <c r="AC20" s="19" t="s">
        <v>41</v>
      </c>
      <c r="AD20" s="186" t="s">
        <v>42</v>
      </c>
      <c r="AE20" s="19" t="s">
        <v>41</v>
      </c>
      <c r="AF20" s="181" t="s">
        <v>4</v>
      </c>
      <c r="AG20" s="129" t="s">
        <v>5</v>
      </c>
      <c r="AH20" s="156" t="s">
        <v>10</v>
      </c>
      <c r="AM20" s="181" t="s">
        <v>4</v>
      </c>
      <c r="AN20" s="181" t="s">
        <v>4</v>
      </c>
    </row>
    <row r="22" spans="1:40" x14ac:dyDescent="0.35">
      <c r="A22" s="157" t="s">
        <v>201</v>
      </c>
      <c r="B22">
        <f>COUNTIF(B4:B20,"*MS")</f>
        <v>4</v>
      </c>
      <c r="C22">
        <f t="shared" ref="C22:AN22" si="1">COUNTIF(C4:C20,"*MS")</f>
        <v>3</v>
      </c>
      <c r="D22">
        <f t="shared" si="1"/>
        <v>2</v>
      </c>
      <c r="E22">
        <f t="shared" si="1"/>
        <v>2</v>
      </c>
      <c r="F22">
        <f t="shared" si="1"/>
        <v>3</v>
      </c>
      <c r="G22">
        <f t="shared" si="1"/>
        <v>4</v>
      </c>
      <c r="H22">
        <f t="shared" si="1"/>
        <v>3</v>
      </c>
      <c r="I22">
        <f t="shared" si="1"/>
        <v>4</v>
      </c>
      <c r="J22">
        <f t="shared" si="1"/>
        <v>3</v>
      </c>
      <c r="K22">
        <f t="shared" si="1"/>
        <v>2</v>
      </c>
      <c r="L22">
        <f>COUNTIF(L4:L20,"*MS")</f>
        <v>2</v>
      </c>
      <c r="M22">
        <f t="shared" si="1"/>
        <v>3</v>
      </c>
      <c r="N22">
        <f t="shared" si="1"/>
        <v>4</v>
      </c>
      <c r="O22">
        <f t="shared" si="1"/>
        <v>3</v>
      </c>
      <c r="P22">
        <f t="shared" si="1"/>
        <v>3</v>
      </c>
      <c r="Q22">
        <f t="shared" si="1"/>
        <v>4</v>
      </c>
      <c r="R22">
        <f t="shared" si="1"/>
        <v>2</v>
      </c>
      <c r="S22">
        <f t="shared" si="1"/>
        <v>2</v>
      </c>
      <c r="T22">
        <f t="shared" si="1"/>
        <v>3</v>
      </c>
      <c r="U22">
        <f t="shared" si="1"/>
        <v>4</v>
      </c>
      <c r="V22">
        <f t="shared" si="1"/>
        <v>3</v>
      </c>
      <c r="W22">
        <f t="shared" si="1"/>
        <v>3</v>
      </c>
      <c r="X22">
        <f t="shared" si="1"/>
        <v>3</v>
      </c>
      <c r="Y22">
        <f t="shared" si="1"/>
        <v>2</v>
      </c>
      <c r="Z22">
        <f t="shared" si="1"/>
        <v>2</v>
      </c>
      <c r="AA22">
        <f t="shared" si="1"/>
        <v>3</v>
      </c>
      <c r="AB22">
        <f t="shared" si="1"/>
        <v>3</v>
      </c>
      <c r="AC22">
        <f t="shared" si="1"/>
        <v>4</v>
      </c>
      <c r="AD22">
        <f t="shared" si="1"/>
        <v>3</v>
      </c>
      <c r="AE22">
        <f t="shared" si="1"/>
        <v>3</v>
      </c>
      <c r="AF22">
        <f>COUNTIF(AF5:AF20,"*MS")</f>
        <v>2</v>
      </c>
      <c r="AG22">
        <f>COUNTIF(AG4:AG20,"*MS")</f>
        <v>2</v>
      </c>
      <c r="AH22">
        <f t="shared" si="1"/>
        <v>3</v>
      </c>
      <c r="AI22">
        <f t="shared" si="1"/>
        <v>1</v>
      </c>
      <c r="AJ22">
        <f t="shared" si="1"/>
        <v>0</v>
      </c>
      <c r="AK22">
        <f t="shared" si="1"/>
        <v>0</v>
      </c>
      <c r="AL22">
        <f t="shared" si="1"/>
        <v>0</v>
      </c>
      <c r="AM22">
        <f t="shared" si="1"/>
        <v>0</v>
      </c>
      <c r="AN22">
        <f t="shared" si="1"/>
        <v>0</v>
      </c>
    </row>
    <row r="23" spans="1:40" x14ac:dyDescent="0.35">
      <c r="A23" s="157" t="s">
        <v>202</v>
      </c>
      <c r="B23">
        <f>COUNTIF(B4:B20,"*ASS1")</f>
        <v>3</v>
      </c>
      <c r="C23">
        <f t="shared" ref="C23:AN23" si="2">COUNTIF(C4:C20,"*ASS1")</f>
        <v>3</v>
      </c>
      <c r="D23">
        <f t="shared" si="2"/>
        <v>2</v>
      </c>
      <c r="E23">
        <f t="shared" si="2"/>
        <v>2</v>
      </c>
      <c r="F23">
        <f t="shared" si="2"/>
        <v>3</v>
      </c>
      <c r="G23">
        <f t="shared" si="2"/>
        <v>4</v>
      </c>
      <c r="H23">
        <f t="shared" si="2"/>
        <v>3</v>
      </c>
      <c r="I23">
        <f t="shared" si="2"/>
        <v>3</v>
      </c>
      <c r="J23">
        <f t="shared" si="2"/>
        <v>2</v>
      </c>
      <c r="K23">
        <f t="shared" si="2"/>
        <v>2</v>
      </c>
      <c r="L23">
        <f>COUNTIF(L4:L20,"*ASS1")</f>
        <v>2</v>
      </c>
      <c r="M23">
        <f t="shared" si="2"/>
        <v>3</v>
      </c>
      <c r="N23">
        <f t="shared" si="2"/>
        <v>3</v>
      </c>
      <c r="O23">
        <f t="shared" si="2"/>
        <v>3</v>
      </c>
      <c r="P23">
        <f t="shared" si="2"/>
        <v>4</v>
      </c>
      <c r="Q23">
        <f t="shared" si="2"/>
        <v>3</v>
      </c>
      <c r="R23">
        <f t="shared" si="2"/>
        <v>2</v>
      </c>
      <c r="S23">
        <f t="shared" si="2"/>
        <v>2</v>
      </c>
      <c r="T23">
        <f t="shared" si="2"/>
        <v>3</v>
      </c>
      <c r="U23">
        <f t="shared" si="2"/>
        <v>3</v>
      </c>
      <c r="V23">
        <f t="shared" si="2"/>
        <v>3</v>
      </c>
      <c r="W23">
        <f t="shared" si="2"/>
        <v>3</v>
      </c>
      <c r="X23">
        <f t="shared" si="2"/>
        <v>3</v>
      </c>
      <c r="Y23">
        <f t="shared" si="2"/>
        <v>2</v>
      </c>
      <c r="Z23">
        <f t="shared" si="2"/>
        <v>2</v>
      </c>
      <c r="AA23">
        <f t="shared" si="2"/>
        <v>3</v>
      </c>
      <c r="AB23">
        <f t="shared" si="2"/>
        <v>3</v>
      </c>
      <c r="AC23">
        <f t="shared" si="2"/>
        <v>3</v>
      </c>
      <c r="AD23">
        <f t="shared" si="2"/>
        <v>3</v>
      </c>
      <c r="AE23">
        <f t="shared" si="2"/>
        <v>3</v>
      </c>
      <c r="AF23">
        <f>COUNTIF(AF5:AF20,"*ASS1")</f>
        <v>2</v>
      </c>
      <c r="AG23">
        <f>COUNTIF(AG4:AG20,"*ASS1")</f>
        <v>2</v>
      </c>
      <c r="AH23">
        <f t="shared" si="2"/>
        <v>4</v>
      </c>
      <c r="AI23">
        <f t="shared" si="2"/>
        <v>0</v>
      </c>
      <c r="AJ23">
        <f t="shared" si="2"/>
        <v>0</v>
      </c>
      <c r="AK23">
        <f t="shared" si="2"/>
        <v>0</v>
      </c>
      <c r="AL23">
        <f t="shared" si="2"/>
        <v>0</v>
      </c>
      <c r="AM23">
        <f t="shared" si="2"/>
        <v>0</v>
      </c>
      <c r="AN23">
        <f t="shared" si="2"/>
        <v>0</v>
      </c>
    </row>
    <row r="24" spans="1:40" x14ac:dyDescent="0.35">
      <c r="A24" s="157" t="s">
        <v>203</v>
      </c>
      <c r="B24">
        <f>COUNTIF(B4:B20,"*NST7")</f>
        <v>3</v>
      </c>
      <c r="C24">
        <f t="shared" ref="C24:AN24" si="3">COUNTIF(C4:C20,"*NST7")</f>
        <v>3</v>
      </c>
      <c r="D24">
        <f t="shared" si="3"/>
        <v>3</v>
      </c>
      <c r="E24">
        <f t="shared" si="3"/>
        <v>2</v>
      </c>
      <c r="F24">
        <f t="shared" si="3"/>
        <v>3</v>
      </c>
      <c r="G24">
        <f t="shared" si="3"/>
        <v>3</v>
      </c>
      <c r="H24">
        <f t="shared" si="3"/>
        <v>3</v>
      </c>
      <c r="I24">
        <f t="shared" si="3"/>
        <v>3</v>
      </c>
      <c r="J24">
        <f t="shared" si="3"/>
        <v>3</v>
      </c>
      <c r="K24">
        <f t="shared" si="3"/>
        <v>3</v>
      </c>
      <c r="L24">
        <f>COUNTIF(L4:L20,"*NST7")</f>
        <v>3</v>
      </c>
      <c r="M24">
        <f t="shared" si="3"/>
        <v>3</v>
      </c>
      <c r="N24">
        <f t="shared" si="3"/>
        <v>3</v>
      </c>
      <c r="O24">
        <f t="shared" si="3"/>
        <v>3</v>
      </c>
      <c r="P24">
        <f t="shared" si="3"/>
        <v>3</v>
      </c>
      <c r="Q24">
        <f t="shared" si="3"/>
        <v>3</v>
      </c>
      <c r="R24">
        <f t="shared" si="3"/>
        <v>3</v>
      </c>
      <c r="S24">
        <f t="shared" si="3"/>
        <v>3</v>
      </c>
      <c r="T24">
        <f t="shared" si="3"/>
        <v>3</v>
      </c>
      <c r="U24">
        <f t="shared" si="3"/>
        <v>3</v>
      </c>
      <c r="V24">
        <f t="shared" si="3"/>
        <v>3</v>
      </c>
      <c r="W24">
        <f t="shared" si="3"/>
        <v>3</v>
      </c>
      <c r="X24">
        <f t="shared" si="3"/>
        <v>3</v>
      </c>
      <c r="Y24">
        <f t="shared" si="3"/>
        <v>3</v>
      </c>
      <c r="Z24">
        <f t="shared" si="3"/>
        <v>3</v>
      </c>
      <c r="AA24">
        <f t="shared" si="3"/>
        <v>3</v>
      </c>
      <c r="AB24">
        <f t="shared" si="3"/>
        <v>3</v>
      </c>
      <c r="AC24">
        <f t="shared" si="3"/>
        <v>3</v>
      </c>
      <c r="AD24">
        <f t="shared" si="3"/>
        <v>3</v>
      </c>
      <c r="AE24">
        <f t="shared" si="3"/>
        <v>3</v>
      </c>
      <c r="AF24">
        <f>COUNTIF(AF5:AF20,"*NST7")</f>
        <v>3</v>
      </c>
      <c r="AG24">
        <f>COUNTIF(AG4:AG20,"*NST7")</f>
        <v>2</v>
      </c>
      <c r="AH24">
        <f t="shared" si="3"/>
        <v>3</v>
      </c>
      <c r="AI24">
        <f t="shared" si="3"/>
        <v>0</v>
      </c>
      <c r="AJ24">
        <f t="shared" si="3"/>
        <v>0</v>
      </c>
      <c r="AK24">
        <f t="shared" si="3"/>
        <v>0</v>
      </c>
      <c r="AL24">
        <f t="shared" si="3"/>
        <v>0</v>
      </c>
      <c r="AM24">
        <f t="shared" si="3"/>
        <v>0</v>
      </c>
      <c r="AN24">
        <f t="shared" si="3"/>
        <v>0</v>
      </c>
    </row>
    <row r="25" spans="1:40" x14ac:dyDescent="0.35">
      <c r="A25" s="157" t="s">
        <v>204</v>
      </c>
      <c r="B25">
        <f>COUNTIF(B4:B20,"*GS")</f>
        <v>3</v>
      </c>
      <c r="C25">
        <f t="shared" ref="C25:AN25" si="4">COUNTIF(C4:C20,"*GS")</f>
        <v>1</v>
      </c>
      <c r="D25">
        <f t="shared" si="4"/>
        <v>1</v>
      </c>
      <c r="E25">
        <f t="shared" si="4"/>
        <v>0</v>
      </c>
      <c r="F25">
        <f t="shared" si="4"/>
        <v>2</v>
      </c>
      <c r="G25">
        <f t="shared" si="4"/>
        <v>2</v>
      </c>
      <c r="H25">
        <f t="shared" si="4"/>
        <v>0</v>
      </c>
      <c r="I25">
        <f t="shared" si="4"/>
        <v>1</v>
      </c>
      <c r="J25">
        <f t="shared" si="4"/>
        <v>1</v>
      </c>
      <c r="K25">
        <f t="shared" si="4"/>
        <v>1</v>
      </c>
      <c r="L25">
        <f>COUNTIF(L4:L20,"*GS")</f>
        <v>0</v>
      </c>
      <c r="M25">
        <f t="shared" si="4"/>
        <v>1</v>
      </c>
      <c r="N25">
        <f t="shared" si="4"/>
        <v>1</v>
      </c>
      <c r="O25">
        <f t="shared" si="4"/>
        <v>2</v>
      </c>
      <c r="P25">
        <f t="shared" si="4"/>
        <v>2</v>
      </c>
      <c r="Q25">
        <f t="shared" si="4"/>
        <v>1</v>
      </c>
      <c r="R25">
        <f t="shared" si="4"/>
        <v>1</v>
      </c>
      <c r="S25">
        <f t="shared" si="4"/>
        <v>0</v>
      </c>
      <c r="T25">
        <f t="shared" si="4"/>
        <v>1</v>
      </c>
      <c r="U25">
        <f t="shared" si="4"/>
        <v>1</v>
      </c>
      <c r="V25">
        <f t="shared" si="4"/>
        <v>1</v>
      </c>
      <c r="W25">
        <f t="shared" si="4"/>
        <v>1</v>
      </c>
      <c r="X25">
        <f t="shared" si="4"/>
        <v>1</v>
      </c>
      <c r="Y25">
        <f t="shared" si="4"/>
        <v>1</v>
      </c>
      <c r="Z25">
        <f t="shared" si="4"/>
        <v>0</v>
      </c>
      <c r="AA25">
        <f t="shared" si="4"/>
        <v>0</v>
      </c>
      <c r="AB25">
        <f t="shared" si="4"/>
        <v>1</v>
      </c>
      <c r="AC25">
        <f t="shared" si="4"/>
        <v>0</v>
      </c>
      <c r="AD25">
        <f t="shared" si="4"/>
        <v>0</v>
      </c>
      <c r="AE25">
        <f t="shared" si="4"/>
        <v>0</v>
      </c>
      <c r="AF25">
        <f>COUNTIF(AF5:AF20,"*GS")</f>
        <v>1</v>
      </c>
      <c r="AG25">
        <f>COUNTIF(AG4:AG20,"*GS")</f>
        <v>0</v>
      </c>
      <c r="AH25">
        <f t="shared" si="4"/>
        <v>0</v>
      </c>
      <c r="AI25">
        <f t="shared" si="4"/>
        <v>0</v>
      </c>
      <c r="AJ25">
        <f t="shared" si="4"/>
        <v>0</v>
      </c>
      <c r="AK25">
        <f t="shared" si="4"/>
        <v>0</v>
      </c>
      <c r="AL25">
        <f t="shared" si="4"/>
        <v>0</v>
      </c>
      <c r="AM25">
        <f t="shared" si="4"/>
        <v>0</v>
      </c>
      <c r="AN25">
        <f t="shared" si="4"/>
        <v>0</v>
      </c>
    </row>
    <row r="26" spans="1:40" x14ac:dyDescent="0.35">
      <c r="A26" s="157" t="s">
        <v>205</v>
      </c>
      <c r="B26">
        <f>COUNTIF(B4:B20,"C")</f>
        <v>1</v>
      </c>
      <c r="C26">
        <f t="shared" ref="C26:AN26" si="5">COUNTIF(C4:C20,"C")</f>
        <v>4</v>
      </c>
      <c r="D26">
        <f t="shared" si="5"/>
        <v>0</v>
      </c>
      <c r="E26">
        <f t="shared" si="5"/>
        <v>0</v>
      </c>
      <c r="F26">
        <f t="shared" si="5"/>
        <v>4</v>
      </c>
      <c r="G26">
        <f t="shared" si="5"/>
        <v>0</v>
      </c>
      <c r="H26">
        <f t="shared" si="5"/>
        <v>0</v>
      </c>
      <c r="I26">
        <f t="shared" si="5"/>
        <v>2</v>
      </c>
      <c r="J26">
        <f t="shared" si="5"/>
        <v>3</v>
      </c>
      <c r="K26">
        <f t="shared" si="5"/>
        <v>1</v>
      </c>
      <c r="L26">
        <f>COUNTIF(L4:L20,"C")</f>
        <v>0</v>
      </c>
      <c r="M26">
        <f t="shared" si="5"/>
        <v>4</v>
      </c>
      <c r="N26">
        <f t="shared" si="5"/>
        <v>3</v>
      </c>
      <c r="O26">
        <f t="shared" si="5"/>
        <v>4</v>
      </c>
      <c r="P26">
        <f t="shared" si="5"/>
        <v>1</v>
      </c>
      <c r="Q26">
        <f t="shared" si="5"/>
        <v>2</v>
      </c>
      <c r="R26">
        <f t="shared" si="5"/>
        <v>0</v>
      </c>
      <c r="S26">
        <f t="shared" si="5"/>
        <v>0</v>
      </c>
      <c r="T26">
        <f t="shared" si="5"/>
        <v>4</v>
      </c>
      <c r="U26">
        <f t="shared" si="5"/>
        <v>2</v>
      </c>
      <c r="V26">
        <f t="shared" si="5"/>
        <v>3</v>
      </c>
      <c r="W26">
        <f t="shared" si="5"/>
        <v>2</v>
      </c>
      <c r="X26">
        <f t="shared" si="5"/>
        <v>2</v>
      </c>
      <c r="Y26">
        <f t="shared" si="5"/>
        <v>0</v>
      </c>
      <c r="Z26">
        <f t="shared" si="5"/>
        <v>0</v>
      </c>
      <c r="AA26">
        <f t="shared" si="5"/>
        <v>0</v>
      </c>
      <c r="AB26">
        <f t="shared" si="5"/>
        <v>2</v>
      </c>
      <c r="AC26">
        <f t="shared" si="5"/>
        <v>0</v>
      </c>
      <c r="AD26">
        <f t="shared" si="5"/>
        <v>2</v>
      </c>
      <c r="AE26">
        <f t="shared" si="5"/>
        <v>3</v>
      </c>
      <c r="AF26">
        <f>COUNTIF(AF5:AF20,"C")</f>
        <v>0</v>
      </c>
      <c r="AG26">
        <f>COUNTIF(AG4:AG20,"C")</f>
        <v>0</v>
      </c>
      <c r="AH26">
        <f t="shared" si="5"/>
        <v>3</v>
      </c>
      <c r="AI26">
        <f t="shared" si="5"/>
        <v>1</v>
      </c>
      <c r="AJ26">
        <f t="shared" si="5"/>
        <v>0</v>
      </c>
      <c r="AK26">
        <f t="shared" si="5"/>
        <v>0</v>
      </c>
      <c r="AL26">
        <f t="shared" si="5"/>
        <v>0</v>
      </c>
      <c r="AM26">
        <f t="shared" si="5"/>
        <v>0</v>
      </c>
      <c r="AN26">
        <f t="shared" si="5"/>
        <v>0</v>
      </c>
    </row>
    <row r="27" spans="1:40" x14ac:dyDescent="0.35">
      <c r="A27" s="157" t="s">
        <v>206</v>
      </c>
      <c r="B27">
        <f t="shared" ref="B27" si="6">COUNTIF(B4:B20,"PL")</f>
        <v>1</v>
      </c>
      <c r="C27">
        <f t="shared" ref="C27:AN27" si="7">COUNTIF(C4:C20,"PL")</f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2</v>
      </c>
      <c r="H27">
        <f t="shared" si="7"/>
        <v>3</v>
      </c>
      <c r="I27">
        <f t="shared" si="7"/>
        <v>2</v>
      </c>
      <c r="J27">
        <f t="shared" si="7"/>
        <v>3</v>
      </c>
      <c r="K27">
        <f t="shared" si="7"/>
        <v>0</v>
      </c>
      <c r="L27">
        <f>COUNTIF(L4:L20,"PL")</f>
        <v>0</v>
      </c>
      <c r="M27">
        <f t="shared" si="7"/>
        <v>1</v>
      </c>
      <c r="N27">
        <f t="shared" si="7"/>
        <v>1</v>
      </c>
      <c r="O27">
        <f t="shared" si="7"/>
        <v>0</v>
      </c>
      <c r="P27">
        <f t="shared" si="7"/>
        <v>2</v>
      </c>
      <c r="Q27">
        <f t="shared" si="7"/>
        <v>2</v>
      </c>
      <c r="R27">
        <f t="shared" si="7"/>
        <v>0</v>
      </c>
      <c r="S27">
        <f t="shared" si="7"/>
        <v>0</v>
      </c>
      <c r="T27">
        <f t="shared" si="7"/>
        <v>1</v>
      </c>
      <c r="U27">
        <f t="shared" si="7"/>
        <v>2</v>
      </c>
      <c r="V27">
        <f t="shared" si="7"/>
        <v>2</v>
      </c>
      <c r="W27">
        <f t="shared" si="7"/>
        <v>3</v>
      </c>
      <c r="X27">
        <f t="shared" si="7"/>
        <v>3</v>
      </c>
      <c r="Y27">
        <f t="shared" si="7"/>
        <v>0</v>
      </c>
      <c r="Z27">
        <f t="shared" si="7"/>
        <v>0</v>
      </c>
      <c r="AA27">
        <f t="shared" si="7"/>
        <v>4</v>
      </c>
      <c r="AB27">
        <f t="shared" si="7"/>
        <v>3</v>
      </c>
      <c r="AC27">
        <f t="shared" si="7"/>
        <v>4</v>
      </c>
      <c r="AD27">
        <f t="shared" si="7"/>
        <v>3</v>
      </c>
      <c r="AE27">
        <f t="shared" si="7"/>
        <v>2</v>
      </c>
      <c r="AF27">
        <f>COUNTIF(AF5:AF20,"PL")</f>
        <v>0</v>
      </c>
      <c r="AG27">
        <f>COUNTIF(AG4:AG20,"PL")</f>
        <v>2</v>
      </c>
      <c r="AH27">
        <f t="shared" si="7"/>
        <v>1</v>
      </c>
      <c r="AI27">
        <f t="shared" si="7"/>
        <v>0</v>
      </c>
      <c r="AJ27">
        <f t="shared" si="7"/>
        <v>0</v>
      </c>
      <c r="AK27">
        <f t="shared" si="7"/>
        <v>0</v>
      </c>
      <c r="AL27">
        <f t="shared" si="7"/>
        <v>0</v>
      </c>
      <c r="AM27">
        <f t="shared" si="7"/>
        <v>0</v>
      </c>
      <c r="AN27">
        <f t="shared" si="7"/>
        <v>0</v>
      </c>
    </row>
    <row r="28" spans="1:40" x14ac:dyDescent="0.35">
      <c r="A28" s="157" t="s">
        <v>33</v>
      </c>
      <c r="B28">
        <f>COUNTIF(B4:B20,"UPL")</f>
        <v>0</v>
      </c>
      <c r="C28">
        <f t="shared" ref="C28:AN28" si="8">COUNTIF(C4:C20,"UPL")</f>
        <v>0</v>
      </c>
      <c r="D28">
        <f t="shared" si="8"/>
        <v>0</v>
      </c>
      <c r="E28">
        <f t="shared" si="8"/>
        <v>0</v>
      </c>
      <c r="F28">
        <f t="shared" si="8"/>
        <v>0</v>
      </c>
      <c r="G28">
        <f t="shared" si="8"/>
        <v>0</v>
      </c>
      <c r="H28">
        <f t="shared" si="8"/>
        <v>0</v>
      </c>
      <c r="I28">
        <f t="shared" si="8"/>
        <v>0</v>
      </c>
      <c r="J28">
        <f t="shared" si="8"/>
        <v>0</v>
      </c>
      <c r="K28">
        <f t="shared" si="8"/>
        <v>0</v>
      </c>
      <c r="L28">
        <f>COUNTIF(L4:L20,"UPL")</f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0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 t="shared" si="8"/>
        <v>0</v>
      </c>
      <c r="X28">
        <f t="shared" si="8"/>
        <v>0</v>
      </c>
      <c r="Y28">
        <f t="shared" si="8"/>
        <v>0</v>
      </c>
      <c r="Z28">
        <f t="shared" si="8"/>
        <v>0</v>
      </c>
      <c r="AA28">
        <f t="shared" si="8"/>
        <v>0</v>
      </c>
      <c r="AB28">
        <f t="shared" si="8"/>
        <v>0</v>
      </c>
      <c r="AC28">
        <f t="shared" si="8"/>
        <v>0</v>
      </c>
      <c r="AD28">
        <f t="shared" si="8"/>
        <v>0</v>
      </c>
      <c r="AE28">
        <f t="shared" si="8"/>
        <v>0</v>
      </c>
      <c r="AF28">
        <f>COUNTIF(AF5:AF20,"UPL")</f>
        <v>0</v>
      </c>
      <c r="AG28">
        <f>COUNTIF(AG4:AG20,"UPL")</f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  <c r="AM28">
        <f t="shared" si="8"/>
        <v>0</v>
      </c>
      <c r="AN28">
        <f t="shared" si="8"/>
        <v>0</v>
      </c>
    </row>
    <row r="29" spans="1:40" x14ac:dyDescent="0.35">
      <c r="A29" s="157" t="s">
        <v>207</v>
      </c>
      <c r="B29" s="158">
        <f t="shared" ref="B29" si="9">SUM(B22:B28)</f>
        <v>15</v>
      </c>
      <c r="C29" s="158">
        <f t="shared" ref="C29:AN29" si="10">SUM(C22:C28)</f>
        <v>14</v>
      </c>
      <c r="D29" s="158">
        <f t="shared" si="10"/>
        <v>8</v>
      </c>
      <c r="E29" s="158">
        <f t="shared" si="10"/>
        <v>6</v>
      </c>
      <c r="F29" s="158">
        <f t="shared" si="10"/>
        <v>15</v>
      </c>
      <c r="G29" s="158">
        <f t="shared" si="10"/>
        <v>15</v>
      </c>
      <c r="H29" s="158">
        <f t="shared" si="10"/>
        <v>12</v>
      </c>
      <c r="I29" s="158">
        <f t="shared" si="10"/>
        <v>15</v>
      </c>
      <c r="J29" s="158">
        <f t="shared" si="10"/>
        <v>15</v>
      </c>
      <c r="K29" s="158">
        <f t="shared" si="10"/>
        <v>9</v>
      </c>
      <c r="L29" s="158">
        <f t="shared" si="10"/>
        <v>7</v>
      </c>
      <c r="M29" s="158">
        <f t="shared" si="10"/>
        <v>15</v>
      </c>
      <c r="N29" s="158">
        <f t="shared" si="10"/>
        <v>15</v>
      </c>
      <c r="O29" s="158">
        <f t="shared" si="10"/>
        <v>15</v>
      </c>
      <c r="P29" s="158">
        <f t="shared" si="10"/>
        <v>15</v>
      </c>
      <c r="Q29" s="158">
        <f t="shared" si="10"/>
        <v>15</v>
      </c>
      <c r="R29" s="158">
        <f t="shared" si="10"/>
        <v>8</v>
      </c>
      <c r="S29" s="158">
        <f t="shared" si="10"/>
        <v>7</v>
      </c>
      <c r="T29" s="158">
        <f t="shared" si="10"/>
        <v>15</v>
      </c>
      <c r="U29" s="158">
        <f t="shared" si="10"/>
        <v>15</v>
      </c>
      <c r="V29" s="158">
        <f t="shared" si="10"/>
        <v>15</v>
      </c>
      <c r="W29" s="158">
        <f t="shared" si="10"/>
        <v>15</v>
      </c>
      <c r="X29" s="158">
        <f t="shared" si="10"/>
        <v>15</v>
      </c>
      <c r="Y29" s="158">
        <f t="shared" si="10"/>
        <v>8</v>
      </c>
      <c r="Z29" s="158">
        <f t="shared" si="10"/>
        <v>7</v>
      </c>
      <c r="AA29" s="158">
        <f t="shared" si="10"/>
        <v>13</v>
      </c>
      <c r="AB29" s="158">
        <f t="shared" si="10"/>
        <v>15</v>
      </c>
      <c r="AC29" s="158">
        <f t="shared" si="10"/>
        <v>14</v>
      </c>
      <c r="AD29" s="158">
        <f t="shared" si="10"/>
        <v>14</v>
      </c>
      <c r="AE29" s="158">
        <f t="shared" si="10"/>
        <v>14</v>
      </c>
      <c r="AF29" s="158">
        <f t="shared" si="10"/>
        <v>8</v>
      </c>
      <c r="AG29" s="158">
        <f t="shared" si="10"/>
        <v>8</v>
      </c>
      <c r="AH29" s="158">
        <f t="shared" si="10"/>
        <v>14</v>
      </c>
      <c r="AI29" s="158">
        <f t="shared" si="10"/>
        <v>2</v>
      </c>
      <c r="AJ29" s="158">
        <f t="shared" si="10"/>
        <v>0</v>
      </c>
      <c r="AK29" s="158">
        <f t="shared" si="10"/>
        <v>0</v>
      </c>
      <c r="AL29" s="158">
        <f t="shared" si="10"/>
        <v>0</v>
      </c>
      <c r="AM29" s="158">
        <f t="shared" si="10"/>
        <v>0</v>
      </c>
      <c r="AN29" s="158">
        <f t="shared" si="10"/>
        <v>0</v>
      </c>
    </row>
  </sheetData>
  <autoFilter ref="A1:A20" xr:uid="{00000000-0009-0000-0000-000010000000}"/>
  <conditionalFormatting sqref="B22:B25">
    <cfRule type="cellIs" dxfId="27" priority="11" operator="lessThan">
      <formula>3</formula>
    </cfRule>
  </conditionalFormatting>
  <conditionalFormatting sqref="C22:AN25">
    <cfRule type="cellIs" dxfId="26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30"/>
  <sheetViews>
    <sheetView zoomScale="70" zoomScaleNormal="70" workbookViewId="0">
      <pane xSplit="1" topLeftCell="H1" activePane="topRight" state="frozen"/>
      <selection pane="topRight" activeCell="AB19" sqref="AB19"/>
    </sheetView>
  </sheetViews>
  <sheetFormatPr defaultRowHeight="14.5" x14ac:dyDescent="0.35"/>
  <cols>
    <col min="1" max="1" width="22.7265625" bestFit="1" customWidth="1"/>
    <col min="2" max="3" width="8.7265625" hidden="1" customWidth="1"/>
    <col min="4" max="34" width="8.7265625" customWidth="1"/>
  </cols>
  <sheetData>
    <row r="1" spans="1:34" x14ac:dyDescent="0.35">
      <c r="A1" s="70"/>
      <c r="B1" s="2" t="str">
        <f t="shared" ref="B1:E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ref="F1:AH1" si="1">TEXT(F2,"ddd")</f>
        <v>Mon</v>
      </c>
      <c r="G1" s="2" t="str">
        <f t="shared" si="1"/>
        <v>Tue</v>
      </c>
      <c r="H1" s="2" t="str">
        <f t="shared" si="1"/>
        <v>Wed</v>
      </c>
      <c r="I1" s="2" t="str">
        <f t="shared" si="1"/>
        <v>Thu</v>
      </c>
      <c r="J1" s="2" t="str">
        <f t="shared" si="1"/>
        <v>Fri</v>
      </c>
      <c r="K1" s="2" t="str">
        <f t="shared" si="1"/>
        <v>Sat</v>
      </c>
      <c r="L1" s="2" t="str">
        <f t="shared" si="1"/>
        <v>Sun</v>
      </c>
      <c r="M1" s="2" t="str">
        <f t="shared" si="1"/>
        <v>Mon</v>
      </c>
      <c r="N1" s="2" t="str">
        <f t="shared" si="1"/>
        <v>Tue</v>
      </c>
      <c r="O1" s="2" t="str">
        <f t="shared" si="1"/>
        <v>Wed</v>
      </c>
      <c r="P1" s="2" t="str">
        <f t="shared" si="1"/>
        <v>Thu</v>
      </c>
      <c r="Q1" s="2" t="str">
        <f t="shared" si="1"/>
        <v>Fri</v>
      </c>
      <c r="R1" s="2" t="str">
        <f t="shared" si="1"/>
        <v>Sat</v>
      </c>
      <c r="S1" s="2" t="str">
        <f t="shared" si="1"/>
        <v>Sun</v>
      </c>
      <c r="T1" s="2" t="str">
        <f t="shared" si="1"/>
        <v>Mon</v>
      </c>
      <c r="U1" s="2" t="str">
        <f t="shared" si="1"/>
        <v>Tue</v>
      </c>
      <c r="V1" s="2" t="str">
        <f t="shared" si="1"/>
        <v>Wed</v>
      </c>
      <c r="W1" s="2" t="str">
        <f t="shared" si="1"/>
        <v>Thu</v>
      </c>
      <c r="X1" s="2" t="str">
        <f t="shared" si="1"/>
        <v>Fri</v>
      </c>
      <c r="Y1" s="2" t="str">
        <f t="shared" si="1"/>
        <v>Sat</v>
      </c>
      <c r="Z1" s="2" t="str">
        <f t="shared" si="1"/>
        <v>Sun</v>
      </c>
      <c r="AA1" s="2" t="str">
        <f t="shared" si="1"/>
        <v>Mon</v>
      </c>
      <c r="AB1" s="2" t="str">
        <f t="shared" si="1"/>
        <v>Tue</v>
      </c>
      <c r="AC1" s="2" t="str">
        <f t="shared" si="1"/>
        <v>Wed</v>
      </c>
      <c r="AD1" s="2" t="str">
        <f t="shared" si="1"/>
        <v>Thu</v>
      </c>
      <c r="AE1" s="2" t="str">
        <f t="shared" si="1"/>
        <v>Fri</v>
      </c>
      <c r="AF1" s="2" t="str">
        <f t="shared" si="1"/>
        <v>Sat</v>
      </c>
      <c r="AG1" s="2" t="str">
        <f t="shared" si="1"/>
        <v>Sun</v>
      </c>
      <c r="AH1" s="2" t="str">
        <f t="shared" si="1"/>
        <v>Mon</v>
      </c>
    </row>
    <row r="2" spans="1:34" x14ac:dyDescent="0.35">
      <c r="A2" s="124" t="s">
        <v>0</v>
      </c>
      <c r="B2" s="31">
        <v>44833</v>
      </c>
      <c r="C2" s="31">
        <v>44834</v>
      </c>
      <c r="D2" s="31">
        <v>44835</v>
      </c>
      <c r="E2" s="31">
        <v>44836</v>
      </c>
      <c r="F2" s="31">
        <v>44837</v>
      </c>
      <c r="G2" s="31">
        <v>44838</v>
      </c>
      <c r="H2" s="31">
        <v>44839</v>
      </c>
      <c r="I2" s="31">
        <v>44840</v>
      </c>
      <c r="J2" s="31">
        <v>44841</v>
      </c>
      <c r="K2" s="31">
        <v>44842</v>
      </c>
      <c r="L2" s="31">
        <v>44843</v>
      </c>
      <c r="M2" s="31">
        <v>44844</v>
      </c>
      <c r="N2" s="31">
        <v>44845</v>
      </c>
      <c r="O2" s="31">
        <v>44846</v>
      </c>
      <c r="P2" s="31">
        <v>44847</v>
      </c>
      <c r="Q2" s="31">
        <v>44848</v>
      </c>
      <c r="R2" s="31">
        <v>44849</v>
      </c>
      <c r="S2" s="31">
        <v>44850</v>
      </c>
      <c r="T2" s="31">
        <v>44851</v>
      </c>
      <c r="U2" s="31">
        <v>44852</v>
      </c>
      <c r="V2" s="31">
        <v>44853</v>
      </c>
      <c r="W2" s="31">
        <v>44854</v>
      </c>
      <c r="X2" s="31">
        <v>44855</v>
      </c>
      <c r="Y2" s="31">
        <v>44856</v>
      </c>
      <c r="Z2" s="31">
        <v>44857</v>
      </c>
      <c r="AA2" s="31">
        <v>44858</v>
      </c>
      <c r="AB2" s="31">
        <v>44859</v>
      </c>
      <c r="AC2" s="31">
        <v>44860</v>
      </c>
      <c r="AD2" s="31">
        <v>44861</v>
      </c>
      <c r="AE2" s="31">
        <v>44862</v>
      </c>
      <c r="AF2" s="31">
        <v>44863</v>
      </c>
      <c r="AG2" s="31">
        <v>44864</v>
      </c>
      <c r="AH2" s="31">
        <v>44865</v>
      </c>
    </row>
    <row r="3" spans="1:34" ht="15" thickBot="1" x14ac:dyDescent="0.4">
      <c r="A3" s="125"/>
      <c r="B3" s="126"/>
      <c r="C3" s="126"/>
      <c r="D3" s="126"/>
      <c r="E3" s="126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</row>
    <row r="4" spans="1:34" ht="15" thickBot="1" x14ac:dyDescent="0.4">
      <c r="A4" s="196" t="s">
        <v>14</v>
      </c>
      <c r="B4" s="174" t="s">
        <v>41</v>
      </c>
      <c r="C4" s="174" t="s">
        <v>41</v>
      </c>
      <c r="D4" s="181" t="s">
        <v>4</v>
      </c>
      <c r="E4" s="181" t="s">
        <v>4</v>
      </c>
      <c r="F4" s="129" t="s">
        <v>5</v>
      </c>
      <c r="G4" s="129" t="s">
        <v>5</v>
      </c>
      <c r="H4" s="183" t="s">
        <v>11</v>
      </c>
      <c r="I4" s="198" t="s">
        <v>10</v>
      </c>
      <c r="J4" s="198" t="s">
        <v>10</v>
      </c>
      <c r="K4" s="198" t="s">
        <v>11</v>
      </c>
      <c r="L4" s="128" t="s">
        <v>4</v>
      </c>
      <c r="M4" s="198" t="s">
        <v>10</v>
      </c>
      <c r="N4" s="198" t="s">
        <v>10</v>
      </c>
      <c r="O4" s="198" t="s">
        <v>10</v>
      </c>
      <c r="P4" s="129" t="s">
        <v>5</v>
      </c>
      <c r="Q4" s="129" t="s">
        <v>5</v>
      </c>
      <c r="R4" s="140" t="s">
        <v>4</v>
      </c>
      <c r="S4" s="140" t="s">
        <v>4</v>
      </c>
      <c r="T4" s="129" t="s">
        <v>5</v>
      </c>
      <c r="U4" s="129" t="s">
        <v>5</v>
      </c>
      <c r="V4" s="129" t="s">
        <v>5</v>
      </c>
      <c r="W4" s="129" t="s">
        <v>5</v>
      </c>
      <c r="X4" s="129" t="s">
        <v>5</v>
      </c>
      <c r="Y4" s="140" t="s">
        <v>4</v>
      </c>
      <c r="Z4" s="140" t="s">
        <v>4</v>
      </c>
      <c r="AA4" s="202" t="s">
        <v>11</v>
      </c>
      <c r="AB4" s="198" t="s">
        <v>10</v>
      </c>
      <c r="AC4" s="198" t="s">
        <v>10</v>
      </c>
      <c r="AD4" s="198" t="s">
        <v>10</v>
      </c>
      <c r="AE4" s="198" t="s">
        <v>10</v>
      </c>
      <c r="AF4" s="128" t="s">
        <v>4</v>
      </c>
      <c r="AG4" s="132" t="s">
        <v>3</v>
      </c>
      <c r="AH4" s="199" t="s">
        <v>2</v>
      </c>
    </row>
    <row r="5" spans="1:34" ht="15" thickBot="1" x14ac:dyDescent="0.4">
      <c r="A5" s="200" t="s">
        <v>12</v>
      </c>
      <c r="B5" s="140" t="s">
        <v>5</v>
      </c>
      <c r="C5" s="140" t="s">
        <v>5</v>
      </c>
      <c r="D5" s="19" t="s">
        <v>42</v>
      </c>
      <c r="E5" s="183" t="s">
        <v>11</v>
      </c>
      <c r="F5" s="202" t="s">
        <v>10</v>
      </c>
      <c r="G5" s="202" t="s">
        <v>10</v>
      </c>
      <c r="H5" s="183" t="s">
        <v>11</v>
      </c>
      <c r="I5" s="201" t="s">
        <v>2</v>
      </c>
      <c r="J5" s="201" t="s">
        <v>2</v>
      </c>
      <c r="K5" s="128" t="s">
        <v>4</v>
      </c>
      <c r="L5" s="202" t="s">
        <v>11</v>
      </c>
      <c r="M5" s="202" t="s">
        <v>10</v>
      </c>
      <c r="N5" s="202" t="s">
        <v>10</v>
      </c>
      <c r="O5" s="201" t="s">
        <v>2</v>
      </c>
      <c r="P5" s="202" t="s">
        <v>10</v>
      </c>
      <c r="Q5" s="202" t="s">
        <v>10</v>
      </c>
      <c r="R5" s="202" t="s">
        <v>11</v>
      </c>
      <c r="S5" s="202" t="s">
        <v>11</v>
      </c>
      <c r="T5" s="202" t="s">
        <v>10</v>
      </c>
      <c r="U5" s="201" t="s">
        <v>2</v>
      </c>
      <c r="V5" s="201" t="s">
        <v>2</v>
      </c>
      <c r="W5" s="202" t="s">
        <v>10</v>
      </c>
      <c r="X5" s="202" t="s">
        <v>10</v>
      </c>
      <c r="Y5" s="202" t="s">
        <v>11</v>
      </c>
      <c r="Z5" s="202" t="s">
        <v>11</v>
      </c>
      <c r="AA5" s="203" t="s">
        <v>37</v>
      </c>
      <c r="AB5" s="136" t="s">
        <v>5</v>
      </c>
      <c r="AC5" s="136" t="s">
        <v>5</v>
      </c>
      <c r="AD5" s="136" t="s">
        <v>5</v>
      </c>
      <c r="AE5" s="136" t="s">
        <v>5</v>
      </c>
      <c r="AF5" s="202" t="s">
        <v>11</v>
      </c>
      <c r="AG5" s="130" t="s">
        <v>4</v>
      </c>
      <c r="AH5" s="185" t="s">
        <v>6</v>
      </c>
    </row>
    <row r="6" spans="1:34" ht="15" thickBot="1" x14ac:dyDescent="0.4">
      <c r="A6" s="204" t="s">
        <v>86</v>
      </c>
      <c r="B6" s="140" t="s">
        <v>5</v>
      </c>
      <c r="C6" s="19" t="s">
        <v>41</v>
      </c>
      <c r="D6" s="139" t="s">
        <v>4</v>
      </c>
      <c r="E6" s="156" t="s">
        <v>11</v>
      </c>
      <c r="F6" s="206" t="s">
        <v>10</v>
      </c>
      <c r="G6" s="206" t="s">
        <v>10</v>
      </c>
      <c r="H6" s="183" t="s">
        <v>11</v>
      </c>
      <c r="I6" s="202" t="s">
        <v>10</v>
      </c>
      <c r="J6" s="205" t="s">
        <v>2</v>
      </c>
      <c r="K6" s="139" t="s">
        <v>4</v>
      </c>
      <c r="L6" s="206" t="s">
        <v>11</v>
      </c>
      <c r="M6" s="206" t="s">
        <v>10</v>
      </c>
      <c r="N6" s="206" t="s">
        <v>10</v>
      </c>
      <c r="O6" s="206" t="s">
        <v>10</v>
      </c>
      <c r="P6" s="206" t="s">
        <v>10</v>
      </c>
      <c r="Q6" s="205" t="s">
        <v>2</v>
      </c>
      <c r="R6" s="139" t="s">
        <v>4</v>
      </c>
      <c r="S6" s="202" t="s">
        <v>11</v>
      </c>
      <c r="T6" s="206" t="s">
        <v>10</v>
      </c>
      <c r="U6" s="206" t="s">
        <v>10</v>
      </c>
      <c r="V6" s="206" t="s">
        <v>10</v>
      </c>
      <c r="W6" s="206" t="s">
        <v>10</v>
      </c>
      <c r="X6" s="205" t="s">
        <v>2</v>
      </c>
      <c r="Y6" s="206" t="s">
        <v>11</v>
      </c>
      <c r="Z6" s="206" t="s">
        <v>11</v>
      </c>
      <c r="AA6" s="202" t="s">
        <v>11</v>
      </c>
      <c r="AB6" s="206" t="s">
        <v>10</v>
      </c>
      <c r="AC6" s="206" t="s">
        <v>10</v>
      </c>
      <c r="AD6" s="205" t="s">
        <v>2</v>
      </c>
      <c r="AE6" s="205" t="s">
        <v>2</v>
      </c>
      <c r="AF6" s="139" t="s">
        <v>4</v>
      </c>
      <c r="AG6" s="141" t="s">
        <v>3</v>
      </c>
      <c r="AH6" s="141" t="s">
        <v>6</v>
      </c>
    </row>
    <row r="7" spans="1:34" ht="15" thickBot="1" x14ac:dyDescent="0.4">
      <c r="A7" s="207" t="s">
        <v>88</v>
      </c>
      <c r="B7" s="19" t="s">
        <v>41</v>
      </c>
      <c r="C7" s="19" t="s">
        <v>41</v>
      </c>
      <c r="D7" s="19" t="s">
        <v>42</v>
      </c>
      <c r="E7" s="143" t="s">
        <v>4</v>
      </c>
      <c r="F7" s="197" t="s">
        <v>2</v>
      </c>
      <c r="G7" s="206" t="s">
        <v>10</v>
      </c>
      <c r="H7" s="208" t="s">
        <v>37</v>
      </c>
      <c r="I7" s="202" t="s">
        <v>10</v>
      </c>
      <c r="J7" s="210" t="s">
        <v>10</v>
      </c>
      <c r="K7" s="210" t="s">
        <v>11</v>
      </c>
      <c r="L7" s="143" t="s">
        <v>4</v>
      </c>
      <c r="M7" s="209" t="s">
        <v>2</v>
      </c>
      <c r="N7" s="209" t="s">
        <v>2</v>
      </c>
      <c r="O7" s="210" t="s">
        <v>10</v>
      </c>
      <c r="P7" s="210" t="s">
        <v>10</v>
      </c>
      <c r="Q7" s="210" t="s">
        <v>10</v>
      </c>
      <c r="R7" s="210" t="s">
        <v>11</v>
      </c>
      <c r="S7" s="210" t="s">
        <v>11</v>
      </c>
      <c r="T7" s="209" t="s">
        <v>2</v>
      </c>
      <c r="U7" s="210" t="s">
        <v>10</v>
      </c>
      <c r="V7" s="210" t="s">
        <v>10</v>
      </c>
      <c r="W7" s="210" t="s">
        <v>10</v>
      </c>
      <c r="X7" s="210" t="s">
        <v>10</v>
      </c>
      <c r="Y7" s="140" t="s">
        <v>4</v>
      </c>
      <c r="Z7" s="140" t="s">
        <v>4</v>
      </c>
      <c r="AA7" s="202" t="s">
        <v>11</v>
      </c>
      <c r="AB7" s="209" t="s">
        <v>2</v>
      </c>
      <c r="AC7" s="210" t="s">
        <v>11</v>
      </c>
      <c r="AD7" s="210" t="s">
        <v>10</v>
      </c>
      <c r="AE7" s="210" t="s">
        <v>10</v>
      </c>
      <c r="AF7" s="210" t="s">
        <v>11</v>
      </c>
      <c r="AG7" s="143" t="s">
        <v>4</v>
      </c>
      <c r="AH7" s="209" t="s">
        <v>2</v>
      </c>
    </row>
    <row r="8" spans="1:34" x14ac:dyDescent="0.35">
      <c r="A8" s="207" t="s">
        <v>87</v>
      </c>
      <c r="B8" s="19" t="s">
        <v>41</v>
      </c>
      <c r="C8" s="19" t="s">
        <v>41</v>
      </c>
      <c r="D8" s="143" t="s">
        <v>4</v>
      </c>
      <c r="E8" s="143" t="s">
        <v>4</v>
      </c>
      <c r="F8" s="210" t="s">
        <v>10</v>
      </c>
      <c r="G8" s="210" t="s">
        <v>10</v>
      </c>
      <c r="H8" s="208" t="s">
        <v>37</v>
      </c>
      <c r="I8" s="210" t="s">
        <v>10</v>
      </c>
      <c r="J8" s="210" t="s">
        <v>10</v>
      </c>
      <c r="K8" s="210" t="s">
        <v>11</v>
      </c>
      <c r="L8" s="210" t="s">
        <v>11</v>
      </c>
      <c r="M8" s="209" t="s">
        <v>2</v>
      </c>
      <c r="N8" s="209" t="s">
        <v>2</v>
      </c>
      <c r="O8" s="22" t="s">
        <v>16</v>
      </c>
      <c r="P8" s="210" t="s">
        <v>10</v>
      </c>
      <c r="Q8" s="210" t="s">
        <v>10</v>
      </c>
      <c r="R8" s="210" t="s">
        <v>11</v>
      </c>
      <c r="S8" s="143" t="s">
        <v>4</v>
      </c>
      <c r="T8" s="210" t="s">
        <v>10</v>
      </c>
      <c r="U8" s="210" t="s">
        <v>10</v>
      </c>
      <c r="V8" s="210" t="s">
        <v>10</v>
      </c>
      <c r="W8" s="209" t="s">
        <v>2</v>
      </c>
      <c r="X8" s="210" t="s">
        <v>10</v>
      </c>
      <c r="Y8" s="210" t="s">
        <v>11</v>
      </c>
      <c r="Z8" s="210" t="s">
        <v>11</v>
      </c>
      <c r="AA8" s="208" t="s">
        <v>37</v>
      </c>
      <c r="AB8" s="210" t="s">
        <v>10</v>
      </c>
      <c r="AC8" s="151" t="s">
        <v>5</v>
      </c>
      <c r="AD8" s="210" t="s">
        <v>10</v>
      </c>
      <c r="AE8" s="210" t="s">
        <v>10</v>
      </c>
      <c r="AF8" s="210" t="s">
        <v>11</v>
      </c>
      <c r="AG8" s="143" t="s">
        <v>4</v>
      </c>
      <c r="AH8" s="25" t="s">
        <v>6</v>
      </c>
    </row>
    <row r="9" spans="1:34" ht="15" thickBot="1" x14ac:dyDescent="0.4">
      <c r="A9" s="171"/>
      <c r="B9" s="171"/>
      <c r="C9" s="171"/>
      <c r="D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</row>
    <row r="10" spans="1:34" ht="15" thickBot="1" x14ac:dyDescent="0.4">
      <c r="A10" s="196" t="s">
        <v>9</v>
      </c>
      <c r="B10" s="152" t="s">
        <v>10</v>
      </c>
      <c r="C10" s="152" t="s">
        <v>10</v>
      </c>
      <c r="D10" s="181" t="s">
        <v>4</v>
      </c>
      <c r="E10" s="25" t="s">
        <v>3</v>
      </c>
      <c r="F10" s="134" t="s">
        <v>6</v>
      </c>
      <c r="G10" s="134" t="s">
        <v>3</v>
      </c>
      <c r="H10" s="208" t="s">
        <v>37</v>
      </c>
      <c r="I10" s="129" t="s">
        <v>5</v>
      </c>
      <c r="J10" s="129" t="s">
        <v>5</v>
      </c>
      <c r="K10" s="140" t="s">
        <v>4</v>
      </c>
      <c r="L10" s="140" t="s">
        <v>4</v>
      </c>
      <c r="M10" s="83" t="s">
        <v>6</v>
      </c>
      <c r="N10" s="83" t="s">
        <v>6</v>
      </c>
      <c r="O10" s="83" t="s">
        <v>6</v>
      </c>
      <c r="P10" s="197" t="s">
        <v>2</v>
      </c>
      <c r="Q10" s="83" t="s">
        <v>6</v>
      </c>
      <c r="R10" s="132" t="s">
        <v>3</v>
      </c>
      <c r="S10" s="128" t="s">
        <v>4</v>
      </c>
      <c r="T10" s="197" t="s">
        <v>2</v>
      </c>
      <c r="U10" s="197" t="s">
        <v>2</v>
      </c>
      <c r="V10" s="83" t="s">
        <v>6</v>
      </c>
      <c r="W10" s="83" t="s">
        <v>6</v>
      </c>
      <c r="X10" s="197" t="s">
        <v>2</v>
      </c>
      <c r="Y10" s="134" t="s">
        <v>3</v>
      </c>
      <c r="Z10" s="143" t="s">
        <v>4</v>
      </c>
      <c r="AA10" s="132" t="s">
        <v>3</v>
      </c>
      <c r="AB10" s="132" t="s">
        <v>6</v>
      </c>
      <c r="AC10" s="203" t="s">
        <v>37</v>
      </c>
      <c r="AD10" s="132" t="s">
        <v>6</v>
      </c>
      <c r="AE10" s="149" t="s">
        <v>41</v>
      </c>
      <c r="AF10" s="132" t="s">
        <v>3</v>
      </c>
      <c r="AG10" s="128" t="s">
        <v>4</v>
      </c>
      <c r="AH10" s="199" t="s">
        <v>2</v>
      </c>
    </row>
    <row r="11" spans="1:34" ht="15" thickBot="1" x14ac:dyDescent="0.4">
      <c r="A11" s="200" t="s">
        <v>15</v>
      </c>
      <c r="B11" s="131" t="s">
        <v>2</v>
      </c>
      <c r="C11" s="152" t="s">
        <v>10</v>
      </c>
      <c r="D11" s="152" t="s">
        <v>11</v>
      </c>
      <c r="E11" s="181" t="s">
        <v>4</v>
      </c>
      <c r="F11" s="201" t="s">
        <v>2</v>
      </c>
      <c r="G11" s="134" t="s">
        <v>6</v>
      </c>
      <c r="H11" s="25" t="s">
        <v>3</v>
      </c>
      <c r="I11" s="134" t="s">
        <v>6</v>
      </c>
      <c r="J11" s="134" t="s">
        <v>6</v>
      </c>
      <c r="K11" s="134" t="s">
        <v>3</v>
      </c>
      <c r="L11" s="134" t="s">
        <v>3</v>
      </c>
      <c r="M11" s="201" t="s">
        <v>2</v>
      </c>
      <c r="N11" s="201" t="s">
        <v>2</v>
      </c>
      <c r="O11" s="134" t="s">
        <v>6</v>
      </c>
      <c r="P11" s="134" t="s">
        <v>6</v>
      </c>
      <c r="Q11" s="19" t="s">
        <v>260</v>
      </c>
      <c r="R11" s="130" t="s">
        <v>4</v>
      </c>
      <c r="S11" s="134" t="s">
        <v>3</v>
      </c>
      <c r="T11" s="134" t="s">
        <v>6</v>
      </c>
      <c r="U11" s="134" t="s">
        <v>6</v>
      </c>
      <c r="V11" s="134" t="s">
        <v>6</v>
      </c>
      <c r="W11" s="201" t="s">
        <v>2</v>
      </c>
      <c r="X11" s="134" t="s">
        <v>6</v>
      </c>
      <c r="Y11" s="143" t="s">
        <v>4</v>
      </c>
      <c r="Z11" s="132" t="s">
        <v>3</v>
      </c>
      <c r="AA11" s="203" t="s">
        <v>37</v>
      </c>
      <c r="AB11" s="134" t="s">
        <v>6</v>
      </c>
      <c r="AC11" s="134" t="s">
        <v>6</v>
      </c>
      <c r="AD11" s="136" t="s">
        <v>5</v>
      </c>
      <c r="AE11" s="134" t="s">
        <v>6</v>
      </c>
      <c r="AF11" s="130" t="s">
        <v>4</v>
      </c>
      <c r="AG11" s="149" t="s">
        <v>42</v>
      </c>
      <c r="AH11" s="211" t="s">
        <v>41</v>
      </c>
    </row>
    <row r="12" spans="1:34" x14ac:dyDescent="0.35">
      <c r="A12" s="204" t="s">
        <v>21</v>
      </c>
      <c r="B12" s="156" t="s">
        <v>10</v>
      </c>
      <c r="C12" s="156" t="s">
        <v>10</v>
      </c>
      <c r="D12" s="156" t="s">
        <v>11</v>
      </c>
      <c r="E12" s="139" t="s">
        <v>4</v>
      </c>
      <c r="F12" s="141" t="s">
        <v>6</v>
      </c>
      <c r="G12" s="140" t="s">
        <v>5</v>
      </c>
      <c r="H12" s="25" t="s">
        <v>3</v>
      </c>
      <c r="I12" s="141" t="s">
        <v>6</v>
      </c>
      <c r="J12" s="141" t="s">
        <v>6</v>
      </c>
      <c r="K12" s="141" t="s">
        <v>3</v>
      </c>
      <c r="L12" s="139" t="s">
        <v>4</v>
      </c>
      <c r="M12" s="25" t="s">
        <v>6</v>
      </c>
      <c r="N12" s="141" t="s">
        <v>6</v>
      </c>
      <c r="O12" s="25" t="s">
        <v>6</v>
      </c>
      <c r="P12" s="140" t="s">
        <v>5</v>
      </c>
      <c r="Q12" s="140" t="s">
        <v>5</v>
      </c>
      <c r="R12" s="139" t="s">
        <v>4</v>
      </c>
      <c r="S12" s="139" t="s">
        <v>4</v>
      </c>
      <c r="T12" s="141" t="s">
        <v>6</v>
      </c>
      <c r="U12" s="141" t="s">
        <v>6</v>
      </c>
      <c r="V12" s="140" t="s">
        <v>5</v>
      </c>
      <c r="W12" s="140" t="s">
        <v>5</v>
      </c>
      <c r="X12" s="140" t="s">
        <v>5</v>
      </c>
      <c r="Y12" s="139" t="s">
        <v>4</v>
      </c>
      <c r="Z12" s="141" t="s">
        <v>3</v>
      </c>
      <c r="AA12" s="132" t="s">
        <v>3</v>
      </c>
      <c r="AB12" s="205" t="s">
        <v>2</v>
      </c>
      <c r="AC12" s="83" t="s">
        <v>41</v>
      </c>
      <c r="AD12" s="83" t="s">
        <v>6</v>
      </c>
      <c r="AE12" s="83" t="s">
        <v>6</v>
      </c>
      <c r="AF12" s="83" t="s">
        <v>30</v>
      </c>
      <c r="AG12" s="83" t="s">
        <v>42</v>
      </c>
      <c r="AH12" s="83" t="s">
        <v>41</v>
      </c>
    </row>
    <row r="13" spans="1:34" ht="15" thickBot="1" x14ac:dyDescent="0.4">
      <c r="A13" s="207" t="s">
        <v>22</v>
      </c>
      <c r="B13" s="16" t="s">
        <v>10</v>
      </c>
      <c r="C13" s="137" t="s">
        <v>2</v>
      </c>
      <c r="D13" s="130" t="s">
        <v>4</v>
      </c>
      <c r="E13" s="83" t="s">
        <v>3</v>
      </c>
      <c r="F13" s="83" t="s">
        <v>6</v>
      </c>
      <c r="G13" s="83" t="s">
        <v>6</v>
      </c>
      <c r="H13" s="83" t="s">
        <v>3</v>
      </c>
      <c r="I13" s="83" t="s">
        <v>6</v>
      </c>
      <c r="J13" s="151" t="s">
        <v>5</v>
      </c>
      <c r="K13" s="151" t="s">
        <v>4</v>
      </c>
      <c r="L13" s="25" t="s">
        <v>3</v>
      </c>
      <c r="M13" s="201" t="s">
        <v>2</v>
      </c>
      <c r="N13" s="83" t="s">
        <v>6</v>
      </c>
      <c r="O13" s="83" t="s">
        <v>6</v>
      </c>
      <c r="P13" s="83" t="s">
        <v>6</v>
      </c>
      <c r="Q13" s="83" t="s">
        <v>6</v>
      </c>
      <c r="R13" s="83" t="s">
        <v>3</v>
      </c>
      <c r="S13" s="83" t="s">
        <v>3</v>
      </c>
      <c r="T13" s="209" t="s">
        <v>2</v>
      </c>
      <c r="U13" s="25" t="s">
        <v>6</v>
      </c>
      <c r="V13" s="25" t="s">
        <v>6</v>
      </c>
      <c r="W13" s="25" t="s">
        <v>6</v>
      </c>
      <c r="X13" s="25" t="s">
        <v>6</v>
      </c>
      <c r="Y13" s="25" t="s">
        <v>3</v>
      </c>
      <c r="Z13" s="143" t="s">
        <v>4</v>
      </c>
      <c r="AA13" s="151" t="s">
        <v>5</v>
      </c>
      <c r="AB13" s="151" t="s">
        <v>5</v>
      </c>
      <c r="AC13" s="25" t="s">
        <v>6</v>
      </c>
      <c r="AD13" s="25" t="s">
        <v>6</v>
      </c>
      <c r="AE13" s="25" t="s">
        <v>6</v>
      </c>
      <c r="AF13" s="25" t="s">
        <v>3</v>
      </c>
      <c r="AG13" s="143" t="s">
        <v>4</v>
      </c>
      <c r="AH13" s="83" t="s">
        <v>41</v>
      </c>
    </row>
    <row r="14" spans="1:34" ht="15" thickBot="1" x14ac:dyDescent="0.4">
      <c r="A14" s="207" t="s">
        <v>200</v>
      </c>
      <c r="B14" s="163" t="s">
        <v>16</v>
      </c>
      <c r="C14" s="16" t="s">
        <v>10</v>
      </c>
      <c r="D14" s="16" t="s">
        <v>11</v>
      </c>
      <c r="E14" s="143" t="s">
        <v>4</v>
      </c>
      <c r="F14" s="209" t="s">
        <v>2</v>
      </c>
      <c r="G14" s="83" t="s">
        <v>6</v>
      </c>
      <c r="H14" s="208" t="s">
        <v>37</v>
      </c>
      <c r="I14" s="25" t="s">
        <v>6</v>
      </c>
      <c r="J14" s="25" t="s">
        <v>6</v>
      </c>
      <c r="K14" s="22" t="s">
        <v>30</v>
      </c>
      <c r="L14" s="143" t="s">
        <v>4</v>
      </c>
      <c r="M14" s="83" t="s">
        <v>6</v>
      </c>
      <c r="N14" s="83" t="s">
        <v>6</v>
      </c>
      <c r="O14" s="209" t="s">
        <v>2</v>
      </c>
      <c r="P14" s="25" t="s">
        <v>6</v>
      </c>
      <c r="Q14" s="83" t="s">
        <v>6</v>
      </c>
      <c r="R14" s="22" t="s">
        <v>30</v>
      </c>
      <c r="S14" s="143" t="s">
        <v>4</v>
      </c>
      <c r="T14" s="25" t="s">
        <v>6</v>
      </c>
      <c r="U14" s="25" t="s">
        <v>6</v>
      </c>
      <c r="V14" s="209" t="s">
        <v>2</v>
      </c>
      <c r="W14" s="83" t="s">
        <v>6</v>
      </c>
      <c r="X14" s="83" t="s">
        <v>6</v>
      </c>
      <c r="Y14" s="209" t="s">
        <v>34</v>
      </c>
      <c r="Z14" s="143" t="s">
        <v>4</v>
      </c>
      <c r="AA14" s="132" t="s">
        <v>3</v>
      </c>
      <c r="AB14" s="25" t="s">
        <v>6</v>
      </c>
      <c r="AC14" s="151" t="s">
        <v>5</v>
      </c>
      <c r="AD14" s="151" t="s">
        <v>5</v>
      </c>
      <c r="AE14" s="149" t="s">
        <v>41</v>
      </c>
      <c r="AF14" s="143" t="s">
        <v>4</v>
      </c>
      <c r="AG14" s="143" t="s">
        <v>4</v>
      </c>
      <c r="AH14" s="209" t="s">
        <v>2</v>
      </c>
    </row>
    <row r="15" spans="1:34" ht="15" thickBot="1" x14ac:dyDescent="0.4">
      <c r="A15" s="171"/>
      <c r="B15" s="171"/>
      <c r="C15" s="171"/>
      <c r="D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</row>
    <row r="16" spans="1:34" ht="15" thickBot="1" x14ac:dyDescent="0.4">
      <c r="A16" s="196" t="s">
        <v>1</v>
      </c>
      <c r="B16" s="160" t="s">
        <v>6</v>
      </c>
      <c r="C16" s="133" t="s">
        <v>2</v>
      </c>
      <c r="D16" s="134" t="s">
        <v>3</v>
      </c>
      <c r="E16" s="186" t="s">
        <v>42</v>
      </c>
      <c r="F16" s="197" t="s">
        <v>2</v>
      </c>
      <c r="G16" s="149" t="s">
        <v>41</v>
      </c>
      <c r="H16" s="186" t="s">
        <v>42</v>
      </c>
      <c r="I16" s="149" t="s">
        <v>41</v>
      </c>
      <c r="J16" s="197" t="s">
        <v>2</v>
      </c>
      <c r="K16" s="147" t="s">
        <v>42</v>
      </c>
      <c r="L16" s="140" t="s">
        <v>4</v>
      </c>
      <c r="M16" s="162" t="s">
        <v>41</v>
      </c>
      <c r="N16" s="162" t="s">
        <v>41</v>
      </c>
      <c r="O16" s="162" t="s">
        <v>41</v>
      </c>
      <c r="P16" s="162" t="s">
        <v>41</v>
      </c>
      <c r="Q16" s="197" t="s">
        <v>2</v>
      </c>
      <c r="R16" s="128" t="s">
        <v>4</v>
      </c>
      <c r="S16" s="147" t="s">
        <v>42</v>
      </c>
      <c r="T16" s="162" t="s">
        <v>41</v>
      </c>
      <c r="U16" s="162" t="s">
        <v>41</v>
      </c>
      <c r="V16" s="147" t="s">
        <v>41</v>
      </c>
      <c r="W16" s="147" t="s">
        <v>41</v>
      </c>
      <c r="X16" s="147" t="s">
        <v>41</v>
      </c>
      <c r="Y16" s="128" t="s">
        <v>4</v>
      </c>
      <c r="Z16" s="147" t="s">
        <v>42</v>
      </c>
      <c r="AA16" s="19" t="s">
        <v>42</v>
      </c>
      <c r="AB16" s="147" t="s">
        <v>41</v>
      </c>
      <c r="AC16" s="147" t="s">
        <v>41</v>
      </c>
      <c r="AD16" s="197" t="s">
        <v>2</v>
      </c>
      <c r="AE16" s="197" t="s">
        <v>2</v>
      </c>
      <c r="AF16" s="147" t="s">
        <v>42</v>
      </c>
      <c r="AG16" s="140" t="s">
        <v>4</v>
      </c>
      <c r="AH16" s="212" t="s">
        <v>5</v>
      </c>
    </row>
    <row r="17" spans="1:34" ht="15" thickBot="1" x14ac:dyDescent="0.4">
      <c r="A17" s="200" t="s">
        <v>43</v>
      </c>
      <c r="B17" s="160" t="s">
        <v>6</v>
      </c>
      <c r="C17" s="160" t="s">
        <v>6</v>
      </c>
      <c r="D17" s="25" t="s">
        <v>3</v>
      </c>
      <c r="E17" s="188" t="s">
        <v>4</v>
      </c>
      <c r="F17" s="149" t="s">
        <v>41</v>
      </c>
      <c r="G17" s="149" t="s">
        <v>41</v>
      </c>
      <c r="H17" s="203" t="s">
        <v>37</v>
      </c>
      <c r="I17" s="149" t="s">
        <v>41</v>
      </c>
      <c r="J17" s="149" t="s">
        <v>41</v>
      </c>
      <c r="K17" s="130" t="s">
        <v>4</v>
      </c>
      <c r="L17" s="162" t="s">
        <v>42</v>
      </c>
      <c r="M17" s="162" t="s">
        <v>41</v>
      </c>
      <c r="N17" s="162" t="s">
        <v>41</v>
      </c>
      <c r="O17" s="162" t="s">
        <v>41</v>
      </c>
      <c r="P17" s="162" t="s">
        <v>41</v>
      </c>
      <c r="Q17" s="162" t="s">
        <v>6</v>
      </c>
      <c r="R17" s="130" t="s">
        <v>4</v>
      </c>
      <c r="S17" s="147" t="s">
        <v>42</v>
      </c>
      <c r="T17" s="149" t="s">
        <v>41</v>
      </c>
      <c r="U17" s="136" t="s">
        <v>5</v>
      </c>
      <c r="V17" s="136" t="s">
        <v>5</v>
      </c>
      <c r="W17" s="136" t="s">
        <v>5</v>
      </c>
      <c r="X17" s="136" t="s">
        <v>5</v>
      </c>
      <c r="Y17" s="149" t="s">
        <v>42</v>
      </c>
      <c r="Z17" s="130" t="s">
        <v>4</v>
      </c>
      <c r="AA17" s="19" t="s">
        <v>42</v>
      </c>
      <c r="AB17" s="149" t="s">
        <v>41</v>
      </c>
      <c r="AC17" s="134" t="s">
        <v>6</v>
      </c>
      <c r="AD17" s="149" t="s">
        <v>41</v>
      </c>
      <c r="AE17" s="134" t="s">
        <v>6</v>
      </c>
      <c r="AF17" s="130" t="s">
        <v>4</v>
      </c>
      <c r="AG17" s="202" t="s">
        <v>11</v>
      </c>
      <c r="AH17" s="213" t="s">
        <v>10</v>
      </c>
    </row>
    <row r="18" spans="1:34" ht="15" thickBot="1" x14ac:dyDescent="0.4">
      <c r="A18" s="207" t="s">
        <v>85</v>
      </c>
      <c r="B18" s="25" t="s">
        <v>6</v>
      </c>
      <c r="C18" s="25" t="s">
        <v>6</v>
      </c>
      <c r="D18" s="188" t="s">
        <v>4</v>
      </c>
      <c r="E18" s="162" t="s">
        <v>42</v>
      </c>
      <c r="F18" s="162" t="s">
        <v>41</v>
      </c>
      <c r="G18" s="162" t="s">
        <v>41</v>
      </c>
      <c r="H18" s="162" t="s">
        <v>42</v>
      </c>
      <c r="I18" s="162" t="s">
        <v>41</v>
      </c>
      <c r="J18" s="162" t="s">
        <v>41</v>
      </c>
      <c r="K18" s="143" t="s">
        <v>4</v>
      </c>
      <c r="L18" s="143" t="s">
        <v>4</v>
      </c>
      <c r="M18" s="19" t="s">
        <v>41</v>
      </c>
      <c r="N18" s="19" t="s">
        <v>41</v>
      </c>
      <c r="O18" s="209" t="s">
        <v>2</v>
      </c>
      <c r="P18" s="19" t="s">
        <v>41</v>
      </c>
      <c r="Q18" s="19" t="s">
        <v>41</v>
      </c>
      <c r="R18" s="19" t="s">
        <v>42</v>
      </c>
      <c r="S18" s="139" t="s">
        <v>4</v>
      </c>
      <c r="T18" s="209" t="s">
        <v>2</v>
      </c>
      <c r="U18" s="19" t="s">
        <v>41</v>
      </c>
      <c r="V18" s="19" t="s">
        <v>41</v>
      </c>
      <c r="W18" s="19" t="s">
        <v>41</v>
      </c>
      <c r="X18" s="19" t="s">
        <v>41</v>
      </c>
      <c r="Y18" s="19" t="s">
        <v>42</v>
      </c>
      <c r="Z18" s="143" t="s">
        <v>4</v>
      </c>
      <c r="AA18" s="208" t="s">
        <v>37</v>
      </c>
      <c r="AB18" s="151" t="s">
        <v>5</v>
      </c>
      <c r="AC18" s="151" t="s">
        <v>5</v>
      </c>
      <c r="AD18" s="19" t="s">
        <v>41</v>
      </c>
      <c r="AE18" s="19" t="s">
        <v>41</v>
      </c>
      <c r="AF18" s="19" t="s">
        <v>42</v>
      </c>
      <c r="AG18" s="210" t="s">
        <v>11</v>
      </c>
      <c r="AH18" s="210" t="s">
        <v>10</v>
      </c>
    </row>
    <row r="19" spans="1:34" x14ac:dyDescent="0.35">
      <c r="A19" s="207" t="s">
        <v>71</v>
      </c>
      <c r="B19" s="22" t="s">
        <v>16</v>
      </c>
      <c r="C19" s="83" t="s">
        <v>6</v>
      </c>
      <c r="D19" s="180" t="s">
        <v>30</v>
      </c>
      <c r="E19" s="143" t="s">
        <v>4</v>
      </c>
      <c r="F19" s="19" t="s">
        <v>41</v>
      </c>
      <c r="G19" s="19" t="s">
        <v>41</v>
      </c>
      <c r="H19" s="186" t="s">
        <v>42</v>
      </c>
      <c r="I19" s="151" t="s">
        <v>5</v>
      </c>
      <c r="J19" s="151" t="s">
        <v>5</v>
      </c>
      <c r="K19" s="19" t="s">
        <v>42</v>
      </c>
      <c r="L19" s="19" t="s">
        <v>42</v>
      </c>
      <c r="M19" s="151" t="s">
        <v>5</v>
      </c>
      <c r="N19" s="151" t="s">
        <v>5</v>
      </c>
      <c r="O19" s="162" t="s">
        <v>41</v>
      </c>
      <c r="P19" s="162" t="s">
        <v>41</v>
      </c>
      <c r="Q19" s="19" t="s">
        <v>41</v>
      </c>
      <c r="R19" s="19" t="s">
        <v>42</v>
      </c>
      <c r="S19" s="143" t="s">
        <v>4</v>
      </c>
      <c r="T19" s="19" t="s">
        <v>41</v>
      </c>
      <c r="U19" s="162" t="s">
        <v>41</v>
      </c>
      <c r="V19" s="162" t="s">
        <v>41</v>
      </c>
      <c r="W19" s="162" t="s">
        <v>41</v>
      </c>
      <c r="X19" s="162" t="s">
        <v>41</v>
      </c>
      <c r="Y19" s="22" t="s">
        <v>30</v>
      </c>
      <c r="Z19" s="19" t="s">
        <v>42</v>
      </c>
      <c r="AA19" s="19" t="s">
        <v>42</v>
      </c>
      <c r="AB19" s="19" t="s">
        <v>41</v>
      </c>
      <c r="AC19" s="19" t="s">
        <v>41</v>
      </c>
      <c r="AD19" s="19" t="s">
        <v>41</v>
      </c>
      <c r="AE19" s="197" t="s">
        <v>2</v>
      </c>
      <c r="AF19" s="143" t="s">
        <v>4</v>
      </c>
      <c r="AG19" s="210" t="s">
        <v>11</v>
      </c>
      <c r="AH19" s="210" t="s">
        <v>10</v>
      </c>
    </row>
    <row r="20" spans="1:34" x14ac:dyDescent="0.35">
      <c r="A20" s="207" t="s">
        <v>253</v>
      </c>
      <c r="B20" s="22" t="s">
        <v>16</v>
      </c>
      <c r="C20" s="22" t="s">
        <v>16</v>
      </c>
      <c r="D20" s="143" t="s">
        <v>4</v>
      </c>
      <c r="E20" s="143" t="s">
        <v>4</v>
      </c>
      <c r="F20" s="22" t="s">
        <v>16</v>
      </c>
      <c r="G20" s="22" t="s">
        <v>16</v>
      </c>
      <c r="H20" s="208" t="s">
        <v>37</v>
      </c>
      <c r="I20" s="22" t="s">
        <v>16</v>
      </c>
      <c r="J20" s="22" t="s">
        <v>16</v>
      </c>
      <c r="K20" s="143" t="s">
        <v>4</v>
      </c>
      <c r="L20" s="143" t="s">
        <v>4</v>
      </c>
      <c r="M20" s="22" t="s">
        <v>16</v>
      </c>
      <c r="N20" s="22" t="s">
        <v>16</v>
      </c>
      <c r="O20" s="22" t="s">
        <v>16</v>
      </c>
      <c r="P20" s="22" t="s">
        <v>16</v>
      </c>
      <c r="Q20" s="22" t="s">
        <v>16</v>
      </c>
      <c r="R20" s="143" t="s">
        <v>4</v>
      </c>
      <c r="S20" s="143" t="s">
        <v>4</v>
      </c>
      <c r="T20" s="22" t="s">
        <v>16</v>
      </c>
      <c r="U20" s="22" t="s">
        <v>16</v>
      </c>
      <c r="V20" s="22" t="s">
        <v>16</v>
      </c>
      <c r="W20" s="22" t="s">
        <v>16</v>
      </c>
      <c r="X20" s="22" t="s">
        <v>16</v>
      </c>
      <c r="Y20" s="143" t="s">
        <v>4</v>
      </c>
      <c r="Z20" s="143" t="s">
        <v>4</v>
      </c>
      <c r="AA20" s="208" t="s">
        <v>37</v>
      </c>
      <c r="AB20" s="22" t="s">
        <v>16</v>
      </c>
      <c r="AC20" s="22" t="s">
        <v>16</v>
      </c>
      <c r="AD20" s="22" t="s">
        <v>16</v>
      </c>
      <c r="AE20" s="22" t="s">
        <v>16</v>
      </c>
      <c r="AF20" s="143" t="s">
        <v>4</v>
      </c>
      <c r="AG20" s="143" t="s">
        <v>4</v>
      </c>
      <c r="AH20" s="22" t="s">
        <v>16</v>
      </c>
    </row>
    <row r="22" spans="1:34" x14ac:dyDescent="0.35">
      <c r="A22" s="214" t="s">
        <v>201</v>
      </c>
      <c r="B22">
        <f t="shared" ref="B22:AH22" si="2">COUNTIF(B4:B20,"*MS")</f>
        <v>3</v>
      </c>
      <c r="C22">
        <f t="shared" si="2"/>
        <v>3</v>
      </c>
      <c r="D22">
        <f t="shared" si="2"/>
        <v>2</v>
      </c>
      <c r="E22">
        <f t="shared" si="2"/>
        <v>2</v>
      </c>
      <c r="F22">
        <f t="shared" si="2"/>
        <v>3</v>
      </c>
      <c r="G22">
        <f t="shared" si="2"/>
        <v>4</v>
      </c>
      <c r="H22">
        <f t="shared" si="2"/>
        <v>3</v>
      </c>
      <c r="I22">
        <f t="shared" si="2"/>
        <v>4</v>
      </c>
      <c r="J22">
        <f t="shared" si="2"/>
        <v>3</v>
      </c>
      <c r="K22">
        <f t="shared" si="2"/>
        <v>2</v>
      </c>
      <c r="L22">
        <f t="shared" si="2"/>
        <v>2</v>
      </c>
      <c r="M22">
        <f t="shared" si="2"/>
        <v>3</v>
      </c>
      <c r="N22">
        <f t="shared" si="2"/>
        <v>4</v>
      </c>
      <c r="O22">
        <f t="shared" si="2"/>
        <v>4</v>
      </c>
      <c r="P22">
        <f t="shared" si="2"/>
        <v>3</v>
      </c>
      <c r="Q22">
        <f t="shared" si="2"/>
        <v>4</v>
      </c>
      <c r="R22">
        <f t="shared" si="2"/>
        <v>2</v>
      </c>
      <c r="S22">
        <f t="shared" si="2"/>
        <v>2</v>
      </c>
      <c r="T22">
        <f t="shared" si="2"/>
        <v>3</v>
      </c>
      <c r="U22">
        <f t="shared" si="2"/>
        <v>4</v>
      </c>
      <c r="V22">
        <f t="shared" si="2"/>
        <v>3</v>
      </c>
      <c r="W22">
        <f t="shared" si="2"/>
        <v>3</v>
      </c>
      <c r="X22">
        <f t="shared" si="2"/>
        <v>3</v>
      </c>
      <c r="Y22">
        <f t="shared" si="2"/>
        <v>2</v>
      </c>
      <c r="Z22">
        <f t="shared" si="2"/>
        <v>2</v>
      </c>
      <c r="AA22">
        <f t="shared" si="2"/>
        <v>3</v>
      </c>
      <c r="AB22">
        <f t="shared" si="2"/>
        <v>3</v>
      </c>
      <c r="AC22">
        <f t="shared" si="2"/>
        <v>3</v>
      </c>
      <c r="AD22">
        <f t="shared" si="2"/>
        <v>3</v>
      </c>
      <c r="AE22">
        <f t="shared" si="2"/>
        <v>4</v>
      </c>
      <c r="AF22">
        <f t="shared" si="2"/>
        <v>2</v>
      </c>
      <c r="AG22">
        <f t="shared" si="2"/>
        <v>2</v>
      </c>
      <c r="AH22">
        <f t="shared" si="2"/>
        <v>3</v>
      </c>
    </row>
    <row r="23" spans="1:34" x14ac:dyDescent="0.35">
      <c r="A23" s="214" t="s">
        <v>202</v>
      </c>
      <c r="B23">
        <f t="shared" ref="B23:AH23" si="3">COUNTIF(B4:B20,"*ASS1")</f>
        <v>3</v>
      </c>
      <c r="C23">
        <f t="shared" si="3"/>
        <v>4</v>
      </c>
      <c r="D23">
        <f t="shared" si="3"/>
        <v>2</v>
      </c>
      <c r="E23">
        <f t="shared" si="3"/>
        <v>2</v>
      </c>
      <c r="F23">
        <f t="shared" si="3"/>
        <v>3</v>
      </c>
      <c r="G23">
        <f t="shared" si="3"/>
        <v>4</v>
      </c>
      <c r="H23">
        <f t="shared" si="3"/>
        <v>3</v>
      </c>
      <c r="I23">
        <f t="shared" si="3"/>
        <v>3</v>
      </c>
      <c r="J23">
        <f t="shared" si="3"/>
        <v>2</v>
      </c>
      <c r="K23">
        <f t="shared" si="3"/>
        <v>2</v>
      </c>
      <c r="L23">
        <f t="shared" si="3"/>
        <v>2</v>
      </c>
      <c r="M23">
        <f t="shared" si="3"/>
        <v>3</v>
      </c>
      <c r="N23">
        <f t="shared" si="3"/>
        <v>3</v>
      </c>
      <c r="O23">
        <f t="shared" si="3"/>
        <v>3</v>
      </c>
      <c r="P23">
        <f t="shared" si="3"/>
        <v>4</v>
      </c>
      <c r="Q23">
        <f t="shared" si="3"/>
        <v>2</v>
      </c>
      <c r="R23">
        <f t="shared" si="3"/>
        <v>2</v>
      </c>
      <c r="S23">
        <f t="shared" si="3"/>
        <v>2</v>
      </c>
      <c r="T23">
        <f t="shared" si="3"/>
        <v>3</v>
      </c>
      <c r="U23">
        <f t="shared" si="3"/>
        <v>3</v>
      </c>
      <c r="V23">
        <f t="shared" si="3"/>
        <v>3</v>
      </c>
      <c r="W23">
        <f t="shared" si="3"/>
        <v>3</v>
      </c>
      <c r="X23">
        <f t="shared" si="3"/>
        <v>3</v>
      </c>
      <c r="Y23">
        <f t="shared" si="3"/>
        <v>2</v>
      </c>
      <c r="Z23">
        <f t="shared" si="3"/>
        <v>2</v>
      </c>
      <c r="AA23">
        <f t="shared" si="3"/>
        <v>3</v>
      </c>
      <c r="AB23">
        <f t="shared" si="3"/>
        <v>3</v>
      </c>
      <c r="AC23">
        <f t="shared" si="3"/>
        <v>3</v>
      </c>
      <c r="AD23">
        <f t="shared" si="3"/>
        <v>3</v>
      </c>
      <c r="AE23">
        <f t="shared" si="3"/>
        <v>3</v>
      </c>
      <c r="AF23">
        <f t="shared" si="3"/>
        <v>2</v>
      </c>
      <c r="AG23">
        <f t="shared" si="3"/>
        <v>2</v>
      </c>
      <c r="AH23">
        <f t="shared" si="3"/>
        <v>3</v>
      </c>
    </row>
    <row r="24" spans="1:34" x14ac:dyDescent="0.35">
      <c r="A24" s="214" t="s">
        <v>203</v>
      </c>
      <c r="B24">
        <f t="shared" ref="B24:AH24" si="4">COUNTIF(B4:B20,"*NST7")</f>
        <v>3</v>
      </c>
      <c r="C24">
        <f t="shared" si="4"/>
        <v>4</v>
      </c>
      <c r="D24">
        <f t="shared" si="4"/>
        <v>3</v>
      </c>
      <c r="E24">
        <f t="shared" si="4"/>
        <v>2</v>
      </c>
      <c r="F24">
        <f t="shared" si="4"/>
        <v>3</v>
      </c>
      <c r="G24">
        <f t="shared" si="4"/>
        <v>4</v>
      </c>
      <c r="H24">
        <f t="shared" si="4"/>
        <v>3</v>
      </c>
      <c r="I24">
        <f t="shared" si="4"/>
        <v>4</v>
      </c>
      <c r="J24">
        <f t="shared" si="4"/>
        <v>3</v>
      </c>
      <c r="K24">
        <f t="shared" si="4"/>
        <v>3</v>
      </c>
      <c r="L24">
        <f t="shared" si="4"/>
        <v>3</v>
      </c>
      <c r="M24">
        <f t="shared" si="4"/>
        <v>3</v>
      </c>
      <c r="N24">
        <f t="shared" si="4"/>
        <v>3</v>
      </c>
      <c r="O24">
        <f t="shared" si="4"/>
        <v>3</v>
      </c>
      <c r="P24">
        <f t="shared" si="4"/>
        <v>4</v>
      </c>
      <c r="Q24">
        <f t="shared" si="4"/>
        <v>3</v>
      </c>
      <c r="R24">
        <f t="shared" si="4"/>
        <v>3</v>
      </c>
      <c r="S24">
        <f t="shared" si="4"/>
        <v>3</v>
      </c>
      <c r="T24">
        <f t="shared" si="4"/>
        <v>3</v>
      </c>
      <c r="U24">
        <f t="shared" si="4"/>
        <v>3</v>
      </c>
      <c r="V24">
        <f t="shared" si="4"/>
        <v>3</v>
      </c>
      <c r="W24">
        <f t="shared" si="4"/>
        <v>3</v>
      </c>
      <c r="X24">
        <f t="shared" si="4"/>
        <v>3</v>
      </c>
      <c r="Y24">
        <f t="shared" si="4"/>
        <v>3</v>
      </c>
      <c r="Z24">
        <f t="shared" si="4"/>
        <v>3</v>
      </c>
      <c r="AA24">
        <f t="shared" si="4"/>
        <v>3</v>
      </c>
      <c r="AB24">
        <f t="shared" si="4"/>
        <v>3</v>
      </c>
      <c r="AC24">
        <f t="shared" si="4"/>
        <v>3</v>
      </c>
      <c r="AD24">
        <f t="shared" si="4"/>
        <v>3</v>
      </c>
      <c r="AE24">
        <f t="shared" si="4"/>
        <v>3</v>
      </c>
      <c r="AF24">
        <f t="shared" si="4"/>
        <v>3</v>
      </c>
      <c r="AG24">
        <f t="shared" si="4"/>
        <v>3</v>
      </c>
      <c r="AH24">
        <f t="shared" si="4"/>
        <v>3</v>
      </c>
    </row>
    <row r="25" spans="1:34" x14ac:dyDescent="0.35">
      <c r="A25" s="214" t="s">
        <v>204</v>
      </c>
      <c r="B25">
        <f t="shared" ref="B25:AH25" si="5">COUNTIF(B4:B20,"*GS")</f>
        <v>3</v>
      </c>
      <c r="C25">
        <f t="shared" si="5"/>
        <v>1</v>
      </c>
      <c r="D25">
        <f t="shared" si="5"/>
        <v>1</v>
      </c>
      <c r="E25">
        <f t="shared" si="5"/>
        <v>0</v>
      </c>
      <c r="F25">
        <f t="shared" si="5"/>
        <v>1</v>
      </c>
      <c r="G25">
        <f t="shared" si="5"/>
        <v>1</v>
      </c>
      <c r="H25">
        <f t="shared" si="5"/>
        <v>0</v>
      </c>
      <c r="I25">
        <f t="shared" si="5"/>
        <v>1</v>
      </c>
      <c r="J25">
        <f t="shared" si="5"/>
        <v>1</v>
      </c>
      <c r="K25">
        <f t="shared" si="5"/>
        <v>1</v>
      </c>
      <c r="L25">
        <f t="shared" si="5"/>
        <v>0</v>
      </c>
      <c r="M25">
        <f t="shared" si="5"/>
        <v>1</v>
      </c>
      <c r="N25">
        <f t="shared" si="5"/>
        <v>1</v>
      </c>
      <c r="O25">
        <f t="shared" si="5"/>
        <v>2</v>
      </c>
      <c r="P25">
        <f t="shared" si="5"/>
        <v>1</v>
      </c>
      <c r="Q25">
        <f t="shared" si="5"/>
        <v>1</v>
      </c>
      <c r="R25">
        <f t="shared" si="5"/>
        <v>1</v>
      </c>
      <c r="S25">
        <f t="shared" si="5"/>
        <v>0</v>
      </c>
      <c r="T25">
        <f t="shared" si="5"/>
        <v>1</v>
      </c>
      <c r="U25">
        <f t="shared" si="5"/>
        <v>1</v>
      </c>
      <c r="V25">
        <f t="shared" si="5"/>
        <v>1</v>
      </c>
      <c r="W25">
        <f t="shared" si="5"/>
        <v>1</v>
      </c>
      <c r="X25">
        <f t="shared" si="5"/>
        <v>1</v>
      </c>
      <c r="Y25">
        <f t="shared" si="5"/>
        <v>1</v>
      </c>
      <c r="Z25">
        <f t="shared" si="5"/>
        <v>0</v>
      </c>
      <c r="AA25">
        <f t="shared" si="5"/>
        <v>0</v>
      </c>
      <c r="AB25">
        <f t="shared" si="5"/>
        <v>1</v>
      </c>
      <c r="AC25">
        <f t="shared" si="5"/>
        <v>1</v>
      </c>
      <c r="AD25">
        <f t="shared" si="5"/>
        <v>1</v>
      </c>
      <c r="AE25">
        <f t="shared" si="5"/>
        <v>1</v>
      </c>
      <c r="AF25">
        <f t="shared" si="5"/>
        <v>1</v>
      </c>
      <c r="AG25">
        <f t="shared" si="5"/>
        <v>0</v>
      </c>
      <c r="AH25">
        <f t="shared" si="5"/>
        <v>1</v>
      </c>
    </row>
    <row r="26" spans="1:34" x14ac:dyDescent="0.35">
      <c r="A26" s="214" t="s">
        <v>205</v>
      </c>
      <c r="B26">
        <f>COUNTIF(B4:B20,"C")</f>
        <v>1</v>
      </c>
      <c r="C26">
        <f>COUNTIF(C4:C20,"C")</f>
        <v>2</v>
      </c>
      <c r="D26">
        <f>COUNTIF(D4:D20,"WO")</f>
        <v>7</v>
      </c>
      <c r="E26">
        <f>COUNTIF(E4:E20,"WO")</f>
        <v>9</v>
      </c>
      <c r="F26">
        <f>COUNTIF(F4:F20,"C")</f>
        <v>4</v>
      </c>
      <c r="G26">
        <f>COUNTIF(G4:G20,"C")</f>
        <v>0</v>
      </c>
      <c r="H26">
        <f>COUNTIF(H4:H20,"C")</f>
        <v>0</v>
      </c>
      <c r="I26">
        <f>COUNTIF(I4:I20,"C")</f>
        <v>1</v>
      </c>
      <c r="J26">
        <f>COUNTIF(J4:J20,"C")</f>
        <v>3</v>
      </c>
      <c r="K26">
        <f>COUNTIF(K4:K20,"WO")</f>
        <v>7</v>
      </c>
      <c r="L26">
        <f>COUNTIF(L4:L20,"WO")</f>
        <v>8</v>
      </c>
      <c r="M26">
        <f>COUNTIF(M4:M20,"C")</f>
        <v>4</v>
      </c>
      <c r="N26">
        <f>COUNTIF(N4:N20,"C")</f>
        <v>3</v>
      </c>
      <c r="O26">
        <f>COUNTIF(O4:O20,"C")</f>
        <v>3</v>
      </c>
      <c r="P26">
        <f>COUNTIF(P4:P20,"C")</f>
        <v>1</v>
      </c>
      <c r="Q26">
        <f>COUNTIF(Q4:Q20,"C")</f>
        <v>2</v>
      </c>
      <c r="R26">
        <f>COUNTIF(R4:R20,"WO")</f>
        <v>7</v>
      </c>
      <c r="S26">
        <f>COUNTIF(S4:S20,"WO")</f>
        <v>8</v>
      </c>
      <c r="T26">
        <f>COUNTIF(T4:T20,"C")</f>
        <v>4</v>
      </c>
      <c r="U26">
        <f>COUNTIF(U4:U20,"C")</f>
        <v>2</v>
      </c>
      <c r="V26">
        <f>COUNTIF(V4:V20,"C")</f>
        <v>2</v>
      </c>
      <c r="W26">
        <f>COUNTIF(W4:W20,"C")</f>
        <v>2</v>
      </c>
      <c r="X26">
        <f>COUNTIF(X4:X20,"C")</f>
        <v>2</v>
      </c>
      <c r="Y26">
        <f>COUNTIF(Y4:Y20,"WO")</f>
        <v>6</v>
      </c>
      <c r="Z26">
        <f>COUNTIF(Z4:Z20,"WO")</f>
        <v>8</v>
      </c>
      <c r="AA26">
        <f>COUNTIF(AA4:AA20,"C")</f>
        <v>0</v>
      </c>
      <c r="AB26">
        <f>COUNTIF(AB4:AB20,"C")</f>
        <v>2</v>
      </c>
      <c r="AC26">
        <f>COUNTIF(AC4:AC20,"C")</f>
        <v>0</v>
      </c>
      <c r="AD26">
        <f>COUNTIF(AD4:AD20,"C")</f>
        <v>2</v>
      </c>
      <c r="AE26">
        <f>COUNTIF(AE4:AE20,"C")</f>
        <v>3</v>
      </c>
      <c r="AF26">
        <f>COUNTIF(AF4:AF20,"WO")</f>
        <v>7</v>
      </c>
      <c r="AG26">
        <f>COUNTIF(AG4:AG20,"WO")</f>
        <v>8</v>
      </c>
      <c r="AH26">
        <f>COUNTIF(AH4:AH20,"C")</f>
        <v>4</v>
      </c>
    </row>
    <row r="27" spans="1:34" x14ac:dyDescent="0.35">
      <c r="A27" s="214" t="s">
        <v>206</v>
      </c>
      <c r="B27">
        <f t="shared" ref="B27:AH27" si="6">COUNTIF(B4:B20,"PL")</f>
        <v>2</v>
      </c>
      <c r="C27">
        <f t="shared" si="6"/>
        <v>1</v>
      </c>
      <c r="D27">
        <f t="shared" si="6"/>
        <v>0</v>
      </c>
      <c r="E27">
        <f t="shared" si="6"/>
        <v>0</v>
      </c>
      <c r="F27">
        <f t="shared" si="6"/>
        <v>1</v>
      </c>
      <c r="G27">
        <f t="shared" si="6"/>
        <v>2</v>
      </c>
      <c r="H27">
        <f t="shared" si="6"/>
        <v>0</v>
      </c>
      <c r="I27">
        <f t="shared" si="6"/>
        <v>2</v>
      </c>
      <c r="J27">
        <f t="shared" si="6"/>
        <v>3</v>
      </c>
      <c r="K27">
        <f t="shared" si="6"/>
        <v>0</v>
      </c>
      <c r="L27">
        <f t="shared" si="6"/>
        <v>0</v>
      </c>
      <c r="M27">
        <f t="shared" si="6"/>
        <v>1</v>
      </c>
      <c r="N27">
        <f t="shared" si="6"/>
        <v>1</v>
      </c>
      <c r="O27">
        <f t="shared" si="6"/>
        <v>0</v>
      </c>
      <c r="P27">
        <f t="shared" si="6"/>
        <v>2</v>
      </c>
      <c r="Q27">
        <f t="shared" si="6"/>
        <v>2</v>
      </c>
      <c r="R27">
        <f t="shared" si="6"/>
        <v>0</v>
      </c>
      <c r="S27">
        <f t="shared" si="6"/>
        <v>0</v>
      </c>
      <c r="T27">
        <f t="shared" si="6"/>
        <v>1</v>
      </c>
      <c r="U27">
        <f t="shared" si="6"/>
        <v>2</v>
      </c>
      <c r="V27">
        <f t="shared" si="6"/>
        <v>3</v>
      </c>
      <c r="W27">
        <f t="shared" si="6"/>
        <v>3</v>
      </c>
      <c r="X27">
        <f t="shared" si="6"/>
        <v>3</v>
      </c>
      <c r="Y27">
        <f t="shared" si="6"/>
        <v>0</v>
      </c>
      <c r="Z27">
        <f t="shared" si="6"/>
        <v>0</v>
      </c>
      <c r="AA27">
        <f t="shared" si="6"/>
        <v>1</v>
      </c>
      <c r="AB27">
        <f t="shared" si="6"/>
        <v>3</v>
      </c>
      <c r="AC27">
        <f t="shared" si="6"/>
        <v>4</v>
      </c>
      <c r="AD27">
        <f t="shared" si="6"/>
        <v>3</v>
      </c>
      <c r="AE27">
        <f t="shared" si="6"/>
        <v>1</v>
      </c>
      <c r="AF27">
        <f t="shared" si="6"/>
        <v>0</v>
      </c>
      <c r="AG27">
        <f t="shared" si="6"/>
        <v>0</v>
      </c>
      <c r="AH27">
        <f t="shared" si="6"/>
        <v>1</v>
      </c>
    </row>
    <row r="28" spans="1:34" x14ac:dyDescent="0.35">
      <c r="A28" s="214" t="s">
        <v>33</v>
      </c>
      <c r="B28">
        <f t="shared" ref="B28:AH28" si="7">COUNTIF(B4:B20,"UPL")</f>
        <v>0</v>
      </c>
      <c r="C28">
        <f t="shared" si="7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7"/>
        <v>0</v>
      </c>
      <c r="I28">
        <f t="shared" si="7"/>
        <v>0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 t="shared" si="7"/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7"/>
        <v>1</v>
      </c>
      <c r="Z28">
        <f t="shared" si="7"/>
        <v>0</v>
      </c>
      <c r="AA28">
        <f t="shared" si="7"/>
        <v>0</v>
      </c>
      <c r="AB28">
        <f t="shared" si="7"/>
        <v>0</v>
      </c>
      <c r="AC28">
        <f t="shared" si="7"/>
        <v>0</v>
      </c>
      <c r="AD28">
        <f t="shared" si="7"/>
        <v>0</v>
      </c>
      <c r="AE28">
        <f t="shared" si="7"/>
        <v>0</v>
      </c>
      <c r="AF28">
        <f t="shared" si="7"/>
        <v>0</v>
      </c>
      <c r="AG28">
        <f t="shared" si="7"/>
        <v>0</v>
      </c>
      <c r="AH28">
        <f t="shared" si="7"/>
        <v>0</v>
      </c>
    </row>
    <row r="29" spans="1:34" x14ac:dyDescent="0.35">
      <c r="A29" s="214" t="s">
        <v>254</v>
      </c>
      <c r="B29">
        <f t="shared" ref="B29:AH29" si="8">COUNTIF(B4:B20,"H")</f>
        <v>0</v>
      </c>
      <c r="C29">
        <f t="shared" si="8"/>
        <v>0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6</v>
      </c>
      <c r="I29">
        <f t="shared" si="8"/>
        <v>0</v>
      </c>
      <c r="J29">
        <f t="shared" si="8"/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5</v>
      </c>
      <c r="AB29">
        <f t="shared" si="8"/>
        <v>0</v>
      </c>
      <c r="AC29">
        <f t="shared" si="8"/>
        <v>1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</row>
    <row r="30" spans="1:34" x14ac:dyDescent="0.35">
      <c r="A30" s="214" t="s">
        <v>207</v>
      </c>
      <c r="B30" s="158">
        <f>SUM(B22:B29)</f>
        <v>15</v>
      </c>
      <c r="C30" s="158">
        <f t="shared" ref="C30:AH30" si="9">SUM(C22:C29)</f>
        <v>15</v>
      </c>
      <c r="D30" s="158">
        <f t="shared" si="9"/>
        <v>15</v>
      </c>
      <c r="E30" s="158">
        <f t="shared" si="9"/>
        <v>15</v>
      </c>
      <c r="F30" s="158">
        <f t="shared" si="9"/>
        <v>15</v>
      </c>
      <c r="G30" s="158">
        <f t="shared" si="9"/>
        <v>15</v>
      </c>
      <c r="H30" s="158">
        <f t="shared" si="9"/>
        <v>15</v>
      </c>
      <c r="I30" s="158">
        <f t="shared" si="9"/>
        <v>15</v>
      </c>
      <c r="J30" s="158">
        <f t="shared" si="9"/>
        <v>15</v>
      </c>
      <c r="K30" s="158">
        <f t="shared" si="9"/>
        <v>15</v>
      </c>
      <c r="L30" s="158">
        <f t="shared" si="9"/>
        <v>15</v>
      </c>
      <c r="M30" s="158">
        <f t="shared" si="9"/>
        <v>15</v>
      </c>
      <c r="N30" s="158">
        <f t="shared" si="9"/>
        <v>15</v>
      </c>
      <c r="O30" s="158">
        <f t="shared" si="9"/>
        <v>15</v>
      </c>
      <c r="P30" s="158">
        <f t="shared" si="9"/>
        <v>15</v>
      </c>
      <c r="Q30" s="158">
        <f t="shared" si="9"/>
        <v>14</v>
      </c>
      <c r="R30" s="158">
        <f t="shared" si="9"/>
        <v>15</v>
      </c>
      <c r="S30" s="158">
        <f t="shared" si="9"/>
        <v>15</v>
      </c>
      <c r="T30" s="158">
        <f t="shared" si="9"/>
        <v>15</v>
      </c>
      <c r="U30" s="158">
        <f t="shared" si="9"/>
        <v>15</v>
      </c>
      <c r="V30" s="158">
        <f t="shared" si="9"/>
        <v>15</v>
      </c>
      <c r="W30" s="158">
        <f t="shared" si="9"/>
        <v>15</v>
      </c>
      <c r="X30" s="158">
        <f t="shared" si="9"/>
        <v>15</v>
      </c>
      <c r="Y30" s="158">
        <f t="shared" si="9"/>
        <v>15</v>
      </c>
      <c r="Z30" s="158">
        <f t="shared" si="9"/>
        <v>15</v>
      </c>
      <c r="AA30" s="158">
        <f t="shared" si="9"/>
        <v>15</v>
      </c>
      <c r="AB30" s="158">
        <f t="shared" si="9"/>
        <v>15</v>
      </c>
      <c r="AC30" s="158">
        <f t="shared" si="9"/>
        <v>15</v>
      </c>
      <c r="AD30" s="158">
        <f t="shared" si="9"/>
        <v>15</v>
      </c>
      <c r="AE30" s="158">
        <f t="shared" si="9"/>
        <v>15</v>
      </c>
      <c r="AF30" s="158">
        <f t="shared" si="9"/>
        <v>15</v>
      </c>
      <c r="AG30" s="158">
        <f t="shared" si="9"/>
        <v>15</v>
      </c>
      <c r="AH30" s="158">
        <f t="shared" si="9"/>
        <v>15</v>
      </c>
    </row>
  </sheetData>
  <conditionalFormatting sqref="B22:B25">
    <cfRule type="cellIs" dxfId="25" priority="17" operator="lessThan">
      <formula>3</formula>
    </cfRule>
  </conditionalFormatting>
  <conditionalFormatting sqref="D22:D25">
    <cfRule type="cellIs" dxfId="24" priority="16" operator="lessThan">
      <formula>3</formula>
    </cfRule>
  </conditionalFormatting>
  <conditionalFormatting sqref="C22:C25">
    <cfRule type="cellIs" dxfId="23" priority="15" operator="lessThan">
      <formula>3</formula>
    </cfRule>
  </conditionalFormatting>
  <conditionalFormatting sqref="F22:J25">
    <cfRule type="cellIs" dxfId="22" priority="14" operator="lessThan">
      <formula>3</formula>
    </cfRule>
  </conditionalFormatting>
  <conditionalFormatting sqref="M22:Q25">
    <cfRule type="cellIs" dxfId="21" priority="13" operator="lessThan">
      <formula>3</formula>
    </cfRule>
  </conditionalFormatting>
  <conditionalFormatting sqref="T22:X25">
    <cfRule type="cellIs" dxfId="20" priority="12" operator="lessThan">
      <formula>3</formula>
    </cfRule>
  </conditionalFormatting>
  <conditionalFormatting sqref="AA22:AE25">
    <cfRule type="cellIs" dxfId="19" priority="11" operator="lessThan">
      <formula>3</formula>
    </cfRule>
  </conditionalFormatting>
  <conditionalFormatting sqref="AH22:AH25">
    <cfRule type="cellIs" dxfId="18" priority="10" operator="lessThan">
      <formula>3</formula>
    </cfRule>
  </conditionalFormatting>
  <conditionalFormatting sqref="E22:E25">
    <cfRule type="cellIs" dxfId="17" priority="9" operator="lessThan">
      <formula>3</formula>
    </cfRule>
  </conditionalFormatting>
  <conditionalFormatting sqref="K22:K25">
    <cfRule type="cellIs" dxfId="16" priority="8" operator="lessThan">
      <formula>3</formula>
    </cfRule>
  </conditionalFormatting>
  <conditionalFormatting sqref="L22:L25">
    <cfRule type="cellIs" dxfId="15" priority="7" operator="lessThan">
      <formula>3</formula>
    </cfRule>
  </conditionalFormatting>
  <conditionalFormatting sqref="R22:R25">
    <cfRule type="cellIs" dxfId="14" priority="6" operator="lessThan">
      <formula>3</formula>
    </cfRule>
  </conditionalFormatting>
  <conditionalFormatting sqref="S22:S25">
    <cfRule type="cellIs" dxfId="13" priority="5" operator="lessThan">
      <formula>3</formula>
    </cfRule>
  </conditionalFormatting>
  <conditionalFormatting sqref="Y22:Y25">
    <cfRule type="cellIs" dxfId="12" priority="4" operator="lessThan">
      <formula>3</formula>
    </cfRule>
  </conditionalFormatting>
  <conditionalFormatting sqref="Z22:Z25">
    <cfRule type="cellIs" dxfId="11" priority="3" operator="lessThan">
      <formula>3</formula>
    </cfRule>
  </conditionalFormatting>
  <conditionalFormatting sqref="AF22:AF25">
    <cfRule type="cellIs" dxfId="10" priority="2" operator="lessThan">
      <formula>3</formula>
    </cfRule>
  </conditionalFormatting>
  <conditionalFormatting sqref="AG22:AG25">
    <cfRule type="cellIs" dxfId="9" priority="1" operator="lessThan">
      <formula>3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30"/>
  <sheetViews>
    <sheetView zoomScale="80" zoomScaleNormal="80" workbookViewId="0">
      <pane xSplit="1" topLeftCell="Q1" activePane="topRight" state="frozen"/>
      <selection pane="topRight" activeCell="AH5" sqref="AH5"/>
    </sheetView>
  </sheetViews>
  <sheetFormatPr defaultRowHeight="14.5" x14ac:dyDescent="0.35"/>
  <cols>
    <col min="1" max="1" width="23.08984375" customWidth="1"/>
    <col min="2" max="3" width="6.90625" customWidth="1"/>
    <col min="4" max="4" width="6.453125" customWidth="1"/>
    <col min="5" max="5" width="6.90625" customWidth="1"/>
    <col min="6" max="38" width="8.7265625" customWidth="1"/>
  </cols>
  <sheetData>
    <row r="1" spans="1:38" x14ac:dyDescent="0.35">
      <c r="A1" s="70"/>
      <c r="B1" s="2" t="str">
        <f t="shared" ref="B1:D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ref="E1:AL1" si="1">TEXT(E2,"ddd")</f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  <c r="AH1" s="2" t="str">
        <f t="shared" si="1"/>
        <v>Wed</v>
      </c>
      <c r="AI1" s="2" t="str">
        <f t="shared" si="1"/>
        <v>Thu</v>
      </c>
      <c r="AJ1" s="2" t="str">
        <f t="shared" si="1"/>
        <v>Fri</v>
      </c>
      <c r="AK1" s="2" t="str">
        <f t="shared" si="1"/>
        <v>Sat</v>
      </c>
      <c r="AL1" s="2" t="str">
        <f t="shared" si="1"/>
        <v>Sun</v>
      </c>
    </row>
    <row r="2" spans="1:38" x14ac:dyDescent="0.35">
      <c r="A2" s="124" t="s">
        <v>0</v>
      </c>
      <c r="B2" s="31">
        <v>44863</v>
      </c>
      <c r="C2" s="31">
        <v>44864</v>
      </c>
      <c r="D2" s="31">
        <v>44865</v>
      </c>
      <c r="E2" s="31">
        <v>44866</v>
      </c>
      <c r="F2" s="31">
        <v>44867</v>
      </c>
      <c r="G2" s="31">
        <v>44868</v>
      </c>
      <c r="H2" s="31">
        <v>44869</v>
      </c>
      <c r="I2" s="31">
        <v>44870</v>
      </c>
      <c r="J2" s="31">
        <v>44871</v>
      </c>
      <c r="K2" s="31">
        <v>44872</v>
      </c>
      <c r="L2" s="31">
        <v>44873</v>
      </c>
      <c r="M2" s="31">
        <v>44874</v>
      </c>
      <c r="N2" s="31">
        <v>44875</v>
      </c>
      <c r="O2" s="31">
        <v>44876</v>
      </c>
      <c r="P2" s="31">
        <v>44877</v>
      </c>
      <c r="Q2" s="31">
        <v>44878</v>
      </c>
      <c r="R2" s="31">
        <v>44879</v>
      </c>
      <c r="S2" s="31">
        <v>44880</v>
      </c>
      <c r="T2" s="31">
        <v>44881</v>
      </c>
      <c r="U2" s="31">
        <v>44882</v>
      </c>
      <c r="V2" s="31">
        <v>44883</v>
      </c>
      <c r="W2" s="31">
        <v>44884</v>
      </c>
      <c r="X2" s="31">
        <v>44885</v>
      </c>
      <c r="Y2" s="31">
        <v>44886</v>
      </c>
      <c r="Z2" s="31">
        <v>44887</v>
      </c>
      <c r="AA2" s="31">
        <v>44888</v>
      </c>
      <c r="AB2" s="31">
        <v>44889</v>
      </c>
      <c r="AC2" s="31">
        <v>44890</v>
      </c>
      <c r="AD2" s="31">
        <v>44891</v>
      </c>
      <c r="AE2" s="31">
        <v>44892</v>
      </c>
      <c r="AF2" s="31">
        <v>44893</v>
      </c>
      <c r="AG2" s="31">
        <v>44894</v>
      </c>
      <c r="AH2" s="31">
        <v>44895</v>
      </c>
      <c r="AI2" s="31">
        <v>44896</v>
      </c>
      <c r="AJ2" s="31">
        <v>44897</v>
      </c>
      <c r="AK2" s="31">
        <v>44898</v>
      </c>
      <c r="AL2" s="31">
        <v>44899</v>
      </c>
    </row>
    <row r="3" spans="1:38" ht="15" thickBot="1" x14ac:dyDescent="0.4">
      <c r="A3" s="12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</row>
    <row r="4" spans="1:38" ht="15" thickBot="1" x14ac:dyDescent="0.4">
      <c r="A4" s="196" t="s">
        <v>14</v>
      </c>
      <c r="B4" s="128" t="s">
        <v>4</v>
      </c>
      <c r="C4" s="132" t="s">
        <v>3</v>
      </c>
      <c r="D4" s="199" t="s">
        <v>2</v>
      </c>
      <c r="E4" s="185" t="s">
        <v>6</v>
      </c>
      <c r="F4" s="185" t="s">
        <v>6</v>
      </c>
      <c r="G4" s="185" t="s">
        <v>6</v>
      </c>
      <c r="H4" s="212" t="s">
        <v>5</v>
      </c>
      <c r="I4" s="143" t="s">
        <v>4</v>
      </c>
      <c r="J4" s="143" t="s">
        <v>4</v>
      </c>
      <c r="K4" s="212" t="s">
        <v>5</v>
      </c>
      <c r="L4" s="185" t="s">
        <v>6</v>
      </c>
      <c r="M4" s="185" t="s">
        <v>6</v>
      </c>
      <c r="N4" s="185" t="s">
        <v>6</v>
      </c>
      <c r="O4" s="185" t="s">
        <v>6</v>
      </c>
      <c r="P4" s="185" t="s">
        <v>3</v>
      </c>
      <c r="Q4" s="143" t="s">
        <v>4</v>
      </c>
      <c r="R4" s="199" t="s">
        <v>2</v>
      </c>
      <c r="S4" s="185" t="s">
        <v>6</v>
      </c>
      <c r="T4" s="185" t="s">
        <v>6</v>
      </c>
      <c r="U4" s="185" t="s">
        <v>6</v>
      </c>
      <c r="V4" s="185" t="s">
        <v>6</v>
      </c>
      <c r="W4" s="185" t="s">
        <v>3</v>
      </c>
      <c r="X4" s="143" t="s">
        <v>4</v>
      </c>
      <c r="Y4" s="83" t="s">
        <v>6</v>
      </c>
      <c r="Z4" s="83" t="s">
        <v>6</v>
      </c>
      <c r="AA4" s="83" t="s">
        <v>6</v>
      </c>
      <c r="AB4" s="83" t="s">
        <v>6</v>
      </c>
      <c r="AC4" s="83" t="s">
        <v>6</v>
      </c>
      <c r="AD4" s="185" t="s">
        <v>3</v>
      </c>
      <c r="AE4" s="143" t="s">
        <v>4</v>
      </c>
      <c r="AF4" s="209" t="s">
        <v>2</v>
      </c>
      <c r="AG4" s="25" t="s">
        <v>6</v>
      </c>
      <c r="AH4" s="83" t="s">
        <v>6</v>
      </c>
      <c r="AI4" s="19" t="s">
        <v>41</v>
      </c>
      <c r="AJ4" s="19" t="s">
        <v>41</v>
      </c>
      <c r="AK4" s="19" t="s">
        <v>42</v>
      </c>
      <c r="AL4" s="143" t="s">
        <v>4</v>
      </c>
    </row>
    <row r="5" spans="1:38" ht="15" thickBot="1" x14ac:dyDescent="0.4">
      <c r="A5" s="200" t="s">
        <v>12</v>
      </c>
      <c r="B5" s="202" t="s">
        <v>11</v>
      </c>
      <c r="C5" s="130" t="s">
        <v>4</v>
      </c>
      <c r="D5" s="185" t="s">
        <v>6</v>
      </c>
      <c r="E5" s="185" t="s">
        <v>6</v>
      </c>
      <c r="F5" s="199" t="s">
        <v>2</v>
      </c>
      <c r="G5" s="199" t="s">
        <v>2</v>
      </c>
      <c r="H5" s="185" t="s">
        <v>6</v>
      </c>
      <c r="I5" s="185" t="s">
        <v>3</v>
      </c>
      <c r="J5" s="185" t="s">
        <v>3</v>
      </c>
      <c r="K5" s="185" t="s">
        <v>6</v>
      </c>
      <c r="L5" s="199" t="s">
        <v>2</v>
      </c>
      <c r="M5" s="185" t="s">
        <v>6</v>
      </c>
      <c r="N5" s="185" t="s">
        <v>6</v>
      </c>
      <c r="O5" s="185" t="s">
        <v>6</v>
      </c>
      <c r="P5" s="143" t="s">
        <v>4</v>
      </c>
      <c r="Q5" s="185" t="s">
        <v>3</v>
      </c>
      <c r="R5" s="185" t="s">
        <v>6</v>
      </c>
      <c r="S5" s="199" t="s">
        <v>2</v>
      </c>
      <c r="T5" s="185" t="s">
        <v>6</v>
      </c>
      <c r="U5" s="185" t="s">
        <v>6</v>
      </c>
      <c r="V5" s="199" t="s">
        <v>2</v>
      </c>
      <c r="W5" s="143" t="s">
        <v>4</v>
      </c>
      <c r="X5" s="185" t="s">
        <v>3</v>
      </c>
      <c r="Y5" s="212" t="s">
        <v>5</v>
      </c>
      <c r="Z5" s="212" t="s">
        <v>5</v>
      </c>
      <c r="AA5" s="212" t="s">
        <v>5</v>
      </c>
      <c r="AB5" s="212" t="s">
        <v>5</v>
      </c>
      <c r="AC5" s="83" t="s">
        <v>6</v>
      </c>
      <c r="AD5" s="83" t="s">
        <v>3</v>
      </c>
      <c r="AE5" s="83" t="s">
        <v>3</v>
      </c>
      <c r="AF5" s="83" t="s">
        <v>6</v>
      </c>
      <c r="AG5" s="83" t="s">
        <v>6</v>
      </c>
      <c r="AH5" s="209" t="s">
        <v>2</v>
      </c>
      <c r="AI5" s="151" t="s">
        <v>5</v>
      </c>
      <c r="AJ5" s="209" t="s">
        <v>2</v>
      </c>
      <c r="AK5" s="143" t="s">
        <v>4</v>
      </c>
      <c r="AL5" s="19" t="s">
        <v>42</v>
      </c>
    </row>
    <row r="6" spans="1:38" ht="15" thickBot="1" x14ac:dyDescent="0.4">
      <c r="A6" s="204" t="s">
        <v>86</v>
      </c>
      <c r="B6" s="139" t="s">
        <v>4</v>
      </c>
      <c r="C6" s="141" t="s">
        <v>6</v>
      </c>
      <c r="D6" s="211" t="s">
        <v>41</v>
      </c>
      <c r="E6" s="141" t="s">
        <v>6</v>
      </c>
      <c r="F6" s="185" t="s">
        <v>6</v>
      </c>
      <c r="G6" s="185" t="s">
        <v>6</v>
      </c>
      <c r="H6" s="199" t="s">
        <v>2</v>
      </c>
      <c r="I6" s="143" t="s">
        <v>4</v>
      </c>
      <c r="J6" s="185" t="s">
        <v>3</v>
      </c>
      <c r="K6" s="185" t="s">
        <v>6</v>
      </c>
      <c r="L6" s="212" t="s">
        <v>5</v>
      </c>
      <c r="M6" s="212" t="s">
        <v>5</v>
      </c>
      <c r="N6" s="212" t="s">
        <v>5</v>
      </c>
      <c r="O6" s="212" t="s">
        <v>5</v>
      </c>
      <c r="P6" s="143" t="s">
        <v>4</v>
      </c>
      <c r="Q6" s="185" t="s">
        <v>3</v>
      </c>
      <c r="R6" s="185" t="s">
        <v>6</v>
      </c>
      <c r="S6" s="185" t="s">
        <v>6</v>
      </c>
      <c r="T6" s="185" t="s">
        <v>6</v>
      </c>
      <c r="U6" s="199" t="s">
        <v>2</v>
      </c>
      <c r="V6" s="185" t="s">
        <v>6</v>
      </c>
      <c r="W6" s="185" t="s">
        <v>3</v>
      </c>
      <c r="X6" s="143" t="s">
        <v>4</v>
      </c>
      <c r="Y6" s="185" t="s">
        <v>6</v>
      </c>
      <c r="Z6" s="185" t="s">
        <v>6</v>
      </c>
      <c r="AA6" s="185" t="s">
        <v>6</v>
      </c>
      <c r="AB6" s="185" t="s">
        <v>6</v>
      </c>
      <c r="AC6" s="199" t="s">
        <v>2</v>
      </c>
      <c r="AD6" s="143" t="s">
        <v>4</v>
      </c>
      <c r="AE6" s="185" t="s">
        <v>3</v>
      </c>
      <c r="AF6" s="25" t="s">
        <v>6</v>
      </c>
      <c r="AG6" s="25" t="s">
        <v>6</v>
      </c>
      <c r="AH6" s="25" t="s">
        <v>6</v>
      </c>
      <c r="AI6" s="19" t="s">
        <v>41</v>
      </c>
      <c r="AJ6" s="19" t="s">
        <v>41</v>
      </c>
      <c r="AK6" s="143" t="s">
        <v>4</v>
      </c>
      <c r="AL6" s="19" t="s">
        <v>42</v>
      </c>
    </row>
    <row r="7" spans="1:38" ht="15" thickBot="1" x14ac:dyDescent="0.4">
      <c r="A7" s="207" t="s">
        <v>88</v>
      </c>
      <c r="B7" s="210" t="s">
        <v>11</v>
      </c>
      <c r="C7" s="143" t="s">
        <v>4</v>
      </c>
      <c r="D7" s="209" t="s">
        <v>2</v>
      </c>
      <c r="E7" s="185" t="s">
        <v>6</v>
      </c>
      <c r="F7" s="185" t="s">
        <v>6</v>
      </c>
      <c r="G7" s="185" t="s">
        <v>6</v>
      </c>
      <c r="H7" s="185" t="s">
        <v>6</v>
      </c>
      <c r="I7" s="185" t="s">
        <v>3</v>
      </c>
      <c r="J7" s="143" t="s">
        <v>4</v>
      </c>
      <c r="K7" s="199" t="s">
        <v>2</v>
      </c>
      <c r="L7" s="185" t="s">
        <v>6</v>
      </c>
      <c r="M7" s="185" t="s">
        <v>6</v>
      </c>
      <c r="N7" s="185" t="s">
        <v>6</v>
      </c>
      <c r="O7" s="185" t="s">
        <v>6</v>
      </c>
      <c r="P7" s="185" t="s">
        <v>3</v>
      </c>
      <c r="Q7" s="143" t="s">
        <v>4</v>
      </c>
      <c r="R7" s="199" t="s">
        <v>2</v>
      </c>
      <c r="S7" s="212" t="s">
        <v>5</v>
      </c>
      <c r="T7" s="212" t="s">
        <v>5</v>
      </c>
      <c r="U7" s="212" t="s">
        <v>5</v>
      </c>
      <c r="V7" s="212" t="s">
        <v>5</v>
      </c>
      <c r="W7" s="143" t="s">
        <v>4</v>
      </c>
      <c r="X7" s="185" t="s">
        <v>3</v>
      </c>
      <c r="Y7" s="83" t="s">
        <v>6</v>
      </c>
      <c r="Z7" s="83" t="s">
        <v>6</v>
      </c>
      <c r="AA7" s="83" t="s">
        <v>6</v>
      </c>
      <c r="AB7" s="83" t="s">
        <v>6</v>
      </c>
      <c r="AC7" s="83" t="s">
        <v>6</v>
      </c>
      <c r="AD7" s="143" t="s">
        <v>4</v>
      </c>
      <c r="AE7" s="143" t="s">
        <v>4</v>
      </c>
      <c r="AF7" s="25" t="s">
        <v>6</v>
      </c>
      <c r="AG7" s="25" t="s">
        <v>6</v>
      </c>
      <c r="AH7" s="25" t="s">
        <v>6</v>
      </c>
      <c r="AI7" s="151" t="s">
        <v>5</v>
      </c>
      <c r="AJ7" s="151" t="s">
        <v>5</v>
      </c>
      <c r="AK7" s="19" t="s">
        <v>42</v>
      </c>
      <c r="AL7" s="151" t="s">
        <v>4</v>
      </c>
    </row>
    <row r="8" spans="1:38" ht="15" thickBot="1" x14ac:dyDescent="0.4">
      <c r="A8" s="207" t="s">
        <v>87</v>
      </c>
      <c r="B8" s="210" t="s">
        <v>11</v>
      </c>
      <c r="C8" s="143" t="s">
        <v>4</v>
      </c>
      <c r="D8" s="25" t="s">
        <v>6</v>
      </c>
      <c r="E8" s="199" t="s">
        <v>2</v>
      </c>
      <c r="F8" s="185" t="s">
        <v>6</v>
      </c>
      <c r="G8" s="185" t="s">
        <v>6</v>
      </c>
      <c r="H8" s="185" t="s">
        <v>6</v>
      </c>
      <c r="I8" s="22" t="s">
        <v>30</v>
      </c>
      <c r="J8" s="143" t="s">
        <v>4</v>
      </c>
      <c r="K8" s="185" t="s">
        <v>6</v>
      </c>
      <c r="L8" s="185" t="s">
        <v>6</v>
      </c>
      <c r="M8" s="185" t="s">
        <v>6</v>
      </c>
      <c r="N8" s="199" t="s">
        <v>2</v>
      </c>
      <c r="O8" s="185" t="s">
        <v>6</v>
      </c>
      <c r="P8" s="143" t="s">
        <v>4</v>
      </c>
      <c r="Q8" s="143" t="s">
        <v>4</v>
      </c>
      <c r="R8" s="223" t="s">
        <v>34</v>
      </c>
      <c r="S8" s="185" t="s">
        <v>6</v>
      </c>
      <c r="T8" s="199" t="s">
        <v>2</v>
      </c>
      <c r="U8" s="185" t="s">
        <v>6</v>
      </c>
      <c r="V8" s="185" t="s">
        <v>6</v>
      </c>
      <c r="W8" s="22" t="s">
        <v>30</v>
      </c>
      <c r="X8" s="143" t="s">
        <v>4</v>
      </c>
      <c r="Y8" s="83" t="s">
        <v>6</v>
      </c>
      <c r="Z8" s="83" t="s">
        <v>6</v>
      </c>
      <c r="AA8" s="83" t="s">
        <v>6</v>
      </c>
      <c r="AB8" s="83" t="s">
        <v>6</v>
      </c>
      <c r="AC8" s="83" t="s">
        <v>6</v>
      </c>
      <c r="AD8" s="83" t="s">
        <v>30</v>
      </c>
      <c r="AE8" s="143" t="s">
        <v>4</v>
      </c>
      <c r="AF8" s="209" t="s">
        <v>2</v>
      </c>
      <c r="AG8" s="25" t="s">
        <v>6</v>
      </c>
      <c r="AH8" s="25" t="s">
        <v>6</v>
      </c>
      <c r="AI8" s="19" t="s">
        <v>41</v>
      </c>
      <c r="AJ8" s="19" t="s">
        <v>41</v>
      </c>
      <c r="AK8" s="22" t="s">
        <v>30</v>
      </c>
      <c r="AL8" s="143" t="s">
        <v>4</v>
      </c>
    </row>
    <row r="9" spans="1:38" ht="15" thickBot="1" x14ac:dyDescent="0.4">
      <c r="A9" s="171"/>
      <c r="B9" s="171"/>
      <c r="C9" s="171"/>
      <c r="D9" s="171"/>
      <c r="AF9" s="70"/>
      <c r="AG9" s="70"/>
      <c r="AH9" s="70"/>
      <c r="AI9" s="70"/>
      <c r="AJ9" s="70"/>
      <c r="AK9" s="70"/>
      <c r="AL9" s="70"/>
    </row>
    <row r="10" spans="1:38" ht="15" thickBot="1" x14ac:dyDescent="0.4">
      <c r="A10" s="196" t="s">
        <v>9</v>
      </c>
      <c r="B10" s="132" t="s">
        <v>3</v>
      </c>
      <c r="C10" s="128" t="s">
        <v>4</v>
      </c>
      <c r="D10" s="199" t="s">
        <v>2</v>
      </c>
      <c r="E10" s="199" t="s">
        <v>2</v>
      </c>
      <c r="F10" s="199" t="s">
        <v>2</v>
      </c>
      <c r="G10" s="211" t="s">
        <v>41</v>
      </c>
      <c r="H10" s="211" t="s">
        <v>41</v>
      </c>
      <c r="I10" s="211" t="s">
        <v>42</v>
      </c>
      <c r="J10" s="143" t="s">
        <v>4</v>
      </c>
      <c r="K10" s="199" t="s">
        <v>2</v>
      </c>
      <c r="L10" s="212" t="s">
        <v>5</v>
      </c>
      <c r="M10" s="212" t="s">
        <v>5</v>
      </c>
      <c r="N10" s="212" t="s">
        <v>5</v>
      </c>
      <c r="O10" s="212" t="s">
        <v>5</v>
      </c>
      <c r="P10" s="211" t="s">
        <v>42</v>
      </c>
      <c r="Q10" s="211" t="s">
        <v>42</v>
      </c>
      <c r="R10" s="199" t="s">
        <v>2</v>
      </c>
      <c r="S10" s="212" t="s">
        <v>5</v>
      </c>
      <c r="T10" s="212" t="s">
        <v>5</v>
      </c>
      <c r="U10" s="212" t="s">
        <v>5</v>
      </c>
      <c r="V10" s="212" t="s">
        <v>5</v>
      </c>
      <c r="W10" s="211" t="s">
        <v>42</v>
      </c>
      <c r="X10" s="211" t="s">
        <v>42</v>
      </c>
      <c r="Y10" s="199" t="s">
        <v>2</v>
      </c>
      <c r="Z10" s="212" t="s">
        <v>5</v>
      </c>
      <c r="AA10" s="212" t="s">
        <v>5</v>
      </c>
      <c r="AB10" s="212" t="s">
        <v>5</v>
      </c>
      <c r="AC10" s="22" t="s">
        <v>16</v>
      </c>
      <c r="AD10" s="211" t="s">
        <v>42</v>
      </c>
      <c r="AE10" s="211" t="s">
        <v>42</v>
      </c>
      <c r="AF10" s="209" t="s">
        <v>2</v>
      </c>
      <c r="AG10" s="209" t="s">
        <v>2</v>
      </c>
      <c r="AH10" s="22" t="s">
        <v>16</v>
      </c>
      <c r="AI10" s="210" t="s">
        <v>10</v>
      </c>
      <c r="AJ10" s="210" t="s">
        <v>10</v>
      </c>
      <c r="AK10" s="210" t="s">
        <v>11</v>
      </c>
      <c r="AL10" s="210" t="s">
        <v>11</v>
      </c>
    </row>
    <row r="11" spans="1:38" ht="15" thickBot="1" x14ac:dyDescent="0.4">
      <c r="A11" s="200" t="s">
        <v>15</v>
      </c>
      <c r="B11" s="130" t="s">
        <v>4</v>
      </c>
      <c r="C11" s="149" t="s">
        <v>42</v>
      </c>
      <c r="D11" s="211" t="s">
        <v>41</v>
      </c>
      <c r="E11" s="211" t="s">
        <v>41</v>
      </c>
      <c r="F11" s="211" t="s">
        <v>41</v>
      </c>
      <c r="G11" s="211" t="s">
        <v>41</v>
      </c>
      <c r="H11" s="199" t="s">
        <v>2</v>
      </c>
      <c r="I11" s="143" t="s">
        <v>4</v>
      </c>
      <c r="J11" s="211" t="s">
        <v>42</v>
      </c>
      <c r="K11" s="211" t="s">
        <v>41</v>
      </c>
      <c r="L11" s="211" t="s">
        <v>41</v>
      </c>
      <c r="M11" s="211" t="s">
        <v>41</v>
      </c>
      <c r="N11" s="211" t="s">
        <v>41</v>
      </c>
      <c r="O11" s="211" t="s">
        <v>41</v>
      </c>
      <c r="P11" s="143" t="s">
        <v>4</v>
      </c>
      <c r="Q11" s="143" t="s">
        <v>4</v>
      </c>
      <c r="R11" s="211" t="s">
        <v>41</v>
      </c>
      <c r="S11" s="211" t="s">
        <v>41</v>
      </c>
      <c r="T11" s="211" t="s">
        <v>41</v>
      </c>
      <c r="U11" s="211" t="s">
        <v>41</v>
      </c>
      <c r="V11" s="211" t="s">
        <v>41</v>
      </c>
      <c r="W11" s="143" t="s">
        <v>4</v>
      </c>
      <c r="X11" s="143" t="s">
        <v>4</v>
      </c>
      <c r="Y11" s="211" t="s">
        <v>41</v>
      </c>
      <c r="Z11" s="211" t="s">
        <v>41</v>
      </c>
      <c r="AA11" s="211" t="s">
        <v>41</v>
      </c>
      <c r="AB11" s="211" t="s">
        <v>41</v>
      </c>
      <c r="AC11" s="211" t="s">
        <v>41</v>
      </c>
      <c r="AD11" s="143" t="s">
        <v>4</v>
      </c>
      <c r="AE11" s="143" t="s">
        <v>4</v>
      </c>
      <c r="AF11" s="19" t="s">
        <v>41</v>
      </c>
      <c r="AG11" s="19" t="s">
        <v>41</v>
      </c>
      <c r="AH11" s="19" t="s">
        <v>41</v>
      </c>
      <c r="AI11" s="22" t="s">
        <v>16</v>
      </c>
      <c r="AJ11" s="209" t="s">
        <v>2</v>
      </c>
      <c r="AK11" s="143" t="s">
        <v>4</v>
      </c>
      <c r="AL11" s="143" t="s">
        <v>4</v>
      </c>
    </row>
    <row r="12" spans="1:38" ht="15" thickBot="1" x14ac:dyDescent="0.4">
      <c r="A12" s="204" t="s">
        <v>21</v>
      </c>
      <c r="B12" s="83" t="s">
        <v>30</v>
      </c>
      <c r="C12" s="149" t="s">
        <v>42</v>
      </c>
      <c r="D12" s="185" t="s">
        <v>6</v>
      </c>
      <c r="E12" s="211" t="s">
        <v>41</v>
      </c>
      <c r="F12" s="199" t="s">
        <v>34</v>
      </c>
      <c r="G12" s="199" t="s">
        <v>34</v>
      </c>
      <c r="H12" s="199" t="s">
        <v>2</v>
      </c>
      <c r="I12" s="211" t="s">
        <v>42</v>
      </c>
      <c r="J12" s="211" t="s">
        <v>42</v>
      </c>
      <c r="K12" s="211" t="s">
        <v>41</v>
      </c>
      <c r="L12" s="211" t="s">
        <v>41</v>
      </c>
      <c r="M12" s="211" t="s">
        <v>41</v>
      </c>
      <c r="N12" s="211" t="s">
        <v>41</v>
      </c>
      <c r="O12" s="211" t="s">
        <v>41</v>
      </c>
      <c r="P12" s="22" t="s">
        <v>30</v>
      </c>
      <c r="Q12" s="211" t="s">
        <v>42</v>
      </c>
      <c r="R12" s="211" t="s">
        <v>41</v>
      </c>
      <c r="S12" s="211" t="s">
        <v>41</v>
      </c>
      <c r="T12" s="199" t="s">
        <v>2</v>
      </c>
      <c r="U12" s="211" t="s">
        <v>41</v>
      </c>
      <c r="V12" s="211" t="s">
        <v>41</v>
      </c>
      <c r="W12" s="143" t="s">
        <v>4</v>
      </c>
      <c r="X12" s="143" t="s">
        <v>4</v>
      </c>
      <c r="Y12" s="211" t="s">
        <v>41</v>
      </c>
      <c r="Z12" s="211" t="s">
        <v>41</v>
      </c>
      <c r="AA12" s="199" t="s">
        <v>2</v>
      </c>
      <c r="AB12" s="83" t="s">
        <v>41</v>
      </c>
      <c r="AC12" s="83" t="s">
        <v>41</v>
      </c>
      <c r="AD12" s="83" t="s">
        <v>42</v>
      </c>
      <c r="AE12" s="143" t="s">
        <v>4</v>
      </c>
      <c r="AF12" s="151" t="s">
        <v>5</v>
      </c>
      <c r="AG12" s="151" t="s">
        <v>5</v>
      </c>
      <c r="AH12" s="151" t="s">
        <v>5</v>
      </c>
      <c r="AI12" s="210" t="s">
        <v>10</v>
      </c>
      <c r="AJ12" s="210" t="s">
        <v>10</v>
      </c>
      <c r="AK12" s="210" t="s">
        <v>11</v>
      </c>
      <c r="AL12" s="143" t="s">
        <v>4</v>
      </c>
    </row>
    <row r="13" spans="1:38" ht="15" thickBot="1" x14ac:dyDescent="0.4">
      <c r="A13" s="207" t="s">
        <v>22</v>
      </c>
      <c r="B13" s="25" t="s">
        <v>3</v>
      </c>
      <c r="C13" s="143" t="s">
        <v>4</v>
      </c>
      <c r="D13" s="83" t="s">
        <v>41</v>
      </c>
      <c r="E13" s="211" t="s">
        <v>41</v>
      </c>
      <c r="F13" s="211" t="s">
        <v>41</v>
      </c>
      <c r="G13" s="211" t="s">
        <v>41</v>
      </c>
      <c r="H13" s="211" t="s">
        <v>41</v>
      </c>
      <c r="I13" s="143" t="s">
        <v>4</v>
      </c>
      <c r="J13" s="143" t="s">
        <v>4</v>
      </c>
      <c r="K13" s="212" t="s">
        <v>5</v>
      </c>
      <c r="L13" s="211" t="s">
        <v>41</v>
      </c>
      <c r="M13" s="211" t="s">
        <v>41</v>
      </c>
      <c r="N13" s="211" t="s">
        <v>41</v>
      </c>
      <c r="O13" s="211" t="s">
        <v>41</v>
      </c>
      <c r="P13" s="211" t="s">
        <v>42</v>
      </c>
      <c r="Q13" s="143" t="s">
        <v>4</v>
      </c>
      <c r="R13" s="199" t="s">
        <v>2</v>
      </c>
      <c r="S13" s="211" t="s">
        <v>41</v>
      </c>
      <c r="T13" s="211" t="s">
        <v>41</v>
      </c>
      <c r="U13" s="211" t="s">
        <v>41</v>
      </c>
      <c r="V13" s="211" t="s">
        <v>41</v>
      </c>
      <c r="W13" s="211" t="s">
        <v>42</v>
      </c>
      <c r="X13" s="211" t="s">
        <v>42</v>
      </c>
      <c r="Y13" s="199" t="s">
        <v>2</v>
      </c>
      <c r="Z13" s="211" t="s">
        <v>41</v>
      </c>
      <c r="AA13" s="211" t="s">
        <v>41</v>
      </c>
      <c r="AB13" s="211" t="s">
        <v>41</v>
      </c>
      <c r="AC13" s="211" t="s">
        <v>41</v>
      </c>
      <c r="AD13" s="143" t="s">
        <v>4</v>
      </c>
      <c r="AE13" s="211" t="s">
        <v>42</v>
      </c>
      <c r="AF13" s="19" t="s">
        <v>41</v>
      </c>
      <c r="AG13" s="19" t="s">
        <v>41</v>
      </c>
      <c r="AH13" s="209" t="s">
        <v>2</v>
      </c>
      <c r="AI13" s="210" t="s">
        <v>10</v>
      </c>
      <c r="AJ13" s="210" t="s">
        <v>10</v>
      </c>
      <c r="AK13" s="143" t="s">
        <v>4</v>
      </c>
      <c r="AL13" s="210" t="s">
        <v>11</v>
      </c>
    </row>
    <row r="14" spans="1:38" ht="15" thickBot="1" x14ac:dyDescent="0.4">
      <c r="A14" s="207" t="s">
        <v>200</v>
      </c>
      <c r="B14" s="143" t="s">
        <v>4</v>
      </c>
      <c r="C14" s="143" t="s">
        <v>4</v>
      </c>
      <c r="D14" s="209" t="s">
        <v>2</v>
      </c>
      <c r="E14" s="19" t="s">
        <v>41</v>
      </c>
      <c r="F14" s="19" t="s">
        <v>41</v>
      </c>
      <c r="G14" s="19" t="s">
        <v>41</v>
      </c>
      <c r="H14" s="19" t="s">
        <v>41</v>
      </c>
      <c r="I14" s="143" t="s">
        <v>4</v>
      </c>
      <c r="J14" s="143" t="s">
        <v>4</v>
      </c>
      <c r="K14" s="19" t="s">
        <v>41</v>
      </c>
      <c r="L14" s="19" t="s">
        <v>41</v>
      </c>
      <c r="M14" s="199" t="s">
        <v>2</v>
      </c>
      <c r="N14" s="19" t="s">
        <v>41</v>
      </c>
      <c r="O14" s="19" t="s">
        <v>41</v>
      </c>
      <c r="P14" s="143" t="s">
        <v>4</v>
      </c>
      <c r="Q14" s="143" t="s">
        <v>4</v>
      </c>
      <c r="R14" s="19" t="s">
        <v>41</v>
      </c>
      <c r="S14" s="19" t="s">
        <v>41</v>
      </c>
      <c r="T14" s="211" t="s">
        <v>41</v>
      </c>
      <c r="U14" s="211" t="s">
        <v>41</v>
      </c>
      <c r="V14" s="19" t="s">
        <v>41</v>
      </c>
      <c r="W14" s="143" t="s">
        <v>4</v>
      </c>
      <c r="X14" s="143" t="s">
        <v>4</v>
      </c>
      <c r="Y14" s="19" t="s">
        <v>41</v>
      </c>
      <c r="Z14" s="19" t="s">
        <v>41</v>
      </c>
      <c r="AA14" s="211" t="s">
        <v>41</v>
      </c>
      <c r="AB14" s="19" t="s">
        <v>41</v>
      </c>
      <c r="AC14" s="19" t="s">
        <v>41</v>
      </c>
      <c r="AD14" s="143" t="s">
        <v>4</v>
      </c>
      <c r="AE14" s="143" t="s">
        <v>4</v>
      </c>
      <c r="AF14" s="19" t="s">
        <v>41</v>
      </c>
      <c r="AG14" s="19" t="s">
        <v>41</v>
      </c>
      <c r="AH14" s="19" t="s">
        <v>41</v>
      </c>
      <c r="AI14" s="22" t="s">
        <v>16</v>
      </c>
      <c r="AJ14" s="22" t="s">
        <v>16</v>
      </c>
      <c r="AK14" s="210" t="s">
        <v>11</v>
      </c>
      <c r="AL14" s="143" t="s">
        <v>4</v>
      </c>
    </row>
    <row r="15" spans="1:38" ht="15" thickBot="1" x14ac:dyDescent="0.4">
      <c r="A15" s="171"/>
      <c r="B15" s="171"/>
      <c r="C15" s="171"/>
      <c r="D15" s="171"/>
      <c r="AF15" s="70"/>
      <c r="AG15" s="70"/>
      <c r="AH15" s="70"/>
      <c r="AI15" s="70"/>
      <c r="AJ15" s="70"/>
      <c r="AK15" s="70"/>
      <c r="AL15" s="70"/>
    </row>
    <row r="16" spans="1:38" ht="15" thickBot="1" x14ac:dyDescent="0.4">
      <c r="A16" s="196" t="s">
        <v>1</v>
      </c>
      <c r="B16" s="147" t="s">
        <v>42</v>
      </c>
      <c r="C16" s="140" t="s">
        <v>4</v>
      </c>
      <c r="D16" s="212" t="s">
        <v>5</v>
      </c>
      <c r="E16" s="213" t="s">
        <v>10</v>
      </c>
      <c r="F16" s="213" t="s">
        <v>10</v>
      </c>
      <c r="G16" s="213" t="s">
        <v>10</v>
      </c>
      <c r="H16" s="213" t="s">
        <v>10</v>
      </c>
      <c r="I16" s="213" t="s">
        <v>11</v>
      </c>
      <c r="J16" s="143" t="s">
        <v>4</v>
      </c>
      <c r="K16" s="213" t="s">
        <v>10</v>
      </c>
      <c r="L16" s="212" t="s">
        <v>5</v>
      </c>
      <c r="M16" s="212" t="s">
        <v>5</v>
      </c>
      <c r="N16" s="213" t="s">
        <v>10</v>
      </c>
      <c r="O16" s="213" t="s">
        <v>10</v>
      </c>
      <c r="P16" s="213" t="s">
        <v>11</v>
      </c>
      <c r="Q16" s="213" t="s">
        <v>11</v>
      </c>
      <c r="R16" s="213" t="s">
        <v>10</v>
      </c>
      <c r="S16" s="213" t="s">
        <v>10</v>
      </c>
      <c r="T16" s="212" t="s">
        <v>5</v>
      </c>
      <c r="U16" s="212" t="s">
        <v>5</v>
      </c>
      <c r="V16" s="213" t="s">
        <v>10</v>
      </c>
      <c r="W16" s="213" t="s">
        <v>11</v>
      </c>
      <c r="X16" s="213" t="s">
        <v>11</v>
      </c>
      <c r="Y16" s="213" t="s">
        <v>10</v>
      </c>
      <c r="Z16" s="213" t="s">
        <v>10</v>
      </c>
      <c r="AA16" s="212" t="s">
        <v>5</v>
      </c>
      <c r="AB16" s="212" t="s">
        <v>5</v>
      </c>
      <c r="AC16" s="213" t="s">
        <v>10</v>
      </c>
      <c r="AD16" s="213" t="s">
        <v>11</v>
      </c>
      <c r="AE16" s="213" t="s">
        <v>11</v>
      </c>
      <c r="AF16" s="210" t="s">
        <v>10</v>
      </c>
      <c r="AG16" s="210" t="s">
        <v>10</v>
      </c>
      <c r="AH16" s="210" t="s">
        <v>10</v>
      </c>
      <c r="AI16" s="209" t="s">
        <v>2</v>
      </c>
      <c r="AJ16" s="209" t="s">
        <v>2</v>
      </c>
      <c r="AK16" s="25" t="s">
        <v>3</v>
      </c>
      <c r="AL16" s="143" t="s">
        <v>4</v>
      </c>
    </row>
    <row r="17" spans="1:38" ht="15" thickBot="1" x14ac:dyDescent="0.4">
      <c r="A17" s="200" t="s">
        <v>43</v>
      </c>
      <c r="B17" s="130" t="s">
        <v>4</v>
      </c>
      <c r="C17" s="202" t="s">
        <v>11</v>
      </c>
      <c r="D17" s="213" t="s">
        <v>10</v>
      </c>
      <c r="E17" s="213" t="s">
        <v>10</v>
      </c>
      <c r="F17" s="199" t="s">
        <v>2</v>
      </c>
      <c r="G17" s="199" t="s">
        <v>2</v>
      </c>
      <c r="H17" s="213" t="s">
        <v>10</v>
      </c>
      <c r="I17" s="143" t="s">
        <v>4</v>
      </c>
      <c r="J17" s="213" t="s">
        <v>11</v>
      </c>
      <c r="K17" s="199" t="s">
        <v>2</v>
      </c>
      <c r="L17" s="213" t="s">
        <v>10</v>
      </c>
      <c r="M17" s="213" t="s">
        <v>10</v>
      </c>
      <c r="N17" s="213" t="s">
        <v>10</v>
      </c>
      <c r="O17" s="213" t="s">
        <v>10</v>
      </c>
      <c r="P17" s="213" t="s">
        <v>11</v>
      </c>
      <c r="Q17" s="213" t="s">
        <v>11</v>
      </c>
      <c r="R17" s="213" t="s">
        <v>10</v>
      </c>
      <c r="S17" s="213" t="s">
        <v>10</v>
      </c>
      <c r="T17" s="213" t="s">
        <v>10</v>
      </c>
      <c r="U17" s="213" t="s">
        <v>10</v>
      </c>
      <c r="V17" s="199" t="s">
        <v>2</v>
      </c>
      <c r="W17" s="143" t="s">
        <v>4</v>
      </c>
      <c r="X17" s="213" t="s">
        <v>11</v>
      </c>
      <c r="Y17" s="199" t="s">
        <v>2</v>
      </c>
      <c r="Z17" s="213" t="s">
        <v>10</v>
      </c>
      <c r="AA17" s="213" t="s">
        <v>10</v>
      </c>
      <c r="AB17" s="213" t="s">
        <v>10</v>
      </c>
      <c r="AC17" s="213" t="s">
        <v>10</v>
      </c>
      <c r="AD17" s="213" t="s">
        <v>11</v>
      </c>
      <c r="AE17" s="213" t="s">
        <v>11</v>
      </c>
      <c r="AF17" s="209" t="s">
        <v>2</v>
      </c>
      <c r="AG17" s="22" t="s">
        <v>16</v>
      </c>
      <c r="AH17" s="19" t="s">
        <v>41</v>
      </c>
      <c r="AI17" s="25" t="s">
        <v>6</v>
      </c>
      <c r="AJ17" s="25" t="s">
        <v>6</v>
      </c>
      <c r="AK17" s="143" t="s">
        <v>4</v>
      </c>
      <c r="AL17" s="25" t="s">
        <v>3</v>
      </c>
    </row>
    <row r="18" spans="1:38" ht="15" thickBot="1" x14ac:dyDescent="0.4">
      <c r="A18" s="207" t="s">
        <v>85</v>
      </c>
      <c r="B18" s="19" t="s">
        <v>42</v>
      </c>
      <c r="C18" s="210" t="s">
        <v>11</v>
      </c>
      <c r="D18" s="210" t="s">
        <v>10</v>
      </c>
      <c r="E18" s="199" t="s">
        <v>2</v>
      </c>
      <c r="F18" s="199" t="s">
        <v>2</v>
      </c>
      <c r="G18" s="210" t="s">
        <v>10</v>
      </c>
      <c r="H18" s="210" t="s">
        <v>10</v>
      </c>
      <c r="I18" s="213" t="s">
        <v>11</v>
      </c>
      <c r="J18" s="213" t="s">
        <v>11</v>
      </c>
      <c r="K18" s="210" t="s">
        <v>10</v>
      </c>
      <c r="L18" s="210" t="s">
        <v>10</v>
      </c>
      <c r="M18" s="210" t="s">
        <v>10</v>
      </c>
      <c r="N18" s="210" t="s">
        <v>10</v>
      </c>
      <c r="O18" s="210" t="s">
        <v>10</v>
      </c>
      <c r="P18" s="143" t="s">
        <v>4</v>
      </c>
      <c r="Q18" s="143" t="s">
        <v>4</v>
      </c>
      <c r="R18" s="213" t="s">
        <v>10</v>
      </c>
      <c r="S18" s="199" t="s">
        <v>2</v>
      </c>
      <c r="T18" s="213" t="s">
        <v>10</v>
      </c>
      <c r="U18" s="213" t="s">
        <v>10</v>
      </c>
      <c r="V18" s="213" t="s">
        <v>10</v>
      </c>
      <c r="W18" s="143" t="s">
        <v>4</v>
      </c>
      <c r="X18" s="143" t="s">
        <v>4</v>
      </c>
      <c r="Y18" s="213" t="s">
        <v>10</v>
      </c>
      <c r="Z18" s="199" t="s">
        <v>2</v>
      </c>
      <c r="AA18" s="213" t="s">
        <v>10</v>
      </c>
      <c r="AB18" s="213" t="s">
        <v>10</v>
      </c>
      <c r="AC18" s="213" t="s">
        <v>10</v>
      </c>
      <c r="AD18" s="143" t="s">
        <v>4</v>
      </c>
      <c r="AE18" s="143" t="s">
        <v>4</v>
      </c>
      <c r="AF18" s="210" t="s">
        <v>10</v>
      </c>
      <c r="AG18" s="210" t="s">
        <v>10</v>
      </c>
      <c r="AH18" s="210" t="s">
        <v>10</v>
      </c>
      <c r="AI18" s="209" t="s">
        <v>2</v>
      </c>
      <c r="AJ18" s="25" t="s">
        <v>6</v>
      </c>
      <c r="AK18" s="25" t="s">
        <v>3</v>
      </c>
      <c r="AL18" s="143" t="s">
        <v>4</v>
      </c>
    </row>
    <row r="19" spans="1:38" ht="15" thickBot="1" x14ac:dyDescent="0.4">
      <c r="A19" s="207" t="s">
        <v>71</v>
      </c>
      <c r="B19" s="143" t="s">
        <v>4</v>
      </c>
      <c r="C19" s="210" t="s">
        <v>11</v>
      </c>
      <c r="D19" s="210" t="s">
        <v>10</v>
      </c>
      <c r="E19" s="213" t="s">
        <v>10</v>
      </c>
      <c r="F19" s="213" t="s">
        <v>10</v>
      </c>
      <c r="G19" s="213" t="s">
        <v>10</v>
      </c>
      <c r="H19" s="199" t="s">
        <v>2</v>
      </c>
      <c r="I19" s="143" t="s">
        <v>4</v>
      </c>
      <c r="J19" s="213" t="s">
        <v>11</v>
      </c>
      <c r="K19" s="213" t="s">
        <v>10</v>
      </c>
      <c r="L19" s="213" t="s">
        <v>10</v>
      </c>
      <c r="M19" s="212" t="s">
        <v>5</v>
      </c>
      <c r="N19" s="212" t="s">
        <v>5</v>
      </c>
      <c r="O19" s="212" t="s">
        <v>5</v>
      </c>
      <c r="P19" s="212" t="s">
        <v>5</v>
      </c>
      <c r="Q19" s="212" t="s">
        <v>5</v>
      </c>
      <c r="R19" s="212" t="s">
        <v>5</v>
      </c>
      <c r="S19" s="212" t="s">
        <v>5</v>
      </c>
      <c r="T19" s="212" t="s">
        <v>5</v>
      </c>
      <c r="U19" s="212" t="s">
        <v>5</v>
      </c>
      <c r="V19" s="213" t="s">
        <v>10</v>
      </c>
      <c r="W19" s="213" t="s">
        <v>11</v>
      </c>
      <c r="X19" s="143" t="s">
        <v>4</v>
      </c>
      <c r="Y19" s="213" t="s">
        <v>10</v>
      </c>
      <c r="Z19" s="213" t="s">
        <v>10</v>
      </c>
      <c r="AA19" s="213" t="s">
        <v>10</v>
      </c>
      <c r="AB19" s="213" t="s">
        <v>10</v>
      </c>
      <c r="AC19" s="199" t="s">
        <v>2</v>
      </c>
      <c r="AD19" s="143" t="s">
        <v>4</v>
      </c>
      <c r="AE19" s="143" t="s">
        <v>4</v>
      </c>
      <c r="AF19" s="210" t="s">
        <v>10</v>
      </c>
      <c r="AG19" s="209" t="s">
        <v>2</v>
      </c>
      <c r="AH19" s="209" t="s">
        <v>2</v>
      </c>
      <c r="AI19" s="25" t="s">
        <v>6</v>
      </c>
      <c r="AJ19" s="25" t="s">
        <v>6</v>
      </c>
      <c r="AK19" s="143" t="s">
        <v>4</v>
      </c>
      <c r="AL19" s="25" t="s">
        <v>3</v>
      </c>
    </row>
    <row r="20" spans="1:38" ht="15" thickBot="1" x14ac:dyDescent="0.4">
      <c r="A20" s="207" t="s">
        <v>253</v>
      </c>
      <c r="B20" s="143" t="s">
        <v>4</v>
      </c>
      <c r="C20" s="143" t="s">
        <v>4</v>
      </c>
      <c r="D20" s="22" t="s">
        <v>16</v>
      </c>
      <c r="E20" s="22" t="s">
        <v>16</v>
      </c>
      <c r="F20" s="213" t="s">
        <v>10</v>
      </c>
      <c r="G20" s="213" t="s">
        <v>10</v>
      </c>
      <c r="H20" s="213" t="s">
        <v>10</v>
      </c>
      <c r="I20" s="213" t="s">
        <v>11</v>
      </c>
      <c r="J20" s="143" t="s">
        <v>4</v>
      </c>
      <c r="K20" s="199" t="s">
        <v>2</v>
      </c>
      <c r="L20" s="213" t="s">
        <v>10</v>
      </c>
      <c r="M20" s="213" t="s">
        <v>10</v>
      </c>
      <c r="N20" s="213" t="s">
        <v>10</v>
      </c>
      <c r="O20" s="212" t="s">
        <v>5</v>
      </c>
      <c r="P20" s="143" t="s">
        <v>4</v>
      </c>
      <c r="Q20" s="143" t="s">
        <v>4</v>
      </c>
      <c r="R20" s="212" t="s">
        <v>5</v>
      </c>
      <c r="S20" s="213" t="s">
        <v>10</v>
      </c>
      <c r="T20" s="213" t="s">
        <v>10</v>
      </c>
      <c r="U20" s="213" t="s">
        <v>10</v>
      </c>
      <c r="V20" s="213" t="s">
        <v>10</v>
      </c>
      <c r="W20" s="213" t="s">
        <v>11</v>
      </c>
      <c r="X20" s="143" t="s">
        <v>4</v>
      </c>
      <c r="Y20" s="199" t="s">
        <v>2</v>
      </c>
      <c r="Z20" s="22" t="s">
        <v>16</v>
      </c>
      <c r="AA20" s="22" t="s">
        <v>16</v>
      </c>
      <c r="AB20" s="22" t="s">
        <v>16</v>
      </c>
      <c r="AC20" s="213" t="s">
        <v>10</v>
      </c>
      <c r="AD20" s="213" t="s">
        <v>11</v>
      </c>
      <c r="AE20" s="143" t="s">
        <v>4</v>
      </c>
      <c r="AF20" s="22" t="s">
        <v>16</v>
      </c>
      <c r="AG20" s="210" t="s">
        <v>10</v>
      </c>
      <c r="AH20" s="209" t="s">
        <v>2</v>
      </c>
      <c r="AI20" s="25" t="s">
        <v>6</v>
      </c>
      <c r="AJ20" s="25" t="s">
        <v>6</v>
      </c>
      <c r="AK20" s="143" t="s">
        <v>4</v>
      </c>
      <c r="AL20" s="143" t="s">
        <v>4</v>
      </c>
    </row>
    <row r="22" spans="1:38" x14ac:dyDescent="0.35">
      <c r="A22" s="214" t="s">
        <v>201</v>
      </c>
      <c r="B22">
        <f>COUNTIF(B4:B20,"*MS")</f>
        <v>2</v>
      </c>
      <c r="C22">
        <f>COUNTIF(C4:C20,"*MS")</f>
        <v>2</v>
      </c>
      <c r="D22">
        <f>COUNTIF(D4:D20,"*MS")</f>
        <v>3</v>
      </c>
      <c r="E22">
        <f>COUNTIF(E4:E20,"*MS")</f>
        <v>4</v>
      </c>
      <c r="F22">
        <f t="shared" ref="F22:AL22" si="2">COUNTIF(F4:F20,"*MS")</f>
        <v>4</v>
      </c>
      <c r="G22">
        <f t="shared" si="2"/>
        <v>4</v>
      </c>
      <c r="H22">
        <f t="shared" si="2"/>
        <v>3</v>
      </c>
      <c r="I22">
        <f t="shared" si="2"/>
        <v>2</v>
      </c>
      <c r="J22">
        <f t="shared" si="2"/>
        <v>2</v>
      </c>
      <c r="K22">
        <f t="shared" si="2"/>
        <v>3</v>
      </c>
      <c r="L22">
        <f t="shared" si="2"/>
        <v>3</v>
      </c>
      <c r="M22">
        <f t="shared" si="2"/>
        <v>4</v>
      </c>
      <c r="N22">
        <f t="shared" si="2"/>
        <v>3</v>
      </c>
      <c r="O22">
        <f t="shared" si="2"/>
        <v>4</v>
      </c>
      <c r="P22">
        <f t="shared" si="2"/>
        <v>2</v>
      </c>
      <c r="Q22">
        <f t="shared" si="2"/>
        <v>2</v>
      </c>
      <c r="R22">
        <f t="shared" si="2"/>
        <v>2</v>
      </c>
      <c r="S22">
        <f t="shared" si="2"/>
        <v>3</v>
      </c>
      <c r="T22">
        <f t="shared" si="2"/>
        <v>3</v>
      </c>
      <c r="U22">
        <f t="shared" si="2"/>
        <v>3</v>
      </c>
      <c r="V22">
        <f t="shared" si="2"/>
        <v>3</v>
      </c>
      <c r="W22">
        <f>COUNTIF(W4:W20,"*MS")</f>
        <v>2</v>
      </c>
      <c r="X22">
        <f>COUNTIF(X4:X20,"*MS")</f>
        <v>2</v>
      </c>
      <c r="Y22">
        <f>COUNTIF(Y5:Y20,"*MS")</f>
        <v>3</v>
      </c>
      <c r="Z22">
        <f>COUNTIF(Z5:Z20,"*MS")</f>
        <v>3</v>
      </c>
      <c r="AA22">
        <f>COUNTIF(AA5:AA20,"*MS")</f>
        <v>3</v>
      </c>
      <c r="AB22">
        <f>COUNTIF(AB5:AB20,"*MS")</f>
        <v>3</v>
      </c>
      <c r="AC22">
        <f>COUNTIF(AC5:AC20,"*MS")</f>
        <v>3</v>
      </c>
      <c r="AD22">
        <f>COUNTIF(AD4:AD20,"*MS")</f>
        <v>2</v>
      </c>
      <c r="AE22">
        <f t="shared" si="2"/>
        <v>2</v>
      </c>
      <c r="AF22">
        <f t="shared" si="2"/>
        <v>3</v>
      </c>
      <c r="AG22">
        <f t="shared" si="2"/>
        <v>5</v>
      </c>
      <c r="AH22">
        <f t="shared" si="2"/>
        <v>4</v>
      </c>
      <c r="AI22">
        <f t="shared" si="2"/>
        <v>3</v>
      </c>
      <c r="AJ22">
        <f t="shared" si="2"/>
        <v>4</v>
      </c>
      <c r="AK22">
        <f t="shared" si="2"/>
        <v>2</v>
      </c>
      <c r="AL22">
        <f t="shared" si="2"/>
        <v>2</v>
      </c>
    </row>
    <row r="23" spans="1:38" x14ac:dyDescent="0.35">
      <c r="A23" s="214" t="s">
        <v>202</v>
      </c>
      <c r="B23">
        <f>COUNTIF(B4:B20,"*ASS1")</f>
        <v>2</v>
      </c>
      <c r="C23">
        <f>COUNTIF(C4:C20,"*ASS1")</f>
        <v>2</v>
      </c>
      <c r="D23">
        <f>COUNTIF(D4:D20,"*ASS1")</f>
        <v>3</v>
      </c>
      <c r="E23">
        <f>COUNTIF(E4:E20,"*ASS1")</f>
        <v>4</v>
      </c>
      <c r="F23">
        <f t="shared" ref="F23:AL23" si="3">COUNTIF(F4:F20,"*ASS1")</f>
        <v>3</v>
      </c>
      <c r="G23">
        <f t="shared" si="3"/>
        <v>4</v>
      </c>
      <c r="H23">
        <f t="shared" si="3"/>
        <v>3</v>
      </c>
      <c r="I23">
        <f t="shared" si="3"/>
        <v>2</v>
      </c>
      <c r="J23">
        <f t="shared" si="3"/>
        <v>2</v>
      </c>
      <c r="K23">
        <f t="shared" si="3"/>
        <v>3</v>
      </c>
      <c r="L23">
        <f t="shared" si="3"/>
        <v>4</v>
      </c>
      <c r="M23">
        <f t="shared" si="3"/>
        <v>3</v>
      </c>
      <c r="N23">
        <f t="shared" si="3"/>
        <v>4</v>
      </c>
      <c r="O23">
        <f t="shared" si="3"/>
        <v>4</v>
      </c>
      <c r="P23">
        <f t="shared" si="3"/>
        <v>2</v>
      </c>
      <c r="Q23">
        <f t="shared" si="3"/>
        <v>2</v>
      </c>
      <c r="R23">
        <f t="shared" si="3"/>
        <v>3</v>
      </c>
      <c r="S23">
        <f t="shared" si="3"/>
        <v>4</v>
      </c>
      <c r="T23">
        <f t="shared" si="3"/>
        <v>3</v>
      </c>
      <c r="U23">
        <f t="shared" si="3"/>
        <v>4</v>
      </c>
      <c r="V23">
        <f t="shared" si="3"/>
        <v>4</v>
      </c>
      <c r="W23">
        <f>COUNTIF(W4:W20,"*ASS1")</f>
        <v>2</v>
      </c>
      <c r="X23">
        <f>COUNTIF(X4:X20,"*ASS1")</f>
        <v>2</v>
      </c>
      <c r="Y23">
        <f>COUNTIF(Y5:Y20,"*ASS1")</f>
        <v>3</v>
      </c>
      <c r="Z23">
        <f>COUNTIF(Z5:Z20,"*ASS1")</f>
        <v>4</v>
      </c>
      <c r="AA23">
        <f>COUNTIF(AA5:AA20,"*ASS1")</f>
        <v>3</v>
      </c>
      <c r="AB23">
        <f>COUNTIF(AB5:AB20,"*ASS1")</f>
        <v>4</v>
      </c>
      <c r="AC23">
        <f>COUNTIF(AC5:AC20,"*ASS1")</f>
        <v>4</v>
      </c>
      <c r="AD23">
        <f>COUNTIF(AD4:AD20,"*ASS1")</f>
        <v>2</v>
      </c>
      <c r="AE23">
        <f t="shared" si="3"/>
        <v>2</v>
      </c>
      <c r="AF23">
        <f t="shared" si="3"/>
        <v>3</v>
      </c>
      <c r="AG23">
        <f t="shared" si="3"/>
        <v>3</v>
      </c>
      <c r="AH23">
        <f t="shared" si="3"/>
        <v>3</v>
      </c>
      <c r="AI23">
        <f t="shared" si="3"/>
        <v>3</v>
      </c>
      <c r="AJ23">
        <f t="shared" si="3"/>
        <v>3</v>
      </c>
      <c r="AK23">
        <f t="shared" si="3"/>
        <v>2</v>
      </c>
      <c r="AL23">
        <f t="shared" si="3"/>
        <v>2</v>
      </c>
    </row>
    <row r="24" spans="1:38" x14ac:dyDescent="0.35">
      <c r="A24" s="214" t="s">
        <v>203</v>
      </c>
      <c r="B24">
        <f>COUNTIF(B4:B20,"*NST7")</f>
        <v>3</v>
      </c>
      <c r="C24">
        <f>COUNTIF(C4:C20,"*NST7")</f>
        <v>3</v>
      </c>
      <c r="D24">
        <f>COUNTIF(D4:D20,"*NST7")</f>
        <v>3</v>
      </c>
      <c r="E24">
        <f>COUNTIF(E4:E20,"*NST7")</f>
        <v>3</v>
      </c>
      <c r="F24">
        <f t="shared" ref="F24:AL24" si="4">COUNTIF(F4:F20,"*NST7")</f>
        <v>3</v>
      </c>
      <c r="G24">
        <f t="shared" si="4"/>
        <v>4</v>
      </c>
      <c r="H24">
        <f t="shared" si="4"/>
        <v>4</v>
      </c>
      <c r="I24">
        <f t="shared" si="4"/>
        <v>3</v>
      </c>
      <c r="J24">
        <f t="shared" si="4"/>
        <v>3</v>
      </c>
      <c r="K24">
        <f t="shared" si="4"/>
        <v>3</v>
      </c>
      <c r="L24">
        <f t="shared" si="4"/>
        <v>4</v>
      </c>
      <c r="M24">
        <f t="shared" si="4"/>
        <v>3</v>
      </c>
      <c r="N24">
        <f t="shared" si="4"/>
        <v>4</v>
      </c>
      <c r="O24">
        <f t="shared" si="4"/>
        <v>3</v>
      </c>
      <c r="P24">
        <f t="shared" si="4"/>
        <v>2</v>
      </c>
      <c r="Q24">
        <f t="shared" si="4"/>
        <v>2</v>
      </c>
      <c r="R24">
        <f t="shared" si="4"/>
        <v>3</v>
      </c>
      <c r="S24">
        <f t="shared" si="4"/>
        <v>3</v>
      </c>
      <c r="T24">
        <f t="shared" si="4"/>
        <v>3</v>
      </c>
      <c r="U24">
        <f t="shared" si="4"/>
        <v>3</v>
      </c>
      <c r="V24">
        <f t="shared" si="4"/>
        <v>4</v>
      </c>
      <c r="W24">
        <f>COUNTIF(W4:W20,"*NST7")</f>
        <v>3</v>
      </c>
      <c r="X24">
        <f>COUNTIF(X4:X20,"*NST7")</f>
        <v>2</v>
      </c>
      <c r="Y24">
        <f>COUNTIF(Y5:Y20,"*NST7")</f>
        <v>3</v>
      </c>
      <c r="Z24">
        <f>COUNTIF(Z5:Z20,"*NST7")</f>
        <v>3</v>
      </c>
      <c r="AA24">
        <f>COUNTIF(AA5:AA20,"*NST7")</f>
        <v>3</v>
      </c>
      <c r="AB24">
        <f>COUNTIF(AB5:AB20,"*NST7")</f>
        <v>3</v>
      </c>
      <c r="AC24">
        <f>COUNTIF(AC5:AC20,"*NST7")</f>
        <v>4</v>
      </c>
      <c r="AD24">
        <f>COUNTIF(AD4:AD20,"*NST7")</f>
        <v>3</v>
      </c>
      <c r="AE24">
        <f t="shared" si="4"/>
        <v>2</v>
      </c>
      <c r="AF24">
        <f t="shared" si="4"/>
        <v>3</v>
      </c>
      <c r="AG24">
        <f t="shared" si="4"/>
        <v>3</v>
      </c>
      <c r="AH24">
        <f t="shared" si="4"/>
        <v>2</v>
      </c>
      <c r="AI24">
        <f t="shared" si="4"/>
        <v>3</v>
      </c>
      <c r="AJ24">
        <f t="shared" si="4"/>
        <v>3</v>
      </c>
      <c r="AK24">
        <f t="shared" si="4"/>
        <v>3</v>
      </c>
      <c r="AL24">
        <f t="shared" si="4"/>
        <v>2</v>
      </c>
    </row>
    <row r="25" spans="1:38" x14ac:dyDescent="0.35">
      <c r="A25" s="214" t="s">
        <v>204</v>
      </c>
      <c r="B25">
        <f>COUNTIF(B4:B20,"*GS")</f>
        <v>1</v>
      </c>
      <c r="C25">
        <f>COUNTIF(C4:C20,"*GS")</f>
        <v>0</v>
      </c>
      <c r="D25">
        <f>COUNTIF(D4:D20,"*GS")</f>
        <v>1</v>
      </c>
      <c r="E25">
        <f>COUNTIF(E4:E20,"*GS")</f>
        <v>1</v>
      </c>
      <c r="F25">
        <f t="shared" ref="F25:AL25" si="5">COUNTIF(F4:F20,"*GS")</f>
        <v>0</v>
      </c>
      <c r="G25">
        <f t="shared" si="5"/>
        <v>0</v>
      </c>
      <c r="H25">
        <f t="shared" si="5"/>
        <v>0</v>
      </c>
      <c r="I25">
        <f t="shared" si="5"/>
        <v>1</v>
      </c>
      <c r="J25">
        <f t="shared" si="5"/>
        <v>0</v>
      </c>
      <c r="K25">
        <f t="shared" si="5"/>
        <v>0</v>
      </c>
      <c r="L25">
        <f t="shared" si="5"/>
        <v>0</v>
      </c>
      <c r="M25">
        <f t="shared" si="5"/>
        <v>0</v>
      </c>
      <c r="N25">
        <f t="shared" si="5"/>
        <v>0</v>
      </c>
      <c r="O25">
        <f t="shared" si="5"/>
        <v>0</v>
      </c>
      <c r="P25">
        <f t="shared" si="5"/>
        <v>1</v>
      </c>
      <c r="Q25">
        <f t="shared" si="5"/>
        <v>0</v>
      </c>
      <c r="R25">
        <f t="shared" si="5"/>
        <v>0</v>
      </c>
      <c r="S25">
        <f t="shared" si="5"/>
        <v>0</v>
      </c>
      <c r="T25">
        <f t="shared" si="5"/>
        <v>0</v>
      </c>
      <c r="U25">
        <f t="shared" si="5"/>
        <v>0</v>
      </c>
      <c r="V25">
        <f t="shared" si="5"/>
        <v>0</v>
      </c>
      <c r="W25">
        <f>COUNTIF(W4:W20,"*GS")</f>
        <v>1</v>
      </c>
      <c r="X25">
        <f>COUNTIF(X4:X20,"*GS")</f>
        <v>0</v>
      </c>
      <c r="Y25">
        <f>COUNTIF(Y5:Y20,"*GS")</f>
        <v>0</v>
      </c>
      <c r="Z25">
        <f>COUNTIF(Z5:Z20,"*GS")</f>
        <v>1</v>
      </c>
      <c r="AA25">
        <f>COUNTIF(AA5:AA20,"*GS")</f>
        <v>1</v>
      </c>
      <c r="AB25">
        <f>COUNTIF(AB5:AB20,"*GS")</f>
        <v>1</v>
      </c>
      <c r="AC25">
        <f>COUNTIF(AC5:AC20,"*GS")</f>
        <v>1</v>
      </c>
      <c r="AD25">
        <f>COUNTIF(AD4:AD20,"*GS")</f>
        <v>1</v>
      </c>
      <c r="AE25">
        <f t="shared" si="5"/>
        <v>0</v>
      </c>
      <c r="AF25">
        <f t="shared" si="5"/>
        <v>1</v>
      </c>
      <c r="AG25">
        <f t="shared" si="5"/>
        <v>1</v>
      </c>
      <c r="AH25">
        <f t="shared" si="5"/>
        <v>1</v>
      </c>
      <c r="AI25">
        <f t="shared" si="5"/>
        <v>2</v>
      </c>
      <c r="AJ25">
        <f t="shared" si="5"/>
        <v>1</v>
      </c>
      <c r="AK25">
        <f t="shared" si="5"/>
        <v>1</v>
      </c>
      <c r="AL25">
        <f t="shared" si="5"/>
        <v>0</v>
      </c>
    </row>
    <row r="26" spans="1:38" x14ac:dyDescent="0.35">
      <c r="A26" s="214" t="s">
        <v>205</v>
      </c>
      <c r="B26">
        <f>COUNTIF(B4:B20,"WO")</f>
        <v>7</v>
      </c>
      <c r="C26">
        <f>COUNTIF(C4:C20,"WO")</f>
        <v>8</v>
      </c>
      <c r="D26">
        <f>COUNTIF(D4:D20,"C")</f>
        <v>4</v>
      </c>
      <c r="E26">
        <f>COUNTIF(E4:E20,"C")</f>
        <v>3</v>
      </c>
      <c r="F26">
        <f t="shared" ref="F26:AL26" si="6">COUNTIF(F4:F20,"C")</f>
        <v>4</v>
      </c>
      <c r="G26">
        <f t="shared" si="6"/>
        <v>2</v>
      </c>
      <c r="H26">
        <f t="shared" si="6"/>
        <v>4</v>
      </c>
      <c r="I26">
        <f t="shared" si="6"/>
        <v>0</v>
      </c>
      <c r="J26">
        <f t="shared" si="6"/>
        <v>0</v>
      </c>
      <c r="K26">
        <f t="shared" si="6"/>
        <v>4</v>
      </c>
      <c r="L26">
        <f t="shared" si="6"/>
        <v>1</v>
      </c>
      <c r="M26">
        <f t="shared" si="6"/>
        <v>1</v>
      </c>
      <c r="N26">
        <f t="shared" si="6"/>
        <v>1</v>
      </c>
      <c r="O26">
        <f t="shared" si="6"/>
        <v>0</v>
      </c>
      <c r="P26">
        <f t="shared" si="6"/>
        <v>0</v>
      </c>
      <c r="Q26">
        <f t="shared" si="6"/>
        <v>0</v>
      </c>
      <c r="R26">
        <f t="shared" si="6"/>
        <v>4</v>
      </c>
      <c r="S26">
        <f t="shared" si="6"/>
        <v>2</v>
      </c>
      <c r="T26">
        <f t="shared" si="6"/>
        <v>2</v>
      </c>
      <c r="U26">
        <f t="shared" si="6"/>
        <v>1</v>
      </c>
      <c r="V26">
        <f t="shared" si="6"/>
        <v>2</v>
      </c>
      <c r="W26">
        <f>COUNTIF(W4:W20,"C")</f>
        <v>0</v>
      </c>
      <c r="X26">
        <f>COUNTIF(X4:X20,"C")</f>
        <v>0</v>
      </c>
      <c r="Y26">
        <f>COUNTIF(Y5:Y20,"C")</f>
        <v>4</v>
      </c>
      <c r="Z26">
        <f>COUNTIF(Z5:Z20,"C")</f>
        <v>1</v>
      </c>
      <c r="AA26">
        <f>COUNTIF(AA5:AA20,"C")</f>
        <v>1</v>
      </c>
      <c r="AB26">
        <f>COUNTIF(AB5:AB20,"C")</f>
        <v>0</v>
      </c>
      <c r="AC26">
        <f>COUNTIF(AC5:AC20,"C")</f>
        <v>2</v>
      </c>
      <c r="AD26">
        <f>COUNTIF(AD4:AD20,"C")</f>
        <v>0</v>
      </c>
      <c r="AE26">
        <f t="shared" si="6"/>
        <v>0</v>
      </c>
      <c r="AF26">
        <f t="shared" si="6"/>
        <v>4</v>
      </c>
      <c r="AG26">
        <f t="shared" si="6"/>
        <v>2</v>
      </c>
      <c r="AH26">
        <f t="shared" si="6"/>
        <v>4</v>
      </c>
      <c r="AI26">
        <f t="shared" si="6"/>
        <v>2</v>
      </c>
      <c r="AJ26">
        <f t="shared" si="6"/>
        <v>3</v>
      </c>
      <c r="AK26">
        <f t="shared" si="6"/>
        <v>0</v>
      </c>
      <c r="AL26">
        <f t="shared" si="6"/>
        <v>0</v>
      </c>
    </row>
    <row r="27" spans="1:38" x14ac:dyDescent="0.35">
      <c r="A27" s="214" t="s">
        <v>206</v>
      </c>
      <c r="B27">
        <f>COUNTIF(B4:B20,"PL")</f>
        <v>0</v>
      </c>
      <c r="C27">
        <f>COUNTIF(C4:C20,"PL")</f>
        <v>0</v>
      </c>
      <c r="D27">
        <f>COUNTIF(D4:D20,"PL")</f>
        <v>1</v>
      </c>
      <c r="E27">
        <f>COUNTIF(E4:E20,"PL")</f>
        <v>0</v>
      </c>
      <c r="F27">
        <f t="shared" ref="F27:AL27" si="7">COUNTIF(F4:F20,"PL")</f>
        <v>0</v>
      </c>
      <c r="G27">
        <f t="shared" si="7"/>
        <v>0</v>
      </c>
      <c r="H27">
        <f t="shared" si="7"/>
        <v>1</v>
      </c>
      <c r="I27">
        <f t="shared" si="7"/>
        <v>0</v>
      </c>
      <c r="J27">
        <f t="shared" si="7"/>
        <v>0</v>
      </c>
      <c r="K27">
        <f t="shared" si="7"/>
        <v>2</v>
      </c>
      <c r="L27">
        <f t="shared" si="7"/>
        <v>3</v>
      </c>
      <c r="M27">
        <f t="shared" si="7"/>
        <v>4</v>
      </c>
      <c r="N27">
        <f t="shared" si="7"/>
        <v>3</v>
      </c>
      <c r="O27">
        <f t="shared" si="7"/>
        <v>4</v>
      </c>
      <c r="P27">
        <f t="shared" si="7"/>
        <v>1</v>
      </c>
      <c r="Q27">
        <f t="shared" si="7"/>
        <v>1</v>
      </c>
      <c r="R27">
        <f t="shared" si="7"/>
        <v>2</v>
      </c>
      <c r="S27">
        <f t="shared" si="7"/>
        <v>3</v>
      </c>
      <c r="T27">
        <f t="shared" si="7"/>
        <v>4</v>
      </c>
      <c r="U27">
        <f t="shared" si="7"/>
        <v>4</v>
      </c>
      <c r="V27">
        <f t="shared" si="7"/>
        <v>2</v>
      </c>
      <c r="W27">
        <f>COUNTIF(W4:W20,"PL")</f>
        <v>0</v>
      </c>
      <c r="X27">
        <f>COUNTIF(X4:X20,"PL")</f>
        <v>0</v>
      </c>
      <c r="Y27">
        <f>COUNTIF(Y5:Y20,"PL")</f>
        <v>1</v>
      </c>
      <c r="Z27">
        <f>COUNTIF(Z5:Z20,"PL")</f>
        <v>2</v>
      </c>
      <c r="AA27">
        <f>COUNTIF(AA5:AA20,"PL")</f>
        <v>3</v>
      </c>
      <c r="AB27">
        <f>COUNTIF(AB5:AB20,"PL")</f>
        <v>3</v>
      </c>
      <c r="AC27">
        <f>COUNTIF(AC5:AC20,"PL")</f>
        <v>0</v>
      </c>
      <c r="AD27">
        <f>COUNTIF(AD4:AD20,"PL")</f>
        <v>0</v>
      </c>
      <c r="AE27">
        <f t="shared" si="7"/>
        <v>0</v>
      </c>
      <c r="AF27">
        <f t="shared" si="7"/>
        <v>1</v>
      </c>
      <c r="AG27">
        <f t="shared" si="7"/>
        <v>1</v>
      </c>
      <c r="AH27">
        <f t="shared" si="7"/>
        <v>1</v>
      </c>
      <c r="AI27">
        <f t="shared" si="7"/>
        <v>2</v>
      </c>
      <c r="AJ27">
        <f t="shared" si="7"/>
        <v>1</v>
      </c>
      <c r="AK27">
        <f t="shared" si="7"/>
        <v>0</v>
      </c>
      <c r="AL27">
        <f t="shared" si="7"/>
        <v>0</v>
      </c>
    </row>
    <row r="28" spans="1:38" x14ac:dyDescent="0.35">
      <c r="A28" s="214" t="s">
        <v>33</v>
      </c>
      <c r="B28">
        <f>COUNTIF(B4:B20,"UPL")</f>
        <v>0</v>
      </c>
      <c r="C28">
        <f>COUNTIF(C4:C20,"UPL")</f>
        <v>0</v>
      </c>
      <c r="D28">
        <f>COUNTIF(D4:D20,"UPL")</f>
        <v>0</v>
      </c>
      <c r="E28">
        <f>COUNTIF(E4:E20,"UPL")</f>
        <v>0</v>
      </c>
      <c r="F28">
        <f t="shared" ref="F28:AL28" si="8">COUNTIF(F4:F20,"UPL")</f>
        <v>1</v>
      </c>
      <c r="G28">
        <f t="shared" si="8"/>
        <v>1</v>
      </c>
      <c r="H28">
        <f t="shared" si="8"/>
        <v>0</v>
      </c>
      <c r="I28">
        <f t="shared" si="8"/>
        <v>0</v>
      </c>
      <c r="J28">
        <f t="shared" si="8"/>
        <v>0</v>
      </c>
      <c r="K28">
        <f t="shared" si="8"/>
        <v>0</v>
      </c>
      <c r="L28">
        <f t="shared" si="8"/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1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>COUNTIF(W4:W20,"UPL")</f>
        <v>0</v>
      </c>
      <c r="X28">
        <f>COUNTIF(X4:X20,"UPL")</f>
        <v>0</v>
      </c>
      <c r="Y28">
        <f>COUNTIF(Y5:Y20,"UPL")</f>
        <v>0</v>
      </c>
      <c r="Z28">
        <f>COUNTIF(Z5:Z20,"UPL")</f>
        <v>0</v>
      </c>
      <c r="AA28">
        <f>COUNTIF(AA5:AA20,"UPL")</f>
        <v>0</v>
      </c>
      <c r="AB28">
        <f>COUNTIF(AB5:AB20,"UPL")</f>
        <v>0</v>
      </c>
      <c r="AC28">
        <f>COUNTIF(AC5:AC20,"UPL")</f>
        <v>0</v>
      </c>
      <c r="AD28">
        <f>COUNTIF(AD4:AD20,"UPL")</f>
        <v>0</v>
      </c>
      <c r="AE28">
        <f t="shared" si="8"/>
        <v>0</v>
      </c>
      <c r="AF28">
        <f t="shared" si="8"/>
        <v>0</v>
      </c>
      <c r="AG28">
        <f t="shared" si="8"/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</row>
    <row r="29" spans="1:38" x14ac:dyDescent="0.35">
      <c r="A29" s="214" t="s">
        <v>254</v>
      </c>
      <c r="B29">
        <f>COUNTIF(B4:B20,"H")</f>
        <v>0</v>
      </c>
      <c r="C29">
        <f>COUNTIF(C4:C20,"H")</f>
        <v>0</v>
      </c>
      <c r="D29">
        <f>COUNTIF(D4:D20,"H")</f>
        <v>0</v>
      </c>
      <c r="E29">
        <f>COUNTIF(E4:E20,"H")</f>
        <v>0</v>
      </c>
      <c r="F29">
        <f t="shared" ref="F29:AL29" si="9">COUNTIF(F4:F20,"H")</f>
        <v>0</v>
      </c>
      <c r="G29">
        <f t="shared" si="9"/>
        <v>0</v>
      </c>
      <c r="H29">
        <f t="shared" si="9"/>
        <v>0</v>
      </c>
      <c r="I29">
        <f t="shared" si="9"/>
        <v>0</v>
      </c>
      <c r="J29">
        <f t="shared" si="9"/>
        <v>0</v>
      </c>
      <c r="K29">
        <f t="shared" si="9"/>
        <v>0</v>
      </c>
      <c r="L29">
        <f t="shared" si="9"/>
        <v>0</v>
      </c>
      <c r="M29">
        <f t="shared" si="9"/>
        <v>0</v>
      </c>
      <c r="N29">
        <f t="shared" si="9"/>
        <v>0</v>
      </c>
      <c r="O29">
        <f t="shared" si="9"/>
        <v>0</v>
      </c>
      <c r="P29">
        <f t="shared" si="9"/>
        <v>0</v>
      </c>
      <c r="Q29">
        <f t="shared" si="9"/>
        <v>0</v>
      </c>
      <c r="R29">
        <f t="shared" si="9"/>
        <v>0</v>
      </c>
      <c r="S29">
        <f t="shared" si="9"/>
        <v>0</v>
      </c>
      <c r="T29">
        <f t="shared" si="9"/>
        <v>0</v>
      </c>
      <c r="U29">
        <f t="shared" si="9"/>
        <v>0</v>
      </c>
      <c r="V29">
        <f t="shared" si="9"/>
        <v>0</v>
      </c>
      <c r="W29">
        <f>COUNTIF(W4:W20,"H")</f>
        <v>0</v>
      </c>
      <c r="X29">
        <f>COUNTIF(X4:X20,"H")</f>
        <v>0</v>
      </c>
      <c r="Y29">
        <f>COUNTIF(Y5:Y20,"H")</f>
        <v>0</v>
      </c>
      <c r="Z29">
        <f>COUNTIF(Z5:Z20,"H")</f>
        <v>0</v>
      </c>
      <c r="AA29">
        <f>COUNTIF(AA5:AA20,"H")</f>
        <v>0</v>
      </c>
      <c r="AB29">
        <f>COUNTIF(AB5:AB20,"H")</f>
        <v>0</v>
      </c>
      <c r="AC29">
        <f>COUNTIF(AC5:AC20,"H")</f>
        <v>0</v>
      </c>
      <c r="AD29">
        <f>COUNTIF(AD4:AD20,"H")</f>
        <v>0</v>
      </c>
      <c r="AE29">
        <f t="shared" si="9"/>
        <v>0</v>
      </c>
      <c r="AF29">
        <f t="shared" si="9"/>
        <v>0</v>
      </c>
      <c r="AG29">
        <f t="shared" si="9"/>
        <v>0</v>
      </c>
      <c r="AH29">
        <f t="shared" si="9"/>
        <v>0</v>
      </c>
      <c r="AI29">
        <f t="shared" si="9"/>
        <v>0</v>
      </c>
      <c r="AJ29">
        <f t="shared" si="9"/>
        <v>0</v>
      </c>
      <c r="AK29">
        <f t="shared" si="9"/>
        <v>0</v>
      </c>
      <c r="AL29">
        <f t="shared" si="9"/>
        <v>0</v>
      </c>
    </row>
    <row r="30" spans="1:38" x14ac:dyDescent="0.35">
      <c r="A30" s="214" t="s">
        <v>207</v>
      </c>
      <c r="B30" s="158">
        <f t="shared" ref="B30:D30" si="10">SUM(B22:B29)</f>
        <v>15</v>
      </c>
      <c r="C30" s="158">
        <f t="shared" si="10"/>
        <v>15</v>
      </c>
      <c r="D30" s="158">
        <f t="shared" si="10"/>
        <v>15</v>
      </c>
      <c r="E30" s="158">
        <f t="shared" ref="E30:AL30" si="11">SUM(E22:E29)</f>
        <v>15</v>
      </c>
      <c r="F30" s="158">
        <f t="shared" si="11"/>
        <v>15</v>
      </c>
      <c r="G30" s="158">
        <f t="shared" si="11"/>
        <v>15</v>
      </c>
      <c r="H30" s="158">
        <f t="shared" si="11"/>
        <v>15</v>
      </c>
      <c r="I30" s="158">
        <f t="shared" si="11"/>
        <v>8</v>
      </c>
      <c r="J30" s="158">
        <f t="shared" si="11"/>
        <v>7</v>
      </c>
      <c r="K30" s="158">
        <f t="shared" si="11"/>
        <v>15</v>
      </c>
      <c r="L30" s="158">
        <f t="shared" si="11"/>
        <v>15</v>
      </c>
      <c r="M30" s="158">
        <f t="shared" si="11"/>
        <v>15</v>
      </c>
      <c r="N30" s="158">
        <f t="shared" si="11"/>
        <v>15</v>
      </c>
      <c r="O30" s="158">
        <f t="shared" si="11"/>
        <v>15</v>
      </c>
      <c r="P30" s="158">
        <f t="shared" si="11"/>
        <v>8</v>
      </c>
      <c r="Q30" s="158">
        <f t="shared" si="11"/>
        <v>7</v>
      </c>
      <c r="R30" s="158">
        <f t="shared" si="11"/>
        <v>15</v>
      </c>
      <c r="S30" s="158">
        <f t="shared" si="11"/>
        <v>15</v>
      </c>
      <c r="T30" s="158">
        <f t="shared" si="11"/>
        <v>15</v>
      </c>
      <c r="U30" s="158">
        <f t="shared" si="11"/>
        <v>15</v>
      </c>
      <c r="V30" s="158">
        <f t="shared" si="11"/>
        <v>15</v>
      </c>
      <c r="W30" s="158">
        <f t="shared" si="11"/>
        <v>8</v>
      </c>
      <c r="X30" s="158">
        <f t="shared" si="11"/>
        <v>6</v>
      </c>
      <c r="Y30" s="158">
        <f t="shared" si="11"/>
        <v>14</v>
      </c>
      <c r="Z30" s="158">
        <f t="shared" si="11"/>
        <v>14</v>
      </c>
      <c r="AA30" s="158">
        <f t="shared" si="11"/>
        <v>14</v>
      </c>
      <c r="AB30" s="158">
        <f t="shared" si="11"/>
        <v>14</v>
      </c>
      <c r="AC30" s="158">
        <f t="shared" si="11"/>
        <v>14</v>
      </c>
      <c r="AD30" s="158">
        <f t="shared" si="11"/>
        <v>8</v>
      </c>
      <c r="AE30" s="158">
        <f t="shared" si="11"/>
        <v>6</v>
      </c>
      <c r="AF30" s="158">
        <f t="shared" si="11"/>
        <v>15</v>
      </c>
      <c r="AG30" s="158">
        <f t="shared" si="11"/>
        <v>15</v>
      </c>
      <c r="AH30" s="158">
        <f t="shared" si="11"/>
        <v>15</v>
      </c>
      <c r="AI30" s="158">
        <f t="shared" si="11"/>
        <v>15</v>
      </c>
      <c r="AJ30" s="158">
        <f t="shared" si="11"/>
        <v>15</v>
      </c>
      <c r="AK30" s="158">
        <f t="shared" si="11"/>
        <v>8</v>
      </c>
      <c r="AL30" s="158">
        <f t="shared" si="11"/>
        <v>6</v>
      </c>
    </row>
  </sheetData>
  <conditionalFormatting sqref="D22:D25">
    <cfRule type="cellIs" dxfId="8" priority="11" operator="lessThan">
      <formula>3</formula>
    </cfRule>
  </conditionalFormatting>
  <conditionalFormatting sqref="B22:B25">
    <cfRule type="cellIs" dxfId="7" priority="3" operator="lessThan">
      <formula>3</formula>
    </cfRule>
  </conditionalFormatting>
  <conditionalFormatting sqref="C22:C25">
    <cfRule type="cellIs" dxfId="6" priority="2" operator="lessThan">
      <formula>3</formula>
    </cfRule>
  </conditionalFormatting>
  <conditionalFormatting sqref="E22:AL25">
    <cfRule type="cellIs" dxfId="5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30"/>
  <sheetViews>
    <sheetView zoomScale="62" zoomScaleNormal="62" workbookViewId="0">
      <pane xSplit="1" topLeftCell="B1" activePane="topRight" state="frozen"/>
      <selection pane="topRight" activeCell="AI12" sqref="AI12"/>
    </sheetView>
  </sheetViews>
  <sheetFormatPr defaultRowHeight="14.5" x14ac:dyDescent="0.35"/>
  <cols>
    <col min="1" max="1" width="23.81640625" bestFit="1" customWidth="1"/>
    <col min="2" max="21" width="8.7265625" hidden="1" customWidth="1"/>
    <col min="22" max="36" width="8.7265625" customWidth="1"/>
  </cols>
  <sheetData>
    <row r="1" spans="1:36" x14ac:dyDescent="0.35">
      <c r="A1" s="70"/>
      <c r="B1" s="2" t="str">
        <f t="shared" ref="B1:AJ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H1" s="2" t="str">
        <f t="shared" si="0"/>
        <v>Fri</v>
      </c>
      <c r="AI1" s="2" t="str">
        <f t="shared" si="0"/>
        <v>Sat</v>
      </c>
      <c r="AJ1" s="2" t="str">
        <f t="shared" si="0"/>
        <v>Sun</v>
      </c>
    </row>
    <row r="2" spans="1:36" x14ac:dyDescent="0.35">
      <c r="A2" s="124" t="s">
        <v>0</v>
      </c>
      <c r="B2" s="31">
        <v>44893</v>
      </c>
      <c r="C2" s="31">
        <v>44894</v>
      </c>
      <c r="D2" s="31">
        <v>44895</v>
      </c>
      <c r="E2" s="31">
        <v>44896</v>
      </c>
      <c r="F2" s="31">
        <v>44897</v>
      </c>
      <c r="G2" s="31">
        <v>44898</v>
      </c>
      <c r="H2" s="31">
        <v>44899</v>
      </c>
      <c r="I2" s="31">
        <v>44900</v>
      </c>
      <c r="J2" s="31">
        <v>44901</v>
      </c>
      <c r="K2" s="31">
        <v>44902</v>
      </c>
      <c r="L2" s="31">
        <v>44903</v>
      </c>
      <c r="M2" s="31">
        <v>44904</v>
      </c>
      <c r="N2" s="31">
        <v>44905</v>
      </c>
      <c r="O2" s="31">
        <v>44906</v>
      </c>
      <c r="P2" s="31">
        <v>44907</v>
      </c>
      <c r="Q2" s="31">
        <v>44908</v>
      </c>
      <c r="R2" s="31">
        <v>44909</v>
      </c>
      <c r="S2" s="31">
        <v>44910</v>
      </c>
      <c r="T2" s="31">
        <v>44911</v>
      </c>
      <c r="U2" s="31">
        <v>44912</v>
      </c>
      <c r="V2" s="31">
        <v>44913</v>
      </c>
      <c r="W2" s="31">
        <v>44914</v>
      </c>
      <c r="X2" s="31">
        <v>44915</v>
      </c>
      <c r="Y2" s="31">
        <v>44916</v>
      </c>
      <c r="Z2" s="31">
        <v>44917</v>
      </c>
      <c r="AA2" s="31">
        <v>44918</v>
      </c>
      <c r="AB2" s="31">
        <v>44919</v>
      </c>
      <c r="AC2" s="31">
        <v>44920</v>
      </c>
      <c r="AD2" s="31">
        <v>44921</v>
      </c>
      <c r="AE2" s="31">
        <v>44922</v>
      </c>
      <c r="AF2" s="31">
        <v>44923</v>
      </c>
      <c r="AG2" s="31">
        <v>44924</v>
      </c>
      <c r="AH2" s="31">
        <v>44925</v>
      </c>
      <c r="AI2" s="31">
        <v>44926</v>
      </c>
      <c r="AJ2" s="31">
        <v>44927</v>
      </c>
    </row>
    <row r="3" spans="1:36" ht="15" thickBot="1" x14ac:dyDescent="0.4">
      <c r="A3" s="125"/>
      <c r="B3" s="222"/>
      <c r="C3" s="222"/>
      <c r="D3" s="222"/>
      <c r="E3" s="195"/>
      <c r="F3" s="195"/>
      <c r="G3" s="195"/>
      <c r="H3" s="195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</row>
    <row r="4" spans="1:36" x14ac:dyDescent="0.35">
      <c r="A4" s="196" t="s">
        <v>14</v>
      </c>
      <c r="B4" s="209" t="s">
        <v>2</v>
      </c>
      <c r="C4" s="25" t="s">
        <v>6</v>
      </c>
      <c r="D4" s="83" t="s">
        <v>6</v>
      </c>
      <c r="E4" s="19" t="s">
        <v>41</v>
      </c>
      <c r="F4" s="19" t="s">
        <v>41</v>
      </c>
      <c r="G4" s="143" t="s">
        <v>4</v>
      </c>
      <c r="H4" s="19" t="s">
        <v>42</v>
      </c>
      <c r="I4" s="209" t="s">
        <v>2</v>
      </c>
      <c r="J4" s="209" t="s">
        <v>2</v>
      </c>
      <c r="K4" s="19" t="s">
        <v>41</v>
      </c>
      <c r="L4" s="19" t="s">
        <v>41</v>
      </c>
      <c r="M4" s="19" t="s">
        <v>41</v>
      </c>
      <c r="N4" s="19" t="s">
        <v>42</v>
      </c>
      <c r="O4" s="19" t="s">
        <v>42</v>
      </c>
      <c r="P4" s="209" t="s">
        <v>2</v>
      </c>
      <c r="Q4" s="19" t="s">
        <v>41</v>
      </c>
      <c r="R4" s="19" t="s">
        <v>41</v>
      </c>
      <c r="S4" s="19" t="s">
        <v>41</v>
      </c>
      <c r="T4" s="19" t="s">
        <v>41</v>
      </c>
      <c r="U4" s="143" t="s">
        <v>4</v>
      </c>
      <c r="V4" s="143" t="s">
        <v>4</v>
      </c>
      <c r="W4" s="19" t="s">
        <v>41</v>
      </c>
      <c r="X4" s="19" t="s">
        <v>41</v>
      </c>
      <c r="Y4" s="19" t="s">
        <v>41</v>
      </c>
      <c r="Z4" s="19" t="s">
        <v>41</v>
      </c>
      <c r="AA4" s="209" t="s">
        <v>2</v>
      </c>
      <c r="AB4" s="143" t="s">
        <v>4</v>
      </c>
      <c r="AC4" s="19" t="s">
        <v>42</v>
      </c>
      <c r="AD4" s="19" t="s">
        <v>41</v>
      </c>
      <c r="AE4" s="209" t="s">
        <v>2</v>
      </c>
      <c r="AF4" s="19" t="s">
        <v>41</v>
      </c>
      <c r="AG4" s="19" t="s">
        <v>41</v>
      </c>
      <c r="AH4" s="19" t="s">
        <v>41</v>
      </c>
      <c r="AI4" s="143" t="s">
        <v>4</v>
      </c>
      <c r="AJ4" s="143" t="s">
        <v>4</v>
      </c>
    </row>
    <row r="5" spans="1:36" ht="15" thickBot="1" x14ac:dyDescent="0.4">
      <c r="A5" s="200" t="s">
        <v>12</v>
      </c>
      <c r="B5" s="83" t="s">
        <v>6</v>
      </c>
      <c r="C5" s="83" t="s">
        <v>6</v>
      </c>
      <c r="D5" s="83" t="s">
        <v>6</v>
      </c>
      <c r="E5" s="151" t="s">
        <v>5</v>
      </c>
      <c r="F5" s="209" t="s">
        <v>2</v>
      </c>
      <c r="G5" s="19" t="s">
        <v>42</v>
      </c>
      <c r="H5" s="143" t="s">
        <v>4</v>
      </c>
      <c r="I5" s="19" t="s">
        <v>41</v>
      </c>
      <c r="J5" s="19" t="s">
        <v>41</v>
      </c>
      <c r="K5" s="151" t="s">
        <v>5</v>
      </c>
      <c r="L5" s="151" t="s">
        <v>5</v>
      </c>
      <c r="M5" s="151" t="s">
        <v>5</v>
      </c>
      <c r="N5" s="151" t="s">
        <v>4</v>
      </c>
      <c r="O5" s="151" t="s">
        <v>4</v>
      </c>
      <c r="P5" s="151" t="s">
        <v>5</v>
      </c>
      <c r="Q5" s="151" t="s">
        <v>5</v>
      </c>
      <c r="R5" s="151" t="s">
        <v>5</v>
      </c>
      <c r="S5" s="151" t="s">
        <v>5</v>
      </c>
      <c r="T5" s="151" t="s">
        <v>5</v>
      </c>
      <c r="U5" s="19" t="s">
        <v>42</v>
      </c>
      <c r="V5" s="19" t="s">
        <v>42</v>
      </c>
      <c r="W5" s="19" t="s">
        <v>41</v>
      </c>
      <c r="X5" s="209" t="s">
        <v>2</v>
      </c>
      <c r="Y5" s="209" t="s">
        <v>2</v>
      </c>
      <c r="Z5" s="19" t="s">
        <v>41</v>
      </c>
      <c r="AA5" s="19" t="s">
        <v>41</v>
      </c>
      <c r="AB5" s="19" t="s">
        <v>42</v>
      </c>
      <c r="AC5" s="143" t="s">
        <v>4</v>
      </c>
      <c r="AD5" s="209" t="s">
        <v>2</v>
      </c>
      <c r="AE5" s="19" t="s">
        <v>41</v>
      </c>
      <c r="AF5" s="19" t="s">
        <v>41</v>
      </c>
      <c r="AG5" s="19" t="s">
        <v>41</v>
      </c>
      <c r="AH5" s="209" t="s">
        <v>2</v>
      </c>
      <c r="AI5" s="19" t="s">
        <v>42</v>
      </c>
      <c r="AJ5" s="210" t="s">
        <v>11</v>
      </c>
    </row>
    <row r="6" spans="1:36" x14ac:dyDescent="0.35">
      <c r="A6" s="204" t="s">
        <v>86</v>
      </c>
      <c r="B6" s="25" t="s">
        <v>6</v>
      </c>
      <c r="C6" s="151" t="s">
        <v>5</v>
      </c>
      <c r="D6" s="151" t="s">
        <v>5</v>
      </c>
      <c r="E6" s="19" t="s">
        <v>41</v>
      </c>
      <c r="F6" s="25" t="s">
        <v>6</v>
      </c>
      <c r="G6" s="143" t="s">
        <v>4</v>
      </c>
      <c r="H6" s="19" t="s">
        <v>42</v>
      </c>
      <c r="I6" s="19" t="s">
        <v>41</v>
      </c>
      <c r="J6" s="19" t="s">
        <v>41</v>
      </c>
      <c r="K6" s="19" t="s">
        <v>41</v>
      </c>
      <c r="L6" s="19" t="s">
        <v>41</v>
      </c>
      <c r="M6" s="209" t="s">
        <v>2</v>
      </c>
      <c r="N6" s="143" t="s">
        <v>4</v>
      </c>
      <c r="O6" s="25" t="s">
        <v>3</v>
      </c>
      <c r="P6" s="19" t="s">
        <v>41</v>
      </c>
      <c r="Q6" s="19" t="s">
        <v>41</v>
      </c>
      <c r="R6" s="19" t="s">
        <v>41</v>
      </c>
      <c r="S6" s="19" t="s">
        <v>41</v>
      </c>
      <c r="T6" s="209" t="s">
        <v>2</v>
      </c>
      <c r="U6" s="143" t="s">
        <v>4</v>
      </c>
      <c r="V6" s="19" t="s">
        <v>42</v>
      </c>
      <c r="W6" s="19" t="s">
        <v>41</v>
      </c>
      <c r="X6" s="19" t="s">
        <v>41</v>
      </c>
      <c r="Y6" s="19" t="s">
        <v>41</v>
      </c>
      <c r="Z6" s="22" t="s">
        <v>16</v>
      </c>
      <c r="AA6" s="151" t="s">
        <v>5</v>
      </c>
      <c r="AB6" s="151" t="s">
        <v>4</v>
      </c>
      <c r="AC6" s="151" t="s">
        <v>4</v>
      </c>
      <c r="AD6" s="19" t="s">
        <v>41</v>
      </c>
      <c r="AE6" s="19" t="s">
        <v>41</v>
      </c>
      <c r="AF6" s="19" t="s">
        <v>41</v>
      </c>
      <c r="AG6" s="151" t="s">
        <v>5</v>
      </c>
      <c r="AH6" s="151" t="s">
        <v>5</v>
      </c>
      <c r="AI6" s="151" t="s">
        <v>4</v>
      </c>
      <c r="AJ6" s="210" t="s">
        <v>11</v>
      </c>
    </row>
    <row r="7" spans="1:36" x14ac:dyDescent="0.35">
      <c r="A7" s="207" t="s">
        <v>88</v>
      </c>
      <c r="B7" s="25" t="s">
        <v>6</v>
      </c>
      <c r="C7" s="25" t="s">
        <v>6</v>
      </c>
      <c r="D7" s="25" t="s">
        <v>6</v>
      </c>
      <c r="E7" s="151" t="s">
        <v>5</v>
      </c>
      <c r="F7" s="151" t="s">
        <v>5</v>
      </c>
      <c r="G7" s="19" t="s">
        <v>42</v>
      </c>
      <c r="H7" s="151" t="s">
        <v>4</v>
      </c>
      <c r="I7" s="151" t="s">
        <v>5</v>
      </c>
      <c r="J7" s="151" t="s">
        <v>5</v>
      </c>
      <c r="K7" s="151" t="s">
        <v>5</v>
      </c>
      <c r="L7" s="19" t="s">
        <v>41</v>
      </c>
      <c r="M7" s="19" t="s">
        <v>41</v>
      </c>
      <c r="N7" s="19" t="s">
        <v>42</v>
      </c>
      <c r="O7" s="143" t="s">
        <v>4</v>
      </c>
      <c r="P7" s="19" t="s">
        <v>41</v>
      </c>
      <c r="Q7" s="19" t="s">
        <v>41</v>
      </c>
      <c r="R7" s="209" t="s">
        <v>2</v>
      </c>
      <c r="S7" s="209" t="s">
        <v>2</v>
      </c>
      <c r="T7" s="19" t="s">
        <v>41</v>
      </c>
      <c r="U7" s="19" t="s">
        <v>42</v>
      </c>
      <c r="V7" s="143" t="s">
        <v>4</v>
      </c>
      <c r="W7" s="19" t="s">
        <v>41</v>
      </c>
      <c r="X7" s="19" t="s">
        <v>41</v>
      </c>
      <c r="Y7" s="19" t="s">
        <v>41</v>
      </c>
      <c r="Z7" s="209" t="s">
        <v>2</v>
      </c>
      <c r="AA7" s="19" t="s">
        <v>41</v>
      </c>
      <c r="AB7" s="19" t="s">
        <v>42</v>
      </c>
      <c r="AC7" s="143" t="s">
        <v>4</v>
      </c>
      <c r="AD7" s="19" t="s">
        <v>41</v>
      </c>
      <c r="AE7" s="19" t="s">
        <v>41</v>
      </c>
      <c r="AF7" s="19" t="s">
        <v>41</v>
      </c>
      <c r="AG7" s="209" t="s">
        <v>2</v>
      </c>
      <c r="AH7" s="19" t="s">
        <v>41</v>
      </c>
      <c r="AI7" s="19" t="s">
        <v>42</v>
      </c>
      <c r="AJ7" s="143" t="s">
        <v>4</v>
      </c>
    </row>
    <row r="8" spans="1:36" x14ac:dyDescent="0.35">
      <c r="A8" s="207" t="s">
        <v>87</v>
      </c>
      <c r="B8" s="209" t="s">
        <v>2</v>
      </c>
      <c r="C8" s="25" t="s">
        <v>6</v>
      </c>
      <c r="D8" s="25" t="s">
        <v>6</v>
      </c>
      <c r="E8" s="19" t="s">
        <v>41</v>
      </c>
      <c r="F8" s="19" t="s">
        <v>41</v>
      </c>
      <c r="G8" s="22" t="s">
        <v>30</v>
      </c>
      <c r="H8" s="143" t="s">
        <v>4</v>
      </c>
      <c r="I8" s="19" t="s">
        <v>41</v>
      </c>
      <c r="J8" s="19" t="s">
        <v>41</v>
      </c>
      <c r="K8" s="209" t="s">
        <v>34</v>
      </c>
      <c r="L8" s="209" t="s">
        <v>2</v>
      </c>
      <c r="M8" s="25" t="s">
        <v>6</v>
      </c>
      <c r="N8" s="143" t="s">
        <v>4</v>
      </c>
      <c r="O8" s="143" t="s">
        <v>4</v>
      </c>
      <c r="P8" s="19" t="s">
        <v>41</v>
      </c>
      <c r="Q8" s="151" t="s">
        <v>5</v>
      </c>
      <c r="R8" s="19" t="s">
        <v>41</v>
      </c>
      <c r="S8" s="19" t="s">
        <v>41</v>
      </c>
      <c r="T8" s="19" t="s">
        <v>41</v>
      </c>
      <c r="U8" s="151" t="s">
        <v>4</v>
      </c>
      <c r="V8" s="151" t="s">
        <v>4</v>
      </c>
      <c r="W8" s="151" t="s">
        <v>5</v>
      </c>
      <c r="X8" s="19" t="s">
        <v>41</v>
      </c>
      <c r="Y8" s="22" t="s">
        <v>16</v>
      </c>
      <c r="Z8" s="19" t="s">
        <v>41</v>
      </c>
      <c r="AA8" s="19" t="s">
        <v>41</v>
      </c>
      <c r="AB8" s="143" t="s">
        <v>4</v>
      </c>
      <c r="AC8" s="19" t="s">
        <v>42</v>
      </c>
      <c r="AD8" s="19" t="s">
        <v>41</v>
      </c>
      <c r="AE8" s="19" t="s">
        <v>41</v>
      </c>
      <c r="AF8" s="209" t="s">
        <v>2</v>
      </c>
      <c r="AG8" s="19" t="s">
        <v>41</v>
      </c>
      <c r="AH8" s="19" t="s">
        <v>41</v>
      </c>
      <c r="AI8" s="22" t="s">
        <v>30</v>
      </c>
      <c r="AJ8" s="143" t="s">
        <v>4</v>
      </c>
    </row>
    <row r="9" spans="1:36" ht="15" thickBot="1" x14ac:dyDescent="0.4">
      <c r="A9" s="171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</row>
    <row r="10" spans="1:36" x14ac:dyDescent="0.35">
      <c r="A10" s="196" t="s">
        <v>9</v>
      </c>
      <c r="B10" s="209" t="s">
        <v>2</v>
      </c>
      <c r="C10" s="209" t="s">
        <v>2</v>
      </c>
      <c r="D10" s="19" t="s">
        <v>41</v>
      </c>
      <c r="E10" s="210" t="s">
        <v>10</v>
      </c>
      <c r="F10" s="210" t="s">
        <v>10</v>
      </c>
      <c r="G10" s="210" t="s">
        <v>11</v>
      </c>
      <c r="H10" s="210" t="s">
        <v>11</v>
      </c>
      <c r="I10" s="151" t="s">
        <v>5</v>
      </c>
      <c r="J10" s="151" t="s">
        <v>5</v>
      </c>
      <c r="K10" s="151" t="s">
        <v>5</v>
      </c>
      <c r="L10" s="151" t="s">
        <v>5</v>
      </c>
      <c r="M10" s="151" t="s">
        <v>5</v>
      </c>
      <c r="N10" s="151" t="s">
        <v>4</v>
      </c>
      <c r="O10" s="210" t="s">
        <v>11</v>
      </c>
      <c r="P10" s="210" t="s">
        <v>10</v>
      </c>
      <c r="Q10" s="210" t="s">
        <v>10</v>
      </c>
      <c r="R10" s="210" t="s">
        <v>10</v>
      </c>
      <c r="S10" s="210" t="s">
        <v>10</v>
      </c>
      <c r="T10" s="210" t="s">
        <v>10</v>
      </c>
      <c r="U10" s="210" t="s">
        <v>11</v>
      </c>
      <c r="V10" s="143" t="s">
        <v>4</v>
      </c>
      <c r="W10" s="210" t="s">
        <v>10</v>
      </c>
      <c r="X10" s="210" t="s">
        <v>10</v>
      </c>
      <c r="Y10" s="210" t="s">
        <v>10</v>
      </c>
      <c r="Z10" s="210" t="s">
        <v>10</v>
      </c>
      <c r="AA10" s="210" t="s">
        <v>10</v>
      </c>
      <c r="AB10" s="210" t="s">
        <v>11</v>
      </c>
      <c r="AC10" s="210" t="s">
        <v>11</v>
      </c>
      <c r="AD10" s="209" t="s">
        <v>2</v>
      </c>
      <c r="AE10" s="210" t="s">
        <v>10</v>
      </c>
      <c r="AF10" s="210" t="s">
        <v>10</v>
      </c>
      <c r="AG10" s="210" t="s">
        <v>10</v>
      </c>
      <c r="AH10" s="210" t="s">
        <v>10</v>
      </c>
      <c r="AI10" s="210" t="s">
        <v>11</v>
      </c>
      <c r="AJ10" s="143" t="s">
        <v>4</v>
      </c>
    </row>
    <row r="11" spans="1:36" ht="15" thickBot="1" x14ac:dyDescent="0.4">
      <c r="A11" s="200" t="s">
        <v>15</v>
      </c>
      <c r="B11" s="19" t="s">
        <v>41</v>
      </c>
      <c r="C11" s="19" t="s">
        <v>41</v>
      </c>
      <c r="D11" s="19" t="s">
        <v>41</v>
      </c>
      <c r="E11" s="22" t="s">
        <v>16</v>
      </c>
      <c r="F11" s="209" t="s">
        <v>2</v>
      </c>
      <c r="G11" s="143" t="s">
        <v>4</v>
      </c>
      <c r="H11" s="143" t="s">
        <v>4</v>
      </c>
      <c r="I11" s="210" t="s">
        <v>10</v>
      </c>
      <c r="J11" s="210" t="s">
        <v>10</v>
      </c>
      <c r="K11" s="210" t="s">
        <v>10</v>
      </c>
      <c r="L11" s="210" t="s">
        <v>10</v>
      </c>
      <c r="M11" s="210" t="s">
        <v>10</v>
      </c>
      <c r="N11" s="210" t="s">
        <v>11</v>
      </c>
      <c r="O11" s="143" t="s">
        <v>4</v>
      </c>
      <c r="P11" s="209" t="s">
        <v>2</v>
      </c>
      <c r="Q11" s="210" t="s">
        <v>10</v>
      </c>
      <c r="R11" s="210" t="s">
        <v>10</v>
      </c>
      <c r="S11" s="210" t="s">
        <v>10</v>
      </c>
      <c r="T11" s="210" t="s">
        <v>10</v>
      </c>
      <c r="U11" s="143" t="s">
        <v>4</v>
      </c>
      <c r="V11" s="210" t="s">
        <v>11</v>
      </c>
      <c r="W11" s="210" t="s">
        <v>10</v>
      </c>
      <c r="X11" s="210" t="s">
        <v>10</v>
      </c>
      <c r="Y11" s="210" t="s">
        <v>10</v>
      </c>
      <c r="Z11" s="210" t="s">
        <v>10</v>
      </c>
      <c r="AA11" s="209" t="s">
        <v>2</v>
      </c>
      <c r="AB11" s="143" t="s">
        <v>4</v>
      </c>
      <c r="AC11" s="210" t="s">
        <v>11</v>
      </c>
      <c r="AD11" s="210" t="s">
        <v>10</v>
      </c>
      <c r="AE11" s="210" t="s">
        <v>10</v>
      </c>
      <c r="AF11" s="210" t="s">
        <v>10</v>
      </c>
      <c r="AG11" s="210" t="s">
        <v>10</v>
      </c>
      <c r="AH11" s="210" t="s">
        <v>10</v>
      </c>
      <c r="AI11" s="151" t="s">
        <v>4</v>
      </c>
      <c r="AJ11" s="151" t="s">
        <v>4</v>
      </c>
    </row>
    <row r="12" spans="1:36" x14ac:dyDescent="0.35">
      <c r="A12" s="204" t="s">
        <v>21</v>
      </c>
      <c r="B12" s="151" t="s">
        <v>5</v>
      </c>
      <c r="C12" s="151" t="s">
        <v>5</v>
      </c>
      <c r="D12" s="151" t="s">
        <v>5</v>
      </c>
      <c r="E12" s="210" t="s">
        <v>10</v>
      </c>
      <c r="F12" s="210" t="s">
        <v>10</v>
      </c>
      <c r="G12" s="210" t="s">
        <v>11</v>
      </c>
      <c r="H12" s="143" t="s">
        <v>4</v>
      </c>
      <c r="I12" s="209" t="s">
        <v>2</v>
      </c>
      <c r="J12" s="210" t="s">
        <v>10</v>
      </c>
      <c r="K12" s="210" t="s">
        <v>10</v>
      </c>
      <c r="L12" s="210" t="s">
        <v>10</v>
      </c>
      <c r="M12" s="210" t="s">
        <v>10</v>
      </c>
      <c r="N12" s="210" t="s">
        <v>11</v>
      </c>
      <c r="O12" s="143" t="s">
        <v>4</v>
      </c>
      <c r="P12" s="210" t="s">
        <v>10</v>
      </c>
      <c r="Q12" s="209" t="s">
        <v>2</v>
      </c>
      <c r="R12" s="209" t="s">
        <v>2</v>
      </c>
      <c r="S12" s="19" t="s">
        <v>41</v>
      </c>
      <c r="T12" s="19" t="s">
        <v>41</v>
      </c>
      <c r="U12" s="210" t="s">
        <v>11</v>
      </c>
      <c r="V12" s="210" t="s">
        <v>11</v>
      </c>
      <c r="W12" s="209" t="s">
        <v>2</v>
      </c>
      <c r="X12" s="209" t="s">
        <v>2</v>
      </c>
      <c r="Y12" s="19" t="s">
        <v>41</v>
      </c>
      <c r="Z12" s="19" t="s">
        <v>41</v>
      </c>
      <c r="AA12" s="210" t="s">
        <v>10</v>
      </c>
      <c r="AB12" s="210" t="s">
        <v>11</v>
      </c>
      <c r="AC12" s="143" t="s">
        <v>4</v>
      </c>
      <c r="AD12" s="151" t="s">
        <v>5</v>
      </c>
      <c r="AE12" s="151" t="s">
        <v>5</v>
      </c>
      <c r="AF12" s="151" t="s">
        <v>5</v>
      </c>
      <c r="AG12" s="19" t="s">
        <v>41</v>
      </c>
      <c r="AH12" s="19" t="s">
        <v>41</v>
      </c>
      <c r="AI12" s="210" t="s">
        <v>11</v>
      </c>
      <c r="AJ12" s="143" t="s">
        <v>4</v>
      </c>
    </row>
    <row r="13" spans="1:36" x14ac:dyDescent="0.35">
      <c r="A13" s="207" t="s">
        <v>22</v>
      </c>
      <c r="B13" s="19" t="s">
        <v>41</v>
      </c>
      <c r="C13" s="19" t="s">
        <v>41</v>
      </c>
      <c r="D13" s="209" t="s">
        <v>2</v>
      </c>
      <c r="E13" s="210" t="s">
        <v>10</v>
      </c>
      <c r="F13" s="210" t="s">
        <v>10</v>
      </c>
      <c r="G13" s="143" t="s">
        <v>4</v>
      </c>
      <c r="H13" s="210" t="s">
        <v>11</v>
      </c>
      <c r="I13" s="210" t="s">
        <v>10</v>
      </c>
      <c r="J13" s="210" t="s">
        <v>10</v>
      </c>
      <c r="K13" s="210" t="s">
        <v>10</v>
      </c>
      <c r="L13" s="210" t="s">
        <v>10</v>
      </c>
      <c r="M13" s="209" t="s">
        <v>2</v>
      </c>
      <c r="N13" s="143" t="s">
        <v>4</v>
      </c>
      <c r="O13" s="210" t="s">
        <v>11</v>
      </c>
      <c r="P13" s="210" t="s">
        <v>10</v>
      </c>
      <c r="Q13" s="210" t="s">
        <v>10</v>
      </c>
      <c r="R13" s="210" t="s">
        <v>10</v>
      </c>
      <c r="S13" s="210" t="s">
        <v>10</v>
      </c>
      <c r="T13" s="210" t="s">
        <v>10</v>
      </c>
      <c r="U13" s="143" t="s">
        <v>4</v>
      </c>
      <c r="V13" s="143" t="s">
        <v>4</v>
      </c>
      <c r="W13" s="210" t="s">
        <v>10</v>
      </c>
      <c r="X13" s="210" t="s">
        <v>10</v>
      </c>
      <c r="Y13" s="151" t="s">
        <v>5</v>
      </c>
      <c r="Z13" s="151" t="s">
        <v>5</v>
      </c>
      <c r="AA13" s="151" t="s">
        <v>5</v>
      </c>
      <c r="AB13" s="151" t="s">
        <v>4</v>
      </c>
      <c r="AC13" s="151" t="s">
        <v>4</v>
      </c>
      <c r="AD13" s="210" t="s">
        <v>10</v>
      </c>
      <c r="AE13" s="210" t="s">
        <v>10</v>
      </c>
      <c r="AF13" s="210" t="s">
        <v>10</v>
      </c>
      <c r="AG13" s="210" t="s">
        <v>10</v>
      </c>
      <c r="AH13" s="210" t="s">
        <v>10</v>
      </c>
      <c r="AI13" s="143" t="s">
        <v>4</v>
      </c>
      <c r="AJ13" s="25" t="s">
        <v>3</v>
      </c>
    </row>
    <row r="14" spans="1:36" x14ac:dyDescent="0.35">
      <c r="A14" s="207" t="s">
        <v>200</v>
      </c>
      <c r="B14" s="19" t="s">
        <v>41</v>
      </c>
      <c r="C14" s="19" t="s">
        <v>41</v>
      </c>
      <c r="D14" s="19" t="s">
        <v>41</v>
      </c>
      <c r="E14" s="22" t="s">
        <v>16</v>
      </c>
      <c r="F14" s="22" t="s">
        <v>16</v>
      </c>
      <c r="G14" s="210" t="s">
        <v>11</v>
      </c>
      <c r="H14" s="143" t="s">
        <v>4</v>
      </c>
      <c r="I14" s="210" t="s">
        <v>10</v>
      </c>
      <c r="J14" s="210" t="s">
        <v>10</v>
      </c>
      <c r="K14" s="210" t="s">
        <v>10</v>
      </c>
      <c r="L14" s="210" t="s">
        <v>10</v>
      </c>
      <c r="M14" s="210" t="s">
        <v>10</v>
      </c>
      <c r="N14" s="210" t="s">
        <v>11</v>
      </c>
      <c r="O14" s="143" t="s">
        <v>4</v>
      </c>
      <c r="P14" s="210" t="s">
        <v>10</v>
      </c>
      <c r="Q14" s="210" t="s">
        <v>10</v>
      </c>
      <c r="R14" s="210" t="s">
        <v>10</v>
      </c>
      <c r="S14" s="210" t="s">
        <v>10</v>
      </c>
      <c r="T14" s="209" t="s">
        <v>2</v>
      </c>
      <c r="U14" s="151" t="s">
        <v>4</v>
      </c>
      <c r="V14" s="151" t="s">
        <v>4</v>
      </c>
      <c r="W14" s="210" t="s">
        <v>10</v>
      </c>
      <c r="X14" s="210" t="s">
        <v>10</v>
      </c>
      <c r="Y14" s="210" t="s">
        <v>10</v>
      </c>
      <c r="Z14" s="210" t="s">
        <v>10</v>
      </c>
      <c r="AA14" s="210" t="s">
        <v>10</v>
      </c>
      <c r="AB14" s="210" t="s">
        <v>11</v>
      </c>
      <c r="AC14" s="143" t="s">
        <v>4</v>
      </c>
      <c r="AD14" s="210" t="s">
        <v>10</v>
      </c>
      <c r="AE14" s="210" t="s">
        <v>10</v>
      </c>
      <c r="AF14" s="209" t="s">
        <v>2</v>
      </c>
      <c r="AG14" s="210" t="s">
        <v>10</v>
      </c>
      <c r="AH14" s="210" t="s">
        <v>10</v>
      </c>
      <c r="AI14" s="143" t="s">
        <v>4</v>
      </c>
      <c r="AJ14" s="25" t="s">
        <v>3</v>
      </c>
    </row>
    <row r="15" spans="1:36" ht="15" thickBot="1" x14ac:dyDescent="0.4">
      <c r="A15" s="171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</row>
    <row r="16" spans="1:36" x14ac:dyDescent="0.35">
      <c r="A16" s="196" t="s">
        <v>1</v>
      </c>
      <c r="B16" s="210" t="s">
        <v>10</v>
      </c>
      <c r="C16" s="210" t="s">
        <v>10</v>
      </c>
      <c r="D16" s="210" t="s">
        <v>10</v>
      </c>
      <c r="E16" s="209" t="s">
        <v>2</v>
      </c>
      <c r="F16" s="209" t="s">
        <v>2</v>
      </c>
      <c r="G16" s="25" t="s">
        <v>3</v>
      </c>
      <c r="H16" s="143" t="s">
        <v>4</v>
      </c>
      <c r="I16" s="25" t="s">
        <v>6</v>
      </c>
      <c r="J16" s="25" t="s">
        <v>6</v>
      </c>
      <c r="K16" s="25" t="s">
        <v>6</v>
      </c>
      <c r="L16" s="25" t="s">
        <v>6</v>
      </c>
      <c r="M16" s="209" t="s">
        <v>2</v>
      </c>
      <c r="N16" s="25" t="s">
        <v>3</v>
      </c>
      <c r="O16" s="25" t="s">
        <v>3</v>
      </c>
      <c r="P16" s="25" t="s">
        <v>6</v>
      </c>
      <c r="Q16" s="25" t="s">
        <v>6</v>
      </c>
      <c r="R16" s="25" t="s">
        <v>6</v>
      </c>
      <c r="S16" s="151" t="s">
        <v>5</v>
      </c>
      <c r="T16" s="151" t="s">
        <v>5</v>
      </c>
      <c r="U16" s="151" t="s">
        <v>4</v>
      </c>
      <c r="V16" s="151" t="s">
        <v>4</v>
      </c>
      <c r="W16" s="151" t="s">
        <v>5</v>
      </c>
      <c r="X16" s="151" t="s">
        <v>5</v>
      </c>
      <c r="Y16" s="151" t="s">
        <v>5</v>
      </c>
      <c r="Z16" s="151" t="s">
        <v>5</v>
      </c>
      <c r="AA16" s="151" t="s">
        <v>5</v>
      </c>
      <c r="AB16" s="25" t="s">
        <v>3</v>
      </c>
      <c r="AC16" s="25" t="s">
        <v>3</v>
      </c>
      <c r="AD16" s="209" t="s">
        <v>2</v>
      </c>
      <c r="AE16" s="25" t="s">
        <v>6</v>
      </c>
      <c r="AF16" s="25" t="s">
        <v>6</v>
      </c>
      <c r="AG16" s="209" t="s">
        <v>2</v>
      </c>
      <c r="AH16" s="209" t="s">
        <v>2</v>
      </c>
      <c r="AI16" s="143" t="s">
        <v>4</v>
      </c>
      <c r="AJ16" s="19" t="s">
        <v>42</v>
      </c>
    </row>
    <row r="17" spans="1:36" ht="15" thickBot="1" x14ac:dyDescent="0.4">
      <c r="A17" s="200" t="s">
        <v>43</v>
      </c>
      <c r="B17" s="209" t="s">
        <v>2</v>
      </c>
      <c r="C17" s="22" t="s">
        <v>16</v>
      </c>
      <c r="D17" s="22" t="s">
        <v>16</v>
      </c>
      <c r="E17" s="25" t="s">
        <v>6</v>
      </c>
      <c r="F17" s="25" t="s">
        <v>6</v>
      </c>
      <c r="G17" s="143" t="s">
        <v>4</v>
      </c>
      <c r="H17" s="25" t="s">
        <v>3</v>
      </c>
      <c r="I17" s="151" t="s">
        <v>5</v>
      </c>
      <c r="J17" s="151" t="s">
        <v>5</v>
      </c>
      <c r="K17" s="151" t="s">
        <v>5</v>
      </c>
      <c r="L17" s="151" t="s">
        <v>5</v>
      </c>
      <c r="M17" s="151" t="s">
        <v>5</v>
      </c>
      <c r="N17" s="151" t="s">
        <v>4</v>
      </c>
      <c r="O17" s="151" t="s">
        <v>4</v>
      </c>
      <c r="P17" s="151" t="s">
        <v>5</v>
      </c>
      <c r="Q17" s="151" t="s">
        <v>5</v>
      </c>
      <c r="R17" s="151" t="s">
        <v>5</v>
      </c>
      <c r="S17" s="25" t="s">
        <v>6</v>
      </c>
      <c r="T17" s="25" t="s">
        <v>6</v>
      </c>
      <c r="U17" s="25" t="s">
        <v>3</v>
      </c>
      <c r="V17" s="25" t="s">
        <v>3</v>
      </c>
      <c r="W17" s="25" t="s">
        <v>6</v>
      </c>
      <c r="X17" s="25" t="s">
        <v>6</v>
      </c>
      <c r="Y17" s="25" t="s">
        <v>6</v>
      </c>
      <c r="Z17" s="25" t="s">
        <v>6</v>
      </c>
      <c r="AA17" s="25" t="s">
        <v>6</v>
      </c>
      <c r="AB17" s="143" t="s">
        <v>4</v>
      </c>
      <c r="AC17" s="25" t="s">
        <v>3</v>
      </c>
      <c r="AD17" s="25" t="s">
        <v>6</v>
      </c>
      <c r="AE17" s="25" t="s">
        <v>6</v>
      </c>
      <c r="AF17" s="209" t="s">
        <v>2</v>
      </c>
      <c r="AG17" s="25" t="s">
        <v>6</v>
      </c>
      <c r="AH17" s="25" t="s">
        <v>6</v>
      </c>
      <c r="AI17" s="25" t="s">
        <v>3</v>
      </c>
      <c r="AJ17" s="143" t="s">
        <v>4</v>
      </c>
    </row>
    <row r="18" spans="1:36" x14ac:dyDescent="0.35">
      <c r="A18" s="207" t="s">
        <v>85</v>
      </c>
      <c r="B18" s="210" t="s">
        <v>10</v>
      </c>
      <c r="C18" s="210" t="s">
        <v>10</v>
      </c>
      <c r="D18" s="210" t="s">
        <v>10</v>
      </c>
      <c r="E18" s="209" t="s">
        <v>2</v>
      </c>
      <c r="F18" s="25" t="s">
        <v>6</v>
      </c>
      <c r="G18" s="25" t="s">
        <v>3</v>
      </c>
      <c r="H18" s="143" t="s">
        <v>4</v>
      </c>
      <c r="I18" s="25" t="s">
        <v>6</v>
      </c>
      <c r="J18" s="25" t="s">
        <v>6</v>
      </c>
      <c r="K18" s="25" t="s">
        <v>6</v>
      </c>
      <c r="L18" s="25" t="s">
        <v>6</v>
      </c>
      <c r="M18" s="25" t="s">
        <v>6</v>
      </c>
      <c r="N18" s="143" t="s">
        <v>4</v>
      </c>
      <c r="O18" s="19" t="s">
        <v>42</v>
      </c>
      <c r="P18" s="25" t="s">
        <v>6</v>
      </c>
      <c r="Q18" s="25" t="s">
        <v>6</v>
      </c>
      <c r="R18" s="25" t="s">
        <v>6</v>
      </c>
      <c r="S18" s="25" t="s">
        <v>6</v>
      </c>
      <c r="T18" s="209" t="s">
        <v>2</v>
      </c>
      <c r="U18" s="143" t="s">
        <v>4</v>
      </c>
      <c r="V18" s="25" t="s">
        <v>3</v>
      </c>
      <c r="W18" s="25" t="s">
        <v>6</v>
      </c>
      <c r="X18" s="25" t="s">
        <v>6</v>
      </c>
      <c r="Y18" s="25" t="s">
        <v>6</v>
      </c>
      <c r="Z18" s="25" t="s">
        <v>6</v>
      </c>
      <c r="AA18" s="25" t="s">
        <v>6</v>
      </c>
      <c r="AB18" s="143" t="s">
        <v>4</v>
      </c>
      <c r="AC18" s="143" t="s">
        <v>4</v>
      </c>
      <c r="AD18" s="151" t="s">
        <v>5</v>
      </c>
      <c r="AE18" s="151" t="s">
        <v>5</v>
      </c>
      <c r="AF18" s="151" t="s">
        <v>5</v>
      </c>
      <c r="AG18" s="151" t="s">
        <v>5</v>
      </c>
      <c r="AH18" s="151" t="s">
        <v>5</v>
      </c>
      <c r="AI18" s="151" t="s">
        <v>4</v>
      </c>
      <c r="AJ18" s="19" t="s">
        <v>42</v>
      </c>
    </row>
    <row r="19" spans="1:36" x14ac:dyDescent="0.35">
      <c r="A19" s="207" t="s">
        <v>71</v>
      </c>
      <c r="B19" s="210" t="s">
        <v>10</v>
      </c>
      <c r="C19" s="209" t="s">
        <v>2</v>
      </c>
      <c r="D19" s="209" t="s">
        <v>2</v>
      </c>
      <c r="E19" s="25" t="s">
        <v>6</v>
      </c>
      <c r="F19" s="19" t="s">
        <v>41</v>
      </c>
      <c r="G19" s="143" t="s">
        <v>4</v>
      </c>
      <c r="H19" s="25" t="s">
        <v>3</v>
      </c>
      <c r="I19" s="209" t="s">
        <v>2</v>
      </c>
      <c r="J19" s="151" t="s">
        <v>5</v>
      </c>
      <c r="K19" s="151" t="s">
        <v>5</v>
      </c>
      <c r="L19" s="151" t="s">
        <v>5</v>
      </c>
      <c r="M19" s="19" t="s">
        <v>41</v>
      </c>
      <c r="N19" s="25" t="s">
        <v>3</v>
      </c>
      <c r="O19" s="143" t="s">
        <v>4</v>
      </c>
      <c r="P19" s="209" t="s">
        <v>2</v>
      </c>
      <c r="Q19" s="25" t="s">
        <v>6</v>
      </c>
      <c r="R19" s="25" t="s">
        <v>6</v>
      </c>
      <c r="S19" s="25" t="s">
        <v>6</v>
      </c>
      <c r="T19" s="25" t="s">
        <v>6</v>
      </c>
      <c r="U19" s="25" t="s">
        <v>3</v>
      </c>
      <c r="V19" s="143" t="s">
        <v>4</v>
      </c>
      <c r="W19" s="209" t="s">
        <v>2</v>
      </c>
      <c r="X19" s="151" t="s">
        <v>5</v>
      </c>
      <c r="Y19" s="151" t="s">
        <v>5</v>
      </c>
      <c r="Z19" s="151" t="s">
        <v>5</v>
      </c>
      <c r="AA19" s="151" t="s">
        <v>5</v>
      </c>
      <c r="AB19" s="25" t="s">
        <v>3</v>
      </c>
      <c r="AC19" s="143" t="s">
        <v>4</v>
      </c>
      <c r="AD19" s="25" t="s">
        <v>6</v>
      </c>
      <c r="AE19" s="25" t="s">
        <v>6</v>
      </c>
      <c r="AF19" s="25" t="s">
        <v>6</v>
      </c>
      <c r="AG19" s="25" t="s">
        <v>6</v>
      </c>
      <c r="AH19" s="25" t="s">
        <v>6</v>
      </c>
      <c r="AI19" s="25" t="s">
        <v>3</v>
      </c>
      <c r="AJ19" s="143" t="s">
        <v>4</v>
      </c>
    </row>
    <row r="20" spans="1:36" x14ac:dyDescent="0.35">
      <c r="A20" s="207" t="s">
        <v>253</v>
      </c>
      <c r="B20" s="22" t="s">
        <v>16</v>
      </c>
      <c r="C20" s="210" t="s">
        <v>10</v>
      </c>
      <c r="D20" s="209" t="s">
        <v>2</v>
      </c>
      <c r="E20" s="25" t="s">
        <v>6</v>
      </c>
      <c r="F20" s="25" t="s">
        <v>6</v>
      </c>
      <c r="G20" s="143" t="s">
        <v>4</v>
      </c>
      <c r="H20" s="143" t="s">
        <v>4</v>
      </c>
      <c r="I20" s="25" t="s">
        <v>6</v>
      </c>
      <c r="J20" s="25" t="s">
        <v>6</v>
      </c>
      <c r="K20" s="25" t="s">
        <v>6</v>
      </c>
      <c r="L20" s="25" t="s">
        <v>6</v>
      </c>
      <c r="M20" s="25" t="s">
        <v>6</v>
      </c>
      <c r="N20" s="22" t="s">
        <v>30</v>
      </c>
      <c r="O20" s="143" t="s">
        <v>4</v>
      </c>
      <c r="P20" s="25" t="s">
        <v>6</v>
      </c>
      <c r="Q20" s="25" t="s">
        <v>6</v>
      </c>
      <c r="R20" s="209" t="s">
        <v>2</v>
      </c>
      <c r="S20" s="25" t="s">
        <v>6</v>
      </c>
      <c r="T20" s="25" t="s">
        <v>6</v>
      </c>
      <c r="U20" s="22" t="s">
        <v>30</v>
      </c>
      <c r="V20" s="143" t="s">
        <v>4</v>
      </c>
      <c r="W20" s="25" t="s">
        <v>6</v>
      </c>
      <c r="X20" s="25" t="s">
        <v>6</v>
      </c>
      <c r="Y20" s="25" t="s">
        <v>6</v>
      </c>
      <c r="Z20" s="25" t="s">
        <v>6</v>
      </c>
      <c r="AA20" s="25" t="s">
        <v>6</v>
      </c>
      <c r="AB20" s="22" t="s">
        <v>30</v>
      </c>
      <c r="AC20" s="143" t="s">
        <v>4</v>
      </c>
      <c r="AD20" s="25" t="s">
        <v>6</v>
      </c>
      <c r="AE20" s="209" t="s">
        <v>2</v>
      </c>
      <c r="AF20" s="209" t="s">
        <v>2</v>
      </c>
      <c r="AG20" s="25" t="s">
        <v>6</v>
      </c>
      <c r="AH20" s="25" t="s">
        <v>6</v>
      </c>
      <c r="AI20" s="143" t="s">
        <v>4</v>
      </c>
      <c r="AJ20" s="143" t="s">
        <v>4</v>
      </c>
    </row>
    <row r="22" spans="1:36" x14ac:dyDescent="0.35">
      <c r="A22" s="214" t="s">
        <v>201</v>
      </c>
      <c r="B22">
        <f t="shared" ref="B22:H22" si="1">COUNTIF(B4:B20,"*MS")</f>
        <v>3</v>
      </c>
      <c r="C22">
        <f t="shared" si="1"/>
        <v>4</v>
      </c>
      <c r="D22">
        <f t="shared" si="1"/>
        <v>4</v>
      </c>
      <c r="E22">
        <f t="shared" si="1"/>
        <v>3</v>
      </c>
      <c r="F22">
        <f t="shared" si="1"/>
        <v>4</v>
      </c>
      <c r="G22">
        <f>COUNTIF(G4:G20,"*MS")</f>
        <v>2</v>
      </c>
      <c r="H22">
        <f t="shared" si="1"/>
        <v>2</v>
      </c>
      <c r="I22">
        <f t="shared" ref="I22:AJ22" si="2">COUNTIF(I4:I20,"*MS")</f>
        <v>3</v>
      </c>
      <c r="J22">
        <f t="shared" si="2"/>
        <v>3</v>
      </c>
      <c r="K22">
        <f t="shared" si="2"/>
        <v>3</v>
      </c>
      <c r="L22">
        <f t="shared" si="2"/>
        <v>3</v>
      </c>
      <c r="M22">
        <f t="shared" si="2"/>
        <v>3</v>
      </c>
      <c r="N22">
        <f t="shared" si="2"/>
        <v>2</v>
      </c>
      <c r="O22">
        <f t="shared" si="2"/>
        <v>2</v>
      </c>
      <c r="P22">
        <f t="shared" si="2"/>
        <v>3</v>
      </c>
      <c r="Q22">
        <f t="shared" si="2"/>
        <v>4</v>
      </c>
      <c r="R22">
        <f t="shared" ref="R22:AA22" si="3">COUNTIF(R4:R20,"*MS")</f>
        <v>3</v>
      </c>
      <c r="S22">
        <f t="shared" si="3"/>
        <v>4</v>
      </c>
      <c r="T22">
        <f t="shared" si="3"/>
        <v>3</v>
      </c>
      <c r="U22">
        <f t="shared" si="3"/>
        <v>2</v>
      </c>
      <c r="V22">
        <f t="shared" si="3"/>
        <v>2</v>
      </c>
      <c r="W22">
        <f>COUNTIF(W4:W20,"*MS")</f>
        <v>3</v>
      </c>
      <c r="X22">
        <f t="shared" si="3"/>
        <v>3</v>
      </c>
      <c r="Y22">
        <f t="shared" si="3"/>
        <v>3</v>
      </c>
      <c r="Z22">
        <f t="shared" si="3"/>
        <v>3</v>
      </c>
      <c r="AA22">
        <f t="shared" si="3"/>
        <v>3</v>
      </c>
      <c r="AB22">
        <f>COUNTIF(AB4:AB20,"*MS")</f>
        <v>2</v>
      </c>
      <c r="AC22">
        <f t="shared" si="2"/>
        <v>2</v>
      </c>
      <c r="AD22">
        <f t="shared" si="2"/>
        <v>3</v>
      </c>
      <c r="AE22">
        <f t="shared" si="2"/>
        <v>3</v>
      </c>
      <c r="AF22">
        <f t="shared" si="2"/>
        <v>2</v>
      </c>
      <c r="AG22">
        <f t="shared" si="2"/>
        <v>3</v>
      </c>
      <c r="AH22">
        <f t="shared" si="2"/>
        <v>3</v>
      </c>
      <c r="AI22">
        <f t="shared" si="2"/>
        <v>2</v>
      </c>
      <c r="AJ22">
        <f t="shared" si="2"/>
        <v>2</v>
      </c>
    </row>
    <row r="23" spans="1:36" x14ac:dyDescent="0.35">
      <c r="A23" s="214" t="s">
        <v>202</v>
      </c>
      <c r="B23">
        <f t="shared" ref="B23:H23" si="4">COUNTIF(B4:B20,"*ASS1")</f>
        <v>3</v>
      </c>
      <c r="C23">
        <f t="shared" si="4"/>
        <v>3</v>
      </c>
      <c r="D23">
        <f t="shared" si="4"/>
        <v>3</v>
      </c>
      <c r="E23">
        <f t="shared" si="4"/>
        <v>3</v>
      </c>
      <c r="F23">
        <f t="shared" si="4"/>
        <v>3</v>
      </c>
      <c r="G23">
        <f>COUNTIF(G4:G20,"*ASS1")</f>
        <v>2</v>
      </c>
      <c r="H23">
        <f t="shared" si="4"/>
        <v>2</v>
      </c>
      <c r="I23">
        <f t="shared" ref="I23:AJ23" si="5">COUNTIF(I4:I20,"*ASS1")</f>
        <v>3</v>
      </c>
      <c r="J23">
        <f t="shared" si="5"/>
        <v>3</v>
      </c>
      <c r="K23">
        <f t="shared" si="5"/>
        <v>2</v>
      </c>
      <c r="L23">
        <f t="shared" si="5"/>
        <v>3</v>
      </c>
      <c r="M23">
        <f t="shared" si="5"/>
        <v>3</v>
      </c>
      <c r="N23">
        <f t="shared" si="5"/>
        <v>2</v>
      </c>
      <c r="O23">
        <f t="shared" si="5"/>
        <v>2</v>
      </c>
      <c r="P23">
        <f t="shared" si="5"/>
        <v>3</v>
      </c>
      <c r="Q23">
        <f t="shared" si="5"/>
        <v>3</v>
      </c>
      <c r="R23">
        <f t="shared" ref="R23:AA23" si="6">COUNTIF(R4:R20,"*ASS1")</f>
        <v>3</v>
      </c>
      <c r="S23">
        <f t="shared" si="6"/>
        <v>4</v>
      </c>
      <c r="T23">
        <f t="shared" si="6"/>
        <v>4</v>
      </c>
      <c r="U23">
        <f t="shared" si="6"/>
        <v>2</v>
      </c>
      <c r="V23">
        <f t="shared" si="6"/>
        <v>2</v>
      </c>
      <c r="W23">
        <f t="shared" si="6"/>
        <v>4</v>
      </c>
      <c r="X23">
        <f t="shared" si="6"/>
        <v>4</v>
      </c>
      <c r="Y23">
        <f t="shared" si="6"/>
        <v>4</v>
      </c>
      <c r="Z23">
        <f t="shared" si="6"/>
        <v>4</v>
      </c>
      <c r="AA23">
        <f t="shared" si="6"/>
        <v>3</v>
      </c>
      <c r="AB23">
        <f>COUNTIF(AB4:AB20,"*ASS1")</f>
        <v>2</v>
      </c>
      <c r="AC23">
        <f t="shared" si="5"/>
        <v>2</v>
      </c>
      <c r="AD23">
        <f t="shared" si="5"/>
        <v>4</v>
      </c>
      <c r="AE23">
        <f t="shared" si="5"/>
        <v>4</v>
      </c>
      <c r="AF23">
        <f t="shared" si="5"/>
        <v>4</v>
      </c>
      <c r="AG23">
        <f t="shared" si="5"/>
        <v>4</v>
      </c>
      <c r="AH23">
        <f t="shared" si="5"/>
        <v>4</v>
      </c>
      <c r="AI23">
        <f t="shared" si="5"/>
        <v>2</v>
      </c>
      <c r="AJ23">
        <f t="shared" si="5"/>
        <v>2</v>
      </c>
    </row>
    <row r="24" spans="1:36" x14ac:dyDescent="0.35">
      <c r="A24" s="214" t="s">
        <v>203</v>
      </c>
      <c r="B24">
        <f t="shared" ref="B24:H24" si="7">COUNTIF(B4:B20,"*NST7")</f>
        <v>3</v>
      </c>
      <c r="C24">
        <f t="shared" si="7"/>
        <v>3</v>
      </c>
      <c r="D24">
        <f t="shared" si="7"/>
        <v>2</v>
      </c>
      <c r="E24">
        <f t="shared" si="7"/>
        <v>3</v>
      </c>
      <c r="F24">
        <f t="shared" si="7"/>
        <v>3</v>
      </c>
      <c r="G24">
        <f>COUNTIF(G4:G20,"*NST7")</f>
        <v>3</v>
      </c>
      <c r="H24">
        <f t="shared" si="7"/>
        <v>2</v>
      </c>
      <c r="I24">
        <f t="shared" ref="I24:AJ24" si="8">COUNTIF(I4:I20,"*NST7")</f>
        <v>3</v>
      </c>
      <c r="J24">
        <f t="shared" si="8"/>
        <v>4</v>
      </c>
      <c r="K24">
        <f t="shared" si="8"/>
        <v>4</v>
      </c>
      <c r="L24">
        <f t="shared" si="8"/>
        <v>4</v>
      </c>
      <c r="M24">
        <f t="shared" si="8"/>
        <v>3</v>
      </c>
      <c r="N24">
        <f t="shared" si="8"/>
        <v>3</v>
      </c>
      <c r="O24">
        <f t="shared" si="8"/>
        <v>2</v>
      </c>
      <c r="P24">
        <f t="shared" si="8"/>
        <v>4</v>
      </c>
      <c r="Q24">
        <f t="shared" si="8"/>
        <v>4</v>
      </c>
      <c r="R24">
        <f t="shared" ref="R24:AA24" si="9">COUNTIF(R4:R20,"*NST7")</f>
        <v>4</v>
      </c>
      <c r="S24">
        <f t="shared" si="9"/>
        <v>4</v>
      </c>
      <c r="T24">
        <f t="shared" si="9"/>
        <v>3</v>
      </c>
      <c r="U24">
        <f t="shared" si="9"/>
        <v>2</v>
      </c>
      <c r="V24">
        <f t="shared" si="9"/>
        <v>2</v>
      </c>
      <c r="W24">
        <f t="shared" si="9"/>
        <v>4</v>
      </c>
      <c r="X24">
        <f t="shared" si="9"/>
        <v>4</v>
      </c>
      <c r="Y24">
        <f t="shared" si="9"/>
        <v>3</v>
      </c>
      <c r="Z24">
        <f t="shared" si="9"/>
        <v>3</v>
      </c>
      <c r="AA24">
        <f t="shared" si="9"/>
        <v>3</v>
      </c>
      <c r="AB24">
        <f>COUNTIF(AB4:AB20,"*NST7")</f>
        <v>3</v>
      </c>
      <c r="AC24">
        <f t="shared" si="8"/>
        <v>2</v>
      </c>
      <c r="AD24">
        <f t="shared" si="8"/>
        <v>3</v>
      </c>
      <c r="AE24">
        <f t="shared" si="8"/>
        <v>4</v>
      </c>
      <c r="AF24">
        <f t="shared" si="8"/>
        <v>3</v>
      </c>
      <c r="AG24">
        <f t="shared" si="8"/>
        <v>4</v>
      </c>
      <c r="AH24">
        <f t="shared" si="8"/>
        <v>4</v>
      </c>
      <c r="AI24">
        <f t="shared" si="8"/>
        <v>2</v>
      </c>
      <c r="AJ24">
        <f t="shared" si="8"/>
        <v>2</v>
      </c>
    </row>
    <row r="25" spans="1:36" x14ac:dyDescent="0.35">
      <c r="A25" s="214" t="s">
        <v>204</v>
      </c>
      <c r="B25">
        <f t="shared" ref="B25:H25" si="10">COUNTIF(B4:B20,"*GS")</f>
        <v>1</v>
      </c>
      <c r="C25">
        <f t="shared" si="10"/>
        <v>1</v>
      </c>
      <c r="D25">
        <f t="shared" si="10"/>
        <v>1</v>
      </c>
      <c r="E25">
        <f t="shared" si="10"/>
        <v>2</v>
      </c>
      <c r="F25">
        <f t="shared" si="10"/>
        <v>1</v>
      </c>
      <c r="G25">
        <f>COUNTIF(G4:G20,"*GS")</f>
        <v>1</v>
      </c>
      <c r="H25">
        <f t="shared" si="10"/>
        <v>0</v>
      </c>
      <c r="I25">
        <f t="shared" ref="I25:AJ25" si="11">COUNTIF(I4:I20,"*GS")</f>
        <v>0</v>
      </c>
      <c r="J25">
        <f t="shared" si="11"/>
        <v>0</v>
      </c>
      <c r="K25">
        <f t="shared" si="11"/>
        <v>0</v>
      </c>
      <c r="L25">
        <f t="shared" si="11"/>
        <v>0</v>
      </c>
      <c r="M25">
        <f t="shared" si="11"/>
        <v>0</v>
      </c>
      <c r="N25">
        <f t="shared" si="11"/>
        <v>1</v>
      </c>
      <c r="O25">
        <f t="shared" si="11"/>
        <v>0</v>
      </c>
      <c r="P25">
        <f t="shared" si="11"/>
        <v>0</v>
      </c>
      <c r="Q25">
        <f t="shared" si="11"/>
        <v>0</v>
      </c>
      <c r="R25">
        <f t="shared" ref="R25:AA25" si="12">COUNTIF(R4:R20,"*GS")</f>
        <v>0</v>
      </c>
      <c r="S25">
        <f t="shared" si="12"/>
        <v>0</v>
      </c>
      <c r="T25">
        <f t="shared" si="12"/>
        <v>0</v>
      </c>
      <c r="U25">
        <f t="shared" si="12"/>
        <v>1</v>
      </c>
      <c r="V25">
        <f t="shared" si="12"/>
        <v>0</v>
      </c>
      <c r="W25">
        <f t="shared" si="12"/>
        <v>0</v>
      </c>
      <c r="X25">
        <f t="shared" si="12"/>
        <v>0</v>
      </c>
      <c r="Y25">
        <f t="shared" si="12"/>
        <v>1</v>
      </c>
      <c r="Z25">
        <f t="shared" si="12"/>
        <v>1</v>
      </c>
      <c r="AA25">
        <f t="shared" si="12"/>
        <v>0</v>
      </c>
      <c r="AB25">
        <f>COUNTIF(AB4:AB20,"*GS")</f>
        <v>1</v>
      </c>
      <c r="AC25">
        <f t="shared" si="11"/>
        <v>0</v>
      </c>
      <c r="AD25">
        <f t="shared" si="11"/>
        <v>0</v>
      </c>
      <c r="AE25">
        <f t="shared" si="11"/>
        <v>0</v>
      </c>
      <c r="AF25">
        <f t="shared" si="11"/>
        <v>0</v>
      </c>
      <c r="AG25">
        <f t="shared" si="11"/>
        <v>0</v>
      </c>
      <c r="AH25">
        <f t="shared" si="11"/>
        <v>0</v>
      </c>
      <c r="AI25">
        <f t="shared" si="11"/>
        <v>1</v>
      </c>
      <c r="AJ25">
        <f t="shared" si="11"/>
        <v>0</v>
      </c>
    </row>
    <row r="26" spans="1:36" x14ac:dyDescent="0.35">
      <c r="A26" s="214" t="s">
        <v>205</v>
      </c>
      <c r="B26">
        <f t="shared" ref="B26:F26" si="13">COUNTIF(B4:B20,"C")</f>
        <v>4</v>
      </c>
      <c r="C26">
        <f t="shared" si="13"/>
        <v>2</v>
      </c>
      <c r="D26">
        <f t="shared" si="13"/>
        <v>3</v>
      </c>
      <c r="E26">
        <f t="shared" si="13"/>
        <v>2</v>
      </c>
      <c r="F26">
        <f t="shared" si="13"/>
        <v>3</v>
      </c>
      <c r="G26">
        <f t="shared" ref="G26:H26" si="14">COUNTIF(G4:G20,"WO")</f>
        <v>7</v>
      </c>
      <c r="H26">
        <f t="shared" si="14"/>
        <v>9</v>
      </c>
      <c r="I26">
        <f t="shared" ref="I26:AH26" si="15">COUNTIF(I4:I20,"C")</f>
        <v>3</v>
      </c>
      <c r="J26">
        <f t="shared" si="15"/>
        <v>1</v>
      </c>
      <c r="K26">
        <f t="shared" si="15"/>
        <v>0</v>
      </c>
      <c r="L26">
        <f t="shared" si="15"/>
        <v>1</v>
      </c>
      <c r="M26">
        <f t="shared" si="15"/>
        <v>3</v>
      </c>
      <c r="N26">
        <f>COUNTIF(N4:N20,"WO")</f>
        <v>7</v>
      </c>
      <c r="O26">
        <f>COUNTIF(O4:O20,"WO")</f>
        <v>9</v>
      </c>
      <c r="P26">
        <f t="shared" si="15"/>
        <v>3</v>
      </c>
      <c r="Q26">
        <f t="shared" si="15"/>
        <v>1</v>
      </c>
      <c r="R26">
        <f t="shared" ref="R26:AA26" si="16">COUNTIF(R4:R20,"C")</f>
        <v>3</v>
      </c>
      <c r="S26">
        <f t="shared" si="16"/>
        <v>1</v>
      </c>
      <c r="T26">
        <f t="shared" si="16"/>
        <v>3</v>
      </c>
      <c r="U26">
        <f t="shared" ref="U26:V26" si="17">COUNTIF(U4:U20,"WO")</f>
        <v>8</v>
      </c>
      <c r="V26">
        <f t="shared" si="17"/>
        <v>9</v>
      </c>
      <c r="W26">
        <f t="shared" si="16"/>
        <v>2</v>
      </c>
      <c r="X26">
        <f t="shared" si="16"/>
        <v>2</v>
      </c>
      <c r="Y26">
        <f t="shared" si="16"/>
        <v>1</v>
      </c>
      <c r="Z26">
        <f t="shared" si="16"/>
        <v>1</v>
      </c>
      <c r="AA26">
        <f t="shared" si="16"/>
        <v>2</v>
      </c>
      <c r="AB26">
        <f>COUNTIF(AB4:AB20,"WO")</f>
        <v>7</v>
      </c>
      <c r="AC26">
        <f t="shared" ref="AC26" si="18">COUNTIF(AC4:AC20,"WO")</f>
        <v>9</v>
      </c>
      <c r="AD26">
        <f t="shared" si="15"/>
        <v>3</v>
      </c>
      <c r="AE26">
        <f t="shared" si="15"/>
        <v>2</v>
      </c>
      <c r="AF26">
        <f t="shared" si="15"/>
        <v>4</v>
      </c>
      <c r="AG26">
        <f t="shared" si="15"/>
        <v>2</v>
      </c>
      <c r="AH26">
        <f t="shared" si="15"/>
        <v>2</v>
      </c>
      <c r="AI26">
        <f t="shared" ref="AI26:AJ26" si="19">COUNTIF(AI4:AI20,"WO")</f>
        <v>8</v>
      </c>
      <c r="AJ26">
        <f t="shared" si="19"/>
        <v>9</v>
      </c>
    </row>
    <row r="27" spans="1:36" x14ac:dyDescent="0.35">
      <c r="A27" s="214" t="s">
        <v>206</v>
      </c>
      <c r="B27">
        <f t="shared" ref="B27:H27" si="20">COUNTIF(B4:B20,"PL")</f>
        <v>1</v>
      </c>
      <c r="C27">
        <f t="shared" si="20"/>
        <v>2</v>
      </c>
      <c r="D27">
        <f t="shared" si="20"/>
        <v>2</v>
      </c>
      <c r="E27">
        <f t="shared" si="20"/>
        <v>2</v>
      </c>
      <c r="F27">
        <f t="shared" si="20"/>
        <v>1</v>
      </c>
      <c r="G27">
        <f>COUNTIF(G4:G20,"PL")</f>
        <v>0</v>
      </c>
      <c r="H27">
        <f t="shared" si="20"/>
        <v>0</v>
      </c>
      <c r="I27">
        <f t="shared" ref="I27:AJ27" si="21">COUNTIF(I4:I20,"PL")</f>
        <v>3</v>
      </c>
      <c r="J27">
        <f t="shared" si="21"/>
        <v>4</v>
      </c>
      <c r="K27">
        <f t="shared" si="21"/>
        <v>5</v>
      </c>
      <c r="L27">
        <f t="shared" si="21"/>
        <v>4</v>
      </c>
      <c r="M27">
        <f t="shared" si="21"/>
        <v>3</v>
      </c>
      <c r="N27">
        <f t="shared" si="21"/>
        <v>0</v>
      </c>
      <c r="O27">
        <f t="shared" si="21"/>
        <v>0</v>
      </c>
      <c r="P27">
        <f t="shared" si="21"/>
        <v>2</v>
      </c>
      <c r="Q27">
        <f t="shared" si="21"/>
        <v>3</v>
      </c>
      <c r="R27">
        <f t="shared" ref="R27:AA27" si="22">COUNTIF(R4:R20,"PL")</f>
        <v>2</v>
      </c>
      <c r="S27">
        <f t="shared" si="22"/>
        <v>2</v>
      </c>
      <c r="T27">
        <f t="shared" si="22"/>
        <v>2</v>
      </c>
      <c r="U27">
        <f t="shared" si="22"/>
        <v>0</v>
      </c>
      <c r="V27">
        <f t="shared" si="22"/>
        <v>0</v>
      </c>
      <c r="W27">
        <f t="shared" si="22"/>
        <v>2</v>
      </c>
      <c r="X27">
        <f t="shared" si="22"/>
        <v>2</v>
      </c>
      <c r="Y27">
        <f t="shared" si="22"/>
        <v>3</v>
      </c>
      <c r="Z27">
        <f t="shared" si="22"/>
        <v>3</v>
      </c>
      <c r="AA27">
        <f t="shared" si="22"/>
        <v>4</v>
      </c>
      <c r="AB27">
        <f>COUNTIF(AB4:AB20,"PL")</f>
        <v>0</v>
      </c>
      <c r="AC27">
        <f t="shared" si="21"/>
        <v>0</v>
      </c>
      <c r="AD27">
        <f t="shared" si="21"/>
        <v>2</v>
      </c>
      <c r="AE27">
        <f t="shared" si="21"/>
        <v>2</v>
      </c>
      <c r="AF27">
        <f t="shared" si="21"/>
        <v>2</v>
      </c>
      <c r="AG27">
        <f t="shared" si="21"/>
        <v>2</v>
      </c>
      <c r="AH27">
        <f t="shared" si="21"/>
        <v>2</v>
      </c>
      <c r="AI27">
        <f t="shared" si="21"/>
        <v>0</v>
      </c>
      <c r="AJ27">
        <f t="shared" si="21"/>
        <v>0</v>
      </c>
    </row>
    <row r="28" spans="1:36" x14ac:dyDescent="0.35">
      <c r="A28" s="214" t="s">
        <v>33</v>
      </c>
      <c r="B28">
        <f t="shared" ref="B28:H28" si="23">COUNTIF(B4:B20,"UPL")</f>
        <v>0</v>
      </c>
      <c r="C28">
        <f t="shared" si="23"/>
        <v>0</v>
      </c>
      <c r="D28">
        <f t="shared" si="23"/>
        <v>0</v>
      </c>
      <c r="E28">
        <f t="shared" si="23"/>
        <v>0</v>
      </c>
      <c r="F28">
        <f t="shared" si="23"/>
        <v>0</v>
      </c>
      <c r="G28">
        <f>COUNTIF(G4:G20,"UPL")</f>
        <v>0</v>
      </c>
      <c r="H28">
        <f t="shared" si="23"/>
        <v>0</v>
      </c>
      <c r="I28">
        <f t="shared" ref="I28:AJ28" si="24">COUNTIF(I4:I20,"UPL")</f>
        <v>0</v>
      </c>
      <c r="J28">
        <f t="shared" si="24"/>
        <v>0</v>
      </c>
      <c r="K28">
        <f t="shared" si="24"/>
        <v>1</v>
      </c>
      <c r="L28">
        <f t="shared" si="24"/>
        <v>0</v>
      </c>
      <c r="M28">
        <f t="shared" si="24"/>
        <v>0</v>
      </c>
      <c r="N28">
        <f t="shared" si="24"/>
        <v>0</v>
      </c>
      <c r="O28">
        <f t="shared" si="24"/>
        <v>0</v>
      </c>
      <c r="P28">
        <f t="shared" si="24"/>
        <v>0</v>
      </c>
      <c r="Q28">
        <f t="shared" si="24"/>
        <v>0</v>
      </c>
      <c r="R28">
        <f t="shared" ref="R28:AA28" si="25">COUNTIF(R4:R20,"UPL")</f>
        <v>0</v>
      </c>
      <c r="S28">
        <f t="shared" si="25"/>
        <v>0</v>
      </c>
      <c r="T28">
        <f t="shared" si="25"/>
        <v>0</v>
      </c>
      <c r="U28">
        <f t="shared" si="25"/>
        <v>0</v>
      </c>
      <c r="V28">
        <f t="shared" si="25"/>
        <v>0</v>
      </c>
      <c r="W28">
        <f t="shared" si="25"/>
        <v>0</v>
      </c>
      <c r="X28">
        <f t="shared" si="25"/>
        <v>0</v>
      </c>
      <c r="Y28">
        <f t="shared" si="25"/>
        <v>0</v>
      </c>
      <c r="Z28">
        <f t="shared" si="25"/>
        <v>0</v>
      </c>
      <c r="AA28">
        <f t="shared" si="25"/>
        <v>0</v>
      </c>
      <c r="AB28">
        <f>COUNTIF(AB4:AB20,"UPL")</f>
        <v>0</v>
      </c>
      <c r="AC28">
        <f t="shared" si="24"/>
        <v>0</v>
      </c>
      <c r="AD28">
        <f t="shared" si="24"/>
        <v>0</v>
      </c>
      <c r="AE28">
        <f t="shared" si="24"/>
        <v>0</v>
      </c>
      <c r="AF28">
        <f t="shared" si="24"/>
        <v>0</v>
      </c>
      <c r="AG28">
        <f t="shared" si="24"/>
        <v>0</v>
      </c>
      <c r="AH28">
        <f t="shared" si="24"/>
        <v>0</v>
      </c>
      <c r="AI28">
        <f t="shared" si="24"/>
        <v>0</v>
      </c>
      <c r="AJ28">
        <f t="shared" si="24"/>
        <v>0</v>
      </c>
    </row>
    <row r="29" spans="1:36" x14ac:dyDescent="0.35">
      <c r="A29" s="214" t="s">
        <v>254</v>
      </c>
      <c r="B29">
        <f t="shared" ref="B29:H29" si="26">COUNTIF(B4:B20,"H")</f>
        <v>0</v>
      </c>
      <c r="C29">
        <f t="shared" si="26"/>
        <v>0</v>
      </c>
      <c r="D29">
        <f t="shared" si="26"/>
        <v>0</v>
      </c>
      <c r="E29">
        <f t="shared" si="26"/>
        <v>0</v>
      </c>
      <c r="F29">
        <f t="shared" si="26"/>
        <v>0</v>
      </c>
      <c r="G29">
        <f>COUNTIF(G4:G20,"H")</f>
        <v>0</v>
      </c>
      <c r="H29">
        <f t="shared" si="26"/>
        <v>0</v>
      </c>
      <c r="I29">
        <f t="shared" ref="I29:AJ29" si="27">COUNTIF(I4:I20,"H")</f>
        <v>0</v>
      </c>
      <c r="J29">
        <f t="shared" si="27"/>
        <v>0</v>
      </c>
      <c r="K29">
        <f t="shared" si="27"/>
        <v>0</v>
      </c>
      <c r="L29">
        <f t="shared" si="27"/>
        <v>0</v>
      </c>
      <c r="M29">
        <f t="shared" si="27"/>
        <v>0</v>
      </c>
      <c r="N29">
        <f t="shared" si="27"/>
        <v>0</v>
      </c>
      <c r="O29">
        <f t="shared" si="27"/>
        <v>0</v>
      </c>
      <c r="P29">
        <f t="shared" si="27"/>
        <v>0</v>
      </c>
      <c r="Q29">
        <f t="shared" si="27"/>
        <v>0</v>
      </c>
      <c r="R29">
        <f t="shared" ref="R29:AA29" si="28">COUNTIF(R4:R20,"H")</f>
        <v>0</v>
      </c>
      <c r="S29">
        <f t="shared" si="28"/>
        <v>0</v>
      </c>
      <c r="T29">
        <f t="shared" si="28"/>
        <v>0</v>
      </c>
      <c r="U29">
        <f t="shared" si="28"/>
        <v>0</v>
      </c>
      <c r="V29">
        <f t="shared" si="28"/>
        <v>0</v>
      </c>
      <c r="W29">
        <f t="shared" si="28"/>
        <v>0</v>
      </c>
      <c r="X29">
        <f t="shared" si="28"/>
        <v>0</v>
      </c>
      <c r="Y29">
        <f t="shared" si="28"/>
        <v>0</v>
      </c>
      <c r="Z29">
        <f t="shared" si="28"/>
        <v>0</v>
      </c>
      <c r="AA29">
        <f t="shared" si="28"/>
        <v>0</v>
      </c>
      <c r="AB29">
        <f>COUNTIF(AB4:AB20,"H")</f>
        <v>0</v>
      </c>
      <c r="AC29">
        <f t="shared" si="27"/>
        <v>0</v>
      </c>
      <c r="AD29">
        <f t="shared" si="27"/>
        <v>0</v>
      </c>
      <c r="AE29">
        <f t="shared" si="27"/>
        <v>0</v>
      </c>
      <c r="AF29">
        <f t="shared" si="27"/>
        <v>0</v>
      </c>
      <c r="AG29">
        <f t="shared" si="27"/>
        <v>0</v>
      </c>
      <c r="AH29">
        <f t="shared" si="27"/>
        <v>0</v>
      </c>
      <c r="AI29">
        <f t="shared" si="27"/>
        <v>0</v>
      </c>
      <c r="AJ29">
        <f t="shared" si="27"/>
        <v>0</v>
      </c>
    </row>
    <row r="30" spans="1:36" x14ac:dyDescent="0.35">
      <c r="A30" s="214" t="s">
        <v>207</v>
      </c>
      <c r="B30" s="158">
        <f t="shared" ref="B30:H30" si="29">SUM(B22:B29)</f>
        <v>15</v>
      </c>
      <c r="C30" s="158">
        <f t="shared" si="29"/>
        <v>15</v>
      </c>
      <c r="D30" s="158">
        <f t="shared" si="29"/>
        <v>15</v>
      </c>
      <c r="E30" s="158">
        <f t="shared" si="29"/>
        <v>15</v>
      </c>
      <c r="F30" s="158">
        <f t="shared" si="29"/>
        <v>15</v>
      </c>
      <c r="G30" s="158">
        <f>SUM(G22:G29)</f>
        <v>15</v>
      </c>
      <c r="H30" s="158">
        <f t="shared" si="29"/>
        <v>15</v>
      </c>
      <c r="I30" s="158">
        <f t="shared" ref="I30:AJ30" si="30">SUM(I22:I29)</f>
        <v>15</v>
      </c>
      <c r="J30" s="158">
        <f t="shared" si="30"/>
        <v>15</v>
      </c>
      <c r="K30" s="158">
        <f t="shared" si="30"/>
        <v>15</v>
      </c>
      <c r="L30" s="158">
        <f t="shared" si="30"/>
        <v>15</v>
      </c>
      <c r="M30" s="158">
        <f t="shared" si="30"/>
        <v>15</v>
      </c>
      <c r="N30" s="158">
        <f t="shared" si="30"/>
        <v>15</v>
      </c>
      <c r="O30" s="158">
        <f t="shared" si="30"/>
        <v>15</v>
      </c>
      <c r="P30" s="158">
        <f t="shared" si="30"/>
        <v>15</v>
      </c>
      <c r="Q30" s="158">
        <f t="shared" si="30"/>
        <v>15</v>
      </c>
      <c r="R30" s="158">
        <f t="shared" si="30"/>
        <v>15</v>
      </c>
      <c r="S30" s="158">
        <f t="shared" si="30"/>
        <v>15</v>
      </c>
      <c r="T30" s="158">
        <f t="shared" si="30"/>
        <v>15</v>
      </c>
      <c r="U30" s="158">
        <f t="shared" si="30"/>
        <v>15</v>
      </c>
      <c r="V30" s="158">
        <f t="shared" si="30"/>
        <v>15</v>
      </c>
      <c r="W30" s="158">
        <f t="shared" si="30"/>
        <v>15</v>
      </c>
      <c r="X30" s="158">
        <f t="shared" si="30"/>
        <v>15</v>
      </c>
      <c r="Y30" s="158">
        <f t="shared" si="30"/>
        <v>15</v>
      </c>
      <c r="Z30" s="158">
        <f t="shared" si="30"/>
        <v>15</v>
      </c>
      <c r="AA30" s="158">
        <f t="shared" si="30"/>
        <v>15</v>
      </c>
      <c r="AB30" s="158">
        <f t="shared" si="30"/>
        <v>15</v>
      </c>
      <c r="AC30" s="158">
        <f t="shared" si="30"/>
        <v>15</v>
      </c>
      <c r="AD30" s="158">
        <f t="shared" si="30"/>
        <v>15</v>
      </c>
      <c r="AE30" s="158">
        <f t="shared" si="30"/>
        <v>15</v>
      </c>
      <c r="AF30" s="158">
        <f t="shared" si="30"/>
        <v>15</v>
      </c>
      <c r="AG30" s="158">
        <f t="shared" si="30"/>
        <v>15</v>
      </c>
      <c r="AH30" s="158">
        <f t="shared" si="30"/>
        <v>15</v>
      </c>
      <c r="AI30" s="158">
        <f t="shared" si="30"/>
        <v>15</v>
      </c>
      <c r="AJ30" s="158">
        <f t="shared" si="30"/>
        <v>15</v>
      </c>
    </row>
  </sheetData>
  <conditionalFormatting sqref="B22:H25">
    <cfRule type="cellIs" dxfId="4" priority="5" operator="lessThan">
      <formula>3</formula>
    </cfRule>
  </conditionalFormatting>
  <conditionalFormatting sqref="I22:AJ25">
    <cfRule type="cellIs" dxfId="3" priority="1" operator="lessThan">
      <formula>3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32"/>
  <sheetViews>
    <sheetView tabSelected="1" zoomScale="60" zoomScaleNormal="60" workbookViewId="0">
      <pane xSplit="1" topLeftCell="E1" activePane="topRight" state="frozen"/>
      <selection pane="topRight" activeCell="Z12" sqref="Z12"/>
    </sheetView>
  </sheetViews>
  <sheetFormatPr defaultRowHeight="14.5" x14ac:dyDescent="0.35"/>
  <cols>
    <col min="1" max="1" width="23.81640625" bestFit="1" customWidth="1"/>
    <col min="2" max="4" width="8.7265625" customWidth="1"/>
    <col min="13" max="32" width="8.7265625" customWidth="1"/>
  </cols>
  <sheetData>
    <row r="1" spans="1:33" x14ac:dyDescent="0.35">
      <c r="A1" s="70"/>
      <c r="B1" s="2" t="str">
        <f t="shared" ref="B1:AG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  <c r="AG1" s="2" t="str">
        <f t="shared" si="0"/>
        <v>Wed</v>
      </c>
    </row>
    <row r="2" spans="1:33" x14ac:dyDescent="0.35">
      <c r="A2" s="124" t="s">
        <v>0</v>
      </c>
      <c r="B2" s="31">
        <v>44927</v>
      </c>
      <c r="C2" s="31">
        <v>44928</v>
      </c>
      <c r="D2" s="31">
        <v>44929</v>
      </c>
      <c r="E2" s="31">
        <v>44930</v>
      </c>
      <c r="F2" s="31">
        <v>44931</v>
      </c>
      <c r="G2" s="31">
        <v>44932</v>
      </c>
      <c r="H2" s="31">
        <v>44933</v>
      </c>
      <c r="I2" s="31">
        <v>44934</v>
      </c>
      <c r="J2" s="31">
        <v>44935</v>
      </c>
      <c r="K2" s="31">
        <v>44936</v>
      </c>
      <c r="L2" s="31">
        <v>44937</v>
      </c>
      <c r="M2" s="31">
        <v>44938</v>
      </c>
      <c r="N2" s="31">
        <v>44939</v>
      </c>
      <c r="O2" s="31">
        <v>44940</v>
      </c>
      <c r="P2" s="31">
        <v>44941</v>
      </c>
      <c r="Q2" s="31">
        <v>44942</v>
      </c>
      <c r="R2" s="31">
        <v>44943</v>
      </c>
      <c r="S2" s="31">
        <v>44944</v>
      </c>
      <c r="T2" s="31">
        <v>44945</v>
      </c>
      <c r="U2" s="31">
        <v>44946</v>
      </c>
      <c r="V2" s="31">
        <v>44947</v>
      </c>
      <c r="W2" s="31">
        <v>44948</v>
      </c>
      <c r="X2" s="31">
        <v>44949</v>
      </c>
      <c r="Y2" s="31">
        <v>44950</v>
      </c>
      <c r="Z2" s="31">
        <v>44951</v>
      </c>
      <c r="AA2" s="31">
        <v>44952</v>
      </c>
      <c r="AB2" s="31">
        <v>44953</v>
      </c>
      <c r="AC2" s="31">
        <v>44954</v>
      </c>
      <c r="AD2" s="31">
        <v>44955</v>
      </c>
      <c r="AE2" s="31">
        <v>44956</v>
      </c>
      <c r="AF2" s="31">
        <v>44957</v>
      </c>
      <c r="AG2" s="31">
        <v>44958</v>
      </c>
    </row>
    <row r="3" spans="1:33" x14ac:dyDescent="0.35">
      <c r="A3" s="12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</row>
    <row r="4" spans="1:33" x14ac:dyDescent="0.35">
      <c r="A4" s="224" t="s">
        <v>14</v>
      </c>
      <c r="B4" s="143" t="s">
        <v>4</v>
      </c>
      <c r="C4" s="22" t="s">
        <v>16</v>
      </c>
      <c r="D4" s="22" t="s">
        <v>16</v>
      </c>
      <c r="E4" s="22" t="s">
        <v>16</v>
      </c>
      <c r="F4" s="22" t="s">
        <v>16</v>
      </c>
      <c r="G4" s="22" t="s">
        <v>16</v>
      </c>
      <c r="H4" s="143" t="s">
        <v>4</v>
      </c>
      <c r="I4" s="143" t="s">
        <v>4</v>
      </c>
      <c r="J4" s="22" t="s">
        <v>16</v>
      </c>
      <c r="K4" s="22" t="s">
        <v>16</v>
      </c>
      <c r="L4" s="22" t="s">
        <v>16</v>
      </c>
      <c r="M4" s="22" t="s">
        <v>16</v>
      </c>
      <c r="N4" s="22" t="s">
        <v>16</v>
      </c>
      <c r="O4" s="143" t="s">
        <v>4</v>
      </c>
      <c r="P4" s="143" t="s">
        <v>4</v>
      </c>
      <c r="Q4" s="225" t="s">
        <v>303</v>
      </c>
      <c r="R4" s="225" t="s">
        <v>303</v>
      </c>
      <c r="S4" s="225" t="s">
        <v>303</v>
      </c>
      <c r="T4" s="225" t="s">
        <v>303</v>
      </c>
      <c r="U4" s="225" t="s">
        <v>303</v>
      </c>
      <c r="V4" s="226" t="s">
        <v>4</v>
      </c>
      <c r="W4" s="226" t="s">
        <v>4</v>
      </c>
      <c r="X4" s="225" t="s">
        <v>303</v>
      </c>
      <c r="Y4" s="225" t="s">
        <v>303</v>
      </c>
      <c r="Z4" s="225" t="s">
        <v>303</v>
      </c>
      <c r="AA4" s="225" t="s">
        <v>37</v>
      </c>
      <c r="AB4" s="225" t="s">
        <v>303</v>
      </c>
      <c r="AC4" s="226" t="s">
        <v>4</v>
      </c>
      <c r="AD4" s="226" t="s">
        <v>4</v>
      </c>
      <c r="AE4" s="225" t="s">
        <v>303</v>
      </c>
      <c r="AF4" s="225" t="s">
        <v>303</v>
      </c>
      <c r="AG4" s="225" t="s">
        <v>303</v>
      </c>
    </row>
    <row r="5" spans="1:33" x14ac:dyDescent="0.35">
      <c r="A5" s="224" t="s">
        <v>12</v>
      </c>
      <c r="B5" s="210" t="s">
        <v>11</v>
      </c>
      <c r="C5" s="210" t="s">
        <v>10</v>
      </c>
      <c r="D5" s="210" t="s">
        <v>10</v>
      </c>
      <c r="E5" s="210" t="s">
        <v>10</v>
      </c>
      <c r="F5" s="210" t="s">
        <v>10</v>
      </c>
      <c r="G5" s="209" t="s">
        <v>2</v>
      </c>
      <c r="H5" s="143" t="s">
        <v>4</v>
      </c>
      <c r="I5" s="210" t="s">
        <v>11</v>
      </c>
      <c r="J5" s="210" t="s">
        <v>10</v>
      </c>
      <c r="K5" s="210" t="s">
        <v>10</v>
      </c>
      <c r="L5" s="210" t="s">
        <v>10</v>
      </c>
      <c r="M5" s="209" t="s">
        <v>2</v>
      </c>
      <c r="N5" s="210" t="s">
        <v>10</v>
      </c>
      <c r="O5" s="210" t="s">
        <v>11</v>
      </c>
      <c r="P5" s="210" t="s">
        <v>11</v>
      </c>
      <c r="Q5" s="210" t="s">
        <v>10</v>
      </c>
      <c r="R5" s="151" t="s">
        <v>5</v>
      </c>
      <c r="S5" s="151" t="s">
        <v>5</v>
      </c>
      <c r="T5" s="151" t="s">
        <v>5</v>
      </c>
      <c r="U5" s="151" t="s">
        <v>5</v>
      </c>
      <c r="V5" s="210" t="s">
        <v>11</v>
      </c>
      <c r="W5" s="210" t="s">
        <v>11</v>
      </c>
      <c r="X5" s="210" t="s">
        <v>10</v>
      </c>
      <c r="Y5" s="210" t="s">
        <v>10</v>
      </c>
      <c r="Z5" s="210" t="s">
        <v>10</v>
      </c>
      <c r="AA5" s="210" t="s">
        <v>11</v>
      </c>
      <c r="AB5" s="209" t="s">
        <v>2</v>
      </c>
      <c r="AC5" s="143" t="s">
        <v>4</v>
      </c>
      <c r="AD5" s="210" t="s">
        <v>11</v>
      </c>
      <c r="AE5" s="210" t="s">
        <v>10</v>
      </c>
      <c r="AF5" s="210" t="s">
        <v>10</v>
      </c>
      <c r="AG5" s="209" t="s">
        <v>2</v>
      </c>
    </row>
    <row r="6" spans="1:33" x14ac:dyDescent="0.35">
      <c r="A6" s="207" t="s">
        <v>21</v>
      </c>
      <c r="B6" s="143" t="s">
        <v>4</v>
      </c>
      <c r="C6" s="209" t="s">
        <v>2</v>
      </c>
      <c r="D6" s="210" t="s">
        <v>10</v>
      </c>
      <c r="E6" s="210" t="s">
        <v>10</v>
      </c>
      <c r="F6" s="210" t="s">
        <v>10</v>
      </c>
      <c r="G6" s="210" t="s">
        <v>10</v>
      </c>
      <c r="H6" s="210" t="s">
        <v>11</v>
      </c>
      <c r="I6" s="143" t="s">
        <v>4</v>
      </c>
      <c r="J6" s="209" t="s">
        <v>2</v>
      </c>
      <c r="K6" s="210" t="s">
        <v>10</v>
      </c>
      <c r="L6" s="210" t="s">
        <v>10</v>
      </c>
      <c r="M6" s="210" t="s">
        <v>10</v>
      </c>
      <c r="N6" s="151" t="s">
        <v>5</v>
      </c>
      <c r="O6" s="151" t="s">
        <v>4</v>
      </c>
      <c r="P6" s="151" t="s">
        <v>4</v>
      </c>
      <c r="Q6" s="151" t="s">
        <v>5</v>
      </c>
      <c r="R6" s="210" t="s">
        <v>10</v>
      </c>
      <c r="S6" s="210" t="s">
        <v>10</v>
      </c>
      <c r="T6" s="210" t="s">
        <v>10</v>
      </c>
      <c r="U6" s="210" t="s">
        <v>10</v>
      </c>
      <c r="V6" s="210" t="s">
        <v>11</v>
      </c>
      <c r="W6" s="143" t="s">
        <v>4</v>
      </c>
      <c r="X6" s="209" t="s">
        <v>2</v>
      </c>
      <c r="Y6" s="210" t="s">
        <v>10</v>
      </c>
      <c r="Z6" s="210" t="s">
        <v>10</v>
      </c>
      <c r="AA6" s="210" t="s">
        <v>11</v>
      </c>
      <c r="AB6" s="210" t="s">
        <v>10</v>
      </c>
      <c r="AC6" s="210" t="s">
        <v>11</v>
      </c>
      <c r="AD6" s="143" t="s">
        <v>4</v>
      </c>
      <c r="AE6" s="209" t="s">
        <v>2</v>
      </c>
      <c r="AF6" s="22" t="s">
        <v>16</v>
      </c>
      <c r="AG6" s="25" t="s">
        <v>6</v>
      </c>
    </row>
    <row r="7" spans="1:33" x14ac:dyDescent="0.35">
      <c r="A7" s="207" t="s">
        <v>86</v>
      </c>
      <c r="B7" s="210" t="s">
        <v>11</v>
      </c>
      <c r="C7" s="210" t="s">
        <v>10</v>
      </c>
      <c r="D7" s="210" t="s">
        <v>10</v>
      </c>
      <c r="E7" s="209" t="s">
        <v>2</v>
      </c>
      <c r="F7" s="210" t="s">
        <v>10</v>
      </c>
      <c r="G7" s="210" t="s">
        <v>10</v>
      </c>
      <c r="H7" s="210" t="s">
        <v>11</v>
      </c>
      <c r="I7" s="143" t="s">
        <v>4</v>
      </c>
      <c r="J7" s="210" t="s">
        <v>10</v>
      </c>
      <c r="K7" s="210" t="s">
        <v>10</v>
      </c>
      <c r="L7" s="209" t="s">
        <v>2</v>
      </c>
      <c r="M7" s="210" t="s">
        <v>10</v>
      </c>
      <c r="N7" s="210" t="s">
        <v>10</v>
      </c>
      <c r="O7" s="143" t="s">
        <v>4</v>
      </c>
      <c r="P7" s="210" t="s">
        <v>11</v>
      </c>
      <c r="Q7" s="210" t="s">
        <v>10</v>
      </c>
      <c r="R7" s="210" t="s">
        <v>10</v>
      </c>
      <c r="S7" s="209" t="s">
        <v>2</v>
      </c>
      <c r="T7" s="210" t="s">
        <v>10</v>
      </c>
      <c r="U7" s="210" t="s">
        <v>10</v>
      </c>
      <c r="V7" s="143" t="s">
        <v>4</v>
      </c>
      <c r="W7" s="210" t="s">
        <v>11</v>
      </c>
      <c r="X7" s="210" t="s">
        <v>10</v>
      </c>
      <c r="Y7" s="210" t="s">
        <v>10</v>
      </c>
      <c r="Z7" s="210" t="s">
        <v>10</v>
      </c>
      <c r="AA7" s="208" t="s">
        <v>37</v>
      </c>
      <c r="AB7" s="210" t="s">
        <v>10</v>
      </c>
      <c r="AC7" s="143" t="s">
        <v>4</v>
      </c>
      <c r="AD7" s="210" t="s">
        <v>11</v>
      </c>
      <c r="AE7" s="210" t="s">
        <v>10</v>
      </c>
      <c r="AF7" s="210" t="s">
        <v>10</v>
      </c>
      <c r="AG7" s="209" t="s">
        <v>2</v>
      </c>
    </row>
    <row r="8" spans="1:33" x14ac:dyDescent="0.35">
      <c r="A8" s="207" t="s">
        <v>88</v>
      </c>
      <c r="B8" s="143" t="s">
        <v>4</v>
      </c>
      <c r="C8" s="209" t="s">
        <v>2</v>
      </c>
      <c r="D8" s="210" t="s">
        <v>10</v>
      </c>
      <c r="E8" s="210" t="s">
        <v>10</v>
      </c>
      <c r="F8" s="210" t="s">
        <v>10</v>
      </c>
      <c r="G8" s="210" t="s">
        <v>10</v>
      </c>
      <c r="H8" s="210" t="s">
        <v>11</v>
      </c>
      <c r="I8" s="143" t="s">
        <v>4</v>
      </c>
      <c r="J8" s="209" t="s">
        <v>2</v>
      </c>
      <c r="K8" s="210" t="s">
        <v>10</v>
      </c>
      <c r="L8" s="210" t="s">
        <v>10</v>
      </c>
      <c r="M8" s="210" t="s">
        <v>10</v>
      </c>
      <c r="N8" s="210" t="s">
        <v>10</v>
      </c>
      <c r="O8" s="210" t="s">
        <v>11</v>
      </c>
      <c r="P8" s="143" t="s">
        <v>4</v>
      </c>
      <c r="Q8" s="209" t="s">
        <v>2</v>
      </c>
      <c r="R8" s="210" t="s">
        <v>10</v>
      </c>
      <c r="S8" s="210" t="s">
        <v>10</v>
      </c>
      <c r="T8" s="210" t="s">
        <v>10</v>
      </c>
      <c r="U8" s="210" t="s">
        <v>10</v>
      </c>
      <c r="V8" s="143" t="s">
        <v>4</v>
      </c>
      <c r="W8" s="143" t="s">
        <v>4</v>
      </c>
      <c r="X8" s="209" t="s">
        <v>2</v>
      </c>
      <c r="Y8" s="210" t="s">
        <v>10</v>
      </c>
      <c r="Z8" s="210" t="s">
        <v>10</v>
      </c>
      <c r="AA8" s="210" t="s">
        <v>11</v>
      </c>
      <c r="AB8" s="210" t="s">
        <v>10</v>
      </c>
      <c r="AC8" s="210" t="s">
        <v>11</v>
      </c>
      <c r="AD8" s="143" t="s">
        <v>4</v>
      </c>
      <c r="AE8" s="209" t="s">
        <v>2</v>
      </c>
      <c r="AF8" s="22" t="s">
        <v>16</v>
      </c>
      <c r="AG8" s="25" t="s">
        <v>6</v>
      </c>
    </row>
    <row r="9" spans="1:33" x14ac:dyDescent="0.35">
      <c r="A9" s="207" t="s">
        <v>87</v>
      </c>
      <c r="B9" s="143" t="s">
        <v>4</v>
      </c>
      <c r="C9" s="210" t="s">
        <v>10</v>
      </c>
      <c r="D9" s="209" t="s">
        <v>2</v>
      </c>
      <c r="E9" s="25" t="s">
        <v>6</v>
      </c>
      <c r="F9" s="22" t="s">
        <v>16</v>
      </c>
      <c r="G9" s="25" t="s">
        <v>6</v>
      </c>
      <c r="H9" s="22" t="s">
        <v>30</v>
      </c>
      <c r="I9" s="210" t="s">
        <v>11</v>
      </c>
      <c r="J9" s="210" t="s">
        <v>10</v>
      </c>
      <c r="K9" s="209" t="s">
        <v>2</v>
      </c>
      <c r="L9" s="209" t="s">
        <v>2</v>
      </c>
      <c r="M9" s="151" t="s">
        <v>5</v>
      </c>
      <c r="N9" s="151" t="s">
        <v>5</v>
      </c>
      <c r="O9" s="151" t="s">
        <v>5</v>
      </c>
      <c r="P9" s="151" t="s">
        <v>5</v>
      </c>
      <c r="Q9" s="210" t="s">
        <v>10</v>
      </c>
      <c r="R9" s="210" t="s">
        <v>10</v>
      </c>
      <c r="S9" s="210" t="s">
        <v>10</v>
      </c>
      <c r="T9" s="210" t="s">
        <v>10</v>
      </c>
      <c r="U9" s="209" t="s">
        <v>2</v>
      </c>
      <c r="V9" s="22" t="s">
        <v>30</v>
      </c>
      <c r="W9" s="143" t="s">
        <v>4</v>
      </c>
      <c r="X9" s="210" t="s">
        <v>10</v>
      </c>
      <c r="Y9" s="210" t="s">
        <v>10</v>
      </c>
      <c r="Z9" s="151" t="s">
        <v>5</v>
      </c>
      <c r="AA9" s="151" t="s">
        <v>5</v>
      </c>
      <c r="AB9" s="151" t="s">
        <v>5</v>
      </c>
      <c r="AC9" s="151" t="s">
        <v>5</v>
      </c>
      <c r="AD9" s="151" t="s">
        <v>5</v>
      </c>
      <c r="AE9" s="210" t="s">
        <v>10</v>
      </c>
      <c r="AF9" s="209" t="s">
        <v>2</v>
      </c>
      <c r="AG9" s="25" t="s">
        <v>6</v>
      </c>
    </row>
    <row r="10" spans="1:33" x14ac:dyDescent="0.35">
      <c r="A10" s="229"/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  <c r="AF10" s="231"/>
    </row>
    <row r="11" spans="1:33" x14ac:dyDescent="0.35">
      <c r="A11" s="224" t="s">
        <v>9</v>
      </c>
      <c r="B11" s="151" t="s">
        <v>4</v>
      </c>
      <c r="C11" s="151" t="s">
        <v>307</v>
      </c>
      <c r="D11" s="151" t="s">
        <v>5</v>
      </c>
      <c r="E11" s="151" t="s">
        <v>5</v>
      </c>
      <c r="F11" s="151" t="s">
        <v>5</v>
      </c>
      <c r="G11" s="151" t="s">
        <v>5</v>
      </c>
      <c r="H11" s="151" t="s">
        <v>4</v>
      </c>
      <c r="I11" s="151" t="s">
        <v>4</v>
      </c>
      <c r="J11" s="25" t="s">
        <v>6</v>
      </c>
      <c r="K11" s="25" t="s">
        <v>6</v>
      </c>
      <c r="L11" s="25" t="s">
        <v>6</v>
      </c>
      <c r="M11" s="25" t="s">
        <v>6</v>
      </c>
      <c r="N11" s="209" t="s">
        <v>2</v>
      </c>
      <c r="O11" s="143" t="s">
        <v>4</v>
      </c>
      <c r="P11" s="25" t="s">
        <v>3</v>
      </c>
      <c r="Q11" s="25" t="s">
        <v>6</v>
      </c>
      <c r="R11" s="25" t="s">
        <v>6</v>
      </c>
      <c r="S11" s="25" t="s">
        <v>6</v>
      </c>
      <c r="T11" s="209" t="s">
        <v>2</v>
      </c>
      <c r="U11" s="209" t="s">
        <v>2</v>
      </c>
      <c r="V11" s="25" t="s">
        <v>3</v>
      </c>
      <c r="W11" s="25" t="s">
        <v>3</v>
      </c>
      <c r="X11" s="25" t="s">
        <v>6</v>
      </c>
      <c r="Y11" s="209" t="s">
        <v>2</v>
      </c>
      <c r="Z11" s="25" t="s">
        <v>6</v>
      </c>
      <c r="AA11" s="25" t="s">
        <v>3</v>
      </c>
      <c r="AB11" s="209" t="s">
        <v>2</v>
      </c>
      <c r="AC11" s="151" t="s">
        <v>5</v>
      </c>
      <c r="AD11" s="151" t="s">
        <v>5</v>
      </c>
      <c r="AE11" s="25" t="s">
        <v>6</v>
      </c>
      <c r="AF11" s="25" t="s">
        <v>6</v>
      </c>
      <c r="AG11" s="19" t="s">
        <v>41</v>
      </c>
    </row>
    <row r="12" spans="1:33" x14ac:dyDescent="0.35">
      <c r="A12" s="224" t="s">
        <v>15</v>
      </c>
      <c r="B12" s="151" t="s">
        <v>4</v>
      </c>
      <c r="C12" s="25" t="s">
        <v>6</v>
      </c>
      <c r="D12" s="25" t="s">
        <v>6</v>
      </c>
      <c r="E12" s="25" t="s">
        <v>6</v>
      </c>
      <c r="F12" s="25" t="s">
        <v>6</v>
      </c>
      <c r="G12" s="25" t="s">
        <v>6</v>
      </c>
      <c r="H12" s="25" t="s">
        <v>3</v>
      </c>
      <c r="I12" s="25" t="s">
        <v>3</v>
      </c>
      <c r="J12" s="209" t="s">
        <v>2</v>
      </c>
      <c r="K12" s="209" t="s">
        <v>2</v>
      </c>
      <c r="L12" s="25" t="s">
        <v>6</v>
      </c>
      <c r="M12" s="25" t="s">
        <v>6</v>
      </c>
      <c r="N12" s="25" t="s">
        <v>6</v>
      </c>
      <c r="O12" s="25" t="s">
        <v>3</v>
      </c>
      <c r="P12" s="143" t="s">
        <v>4</v>
      </c>
      <c r="Q12" s="25" t="s">
        <v>6</v>
      </c>
      <c r="R12" s="25" t="s">
        <v>6</v>
      </c>
      <c r="S12" s="25" t="s">
        <v>6</v>
      </c>
      <c r="T12" s="25" t="s">
        <v>6</v>
      </c>
      <c r="U12" s="25" t="s">
        <v>6</v>
      </c>
      <c r="V12" s="143" t="s">
        <v>4</v>
      </c>
      <c r="W12" s="143" t="s">
        <v>4</v>
      </c>
      <c r="X12" s="25" t="s">
        <v>6</v>
      </c>
      <c r="Y12" s="25" t="s">
        <v>6</v>
      </c>
      <c r="Z12" s="209" t="s">
        <v>2</v>
      </c>
      <c r="AA12" s="25" t="s">
        <v>3</v>
      </c>
      <c r="AB12" s="25" t="s">
        <v>6</v>
      </c>
      <c r="AC12" s="25" t="s">
        <v>3</v>
      </c>
      <c r="AD12" s="25" t="s">
        <v>3</v>
      </c>
      <c r="AE12" s="209" t="s">
        <v>2</v>
      </c>
      <c r="AF12" s="25" t="s">
        <v>6</v>
      </c>
      <c r="AG12" s="19" t="s">
        <v>41</v>
      </c>
    </row>
    <row r="13" spans="1:33" x14ac:dyDescent="0.35">
      <c r="A13" s="207" t="s">
        <v>22</v>
      </c>
      <c r="B13" s="25" t="s">
        <v>3</v>
      </c>
      <c r="C13" s="25" t="s">
        <v>6</v>
      </c>
      <c r="D13" s="25" t="s">
        <v>6</v>
      </c>
      <c r="E13" s="25" t="s">
        <v>6</v>
      </c>
      <c r="F13" s="25" t="s">
        <v>6</v>
      </c>
      <c r="G13" s="209" t="s">
        <v>2</v>
      </c>
      <c r="H13" s="143" t="s">
        <v>4</v>
      </c>
      <c r="I13" s="25" t="s">
        <v>3</v>
      </c>
      <c r="J13" s="25" t="s">
        <v>6</v>
      </c>
      <c r="K13" s="25" t="s">
        <v>6</v>
      </c>
      <c r="L13" s="209" t="s">
        <v>2</v>
      </c>
      <c r="M13" s="25" t="s">
        <v>6</v>
      </c>
      <c r="N13" s="25" t="s">
        <v>6</v>
      </c>
      <c r="O13" s="25" t="s">
        <v>3</v>
      </c>
      <c r="P13" s="151" t="s">
        <v>4</v>
      </c>
      <c r="Q13" s="151" t="s">
        <v>5</v>
      </c>
      <c r="R13" s="151" t="s">
        <v>5</v>
      </c>
      <c r="S13" s="25" t="s">
        <v>6</v>
      </c>
      <c r="T13" s="25" t="s">
        <v>6</v>
      </c>
      <c r="U13" s="25" t="s">
        <v>6</v>
      </c>
      <c r="V13" s="25" t="s">
        <v>3</v>
      </c>
      <c r="W13" s="143" t="s">
        <v>4</v>
      </c>
      <c r="X13" s="209" t="s">
        <v>2</v>
      </c>
      <c r="Y13" s="25" t="s">
        <v>6</v>
      </c>
      <c r="Z13" s="25" t="s">
        <v>6</v>
      </c>
      <c r="AA13" s="25" t="s">
        <v>3</v>
      </c>
      <c r="AB13" s="25" t="s">
        <v>6</v>
      </c>
      <c r="AC13" s="25" t="s">
        <v>3</v>
      </c>
      <c r="AD13" s="143" t="s">
        <v>4</v>
      </c>
      <c r="AE13" s="25" t="s">
        <v>6</v>
      </c>
      <c r="AF13" s="151" t="s">
        <v>5</v>
      </c>
      <c r="AG13" s="151" t="s">
        <v>5</v>
      </c>
    </row>
    <row r="14" spans="1:33" x14ac:dyDescent="0.35">
      <c r="A14" s="207" t="s">
        <v>306</v>
      </c>
      <c r="B14" s="143" t="s">
        <v>4</v>
      </c>
      <c r="C14" s="22" t="s">
        <v>16</v>
      </c>
      <c r="D14" s="22" t="s">
        <v>16</v>
      </c>
      <c r="E14" s="22" t="s">
        <v>16</v>
      </c>
      <c r="F14" s="22" t="s">
        <v>16</v>
      </c>
      <c r="G14" s="22" t="s">
        <v>16</v>
      </c>
      <c r="H14" s="143" t="s">
        <v>4</v>
      </c>
      <c r="I14" s="143" t="s">
        <v>4</v>
      </c>
      <c r="J14" s="22" t="s">
        <v>16</v>
      </c>
      <c r="K14" s="22" t="s">
        <v>16</v>
      </c>
      <c r="L14" s="22" t="s">
        <v>16</v>
      </c>
      <c r="M14" s="22" t="s">
        <v>16</v>
      </c>
      <c r="N14" s="22" t="s">
        <v>16</v>
      </c>
      <c r="O14" s="143" t="s">
        <v>4</v>
      </c>
      <c r="P14" s="143" t="s">
        <v>4</v>
      </c>
      <c r="Q14" s="22" t="s">
        <v>16</v>
      </c>
      <c r="R14" s="22" t="s">
        <v>16</v>
      </c>
      <c r="S14" s="22" t="s">
        <v>16</v>
      </c>
      <c r="T14" s="22" t="s">
        <v>16</v>
      </c>
      <c r="U14" s="22" t="s">
        <v>16</v>
      </c>
      <c r="V14" s="143" t="s">
        <v>4</v>
      </c>
      <c r="W14" s="143" t="s">
        <v>4</v>
      </c>
      <c r="X14" s="22" t="s">
        <v>16</v>
      </c>
      <c r="Y14" s="22" t="s">
        <v>16</v>
      </c>
      <c r="Z14" s="22" t="s">
        <v>16</v>
      </c>
      <c r="AA14" s="208" t="s">
        <v>37</v>
      </c>
      <c r="AB14" s="22" t="s">
        <v>16</v>
      </c>
      <c r="AC14" s="143" t="s">
        <v>4</v>
      </c>
      <c r="AD14" s="143" t="s">
        <v>4</v>
      </c>
      <c r="AE14" s="22" t="s">
        <v>16</v>
      </c>
      <c r="AF14" s="22" t="s">
        <v>16</v>
      </c>
      <c r="AG14" s="22" t="s">
        <v>16</v>
      </c>
    </row>
    <row r="15" spans="1:33" x14ac:dyDescent="0.35">
      <c r="A15" s="207" t="s">
        <v>200</v>
      </c>
      <c r="B15" s="25" t="s">
        <v>3</v>
      </c>
      <c r="C15" s="25" t="s">
        <v>6</v>
      </c>
      <c r="D15" s="25" t="s">
        <v>6</v>
      </c>
      <c r="E15" s="209" t="s">
        <v>2</v>
      </c>
      <c r="F15" s="25" t="s">
        <v>6</v>
      </c>
      <c r="G15" s="25" t="s">
        <v>6</v>
      </c>
      <c r="H15" s="25" t="s">
        <v>3</v>
      </c>
      <c r="I15" s="143" t="s">
        <v>4</v>
      </c>
      <c r="J15" s="25" t="s">
        <v>6</v>
      </c>
      <c r="K15" s="25" t="s">
        <v>6</v>
      </c>
      <c r="L15" s="25" t="s">
        <v>6</v>
      </c>
      <c r="M15" s="209" t="s">
        <v>2</v>
      </c>
      <c r="N15" s="25" t="s">
        <v>6</v>
      </c>
      <c r="O15" s="143" t="s">
        <v>4</v>
      </c>
      <c r="P15" s="25" t="s">
        <v>3</v>
      </c>
      <c r="Q15" s="25" t="s">
        <v>6</v>
      </c>
      <c r="R15" s="25" t="s">
        <v>6</v>
      </c>
      <c r="S15" s="209" t="s">
        <v>2</v>
      </c>
      <c r="T15" s="25" t="s">
        <v>6</v>
      </c>
      <c r="U15" s="25" t="s">
        <v>6</v>
      </c>
      <c r="V15" s="143" t="s">
        <v>4</v>
      </c>
      <c r="W15" s="25" t="s">
        <v>3</v>
      </c>
      <c r="X15" s="25" t="s">
        <v>6</v>
      </c>
      <c r="Y15" s="25" t="s">
        <v>6</v>
      </c>
      <c r="Z15" s="25" t="s">
        <v>6</v>
      </c>
      <c r="AA15" s="208" t="s">
        <v>37</v>
      </c>
      <c r="AB15" s="25" t="s">
        <v>6</v>
      </c>
      <c r="AC15" s="143" t="s">
        <v>4</v>
      </c>
      <c r="AD15" s="25" t="s">
        <v>3</v>
      </c>
      <c r="AE15" s="25" t="s">
        <v>6</v>
      </c>
      <c r="AF15" s="25" t="s">
        <v>6</v>
      </c>
      <c r="AG15" s="19" t="s">
        <v>41</v>
      </c>
    </row>
    <row r="16" spans="1:33" x14ac:dyDescent="0.35">
      <c r="A16" s="229"/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1"/>
      <c r="AG16" s="70"/>
    </row>
    <row r="17" spans="1:33" x14ac:dyDescent="0.35">
      <c r="A17" s="224" t="s">
        <v>1</v>
      </c>
      <c r="B17" s="19" t="s">
        <v>42</v>
      </c>
      <c r="C17" s="19" t="s">
        <v>41</v>
      </c>
      <c r="D17" s="19" t="s">
        <v>41</v>
      </c>
      <c r="E17" s="19" t="s">
        <v>41</v>
      </c>
      <c r="F17" s="19" t="s">
        <v>41</v>
      </c>
      <c r="G17" s="209" t="s">
        <v>2</v>
      </c>
      <c r="H17" s="151" t="s">
        <v>4</v>
      </c>
      <c r="I17" s="151" t="s">
        <v>4</v>
      </c>
      <c r="J17" s="151" t="s">
        <v>5</v>
      </c>
      <c r="K17" s="151" t="s">
        <v>5</v>
      </c>
      <c r="L17" s="151" t="s">
        <v>5</v>
      </c>
      <c r="M17" s="151" t="s">
        <v>5</v>
      </c>
      <c r="N17" s="151" t="s">
        <v>5</v>
      </c>
      <c r="O17" s="19" t="s">
        <v>42</v>
      </c>
      <c r="P17" s="19" t="s">
        <v>42</v>
      </c>
      <c r="Q17" s="209" t="s">
        <v>2</v>
      </c>
      <c r="R17" s="19" t="s">
        <v>41</v>
      </c>
      <c r="S17" s="19" t="s">
        <v>41</v>
      </c>
      <c r="T17" s="19" t="s">
        <v>41</v>
      </c>
      <c r="U17" s="209" t="s">
        <v>2</v>
      </c>
      <c r="V17" s="143" t="s">
        <v>4</v>
      </c>
      <c r="W17" s="19" t="s">
        <v>42</v>
      </c>
      <c r="X17" s="19" t="s">
        <v>41</v>
      </c>
      <c r="Y17" s="19" t="s">
        <v>41</v>
      </c>
      <c r="Z17" s="19" t="s">
        <v>41</v>
      </c>
      <c r="AA17" s="19" t="s">
        <v>42</v>
      </c>
      <c r="AB17" s="209" t="s">
        <v>2</v>
      </c>
      <c r="AC17" s="19" t="s">
        <v>42</v>
      </c>
      <c r="AD17" s="19" t="s">
        <v>42</v>
      </c>
      <c r="AE17" s="19" t="s">
        <v>41</v>
      </c>
      <c r="AF17" s="19" t="s">
        <v>41</v>
      </c>
      <c r="AG17" s="210" t="s">
        <v>10</v>
      </c>
    </row>
    <row r="18" spans="1:33" x14ac:dyDescent="0.35">
      <c r="A18" s="224" t="s">
        <v>43</v>
      </c>
      <c r="B18" s="143" t="s">
        <v>4</v>
      </c>
      <c r="C18" s="209" t="s">
        <v>2</v>
      </c>
      <c r="D18" s="19" t="s">
        <v>41</v>
      </c>
      <c r="E18" s="19" t="s">
        <v>41</v>
      </c>
      <c r="F18" s="19" t="s">
        <v>41</v>
      </c>
      <c r="G18" s="19" t="s">
        <v>41</v>
      </c>
      <c r="H18" s="19" t="s">
        <v>42</v>
      </c>
      <c r="I18" s="143" t="s">
        <v>4</v>
      </c>
      <c r="J18" s="209" t="s">
        <v>2</v>
      </c>
      <c r="K18" s="19" t="s">
        <v>41</v>
      </c>
      <c r="L18" s="19" t="s">
        <v>41</v>
      </c>
      <c r="M18" s="19" t="s">
        <v>41</v>
      </c>
      <c r="N18" s="19" t="s">
        <v>41</v>
      </c>
      <c r="O18" s="19" t="s">
        <v>42</v>
      </c>
      <c r="P18" s="143" t="s">
        <v>4</v>
      </c>
      <c r="Q18" s="19" t="s">
        <v>41</v>
      </c>
      <c r="R18" s="19" t="s">
        <v>41</v>
      </c>
      <c r="S18" s="19" t="s">
        <v>41</v>
      </c>
      <c r="T18" s="19" t="s">
        <v>41</v>
      </c>
      <c r="U18" s="19" t="s">
        <v>41</v>
      </c>
      <c r="V18" s="19" t="s">
        <v>42</v>
      </c>
      <c r="W18" s="143" t="s">
        <v>4</v>
      </c>
      <c r="X18" s="209" t="s">
        <v>2</v>
      </c>
      <c r="Y18" s="19" t="s">
        <v>41</v>
      </c>
      <c r="Z18" s="19" t="s">
        <v>41</v>
      </c>
      <c r="AA18" s="19" t="s">
        <v>42</v>
      </c>
      <c r="AB18" s="19" t="s">
        <v>41</v>
      </c>
      <c r="AC18" s="19" t="s">
        <v>42</v>
      </c>
      <c r="AD18" s="143" t="s">
        <v>4</v>
      </c>
      <c r="AE18" s="209" t="s">
        <v>2</v>
      </c>
      <c r="AF18" s="19" t="s">
        <v>41</v>
      </c>
      <c r="AG18" s="210" t="s">
        <v>10</v>
      </c>
    </row>
    <row r="19" spans="1:33" x14ac:dyDescent="0.35">
      <c r="A19" s="207" t="s">
        <v>85</v>
      </c>
      <c r="B19" s="19" t="s">
        <v>42</v>
      </c>
      <c r="C19" s="209" t="s">
        <v>2</v>
      </c>
      <c r="D19" s="209" t="s">
        <v>2</v>
      </c>
      <c r="E19" s="151" t="s">
        <v>5</v>
      </c>
      <c r="F19" s="151" t="s">
        <v>5</v>
      </c>
      <c r="G19" s="19" t="s">
        <v>41</v>
      </c>
      <c r="H19" s="19" t="s">
        <v>42</v>
      </c>
      <c r="I19" s="19" t="s">
        <v>42</v>
      </c>
      <c r="J19" s="19" t="s">
        <v>41</v>
      </c>
      <c r="K19" s="209" t="s">
        <v>2</v>
      </c>
      <c r="L19" s="209" t="s">
        <v>2</v>
      </c>
      <c r="M19" s="19" t="s">
        <v>41</v>
      </c>
      <c r="N19" s="19" t="s">
        <v>41</v>
      </c>
      <c r="O19" s="22" t="s">
        <v>30</v>
      </c>
      <c r="P19" s="19" t="s">
        <v>42</v>
      </c>
      <c r="Q19" s="19" t="s">
        <v>41</v>
      </c>
      <c r="R19" s="209" t="s">
        <v>2</v>
      </c>
      <c r="S19" s="209" t="s">
        <v>2</v>
      </c>
      <c r="T19" s="19" t="s">
        <v>41</v>
      </c>
      <c r="U19" s="19" t="s">
        <v>41</v>
      </c>
      <c r="V19" s="19" t="s">
        <v>42</v>
      </c>
      <c r="W19" s="143" t="s">
        <v>4</v>
      </c>
      <c r="X19" s="19" t="s">
        <v>41</v>
      </c>
      <c r="Y19" s="209" t="s">
        <v>2</v>
      </c>
      <c r="Z19" s="209" t="s">
        <v>2</v>
      </c>
      <c r="AA19" s="208" t="s">
        <v>37</v>
      </c>
      <c r="AB19" s="19" t="s">
        <v>41</v>
      </c>
      <c r="AC19" s="22" t="s">
        <v>30</v>
      </c>
      <c r="AD19" s="143" t="s">
        <v>4</v>
      </c>
      <c r="AE19" s="19" t="s">
        <v>41</v>
      </c>
      <c r="AF19" s="209" t="s">
        <v>2</v>
      </c>
      <c r="AG19" s="209" t="s">
        <v>2</v>
      </c>
    </row>
    <row r="20" spans="1:33" x14ac:dyDescent="0.35">
      <c r="A20" s="207" t="s">
        <v>71</v>
      </c>
      <c r="B20" s="143" t="s">
        <v>4</v>
      </c>
      <c r="C20" s="19" t="s">
        <v>41</v>
      </c>
      <c r="D20" s="19" t="s">
        <v>41</v>
      </c>
      <c r="E20" s="19" t="s">
        <v>41</v>
      </c>
      <c r="F20" s="19" t="s">
        <v>41</v>
      </c>
      <c r="G20" s="209" t="s">
        <v>2</v>
      </c>
      <c r="H20" s="143" t="s">
        <v>4</v>
      </c>
      <c r="I20" s="19" t="s">
        <v>42</v>
      </c>
      <c r="J20" s="19" t="s">
        <v>41</v>
      </c>
      <c r="K20" s="19" t="s">
        <v>41</v>
      </c>
      <c r="L20" s="19" t="s">
        <v>41</v>
      </c>
      <c r="M20" s="19" t="s">
        <v>41</v>
      </c>
      <c r="N20" s="19" t="s">
        <v>41</v>
      </c>
      <c r="O20" s="143" t="s">
        <v>4</v>
      </c>
      <c r="P20" s="143" t="s">
        <v>4</v>
      </c>
      <c r="Q20" s="19" t="s">
        <v>41</v>
      </c>
      <c r="R20" s="19" t="s">
        <v>41</v>
      </c>
      <c r="S20" s="19" t="s">
        <v>41</v>
      </c>
      <c r="T20" s="209" t="s">
        <v>2</v>
      </c>
      <c r="U20" s="19" t="s">
        <v>41</v>
      </c>
      <c r="V20" s="143" t="s">
        <v>4</v>
      </c>
      <c r="W20" s="19" t="s">
        <v>42</v>
      </c>
      <c r="X20" s="19" t="s">
        <v>41</v>
      </c>
      <c r="Y20" s="19" t="s">
        <v>41</v>
      </c>
      <c r="Z20" s="19" t="s">
        <v>41</v>
      </c>
      <c r="AA20" s="19" t="s">
        <v>42</v>
      </c>
      <c r="AB20" s="209" t="s">
        <v>2</v>
      </c>
      <c r="AC20" s="143" t="s">
        <v>4</v>
      </c>
      <c r="AD20" s="19" t="s">
        <v>42</v>
      </c>
      <c r="AE20" s="19" t="s">
        <v>41</v>
      </c>
      <c r="AF20" s="19" t="s">
        <v>41</v>
      </c>
      <c r="AG20" s="22" t="s">
        <v>16</v>
      </c>
    </row>
    <row r="21" spans="1:33" x14ac:dyDescent="0.35">
      <c r="A21" s="207" t="s">
        <v>253</v>
      </c>
      <c r="B21" s="143" t="s">
        <v>4</v>
      </c>
      <c r="C21" s="19" t="s">
        <v>41</v>
      </c>
      <c r="D21" s="19" t="s">
        <v>41</v>
      </c>
      <c r="E21" s="19" t="s">
        <v>41</v>
      </c>
      <c r="F21" s="19" t="s">
        <v>41</v>
      </c>
      <c r="G21" s="19" t="s">
        <v>41</v>
      </c>
      <c r="H21" s="143" t="s">
        <v>4</v>
      </c>
      <c r="I21" s="143" t="s">
        <v>4</v>
      </c>
      <c r="J21" s="19" t="s">
        <v>41</v>
      </c>
      <c r="K21" s="19" t="s">
        <v>41</v>
      </c>
      <c r="L21" s="19" t="s">
        <v>41</v>
      </c>
      <c r="M21" s="19" t="s">
        <v>41</v>
      </c>
      <c r="N21" s="151" t="s">
        <v>5</v>
      </c>
      <c r="O21" s="151" t="s">
        <v>4</v>
      </c>
      <c r="P21" s="151" t="s">
        <v>4</v>
      </c>
      <c r="Q21" s="151" t="s">
        <v>5</v>
      </c>
      <c r="R21" s="19" t="s">
        <v>41</v>
      </c>
      <c r="S21" s="19" t="s">
        <v>41</v>
      </c>
      <c r="T21" s="19" t="s">
        <v>41</v>
      </c>
      <c r="U21" s="151" t="s">
        <v>5</v>
      </c>
      <c r="V21" s="151" t="s">
        <v>4</v>
      </c>
      <c r="W21" s="151" t="s">
        <v>4</v>
      </c>
      <c r="X21" s="151" t="s">
        <v>5</v>
      </c>
      <c r="Y21" s="19" t="s">
        <v>41</v>
      </c>
      <c r="Z21" s="19" t="s">
        <v>41</v>
      </c>
      <c r="AA21" s="208" t="s">
        <v>37</v>
      </c>
      <c r="AB21" s="19" t="s">
        <v>41</v>
      </c>
      <c r="AC21" s="143" t="s">
        <v>4</v>
      </c>
      <c r="AD21" s="143" t="s">
        <v>4</v>
      </c>
      <c r="AE21" s="19" t="s">
        <v>41</v>
      </c>
      <c r="AF21" s="19" t="s">
        <v>41</v>
      </c>
      <c r="AG21" s="210" t="s">
        <v>10</v>
      </c>
    </row>
    <row r="22" spans="1:33" x14ac:dyDescent="0.35">
      <c r="A22" s="207" t="s">
        <v>305</v>
      </c>
      <c r="B22" s="143" t="s">
        <v>4</v>
      </c>
      <c r="C22" s="22" t="s">
        <v>16</v>
      </c>
      <c r="D22" s="22" t="s">
        <v>16</v>
      </c>
      <c r="E22" s="22" t="s">
        <v>16</v>
      </c>
      <c r="F22" s="22" t="s">
        <v>16</v>
      </c>
      <c r="G22" s="22" t="s">
        <v>16</v>
      </c>
      <c r="H22" s="143" t="s">
        <v>4</v>
      </c>
      <c r="I22" s="143" t="s">
        <v>4</v>
      </c>
      <c r="J22" s="22" t="s">
        <v>16</v>
      </c>
      <c r="K22" s="22" t="s">
        <v>16</v>
      </c>
      <c r="L22" s="22" t="s">
        <v>16</v>
      </c>
      <c r="M22" s="22" t="s">
        <v>16</v>
      </c>
      <c r="N22" s="22" t="s">
        <v>16</v>
      </c>
      <c r="O22" s="143" t="s">
        <v>4</v>
      </c>
      <c r="P22" s="143" t="s">
        <v>4</v>
      </c>
      <c r="Q22" s="22" t="s">
        <v>16</v>
      </c>
      <c r="R22" s="22" t="s">
        <v>16</v>
      </c>
      <c r="S22" s="22" t="s">
        <v>16</v>
      </c>
      <c r="T22" s="22" t="s">
        <v>16</v>
      </c>
      <c r="U22" s="22" t="s">
        <v>16</v>
      </c>
      <c r="V22" s="143" t="s">
        <v>4</v>
      </c>
      <c r="W22" s="143" t="s">
        <v>4</v>
      </c>
      <c r="X22" s="22" t="s">
        <v>16</v>
      </c>
      <c r="Y22" s="22" t="s">
        <v>16</v>
      </c>
      <c r="Z22" s="22" t="s">
        <v>16</v>
      </c>
      <c r="AA22" s="208" t="s">
        <v>37</v>
      </c>
      <c r="AB22" s="22" t="s">
        <v>16</v>
      </c>
      <c r="AC22" s="143" t="s">
        <v>4</v>
      </c>
      <c r="AD22" s="143" t="s">
        <v>4</v>
      </c>
      <c r="AE22" s="22" t="s">
        <v>16</v>
      </c>
      <c r="AF22" s="22" t="s">
        <v>16</v>
      </c>
      <c r="AG22" s="22" t="s">
        <v>16</v>
      </c>
    </row>
    <row r="24" spans="1:33" x14ac:dyDescent="0.35">
      <c r="A24" s="214" t="s">
        <v>201</v>
      </c>
      <c r="B24">
        <f t="shared" ref="B24:AF24" si="1">COUNTIF(B4:B21,"*MS")</f>
        <v>2</v>
      </c>
      <c r="C24">
        <f t="shared" si="1"/>
        <v>3</v>
      </c>
      <c r="D24">
        <f t="shared" si="1"/>
        <v>3</v>
      </c>
      <c r="E24">
        <f t="shared" si="1"/>
        <v>3</v>
      </c>
      <c r="F24">
        <f t="shared" si="1"/>
        <v>3</v>
      </c>
      <c r="G24">
        <f t="shared" si="1"/>
        <v>3</v>
      </c>
      <c r="H24">
        <f t="shared" si="1"/>
        <v>2</v>
      </c>
      <c r="I24">
        <f t="shared" si="1"/>
        <v>2</v>
      </c>
      <c r="J24">
        <f t="shared" si="1"/>
        <v>3</v>
      </c>
      <c r="K24">
        <f t="shared" si="1"/>
        <v>3</v>
      </c>
      <c r="L24">
        <f t="shared" si="1"/>
        <v>3</v>
      </c>
      <c r="M24">
        <f t="shared" si="1"/>
        <v>3</v>
      </c>
      <c r="N24">
        <f t="shared" si="1"/>
        <v>3</v>
      </c>
      <c r="O24">
        <f t="shared" si="1"/>
        <v>2</v>
      </c>
      <c r="P24">
        <f t="shared" si="1"/>
        <v>2</v>
      </c>
      <c r="Q24">
        <f t="shared" si="1"/>
        <v>3</v>
      </c>
      <c r="R24">
        <f t="shared" si="1"/>
        <v>3</v>
      </c>
      <c r="S24">
        <f t="shared" si="1"/>
        <v>3</v>
      </c>
      <c r="T24">
        <f t="shared" si="1"/>
        <v>3</v>
      </c>
      <c r="U24">
        <f t="shared" si="1"/>
        <v>3</v>
      </c>
      <c r="V24">
        <f t="shared" si="1"/>
        <v>2</v>
      </c>
      <c r="W24">
        <f t="shared" si="1"/>
        <v>2</v>
      </c>
      <c r="X24">
        <f t="shared" si="1"/>
        <v>3</v>
      </c>
      <c r="Y24">
        <f t="shared" si="1"/>
        <v>3</v>
      </c>
      <c r="Z24">
        <f t="shared" si="1"/>
        <v>3</v>
      </c>
      <c r="AA24">
        <f t="shared" si="1"/>
        <v>3</v>
      </c>
      <c r="AB24">
        <f t="shared" si="1"/>
        <v>3</v>
      </c>
      <c r="AC24">
        <f t="shared" si="1"/>
        <v>2</v>
      </c>
      <c r="AD24">
        <f t="shared" si="1"/>
        <v>2</v>
      </c>
      <c r="AE24">
        <f t="shared" si="1"/>
        <v>3</v>
      </c>
      <c r="AF24">
        <f t="shared" si="1"/>
        <v>3</v>
      </c>
      <c r="AG24">
        <f t="shared" ref="AG24" si="2">COUNTIF(AG4:AG21,"*MS")</f>
        <v>3</v>
      </c>
    </row>
    <row r="25" spans="1:33" x14ac:dyDescent="0.35">
      <c r="A25" s="214" t="s">
        <v>202</v>
      </c>
      <c r="B25">
        <f t="shared" ref="B25:AF25" si="3">COUNTIF(B4:B21,"*ASS1")</f>
        <v>2</v>
      </c>
      <c r="C25">
        <f t="shared" si="3"/>
        <v>3</v>
      </c>
      <c r="D25">
        <f t="shared" si="3"/>
        <v>4</v>
      </c>
      <c r="E25">
        <f t="shared" si="3"/>
        <v>4</v>
      </c>
      <c r="F25">
        <f t="shared" si="3"/>
        <v>4</v>
      </c>
      <c r="G25">
        <f t="shared" si="3"/>
        <v>3</v>
      </c>
      <c r="H25">
        <f t="shared" si="3"/>
        <v>2</v>
      </c>
      <c r="I25">
        <f t="shared" si="3"/>
        <v>2</v>
      </c>
      <c r="J25">
        <f t="shared" si="3"/>
        <v>3</v>
      </c>
      <c r="K25">
        <f t="shared" si="3"/>
        <v>3</v>
      </c>
      <c r="L25">
        <f t="shared" si="3"/>
        <v>3</v>
      </c>
      <c r="M25">
        <f t="shared" si="3"/>
        <v>4</v>
      </c>
      <c r="N25">
        <f t="shared" si="3"/>
        <v>3</v>
      </c>
      <c r="O25">
        <f t="shared" si="3"/>
        <v>2</v>
      </c>
      <c r="P25">
        <f t="shared" si="3"/>
        <v>2</v>
      </c>
      <c r="Q25">
        <f t="shared" si="3"/>
        <v>3</v>
      </c>
      <c r="R25">
        <f t="shared" si="3"/>
        <v>4</v>
      </c>
      <c r="S25">
        <f t="shared" si="3"/>
        <v>4</v>
      </c>
      <c r="T25">
        <f t="shared" si="3"/>
        <v>4</v>
      </c>
      <c r="U25">
        <f t="shared" si="3"/>
        <v>3</v>
      </c>
      <c r="V25">
        <f t="shared" si="3"/>
        <v>2</v>
      </c>
      <c r="W25">
        <f t="shared" si="3"/>
        <v>2</v>
      </c>
      <c r="X25">
        <f t="shared" si="3"/>
        <v>3</v>
      </c>
      <c r="Y25">
        <f t="shared" si="3"/>
        <v>4</v>
      </c>
      <c r="Z25">
        <f t="shared" si="3"/>
        <v>4</v>
      </c>
      <c r="AA25">
        <f t="shared" si="3"/>
        <v>3</v>
      </c>
      <c r="AB25">
        <f t="shared" si="3"/>
        <v>3</v>
      </c>
      <c r="AC25">
        <f t="shared" si="3"/>
        <v>2</v>
      </c>
      <c r="AD25">
        <f t="shared" si="3"/>
        <v>2</v>
      </c>
      <c r="AE25">
        <f t="shared" si="3"/>
        <v>4</v>
      </c>
      <c r="AF25">
        <f t="shared" si="3"/>
        <v>4</v>
      </c>
      <c r="AG25">
        <f t="shared" ref="AG25" si="4">COUNTIF(AG4:AG21,"*ASS1")</f>
        <v>3</v>
      </c>
    </row>
    <row r="26" spans="1:33" x14ac:dyDescent="0.35">
      <c r="A26" s="214" t="s">
        <v>203</v>
      </c>
      <c r="B26">
        <f t="shared" ref="B26:AF26" si="5">COUNTIF(B4:B21,"*NST7")</f>
        <v>2</v>
      </c>
      <c r="C26">
        <f t="shared" si="5"/>
        <v>3</v>
      </c>
      <c r="D26">
        <f t="shared" si="5"/>
        <v>4</v>
      </c>
      <c r="E26">
        <f t="shared" si="5"/>
        <v>3</v>
      </c>
      <c r="F26">
        <f t="shared" si="5"/>
        <v>4</v>
      </c>
      <c r="G26">
        <f t="shared" si="5"/>
        <v>3</v>
      </c>
      <c r="H26">
        <f t="shared" si="5"/>
        <v>3</v>
      </c>
      <c r="I26">
        <f t="shared" si="5"/>
        <v>2</v>
      </c>
      <c r="J26">
        <f t="shared" si="5"/>
        <v>3</v>
      </c>
      <c r="K26">
        <f t="shared" si="5"/>
        <v>4</v>
      </c>
      <c r="L26">
        <f t="shared" si="5"/>
        <v>3</v>
      </c>
      <c r="M26">
        <f t="shared" si="5"/>
        <v>3</v>
      </c>
      <c r="N26">
        <f t="shared" si="5"/>
        <v>3</v>
      </c>
      <c r="O26">
        <f t="shared" si="5"/>
        <v>2</v>
      </c>
      <c r="P26">
        <f t="shared" si="5"/>
        <v>2</v>
      </c>
      <c r="Q26">
        <f t="shared" si="5"/>
        <v>3</v>
      </c>
      <c r="R26">
        <f t="shared" si="5"/>
        <v>4</v>
      </c>
      <c r="S26">
        <f t="shared" si="5"/>
        <v>3</v>
      </c>
      <c r="T26">
        <f t="shared" si="5"/>
        <v>4</v>
      </c>
      <c r="U26">
        <f t="shared" si="5"/>
        <v>3</v>
      </c>
      <c r="V26">
        <f t="shared" si="5"/>
        <v>2</v>
      </c>
      <c r="W26">
        <f t="shared" si="5"/>
        <v>2</v>
      </c>
      <c r="X26">
        <f t="shared" si="5"/>
        <v>3</v>
      </c>
      <c r="Y26">
        <f t="shared" si="5"/>
        <v>5</v>
      </c>
      <c r="Z26">
        <f t="shared" si="5"/>
        <v>4</v>
      </c>
      <c r="AA26">
        <f t="shared" si="5"/>
        <v>3</v>
      </c>
      <c r="AB26">
        <f t="shared" si="5"/>
        <v>3</v>
      </c>
      <c r="AC26">
        <f t="shared" si="5"/>
        <v>2</v>
      </c>
      <c r="AD26">
        <f t="shared" si="5"/>
        <v>2</v>
      </c>
      <c r="AE26">
        <f t="shared" si="5"/>
        <v>3</v>
      </c>
      <c r="AF26">
        <f t="shared" si="5"/>
        <v>2</v>
      </c>
      <c r="AG26">
        <f t="shared" ref="AG26" si="6">COUNTIF(AG4:AG21,"*NST7")</f>
        <v>3</v>
      </c>
    </row>
    <row r="27" spans="1:33" x14ac:dyDescent="0.35">
      <c r="A27" s="214" t="s">
        <v>204</v>
      </c>
      <c r="B27">
        <f t="shared" ref="B27:AF27" si="7">COUNTIF(B4:B21,"*GS")</f>
        <v>0</v>
      </c>
      <c r="C27">
        <f t="shared" si="7"/>
        <v>2</v>
      </c>
      <c r="D27">
        <f t="shared" si="7"/>
        <v>2</v>
      </c>
      <c r="E27">
        <f t="shared" si="7"/>
        <v>2</v>
      </c>
      <c r="F27">
        <f t="shared" si="7"/>
        <v>3</v>
      </c>
      <c r="G27">
        <f t="shared" si="7"/>
        <v>2</v>
      </c>
      <c r="H27">
        <f t="shared" si="7"/>
        <v>1</v>
      </c>
      <c r="I27">
        <f t="shared" si="7"/>
        <v>0</v>
      </c>
      <c r="J27">
        <f t="shared" si="7"/>
        <v>2</v>
      </c>
      <c r="K27">
        <f t="shared" si="7"/>
        <v>2</v>
      </c>
      <c r="L27">
        <f t="shared" si="7"/>
        <v>2</v>
      </c>
      <c r="M27">
        <f t="shared" si="7"/>
        <v>2</v>
      </c>
      <c r="N27">
        <f t="shared" si="7"/>
        <v>2</v>
      </c>
      <c r="O27">
        <f t="shared" si="7"/>
        <v>1</v>
      </c>
      <c r="P27">
        <f t="shared" si="7"/>
        <v>0</v>
      </c>
      <c r="Q27">
        <f t="shared" si="7"/>
        <v>1</v>
      </c>
      <c r="R27">
        <f t="shared" si="7"/>
        <v>1</v>
      </c>
      <c r="S27">
        <f t="shared" si="7"/>
        <v>1</v>
      </c>
      <c r="T27">
        <f t="shared" si="7"/>
        <v>1</v>
      </c>
      <c r="U27">
        <f t="shared" si="7"/>
        <v>1</v>
      </c>
      <c r="V27">
        <f t="shared" si="7"/>
        <v>1</v>
      </c>
      <c r="W27">
        <f t="shared" si="7"/>
        <v>0</v>
      </c>
      <c r="X27">
        <f t="shared" si="7"/>
        <v>1</v>
      </c>
      <c r="Y27">
        <f t="shared" si="7"/>
        <v>1</v>
      </c>
      <c r="Z27">
        <f t="shared" si="7"/>
        <v>1</v>
      </c>
      <c r="AA27">
        <f t="shared" si="7"/>
        <v>0</v>
      </c>
      <c r="AB27">
        <f t="shared" si="7"/>
        <v>1</v>
      </c>
      <c r="AC27">
        <f t="shared" si="7"/>
        <v>1</v>
      </c>
      <c r="AD27">
        <f t="shared" si="7"/>
        <v>0</v>
      </c>
      <c r="AE27">
        <f t="shared" si="7"/>
        <v>1</v>
      </c>
      <c r="AF27">
        <f t="shared" si="7"/>
        <v>3</v>
      </c>
      <c r="AG27">
        <f t="shared" ref="AG27" si="8">COUNTIF(AG4:AG21,"*GS")</f>
        <v>2</v>
      </c>
    </row>
    <row r="28" spans="1:33" x14ac:dyDescent="0.35">
      <c r="A28" s="214" t="s">
        <v>205</v>
      </c>
      <c r="B28">
        <f>COUNTIF(B4:B21,"C")</f>
        <v>0</v>
      </c>
      <c r="C28">
        <f>COUNTIF(C4:C21,"C")</f>
        <v>4</v>
      </c>
      <c r="D28">
        <f>COUNTIF(D4:D21,"WO")</f>
        <v>0</v>
      </c>
      <c r="E28">
        <f>COUNTIF(E4:E21,"WO")</f>
        <v>0</v>
      </c>
      <c r="F28">
        <f>COUNTIF(F4:F21,"C")</f>
        <v>0</v>
      </c>
      <c r="G28">
        <f>COUNTIF(G4:G21,"C")</f>
        <v>4</v>
      </c>
      <c r="H28">
        <f>COUNTIF(H4:H21,"C")</f>
        <v>0</v>
      </c>
      <c r="I28">
        <f>COUNTIF(I4:I21,"C")</f>
        <v>0</v>
      </c>
      <c r="J28">
        <f>COUNTIF(J4:J21,"C")</f>
        <v>4</v>
      </c>
      <c r="K28">
        <f>COUNTIF(K4:K21,"WO")</f>
        <v>0</v>
      </c>
      <c r="L28">
        <f>COUNTIF(L4:L21,"WO")</f>
        <v>0</v>
      </c>
      <c r="M28">
        <f>COUNTIF(M4:M21,"C")</f>
        <v>2</v>
      </c>
      <c r="N28">
        <f>COUNTIF(N4:N21,"C")</f>
        <v>1</v>
      </c>
      <c r="O28">
        <f>COUNTIF(O4:O21,"C")</f>
        <v>0</v>
      </c>
      <c r="P28">
        <f>COUNTIF(P4:P21,"C")</f>
        <v>0</v>
      </c>
      <c r="Q28">
        <f>COUNTIF(Q4:Q21,"C")</f>
        <v>2</v>
      </c>
      <c r="R28">
        <f>COUNTIF(R4:R21,"WO")</f>
        <v>0</v>
      </c>
      <c r="S28">
        <f>COUNTIF(S4:S21,"WO")</f>
        <v>0</v>
      </c>
      <c r="T28">
        <f>COUNTIF(T4:T21,"C")</f>
        <v>2</v>
      </c>
      <c r="U28">
        <f>COUNTIF(U4:U21,"C")</f>
        <v>3</v>
      </c>
      <c r="V28">
        <f>COUNTIF(V4:V21,"C")</f>
        <v>0</v>
      </c>
      <c r="W28">
        <f>COUNTIF(W4:W21,"C")</f>
        <v>0</v>
      </c>
      <c r="X28">
        <f>COUNTIF(X4:X21,"C")</f>
        <v>4</v>
      </c>
      <c r="Y28">
        <f>COUNTIF(Y4:Y21,"WO")</f>
        <v>0</v>
      </c>
      <c r="Z28">
        <f>COUNTIF(Z4:Z21,"WO")</f>
        <v>0</v>
      </c>
      <c r="AA28">
        <f>COUNTIF(AA4:AA21,"C")</f>
        <v>0</v>
      </c>
      <c r="AB28">
        <f>COUNTIF(AB4:AB21,"C")</f>
        <v>4</v>
      </c>
      <c r="AC28">
        <f>COUNTIF(AC4:AC21,"C")</f>
        <v>0</v>
      </c>
      <c r="AD28">
        <f>COUNTIF(AD4:AD21,"C")</f>
        <v>0</v>
      </c>
      <c r="AE28">
        <f>COUNTIF(AE4:AE21,"C")</f>
        <v>4</v>
      </c>
      <c r="AF28">
        <f>COUNTIF(AF4:AF21,"WO")</f>
        <v>0</v>
      </c>
      <c r="AG28">
        <f>COUNTIF(AG4:AG21,"WO")</f>
        <v>0</v>
      </c>
    </row>
    <row r="29" spans="1:33" x14ac:dyDescent="0.35">
      <c r="A29" s="214" t="s">
        <v>206</v>
      </c>
      <c r="B29">
        <f t="shared" ref="B29:AF29" si="9">COUNTIF(B4:B21,"PL")</f>
        <v>0</v>
      </c>
      <c r="C29">
        <f t="shared" si="9"/>
        <v>0</v>
      </c>
      <c r="D29">
        <f t="shared" si="9"/>
        <v>1</v>
      </c>
      <c r="E29">
        <f t="shared" si="9"/>
        <v>2</v>
      </c>
      <c r="F29">
        <f t="shared" si="9"/>
        <v>2</v>
      </c>
      <c r="G29">
        <f t="shared" si="9"/>
        <v>1</v>
      </c>
      <c r="H29">
        <f t="shared" si="9"/>
        <v>0</v>
      </c>
      <c r="I29">
        <f t="shared" si="9"/>
        <v>0</v>
      </c>
      <c r="J29">
        <f t="shared" si="9"/>
        <v>1</v>
      </c>
      <c r="K29">
        <f t="shared" si="9"/>
        <v>1</v>
      </c>
      <c r="L29">
        <f t="shared" si="9"/>
        <v>1</v>
      </c>
      <c r="M29">
        <f t="shared" si="9"/>
        <v>2</v>
      </c>
      <c r="N29">
        <f t="shared" si="9"/>
        <v>4</v>
      </c>
      <c r="O29">
        <f t="shared" si="9"/>
        <v>1</v>
      </c>
      <c r="P29">
        <f t="shared" si="9"/>
        <v>1</v>
      </c>
      <c r="Q29">
        <f t="shared" si="9"/>
        <v>3</v>
      </c>
      <c r="R29">
        <f t="shared" si="9"/>
        <v>2</v>
      </c>
      <c r="S29">
        <f t="shared" si="9"/>
        <v>1</v>
      </c>
      <c r="T29">
        <f t="shared" si="9"/>
        <v>1</v>
      </c>
      <c r="U29">
        <f t="shared" si="9"/>
        <v>2</v>
      </c>
      <c r="V29">
        <f t="shared" si="9"/>
        <v>0</v>
      </c>
      <c r="W29">
        <f t="shared" si="9"/>
        <v>0</v>
      </c>
      <c r="X29">
        <f t="shared" si="9"/>
        <v>1</v>
      </c>
      <c r="Y29">
        <f t="shared" si="9"/>
        <v>0</v>
      </c>
      <c r="Z29">
        <f t="shared" si="9"/>
        <v>1</v>
      </c>
      <c r="AA29">
        <f t="shared" si="9"/>
        <v>1</v>
      </c>
      <c r="AB29">
        <f t="shared" si="9"/>
        <v>1</v>
      </c>
      <c r="AC29">
        <f t="shared" si="9"/>
        <v>2</v>
      </c>
      <c r="AD29">
        <f t="shared" si="9"/>
        <v>2</v>
      </c>
      <c r="AE29">
        <f t="shared" si="9"/>
        <v>0</v>
      </c>
      <c r="AF29">
        <f t="shared" si="9"/>
        <v>1</v>
      </c>
      <c r="AG29">
        <f t="shared" ref="AG29" si="10">COUNTIF(AG4:AG21,"PL")</f>
        <v>1</v>
      </c>
    </row>
    <row r="30" spans="1:33" x14ac:dyDescent="0.35">
      <c r="A30" s="214" t="s">
        <v>33</v>
      </c>
      <c r="B30">
        <f t="shared" ref="B30:AF30" si="11">COUNTIF(B4:B21,"UPL")</f>
        <v>0</v>
      </c>
      <c r="C30">
        <f t="shared" si="11"/>
        <v>0</v>
      </c>
      <c r="D30">
        <f t="shared" si="11"/>
        <v>0</v>
      </c>
      <c r="E30">
        <f t="shared" si="11"/>
        <v>0</v>
      </c>
      <c r="F30">
        <f t="shared" si="11"/>
        <v>0</v>
      </c>
      <c r="G30">
        <f t="shared" si="11"/>
        <v>0</v>
      </c>
      <c r="H30">
        <f t="shared" si="11"/>
        <v>0</v>
      </c>
      <c r="I30">
        <f t="shared" si="11"/>
        <v>0</v>
      </c>
      <c r="J30">
        <f t="shared" si="11"/>
        <v>0</v>
      </c>
      <c r="K30">
        <f t="shared" si="11"/>
        <v>0</v>
      </c>
      <c r="L30">
        <f t="shared" si="11"/>
        <v>0</v>
      </c>
      <c r="M30">
        <f t="shared" si="11"/>
        <v>0</v>
      </c>
      <c r="N30">
        <f t="shared" si="11"/>
        <v>0</v>
      </c>
      <c r="O30">
        <f t="shared" si="11"/>
        <v>0</v>
      </c>
      <c r="P30">
        <f t="shared" si="11"/>
        <v>0</v>
      </c>
      <c r="Q30">
        <f t="shared" si="11"/>
        <v>0</v>
      </c>
      <c r="R30">
        <f t="shared" si="11"/>
        <v>0</v>
      </c>
      <c r="S30">
        <f t="shared" si="11"/>
        <v>0</v>
      </c>
      <c r="T30">
        <f t="shared" si="11"/>
        <v>0</v>
      </c>
      <c r="U30">
        <f t="shared" si="11"/>
        <v>0</v>
      </c>
      <c r="V30">
        <f t="shared" si="11"/>
        <v>0</v>
      </c>
      <c r="W30">
        <f t="shared" si="11"/>
        <v>0</v>
      </c>
      <c r="X30">
        <f t="shared" si="11"/>
        <v>0</v>
      </c>
      <c r="Y30">
        <f t="shared" si="11"/>
        <v>0</v>
      </c>
      <c r="Z30">
        <f t="shared" si="11"/>
        <v>0</v>
      </c>
      <c r="AA30">
        <f t="shared" si="11"/>
        <v>0</v>
      </c>
      <c r="AB30">
        <f t="shared" si="11"/>
        <v>0</v>
      </c>
      <c r="AC30">
        <f t="shared" si="11"/>
        <v>0</v>
      </c>
      <c r="AD30">
        <f t="shared" si="11"/>
        <v>0</v>
      </c>
      <c r="AE30">
        <f t="shared" si="11"/>
        <v>0</v>
      </c>
      <c r="AF30">
        <f t="shared" si="11"/>
        <v>0</v>
      </c>
      <c r="AG30">
        <f t="shared" ref="AG30" si="12">COUNTIF(AG4:AG21,"UPL")</f>
        <v>0</v>
      </c>
    </row>
    <row r="31" spans="1:33" x14ac:dyDescent="0.35">
      <c r="A31" s="214" t="s">
        <v>254</v>
      </c>
      <c r="B31">
        <f t="shared" ref="B31:AF31" si="13">COUNTIF(B4:B21,"H")</f>
        <v>0</v>
      </c>
      <c r="C31">
        <f t="shared" si="13"/>
        <v>0</v>
      </c>
      <c r="D31">
        <f t="shared" si="13"/>
        <v>0</v>
      </c>
      <c r="E31">
        <f t="shared" si="13"/>
        <v>0</v>
      </c>
      <c r="F31">
        <f t="shared" si="13"/>
        <v>0</v>
      </c>
      <c r="G31">
        <f t="shared" si="13"/>
        <v>0</v>
      </c>
      <c r="H31">
        <f t="shared" si="13"/>
        <v>0</v>
      </c>
      <c r="I31">
        <f t="shared" si="13"/>
        <v>0</v>
      </c>
      <c r="J31">
        <f t="shared" si="13"/>
        <v>0</v>
      </c>
      <c r="K31">
        <f t="shared" si="13"/>
        <v>0</v>
      </c>
      <c r="L31">
        <f t="shared" si="13"/>
        <v>0</v>
      </c>
      <c r="M31">
        <f t="shared" si="13"/>
        <v>0</v>
      </c>
      <c r="N31">
        <f t="shared" si="13"/>
        <v>0</v>
      </c>
      <c r="O31">
        <f t="shared" si="13"/>
        <v>0</v>
      </c>
      <c r="P31">
        <f t="shared" si="13"/>
        <v>0</v>
      </c>
      <c r="Q31">
        <f t="shared" si="13"/>
        <v>0</v>
      </c>
      <c r="R31">
        <f t="shared" si="13"/>
        <v>0</v>
      </c>
      <c r="S31">
        <f t="shared" si="13"/>
        <v>0</v>
      </c>
      <c r="T31">
        <f t="shared" si="13"/>
        <v>0</v>
      </c>
      <c r="U31">
        <f t="shared" si="13"/>
        <v>0</v>
      </c>
      <c r="V31">
        <f t="shared" si="13"/>
        <v>0</v>
      </c>
      <c r="W31">
        <f t="shared" si="13"/>
        <v>0</v>
      </c>
      <c r="X31">
        <f t="shared" si="13"/>
        <v>0</v>
      </c>
      <c r="Y31">
        <f t="shared" si="13"/>
        <v>0</v>
      </c>
      <c r="Z31">
        <f t="shared" si="13"/>
        <v>0</v>
      </c>
      <c r="AA31">
        <f t="shared" si="13"/>
        <v>6</v>
      </c>
      <c r="AB31">
        <f t="shared" si="13"/>
        <v>0</v>
      </c>
      <c r="AC31">
        <f t="shared" si="13"/>
        <v>0</v>
      </c>
      <c r="AD31">
        <f t="shared" si="13"/>
        <v>0</v>
      </c>
      <c r="AE31">
        <f t="shared" si="13"/>
        <v>0</v>
      </c>
      <c r="AF31">
        <f t="shared" si="13"/>
        <v>0</v>
      </c>
      <c r="AG31">
        <f t="shared" ref="AG31" si="14">COUNTIF(AG4:AG21,"H")</f>
        <v>0</v>
      </c>
    </row>
    <row r="32" spans="1:33" x14ac:dyDescent="0.35">
      <c r="A32" s="214" t="s">
        <v>207</v>
      </c>
      <c r="B32" s="158">
        <f t="shared" ref="B32:E32" si="15">SUM(B24:B31)</f>
        <v>6</v>
      </c>
      <c r="C32" s="158">
        <f t="shared" si="15"/>
        <v>15</v>
      </c>
      <c r="D32" s="158">
        <f>SUM(D24:D31)</f>
        <v>14</v>
      </c>
      <c r="E32" s="158">
        <f t="shared" si="15"/>
        <v>14</v>
      </c>
      <c r="F32" s="158">
        <f t="shared" ref="F32:AF32" si="16">SUM(F24:F31)</f>
        <v>16</v>
      </c>
      <c r="G32" s="158">
        <f t="shared" si="16"/>
        <v>16</v>
      </c>
      <c r="H32" s="158">
        <f t="shared" si="16"/>
        <v>8</v>
      </c>
      <c r="I32" s="158">
        <f t="shared" si="16"/>
        <v>6</v>
      </c>
      <c r="J32" s="158">
        <f t="shared" si="16"/>
        <v>16</v>
      </c>
      <c r="K32" s="158">
        <f t="shared" si="16"/>
        <v>13</v>
      </c>
      <c r="L32" s="158">
        <f t="shared" si="16"/>
        <v>12</v>
      </c>
      <c r="M32" s="158">
        <f t="shared" si="16"/>
        <v>16</v>
      </c>
      <c r="N32" s="158">
        <f t="shared" si="16"/>
        <v>16</v>
      </c>
      <c r="O32" s="158">
        <f t="shared" si="16"/>
        <v>8</v>
      </c>
      <c r="P32" s="158">
        <f t="shared" si="16"/>
        <v>7</v>
      </c>
      <c r="Q32" s="158">
        <f t="shared" si="16"/>
        <v>15</v>
      </c>
      <c r="R32" s="158">
        <f t="shared" si="16"/>
        <v>14</v>
      </c>
      <c r="S32" s="158">
        <f t="shared" si="16"/>
        <v>12</v>
      </c>
      <c r="T32" s="158">
        <f t="shared" si="16"/>
        <v>15</v>
      </c>
      <c r="U32" s="158">
        <f t="shared" si="16"/>
        <v>15</v>
      </c>
      <c r="V32" s="158">
        <f t="shared" si="16"/>
        <v>7</v>
      </c>
      <c r="W32" s="158">
        <f t="shared" si="16"/>
        <v>6</v>
      </c>
      <c r="X32" s="158">
        <f t="shared" si="16"/>
        <v>15</v>
      </c>
      <c r="Y32" s="158">
        <f t="shared" si="16"/>
        <v>13</v>
      </c>
      <c r="Z32" s="158">
        <f t="shared" si="16"/>
        <v>13</v>
      </c>
      <c r="AA32" s="158">
        <f t="shared" si="16"/>
        <v>16</v>
      </c>
      <c r="AB32" s="158">
        <f t="shared" si="16"/>
        <v>15</v>
      </c>
      <c r="AC32" s="158">
        <f t="shared" si="16"/>
        <v>9</v>
      </c>
      <c r="AD32" s="158">
        <f t="shared" si="16"/>
        <v>8</v>
      </c>
      <c r="AE32" s="158">
        <f t="shared" si="16"/>
        <v>15</v>
      </c>
      <c r="AF32" s="158">
        <f t="shared" si="16"/>
        <v>13</v>
      </c>
      <c r="AG32" s="158">
        <f t="shared" ref="AG32" si="17">SUM(AG24:AG31)</f>
        <v>12</v>
      </c>
    </row>
  </sheetData>
  <mergeCells count="2">
    <mergeCell ref="A10:AF10"/>
    <mergeCell ref="A16:AF16"/>
  </mergeCells>
  <conditionalFormatting sqref="B24:E27">
    <cfRule type="cellIs" dxfId="2" priority="3" operator="lessThan">
      <formula>3</formula>
    </cfRule>
  </conditionalFormatting>
  <conditionalFormatting sqref="F24:AF27">
    <cfRule type="cellIs" dxfId="1" priority="2" operator="lessThan">
      <formula>3</formula>
    </cfRule>
  </conditionalFormatting>
  <conditionalFormatting sqref="AG24:AG27">
    <cfRule type="cellIs" dxfId="0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2"/>
  <sheetViews>
    <sheetView workbookViewId="0">
      <selection activeCell="F15" sqref="F15"/>
    </sheetView>
  </sheetViews>
  <sheetFormatPr defaultRowHeight="14.5" x14ac:dyDescent="0.35"/>
  <cols>
    <col min="1" max="1" width="14.08984375" bestFit="1" customWidth="1"/>
    <col min="2" max="2" width="14.6328125" bestFit="1" customWidth="1"/>
    <col min="3" max="3" width="15" bestFit="1" customWidth="1"/>
  </cols>
  <sheetData>
    <row r="1" spans="1:3" x14ac:dyDescent="0.35">
      <c r="B1" s="232" t="s">
        <v>218</v>
      </c>
      <c r="C1" s="232"/>
    </row>
    <row r="2" spans="1:3" x14ac:dyDescent="0.35">
      <c r="A2" s="123" t="s">
        <v>97</v>
      </c>
      <c r="B2" s="123" t="s">
        <v>194</v>
      </c>
      <c r="C2" s="123" t="s">
        <v>195</v>
      </c>
    </row>
    <row r="3" spans="1:3" x14ac:dyDescent="0.35">
      <c r="A3" s="24" t="s">
        <v>196</v>
      </c>
      <c r="B3" s="70"/>
      <c r="C3" s="70"/>
    </row>
    <row r="4" spans="1:3" x14ac:dyDescent="0.35">
      <c r="A4" s="70" t="s">
        <v>56</v>
      </c>
      <c r="B4" s="122" t="s">
        <v>223</v>
      </c>
      <c r="C4" s="70" t="s">
        <v>199</v>
      </c>
    </row>
    <row r="5" spans="1:3" x14ac:dyDescent="0.35">
      <c r="A5" s="70" t="s">
        <v>69</v>
      </c>
      <c r="B5" s="122" t="s">
        <v>225</v>
      </c>
      <c r="C5" s="70" t="s">
        <v>224</v>
      </c>
    </row>
    <row r="6" spans="1:3" x14ac:dyDescent="0.35">
      <c r="A6" s="70" t="s">
        <v>185</v>
      </c>
      <c r="B6" s="122" t="s">
        <v>238</v>
      </c>
      <c r="C6" s="70" t="s">
        <v>226</v>
      </c>
    </row>
    <row r="7" spans="1:3" x14ac:dyDescent="0.35">
      <c r="A7" s="70" t="s">
        <v>186</v>
      </c>
      <c r="B7" s="122" t="s">
        <v>227</v>
      </c>
      <c r="C7" s="70" t="s">
        <v>228</v>
      </c>
    </row>
    <row r="8" spans="1:3" x14ac:dyDescent="0.35">
      <c r="A8" s="70" t="s">
        <v>187</v>
      </c>
      <c r="B8" s="122" t="s">
        <v>229</v>
      </c>
      <c r="C8" s="70" t="s">
        <v>199</v>
      </c>
    </row>
    <row r="9" spans="1:3" x14ac:dyDescent="0.35">
      <c r="A9" s="70"/>
      <c r="B9" s="122"/>
      <c r="C9" s="70"/>
    </row>
    <row r="10" spans="1:3" x14ac:dyDescent="0.35">
      <c r="A10" s="24" t="s">
        <v>197</v>
      </c>
      <c r="B10" s="122"/>
      <c r="C10" s="70"/>
    </row>
    <row r="11" spans="1:3" x14ac:dyDescent="0.35">
      <c r="A11" s="70" t="s">
        <v>53</v>
      </c>
      <c r="B11" s="122" t="s">
        <v>230</v>
      </c>
      <c r="C11" s="70" t="s">
        <v>231</v>
      </c>
    </row>
    <row r="12" spans="1:3" x14ac:dyDescent="0.35">
      <c r="A12" s="70" t="s">
        <v>65</v>
      </c>
      <c r="B12" s="122" t="s">
        <v>232</v>
      </c>
      <c r="C12" s="70"/>
    </row>
    <row r="13" spans="1:3" x14ac:dyDescent="0.35">
      <c r="A13" s="70" t="s">
        <v>188</v>
      </c>
      <c r="B13" s="122" t="s">
        <v>255</v>
      </c>
      <c r="C13" s="70" t="s">
        <v>237</v>
      </c>
    </row>
    <row r="14" spans="1:3" x14ac:dyDescent="0.35">
      <c r="A14" s="70" t="s">
        <v>189</v>
      </c>
      <c r="B14" s="122" t="s">
        <v>235</v>
      </c>
      <c r="C14" s="70" t="s">
        <v>236</v>
      </c>
    </row>
    <row r="15" spans="1:3" x14ac:dyDescent="0.35">
      <c r="A15" s="70" t="s">
        <v>190</v>
      </c>
      <c r="B15" s="122" t="s">
        <v>234</v>
      </c>
      <c r="C15" s="70" t="s">
        <v>233</v>
      </c>
    </row>
    <row r="16" spans="1:3" x14ac:dyDescent="0.35">
      <c r="A16" s="70"/>
      <c r="B16" s="122"/>
      <c r="C16" s="70"/>
    </row>
    <row r="17" spans="1:3" x14ac:dyDescent="0.35">
      <c r="A17" s="24" t="s">
        <v>198</v>
      </c>
      <c r="B17" s="122"/>
      <c r="C17" s="70"/>
    </row>
    <row r="18" spans="1:3" x14ac:dyDescent="0.35">
      <c r="A18" s="70" t="s">
        <v>191</v>
      </c>
      <c r="B18" s="122" t="s">
        <v>219</v>
      </c>
      <c r="C18" s="70"/>
    </row>
    <row r="19" spans="1:3" x14ac:dyDescent="0.35">
      <c r="A19" s="70" t="s">
        <v>62</v>
      </c>
      <c r="B19" s="122" t="s">
        <v>220</v>
      </c>
      <c r="C19" s="70"/>
    </row>
    <row r="20" spans="1:3" x14ac:dyDescent="0.35">
      <c r="A20" s="70" t="s">
        <v>192</v>
      </c>
      <c r="B20" s="122" t="s">
        <v>221</v>
      </c>
      <c r="C20" s="70"/>
    </row>
    <row r="21" spans="1:3" x14ac:dyDescent="0.35">
      <c r="A21" s="70" t="s">
        <v>193</v>
      </c>
      <c r="B21" s="122" t="s">
        <v>232</v>
      </c>
      <c r="C21" s="70"/>
    </row>
    <row r="22" spans="1:3" x14ac:dyDescent="0.35">
      <c r="A22" s="70" t="s">
        <v>81</v>
      </c>
      <c r="B22" s="122" t="s">
        <v>222</v>
      </c>
      <c r="C22" s="70"/>
    </row>
  </sheetData>
  <mergeCells count="1">
    <mergeCell ref="B1:C1"/>
  </mergeCells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6"/>
  <sheetViews>
    <sheetView topLeftCell="A7" workbookViewId="0">
      <selection activeCell="C5" sqref="C5"/>
    </sheetView>
  </sheetViews>
  <sheetFormatPr defaultRowHeight="14.5" x14ac:dyDescent="0.35"/>
  <cols>
    <col min="1" max="1" width="17.08984375" bestFit="1" customWidth="1"/>
    <col min="2" max="2" width="28.1796875" customWidth="1"/>
  </cols>
  <sheetData>
    <row r="1" spans="1:3" x14ac:dyDescent="0.35">
      <c r="A1" s="70"/>
      <c r="B1" s="24" t="s">
        <v>239</v>
      </c>
      <c r="C1" s="24" t="s">
        <v>240</v>
      </c>
    </row>
    <row r="2" spans="1:3" x14ac:dyDescent="0.35">
      <c r="A2" s="194" t="s">
        <v>12</v>
      </c>
      <c r="B2" s="193"/>
      <c r="C2" s="70">
        <v>0</v>
      </c>
    </row>
    <row r="3" spans="1:3" x14ac:dyDescent="0.35">
      <c r="A3" s="194" t="s">
        <v>18</v>
      </c>
      <c r="B3" s="70" t="s">
        <v>245</v>
      </c>
      <c r="C3" s="70">
        <v>1</v>
      </c>
    </row>
    <row r="4" spans="1:3" x14ac:dyDescent="0.35">
      <c r="A4" s="194" t="s">
        <v>14</v>
      </c>
      <c r="B4" s="70" t="s">
        <v>252</v>
      </c>
      <c r="C4" s="70">
        <v>1</v>
      </c>
    </row>
    <row r="5" spans="1:3" x14ac:dyDescent="0.35">
      <c r="A5" s="194" t="s">
        <v>86</v>
      </c>
      <c r="B5" s="70" t="s">
        <v>251</v>
      </c>
      <c r="C5" s="70">
        <v>2</v>
      </c>
    </row>
    <row r="6" spans="1:3" x14ac:dyDescent="0.35">
      <c r="A6" s="194" t="s">
        <v>87</v>
      </c>
      <c r="B6" s="70" t="s">
        <v>242</v>
      </c>
      <c r="C6" s="70">
        <v>2</v>
      </c>
    </row>
    <row r="7" spans="1:3" x14ac:dyDescent="0.35">
      <c r="A7" s="194" t="s">
        <v>85</v>
      </c>
      <c r="B7" s="70" t="s">
        <v>248</v>
      </c>
      <c r="C7" s="70">
        <v>2</v>
      </c>
    </row>
    <row r="8" spans="1:3" x14ac:dyDescent="0.35">
      <c r="A8" s="194" t="s">
        <v>200</v>
      </c>
      <c r="B8" s="70" t="s">
        <v>250</v>
      </c>
      <c r="C8" s="70">
        <v>2</v>
      </c>
    </row>
    <row r="9" spans="1:3" x14ac:dyDescent="0.35">
      <c r="A9" s="194" t="s">
        <v>15</v>
      </c>
      <c r="B9" s="70" t="s">
        <v>244</v>
      </c>
      <c r="C9" s="70">
        <v>3</v>
      </c>
    </row>
    <row r="10" spans="1:3" x14ac:dyDescent="0.35">
      <c r="A10" s="194" t="s">
        <v>71</v>
      </c>
      <c r="B10" s="70" t="s">
        <v>247</v>
      </c>
      <c r="C10" s="70">
        <v>3</v>
      </c>
    </row>
    <row r="11" spans="1:3" ht="29" x14ac:dyDescent="0.35">
      <c r="A11" s="194" t="s">
        <v>43</v>
      </c>
      <c r="B11" s="193" t="s">
        <v>246</v>
      </c>
      <c r="C11" s="70">
        <v>5</v>
      </c>
    </row>
    <row r="12" spans="1:3" ht="29" x14ac:dyDescent="0.35">
      <c r="A12" s="194" t="s">
        <v>88</v>
      </c>
      <c r="B12" s="193" t="s">
        <v>249</v>
      </c>
      <c r="C12" s="70">
        <v>6</v>
      </c>
    </row>
    <row r="13" spans="1:3" ht="29" x14ac:dyDescent="0.35">
      <c r="A13" s="194" t="s">
        <v>9</v>
      </c>
      <c r="B13" s="193" t="s">
        <v>241</v>
      </c>
      <c r="C13" s="70">
        <v>8</v>
      </c>
    </row>
    <row r="14" spans="1:3" ht="29" x14ac:dyDescent="0.35">
      <c r="A14" s="194" t="s">
        <v>1</v>
      </c>
      <c r="B14" s="193" t="s">
        <v>243</v>
      </c>
      <c r="C14" s="70">
        <v>9</v>
      </c>
    </row>
    <row r="15" spans="1:3" x14ac:dyDescent="0.35">
      <c r="A15" s="194" t="s">
        <v>21</v>
      </c>
      <c r="B15" s="193"/>
      <c r="C15" s="70"/>
    </row>
    <row r="16" spans="1:3" x14ac:dyDescent="0.35">
      <c r="A16" s="194" t="s">
        <v>22</v>
      </c>
      <c r="B16" s="193"/>
      <c r="C16" s="70">
        <v>0</v>
      </c>
    </row>
  </sheetData>
  <sortState xmlns:xlrd2="http://schemas.microsoft.com/office/spreadsheetml/2017/richdata2" ref="A2:C16">
    <sortCondition ref="C1"/>
  </sortState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6"/>
  <sheetViews>
    <sheetView workbookViewId="0">
      <selection activeCell="J21" sqref="J21"/>
    </sheetView>
  </sheetViews>
  <sheetFormatPr defaultRowHeight="14.5" x14ac:dyDescent="0.35"/>
  <cols>
    <col min="1" max="1" width="17.08984375" bestFit="1" customWidth="1"/>
    <col min="2" max="2" width="15.6328125" bestFit="1" customWidth="1"/>
  </cols>
  <sheetData>
    <row r="1" spans="1:3" x14ac:dyDescent="0.35">
      <c r="A1" s="7" t="s">
        <v>0</v>
      </c>
      <c r="B1" s="229" t="s">
        <v>90</v>
      </c>
      <c r="C1" s="231"/>
    </row>
    <row r="2" spans="1:3" x14ac:dyDescent="0.35">
      <c r="A2" s="8"/>
      <c r="B2" s="8"/>
      <c r="C2" s="8"/>
    </row>
    <row r="3" spans="1:3" x14ac:dyDescent="0.35">
      <c r="A3" s="9" t="s">
        <v>1</v>
      </c>
      <c r="B3" s="72">
        <v>44666</v>
      </c>
      <c r="C3" s="72">
        <v>44782</v>
      </c>
    </row>
    <row r="4" spans="1:3" x14ac:dyDescent="0.35">
      <c r="A4" s="9" t="s">
        <v>9</v>
      </c>
      <c r="B4" s="190">
        <v>44838</v>
      </c>
      <c r="C4" s="190">
        <v>44860</v>
      </c>
    </row>
    <row r="5" spans="1:3" x14ac:dyDescent="0.35">
      <c r="A5" s="9" t="s">
        <v>12</v>
      </c>
      <c r="B5" s="72">
        <v>44628</v>
      </c>
      <c r="C5" s="72">
        <v>44637</v>
      </c>
    </row>
    <row r="6" spans="1:3" x14ac:dyDescent="0.35">
      <c r="A6" s="9" t="s">
        <v>14</v>
      </c>
      <c r="B6" s="72">
        <v>44666</v>
      </c>
      <c r="C6" s="72">
        <v>44791</v>
      </c>
    </row>
    <row r="7" spans="1:3" x14ac:dyDescent="0.35">
      <c r="A7" s="9" t="s">
        <v>15</v>
      </c>
      <c r="B7" s="72">
        <v>44666</v>
      </c>
      <c r="C7" s="72">
        <v>44714</v>
      </c>
    </row>
    <row r="8" spans="1:3" x14ac:dyDescent="0.35">
      <c r="A8" s="9" t="s">
        <v>18</v>
      </c>
      <c r="B8" s="72">
        <v>44575</v>
      </c>
      <c r="C8" s="72">
        <v>44655</v>
      </c>
    </row>
    <row r="9" spans="1:3" x14ac:dyDescent="0.35">
      <c r="A9" s="9" t="s">
        <v>21</v>
      </c>
      <c r="B9" s="72">
        <v>44697</v>
      </c>
      <c r="C9" s="190">
        <v>44838</v>
      </c>
    </row>
    <row r="10" spans="1:3" x14ac:dyDescent="0.35">
      <c r="A10" s="9" t="s">
        <v>43</v>
      </c>
      <c r="B10" s="72">
        <v>44665</v>
      </c>
      <c r="C10" s="72">
        <v>44784</v>
      </c>
    </row>
    <row r="11" spans="1:3" x14ac:dyDescent="0.35">
      <c r="A11" s="9" t="s">
        <v>86</v>
      </c>
      <c r="B11" s="72">
        <v>44666</v>
      </c>
      <c r="C11" s="72">
        <v>44805</v>
      </c>
    </row>
    <row r="12" spans="1:3" x14ac:dyDescent="0.35">
      <c r="A12" s="9" t="s">
        <v>22</v>
      </c>
      <c r="B12" s="72">
        <v>44621</v>
      </c>
      <c r="C12" s="72">
        <v>44666</v>
      </c>
    </row>
    <row r="13" spans="1:3" x14ac:dyDescent="0.35">
      <c r="A13" s="9" t="s">
        <v>71</v>
      </c>
      <c r="B13" s="72">
        <v>44637</v>
      </c>
      <c r="C13" s="72">
        <v>44784</v>
      </c>
    </row>
    <row r="14" spans="1:3" x14ac:dyDescent="0.35">
      <c r="A14" s="9" t="s">
        <v>87</v>
      </c>
      <c r="B14" s="72">
        <v>44637</v>
      </c>
      <c r="C14" s="72">
        <v>44860</v>
      </c>
    </row>
    <row r="15" spans="1:3" x14ac:dyDescent="0.35">
      <c r="A15" s="9" t="s">
        <v>85</v>
      </c>
      <c r="B15" s="72">
        <v>44784</v>
      </c>
      <c r="C15" s="72">
        <v>44860</v>
      </c>
    </row>
    <row r="16" spans="1:3" x14ac:dyDescent="0.35">
      <c r="A16" s="9" t="s">
        <v>88</v>
      </c>
      <c r="B16" s="72">
        <v>44665</v>
      </c>
      <c r="C16" s="72">
        <v>44860</v>
      </c>
    </row>
  </sheetData>
  <mergeCells count="1">
    <mergeCell ref="B1:C1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9"/>
  <sheetViews>
    <sheetView workbookViewId="0">
      <selection activeCell="L19" sqref="A1:L19"/>
    </sheetView>
  </sheetViews>
  <sheetFormatPr defaultRowHeight="14.5" x14ac:dyDescent="0.35"/>
  <cols>
    <col min="1" max="1" width="14.26953125" bestFit="1" customWidth="1"/>
    <col min="2" max="2" width="16" bestFit="1" customWidth="1"/>
    <col min="12" max="12" width="16.26953125" bestFit="1" customWidth="1"/>
  </cols>
  <sheetData>
    <row r="1" spans="1:12" ht="43.5" x14ac:dyDescent="0.35">
      <c r="A1" s="218" t="s">
        <v>261</v>
      </c>
      <c r="B1" s="218" t="s">
        <v>262</v>
      </c>
      <c r="C1" s="218" t="s">
        <v>132</v>
      </c>
      <c r="D1" s="218" t="s">
        <v>263</v>
      </c>
      <c r="E1" s="218" t="s">
        <v>264</v>
      </c>
      <c r="F1" s="218" t="s">
        <v>265</v>
      </c>
      <c r="G1" s="218" t="s">
        <v>266</v>
      </c>
      <c r="H1" s="218" t="s">
        <v>267</v>
      </c>
      <c r="I1" s="218" t="s">
        <v>268</v>
      </c>
      <c r="J1" s="218" t="s">
        <v>269</v>
      </c>
      <c r="K1" s="218" t="s">
        <v>270</v>
      </c>
      <c r="L1" s="218" t="s">
        <v>271</v>
      </c>
    </row>
    <row r="2" spans="1:12" x14ac:dyDescent="0.35">
      <c r="A2" s="235">
        <v>904589</v>
      </c>
      <c r="B2" s="235" t="s">
        <v>52</v>
      </c>
      <c r="C2" s="236" t="s">
        <v>272</v>
      </c>
      <c r="D2" s="236" t="s">
        <v>273</v>
      </c>
      <c r="E2" s="237">
        <v>2022</v>
      </c>
      <c r="F2" s="237">
        <v>30</v>
      </c>
      <c r="G2" s="237">
        <v>3</v>
      </c>
      <c r="H2" s="237">
        <v>19</v>
      </c>
      <c r="I2" s="237">
        <v>14</v>
      </c>
      <c r="J2" s="237">
        <v>35</v>
      </c>
      <c r="K2" s="237">
        <v>10</v>
      </c>
      <c r="L2" s="219" t="s">
        <v>274</v>
      </c>
    </row>
    <row r="3" spans="1:12" ht="43.5" x14ac:dyDescent="0.35">
      <c r="A3" s="235"/>
      <c r="B3" s="235"/>
      <c r="C3" s="236"/>
      <c r="D3" s="236"/>
      <c r="E3" s="237"/>
      <c r="F3" s="237"/>
      <c r="G3" s="237"/>
      <c r="H3" s="237"/>
      <c r="I3" s="237"/>
      <c r="J3" s="237"/>
      <c r="K3" s="237"/>
      <c r="L3" s="219" t="s">
        <v>275</v>
      </c>
    </row>
    <row r="4" spans="1:12" x14ac:dyDescent="0.35">
      <c r="A4" s="235">
        <v>1116709</v>
      </c>
      <c r="B4" s="235" t="s">
        <v>55</v>
      </c>
      <c r="C4" s="236" t="s">
        <v>276</v>
      </c>
      <c r="D4" s="236" t="s">
        <v>273</v>
      </c>
      <c r="E4" s="237">
        <v>2022</v>
      </c>
      <c r="F4" s="237">
        <v>28</v>
      </c>
      <c r="G4" s="237">
        <v>0</v>
      </c>
      <c r="H4" s="237">
        <v>19</v>
      </c>
      <c r="I4" s="237">
        <v>11</v>
      </c>
      <c r="J4" s="237">
        <v>36</v>
      </c>
      <c r="K4" s="237">
        <v>8</v>
      </c>
      <c r="L4" s="219" t="s">
        <v>277</v>
      </c>
    </row>
    <row r="5" spans="1:12" ht="29" x14ac:dyDescent="0.35">
      <c r="A5" s="235"/>
      <c r="B5" s="235"/>
      <c r="C5" s="236"/>
      <c r="D5" s="236"/>
      <c r="E5" s="237"/>
      <c r="F5" s="237"/>
      <c r="G5" s="237"/>
      <c r="H5" s="237"/>
      <c r="I5" s="237"/>
      <c r="J5" s="237"/>
      <c r="K5" s="237"/>
      <c r="L5" s="219" t="s">
        <v>278</v>
      </c>
    </row>
    <row r="6" spans="1:12" ht="43.5" x14ac:dyDescent="0.35">
      <c r="A6" s="220">
        <v>1338995</v>
      </c>
      <c r="B6" s="220" t="s">
        <v>66</v>
      </c>
      <c r="C6" s="219" t="s">
        <v>279</v>
      </c>
      <c r="D6" s="219" t="s">
        <v>273</v>
      </c>
      <c r="E6" s="221">
        <v>2022</v>
      </c>
      <c r="F6" s="221">
        <v>18</v>
      </c>
      <c r="G6" s="221">
        <v>0</v>
      </c>
      <c r="H6" s="221">
        <v>19</v>
      </c>
      <c r="I6" s="221">
        <v>14</v>
      </c>
      <c r="J6" s="221">
        <v>23</v>
      </c>
      <c r="K6" s="221">
        <v>3</v>
      </c>
      <c r="L6" s="219" t="s">
        <v>280</v>
      </c>
    </row>
    <row r="7" spans="1:12" ht="29" x14ac:dyDescent="0.35">
      <c r="A7" s="220">
        <v>1448435</v>
      </c>
      <c r="B7" s="220">
        <v>183947</v>
      </c>
      <c r="C7" s="219" t="s">
        <v>281</v>
      </c>
      <c r="D7" s="219" t="s">
        <v>273</v>
      </c>
      <c r="E7" s="221">
        <v>2022</v>
      </c>
      <c r="F7" s="221">
        <v>15</v>
      </c>
      <c r="G7" s="221">
        <v>1</v>
      </c>
      <c r="H7" s="221">
        <v>19</v>
      </c>
      <c r="I7" s="221">
        <v>5</v>
      </c>
      <c r="J7" s="221">
        <v>29</v>
      </c>
      <c r="K7" s="221">
        <v>5</v>
      </c>
      <c r="L7" s="219" t="s">
        <v>282</v>
      </c>
    </row>
    <row r="8" spans="1:12" ht="72.5" x14ac:dyDescent="0.35">
      <c r="A8" s="220">
        <v>46226182</v>
      </c>
      <c r="B8" s="220">
        <v>46226182</v>
      </c>
      <c r="C8" s="219" t="s">
        <v>283</v>
      </c>
      <c r="D8" s="219" t="s">
        <v>273</v>
      </c>
      <c r="E8" s="221">
        <v>2022</v>
      </c>
      <c r="F8" s="221">
        <v>0</v>
      </c>
      <c r="G8" s="221">
        <v>0</v>
      </c>
      <c r="H8" s="221">
        <v>9</v>
      </c>
      <c r="I8" s="221">
        <v>3</v>
      </c>
      <c r="J8" s="221">
        <v>6</v>
      </c>
      <c r="K8" s="221">
        <v>3</v>
      </c>
      <c r="L8" s="219" t="s">
        <v>295</v>
      </c>
    </row>
    <row r="9" spans="1:12" ht="43.5" x14ac:dyDescent="0.35">
      <c r="A9" s="220">
        <v>1358209</v>
      </c>
      <c r="B9" s="220" t="s">
        <v>61</v>
      </c>
      <c r="C9" s="219" t="s">
        <v>284</v>
      </c>
      <c r="D9" s="219" t="s">
        <v>273</v>
      </c>
      <c r="E9" s="221">
        <v>2022</v>
      </c>
      <c r="F9" s="221">
        <v>20</v>
      </c>
      <c r="G9" s="221">
        <v>0</v>
      </c>
      <c r="H9" s="221">
        <v>19</v>
      </c>
      <c r="I9" s="221">
        <v>13</v>
      </c>
      <c r="J9" s="221">
        <v>26</v>
      </c>
      <c r="K9" s="221">
        <v>0</v>
      </c>
      <c r="L9" s="219" t="s">
        <v>296</v>
      </c>
    </row>
    <row r="10" spans="1:12" ht="29" customHeight="1" x14ac:dyDescent="0.35">
      <c r="A10" s="235">
        <v>46027125</v>
      </c>
      <c r="B10" s="235">
        <v>46027125</v>
      </c>
      <c r="C10" s="236" t="s">
        <v>146</v>
      </c>
      <c r="D10" s="236" t="s">
        <v>273</v>
      </c>
      <c r="E10" s="237">
        <v>2022</v>
      </c>
      <c r="F10" s="237">
        <v>15.5</v>
      </c>
      <c r="G10" s="237">
        <v>0</v>
      </c>
      <c r="H10" s="237">
        <v>19</v>
      </c>
      <c r="I10" s="237">
        <v>9</v>
      </c>
      <c r="J10" s="237">
        <v>25.5</v>
      </c>
      <c r="K10" s="237">
        <v>7</v>
      </c>
      <c r="L10" s="233" t="s">
        <v>298</v>
      </c>
    </row>
    <row r="11" spans="1:12" x14ac:dyDescent="0.35">
      <c r="A11" s="235"/>
      <c r="B11" s="235"/>
      <c r="C11" s="236"/>
      <c r="D11" s="236"/>
      <c r="E11" s="237"/>
      <c r="F11" s="237"/>
      <c r="G11" s="237"/>
      <c r="H11" s="237"/>
      <c r="I11" s="237"/>
      <c r="J11" s="237"/>
      <c r="K11" s="237"/>
      <c r="L11" s="234"/>
    </row>
    <row r="12" spans="1:12" ht="29" x14ac:dyDescent="0.35">
      <c r="A12" s="220">
        <v>46029952</v>
      </c>
      <c r="B12" s="220">
        <v>46029952</v>
      </c>
      <c r="C12" s="219" t="s">
        <v>285</v>
      </c>
      <c r="D12" s="219" t="s">
        <v>273</v>
      </c>
      <c r="E12" s="221">
        <v>2022</v>
      </c>
      <c r="F12" s="221">
        <v>9</v>
      </c>
      <c r="G12" s="221">
        <v>0</v>
      </c>
      <c r="H12" s="221">
        <v>19</v>
      </c>
      <c r="I12" s="221">
        <v>8</v>
      </c>
      <c r="J12" s="221">
        <v>20</v>
      </c>
      <c r="K12" s="221">
        <v>3</v>
      </c>
      <c r="L12" s="219" t="s">
        <v>286</v>
      </c>
    </row>
    <row r="13" spans="1:12" ht="72.5" x14ac:dyDescent="0.35">
      <c r="A13" s="220">
        <v>46041450</v>
      </c>
      <c r="B13" s="220">
        <v>46041450</v>
      </c>
      <c r="C13" s="219" t="s">
        <v>287</v>
      </c>
      <c r="D13" s="219" t="s">
        <v>273</v>
      </c>
      <c r="E13" s="221">
        <v>2022</v>
      </c>
      <c r="F13" s="221">
        <v>21</v>
      </c>
      <c r="G13" s="221">
        <v>0</v>
      </c>
      <c r="H13" s="221">
        <v>19</v>
      </c>
      <c r="I13" s="221">
        <v>2</v>
      </c>
      <c r="J13" s="221">
        <v>38</v>
      </c>
      <c r="K13" s="221">
        <v>4</v>
      </c>
      <c r="L13" s="219" t="s">
        <v>288</v>
      </c>
    </row>
    <row r="14" spans="1:12" ht="43.5" x14ac:dyDescent="0.35">
      <c r="A14" s="220">
        <v>46051834</v>
      </c>
      <c r="B14" s="220">
        <v>46051834</v>
      </c>
      <c r="C14" s="219" t="s">
        <v>289</v>
      </c>
      <c r="D14" s="219" t="s">
        <v>273</v>
      </c>
      <c r="E14" s="221">
        <v>2022</v>
      </c>
      <c r="F14" s="221">
        <v>15</v>
      </c>
      <c r="G14" s="221">
        <v>0</v>
      </c>
      <c r="H14" s="221">
        <v>19</v>
      </c>
      <c r="I14" s="221">
        <v>9</v>
      </c>
      <c r="J14" s="221">
        <v>25</v>
      </c>
      <c r="K14" s="221">
        <v>6</v>
      </c>
      <c r="L14" s="219" t="s">
        <v>290</v>
      </c>
    </row>
    <row r="15" spans="1:12" ht="58" x14ac:dyDescent="0.35">
      <c r="A15" s="220">
        <v>46075393</v>
      </c>
      <c r="B15" s="220">
        <v>46075393</v>
      </c>
      <c r="C15" s="219" t="s">
        <v>291</v>
      </c>
      <c r="D15" s="219" t="s">
        <v>273</v>
      </c>
      <c r="E15" s="221">
        <v>2022</v>
      </c>
      <c r="F15" s="221">
        <v>14</v>
      </c>
      <c r="G15" s="221">
        <v>0</v>
      </c>
      <c r="H15" s="221">
        <v>19</v>
      </c>
      <c r="I15" s="221">
        <v>6</v>
      </c>
      <c r="J15" s="221">
        <v>27</v>
      </c>
      <c r="K15" s="221">
        <v>3</v>
      </c>
      <c r="L15" s="219" t="s">
        <v>292</v>
      </c>
    </row>
    <row r="16" spans="1:12" ht="29" x14ac:dyDescent="0.35">
      <c r="A16" s="220">
        <v>46045351</v>
      </c>
      <c r="B16" s="220">
        <v>46045351</v>
      </c>
      <c r="C16" s="219" t="s">
        <v>100</v>
      </c>
      <c r="D16" s="219" t="s">
        <v>273</v>
      </c>
      <c r="E16" s="221">
        <v>2022</v>
      </c>
      <c r="F16" s="221">
        <v>16</v>
      </c>
      <c r="G16" s="221">
        <v>0</v>
      </c>
      <c r="H16" s="221">
        <v>19</v>
      </c>
      <c r="I16" s="221">
        <v>8</v>
      </c>
      <c r="J16" s="221">
        <v>27</v>
      </c>
      <c r="K16" s="221">
        <v>3</v>
      </c>
      <c r="L16" s="219" t="s">
        <v>293</v>
      </c>
    </row>
    <row r="17" spans="1:12" ht="43.5" x14ac:dyDescent="0.35">
      <c r="A17" s="220">
        <v>46122508</v>
      </c>
      <c r="B17" s="220">
        <v>46122508</v>
      </c>
      <c r="C17" s="219" t="s">
        <v>88</v>
      </c>
      <c r="D17" s="219" t="s">
        <v>273</v>
      </c>
      <c r="E17" s="221">
        <v>2022</v>
      </c>
      <c r="F17" s="221">
        <v>11</v>
      </c>
      <c r="G17" s="221">
        <v>0</v>
      </c>
      <c r="H17" s="221">
        <v>19</v>
      </c>
      <c r="I17" s="221">
        <v>3</v>
      </c>
      <c r="J17" s="221">
        <v>27</v>
      </c>
      <c r="K17" s="221">
        <v>7</v>
      </c>
      <c r="L17" s="219" t="s">
        <v>294</v>
      </c>
    </row>
    <row r="18" spans="1:12" ht="29" x14ac:dyDescent="0.35">
      <c r="A18" s="219">
        <v>46095023</v>
      </c>
      <c r="B18" s="219">
        <v>46095023</v>
      </c>
      <c r="C18" s="219" t="s">
        <v>253</v>
      </c>
      <c r="D18" s="219" t="s">
        <v>273</v>
      </c>
      <c r="E18" s="221">
        <v>2022</v>
      </c>
      <c r="F18" s="219">
        <v>8</v>
      </c>
      <c r="G18" s="219">
        <v>0</v>
      </c>
      <c r="H18" s="219">
        <v>19</v>
      </c>
      <c r="I18" s="219">
        <v>2.5</v>
      </c>
      <c r="J18" s="219">
        <v>24.5</v>
      </c>
      <c r="K18" s="221">
        <v>0</v>
      </c>
      <c r="L18" s="219" t="s">
        <v>296</v>
      </c>
    </row>
    <row r="19" spans="1:12" ht="29" x14ac:dyDescent="0.35">
      <c r="A19" s="220">
        <v>46103795</v>
      </c>
      <c r="B19" s="220">
        <v>46103795</v>
      </c>
      <c r="C19" s="219" t="s">
        <v>85</v>
      </c>
      <c r="D19" s="219" t="s">
        <v>273</v>
      </c>
      <c r="E19" s="219" t="s">
        <v>297</v>
      </c>
      <c r="F19" s="219">
        <v>11</v>
      </c>
      <c r="G19" s="219">
        <v>0</v>
      </c>
      <c r="H19" s="219">
        <v>19</v>
      </c>
      <c r="I19" s="219">
        <v>3</v>
      </c>
      <c r="J19" s="219">
        <v>27</v>
      </c>
      <c r="K19" s="219">
        <v>2</v>
      </c>
      <c r="L19" s="219" t="s">
        <v>299</v>
      </c>
    </row>
  </sheetData>
  <mergeCells count="34">
    <mergeCell ref="F2:F3"/>
    <mergeCell ref="A2:A3"/>
    <mergeCell ref="B2:B3"/>
    <mergeCell ref="C2:C3"/>
    <mergeCell ref="D2:D3"/>
    <mergeCell ref="E2:E3"/>
    <mergeCell ref="A4:A5"/>
    <mergeCell ref="B4:B5"/>
    <mergeCell ref="C4:C5"/>
    <mergeCell ref="D4:D5"/>
    <mergeCell ref="E4:E5"/>
    <mergeCell ref="K4:K5"/>
    <mergeCell ref="G2:G3"/>
    <mergeCell ref="H2:H3"/>
    <mergeCell ref="I2:I3"/>
    <mergeCell ref="J2:J3"/>
    <mergeCell ref="K2:K3"/>
    <mergeCell ref="F4:F5"/>
    <mergeCell ref="G4:G5"/>
    <mergeCell ref="H4:H5"/>
    <mergeCell ref="I4:I5"/>
    <mergeCell ref="J4:J5"/>
    <mergeCell ref="L10:L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</mergeCells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5"/>
  <sheetViews>
    <sheetView zoomScale="83" zoomScaleNormal="83" workbookViewId="0">
      <selection activeCell="L22" sqref="L22"/>
    </sheetView>
  </sheetViews>
  <sheetFormatPr defaultRowHeight="14.5" x14ac:dyDescent="0.35"/>
  <cols>
    <col min="1" max="1" width="17.08984375" bestFit="1" customWidth="1"/>
  </cols>
  <sheetData>
    <row r="1" spans="1:3" x14ac:dyDescent="0.35">
      <c r="A1" s="9" t="s">
        <v>1</v>
      </c>
      <c r="C1" t="s">
        <v>302</v>
      </c>
    </row>
    <row r="2" spans="1:3" x14ac:dyDescent="0.35">
      <c r="A2" s="9" t="s">
        <v>9</v>
      </c>
      <c r="C2" t="s">
        <v>301</v>
      </c>
    </row>
    <row r="3" spans="1:3" x14ac:dyDescent="0.35">
      <c r="A3" s="216" t="s">
        <v>12</v>
      </c>
      <c r="C3" t="s">
        <v>302</v>
      </c>
    </row>
    <row r="4" spans="1:3" x14ac:dyDescent="0.35">
      <c r="A4" s="216" t="s">
        <v>14</v>
      </c>
      <c r="C4" t="s">
        <v>301</v>
      </c>
    </row>
    <row r="5" spans="1:3" x14ac:dyDescent="0.35">
      <c r="A5" s="9" t="s">
        <v>15</v>
      </c>
      <c r="C5" t="s">
        <v>301</v>
      </c>
    </row>
    <row r="6" spans="1:3" x14ac:dyDescent="0.35">
      <c r="A6" s="216" t="s">
        <v>21</v>
      </c>
      <c r="C6" t="s">
        <v>302</v>
      </c>
    </row>
    <row r="7" spans="1:3" x14ac:dyDescent="0.35">
      <c r="A7" s="9" t="s">
        <v>43</v>
      </c>
      <c r="C7" t="s">
        <v>301</v>
      </c>
    </row>
    <row r="8" spans="1:3" x14ac:dyDescent="0.35">
      <c r="A8" s="9" t="s">
        <v>86</v>
      </c>
      <c r="C8" t="s">
        <v>301</v>
      </c>
    </row>
    <row r="9" spans="1:3" x14ac:dyDescent="0.35">
      <c r="A9" s="9" t="s">
        <v>22</v>
      </c>
      <c r="C9" t="s">
        <v>301</v>
      </c>
    </row>
    <row r="10" spans="1:3" x14ac:dyDescent="0.35">
      <c r="A10" s="9" t="s">
        <v>71</v>
      </c>
      <c r="C10" t="s">
        <v>304</v>
      </c>
    </row>
    <row r="11" spans="1:3" x14ac:dyDescent="0.35">
      <c r="A11" s="9" t="s">
        <v>87</v>
      </c>
      <c r="C11" t="s">
        <v>301</v>
      </c>
    </row>
    <row r="12" spans="1:3" x14ac:dyDescent="0.35">
      <c r="A12" s="9" t="s">
        <v>85</v>
      </c>
      <c r="C12" t="s">
        <v>301</v>
      </c>
    </row>
    <row r="13" spans="1:3" x14ac:dyDescent="0.35">
      <c r="A13" s="9" t="s">
        <v>88</v>
      </c>
      <c r="C13" t="s">
        <v>302</v>
      </c>
    </row>
    <row r="14" spans="1:3" x14ac:dyDescent="0.35">
      <c r="A14" s="217" t="s">
        <v>259</v>
      </c>
      <c r="C14" t="s">
        <v>303</v>
      </c>
    </row>
    <row r="15" spans="1:3" x14ac:dyDescent="0.35">
      <c r="A15" s="217" t="s">
        <v>200</v>
      </c>
      <c r="C15" t="s">
        <v>301</v>
      </c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6"/>
  <sheetViews>
    <sheetView workbookViewId="0">
      <selection activeCell="D19" sqref="D19"/>
    </sheetView>
  </sheetViews>
  <sheetFormatPr defaultRowHeight="14.5" x14ac:dyDescent="0.35"/>
  <cols>
    <col min="2" max="2" width="21.26953125" bestFit="1" customWidth="1"/>
    <col min="3" max="3" width="11.81640625" bestFit="1" customWidth="1"/>
    <col min="4" max="4" width="48.54296875" bestFit="1" customWidth="1"/>
  </cols>
  <sheetData>
    <row r="1" spans="1:5" x14ac:dyDescent="0.35">
      <c r="A1" s="121" t="s">
        <v>155</v>
      </c>
      <c r="B1" s="121" t="s">
        <v>156</v>
      </c>
      <c r="C1" s="121" t="s">
        <v>157</v>
      </c>
      <c r="D1" s="121" t="s">
        <v>158</v>
      </c>
      <c r="E1" s="121" t="s">
        <v>159</v>
      </c>
    </row>
    <row r="2" spans="1:5" x14ac:dyDescent="0.35">
      <c r="A2" s="121">
        <v>1</v>
      </c>
      <c r="B2" s="121" t="s">
        <v>160</v>
      </c>
      <c r="C2" s="121" t="s">
        <v>161</v>
      </c>
      <c r="D2" s="121" t="s">
        <v>162</v>
      </c>
      <c r="E2" s="121" t="s">
        <v>163</v>
      </c>
    </row>
    <row r="3" spans="1:5" x14ac:dyDescent="0.35">
      <c r="A3" s="121">
        <v>2</v>
      </c>
      <c r="B3" s="121" t="s">
        <v>164</v>
      </c>
      <c r="C3" s="121" t="s">
        <v>165</v>
      </c>
      <c r="D3" s="121" t="s">
        <v>166</v>
      </c>
      <c r="E3" s="121" t="s">
        <v>167</v>
      </c>
    </row>
    <row r="4" spans="1:5" x14ac:dyDescent="0.35">
      <c r="A4" s="121">
        <v>3</v>
      </c>
      <c r="B4" s="121" t="s">
        <v>168</v>
      </c>
      <c r="C4" s="121" t="s">
        <v>165</v>
      </c>
      <c r="D4" s="121" t="s">
        <v>169</v>
      </c>
      <c r="E4" s="121" t="s">
        <v>167</v>
      </c>
    </row>
    <row r="5" spans="1:5" x14ac:dyDescent="0.35">
      <c r="A5" s="121">
        <v>4</v>
      </c>
      <c r="B5" s="121" t="s">
        <v>170</v>
      </c>
      <c r="C5" s="121" t="s">
        <v>171</v>
      </c>
      <c r="D5" s="121" t="s">
        <v>172</v>
      </c>
      <c r="E5" s="121" t="s">
        <v>173</v>
      </c>
    </row>
    <row r="6" spans="1:5" x14ac:dyDescent="0.35">
      <c r="A6" s="121">
        <v>5</v>
      </c>
      <c r="B6" s="121" t="s">
        <v>174</v>
      </c>
      <c r="C6" s="121" t="s">
        <v>175</v>
      </c>
      <c r="D6" s="121" t="s">
        <v>176</v>
      </c>
      <c r="E6" s="121" t="s">
        <v>173</v>
      </c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7"/>
  <sheetViews>
    <sheetView workbookViewId="0">
      <selection activeCell="A17" sqref="A17"/>
    </sheetView>
  </sheetViews>
  <sheetFormatPr defaultRowHeight="14.5" x14ac:dyDescent="0.35"/>
  <cols>
    <col min="1" max="1" width="11.453125" bestFit="1" customWidth="1"/>
    <col min="2" max="2" width="24.54296875" bestFit="1" customWidth="1"/>
    <col min="3" max="3" width="41.26953125" bestFit="1" customWidth="1"/>
    <col min="4" max="4" width="22" bestFit="1" customWidth="1"/>
  </cols>
  <sheetData>
    <row r="1" spans="1:4" x14ac:dyDescent="0.35">
      <c r="A1" s="79"/>
      <c r="B1" s="80" t="s">
        <v>97</v>
      </c>
      <c r="C1" s="80" t="s">
        <v>51</v>
      </c>
      <c r="D1" s="80" t="s">
        <v>94</v>
      </c>
    </row>
    <row r="2" spans="1:4" x14ac:dyDescent="0.35">
      <c r="A2" s="79" t="s">
        <v>52</v>
      </c>
      <c r="B2" s="79" t="s">
        <v>53</v>
      </c>
      <c r="C2" s="81" t="s">
        <v>54</v>
      </c>
      <c r="D2" s="70" t="s">
        <v>91</v>
      </c>
    </row>
    <row r="3" spans="1:4" x14ac:dyDescent="0.35">
      <c r="A3" s="79" t="s">
        <v>55</v>
      </c>
      <c r="B3" s="79" t="s">
        <v>56</v>
      </c>
      <c r="C3" s="81" t="s">
        <v>57</v>
      </c>
      <c r="D3" s="70" t="s">
        <v>91</v>
      </c>
    </row>
    <row r="4" spans="1:4" x14ac:dyDescent="0.35">
      <c r="A4" s="79" t="s">
        <v>58</v>
      </c>
      <c r="B4" s="79" t="s">
        <v>59</v>
      </c>
      <c r="C4" s="81" t="s">
        <v>60</v>
      </c>
      <c r="D4" s="70" t="s">
        <v>91</v>
      </c>
    </row>
    <row r="5" spans="1:4" x14ac:dyDescent="0.35">
      <c r="A5" s="79" t="s">
        <v>61</v>
      </c>
      <c r="B5" s="79" t="s">
        <v>62</v>
      </c>
      <c r="C5" s="81" t="s">
        <v>63</v>
      </c>
      <c r="D5" s="70" t="s">
        <v>210</v>
      </c>
    </row>
    <row r="6" spans="1:4" x14ac:dyDescent="0.35">
      <c r="A6" s="79" t="s">
        <v>66</v>
      </c>
      <c r="B6" s="79" t="s">
        <v>184</v>
      </c>
      <c r="C6" s="81" t="s">
        <v>67</v>
      </c>
      <c r="D6" s="70" t="s">
        <v>210</v>
      </c>
    </row>
    <row r="7" spans="1:4" x14ac:dyDescent="0.35">
      <c r="A7" s="79" t="s">
        <v>68</v>
      </c>
      <c r="B7" s="79" t="s">
        <v>69</v>
      </c>
      <c r="C7" s="81" t="s">
        <v>70</v>
      </c>
      <c r="D7" s="70" t="s">
        <v>92</v>
      </c>
    </row>
    <row r="8" spans="1:4" x14ac:dyDescent="0.35">
      <c r="A8" s="79">
        <v>46051834</v>
      </c>
      <c r="B8" s="79" t="s">
        <v>71</v>
      </c>
      <c r="C8" s="81" t="s">
        <v>72</v>
      </c>
      <c r="D8" s="70" t="s">
        <v>208</v>
      </c>
    </row>
    <row r="9" spans="1:4" x14ac:dyDescent="0.35">
      <c r="A9" s="79" t="s">
        <v>73</v>
      </c>
      <c r="B9" s="79" t="s">
        <v>74</v>
      </c>
      <c r="C9" s="81" t="s">
        <v>75</v>
      </c>
      <c r="D9" s="70" t="s">
        <v>208</v>
      </c>
    </row>
    <row r="10" spans="1:4" x14ac:dyDescent="0.35">
      <c r="A10" s="79" t="s">
        <v>76</v>
      </c>
      <c r="B10" s="79" t="s">
        <v>43</v>
      </c>
      <c r="C10" s="81" t="s">
        <v>77</v>
      </c>
      <c r="D10" s="70" t="s">
        <v>92</v>
      </c>
    </row>
    <row r="11" spans="1:4" x14ac:dyDescent="0.35">
      <c r="A11" s="79" t="s">
        <v>78</v>
      </c>
      <c r="B11" s="79" t="s">
        <v>79</v>
      </c>
      <c r="C11" s="81" t="s">
        <v>80</v>
      </c>
      <c r="D11" s="70" t="s">
        <v>208</v>
      </c>
    </row>
    <row r="12" spans="1:4" x14ac:dyDescent="0.35">
      <c r="A12" s="79" t="s">
        <v>82</v>
      </c>
      <c r="B12" s="79" t="s">
        <v>83</v>
      </c>
      <c r="C12" s="81" t="s">
        <v>84</v>
      </c>
      <c r="D12" s="70" t="s">
        <v>208</v>
      </c>
    </row>
    <row r="13" spans="1:4" ht="17" x14ac:dyDescent="0.35">
      <c r="A13" s="79">
        <v>46075393</v>
      </c>
      <c r="B13" s="79" t="s">
        <v>87</v>
      </c>
      <c r="C13" s="81" t="s">
        <v>125</v>
      </c>
      <c r="D13" s="82" t="s">
        <v>93</v>
      </c>
    </row>
    <row r="14" spans="1:4" ht="17" x14ac:dyDescent="0.35">
      <c r="A14" s="79" t="s">
        <v>126</v>
      </c>
      <c r="B14" s="79" t="s">
        <v>85</v>
      </c>
      <c r="C14" s="81" t="s">
        <v>127</v>
      </c>
      <c r="D14" s="82" t="s">
        <v>93</v>
      </c>
    </row>
    <row r="15" spans="1:4" ht="17" x14ac:dyDescent="0.35">
      <c r="A15" s="79" t="s">
        <v>128</v>
      </c>
      <c r="B15" s="79" t="s">
        <v>88</v>
      </c>
      <c r="C15" s="81" t="s">
        <v>129</v>
      </c>
      <c r="D15" s="82" t="s">
        <v>93</v>
      </c>
    </row>
    <row r="16" spans="1:4" ht="17" x14ac:dyDescent="0.35">
      <c r="A16" s="79">
        <v>46226182</v>
      </c>
      <c r="B16" s="172" t="s">
        <v>209</v>
      </c>
      <c r="C16" s="81" t="s">
        <v>211</v>
      </c>
      <c r="D16" s="173" t="s">
        <v>210</v>
      </c>
    </row>
    <row r="17" spans="2:4" ht="17" x14ac:dyDescent="0.35">
      <c r="B17" s="172" t="s">
        <v>300</v>
      </c>
      <c r="D17" s="173" t="s">
        <v>210</v>
      </c>
    </row>
  </sheetData>
  <hyperlinks>
    <hyperlink ref="C3" r:id="rId1" xr:uid="{00000000-0004-0000-1B00-000000000000}"/>
    <hyperlink ref="C4" r:id="rId2" xr:uid="{00000000-0004-0000-1B00-000001000000}"/>
    <hyperlink ref="C5" r:id="rId3" xr:uid="{00000000-0004-0000-1B00-000002000000}"/>
    <hyperlink ref="C7" r:id="rId4" xr:uid="{00000000-0004-0000-1B00-000003000000}"/>
    <hyperlink ref="C2" r:id="rId5" xr:uid="{00000000-0004-0000-1B00-000004000000}"/>
    <hyperlink ref="C6" r:id="rId6" xr:uid="{00000000-0004-0000-1B00-000005000000}"/>
    <hyperlink ref="C8" r:id="rId7" xr:uid="{00000000-0004-0000-1B00-000006000000}"/>
    <hyperlink ref="C9" r:id="rId8" xr:uid="{00000000-0004-0000-1B00-000007000000}"/>
    <hyperlink ref="C11" r:id="rId9" xr:uid="{00000000-0004-0000-1B00-000008000000}"/>
    <hyperlink ref="C10" r:id="rId10" xr:uid="{00000000-0004-0000-1B00-000009000000}"/>
  </hyperlinks>
  <pageMargins left="0.7" right="0.7" top="0.75" bottom="0.75" header="0.3" footer="0.3"/>
  <pageSetup orientation="portrait" r:id="rId1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5"/>
  <sheetViews>
    <sheetView workbookViewId="0">
      <selection activeCell="E15" sqref="E15"/>
    </sheetView>
  </sheetViews>
  <sheetFormatPr defaultRowHeight="14.5" x14ac:dyDescent="0.35"/>
  <cols>
    <col min="1" max="1" width="8.08984375" bestFit="1" customWidth="1"/>
    <col min="2" max="2" width="16.36328125" bestFit="1" customWidth="1"/>
    <col min="3" max="3" width="10.08984375" bestFit="1" customWidth="1"/>
    <col min="4" max="4" width="13.6328125" bestFit="1" customWidth="1"/>
  </cols>
  <sheetData>
    <row r="1" spans="1:5" ht="39" x14ac:dyDescent="0.35">
      <c r="A1" s="73" t="s">
        <v>96</v>
      </c>
      <c r="B1" s="73" t="s">
        <v>97</v>
      </c>
      <c r="C1" s="73" t="s">
        <v>98</v>
      </c>
      <c r="D1" s="73" t="s">
        <v>99</v>
      </c>
      <c r="E1" s="73" t="s">
        <v>150</v>
      </c>
    </row>
    <row r="2" spans="1:5" ht="26" x14ac:dyDescent="0.35">
      <c r="A2" s="74">
        <v>46045351</v>
      </c>
      <c r="B2" s="74" t="s">
        <v>100</v>
      </c>
      <c r="C2" s="74" t="s">
        <v>101</v>
      </c>
      <c r="D2" s="74" t="s">
        <v>102</v>
      </c>
      <c r="E2" s="74" t="s">
        <v>101</v>
      </c>
    </row>
    <row r="3" spans="1:5" x14ac:dyDescent="0.35">
      <c r="A3" s="75">
        <v>46041450</v>
      </c>
      <c r="B3" s="76" t="s">
        <v>43</v>
      </c>
      <c r="C3" s="76" t="s">
        <v>103</v>
      </c>
      <c r="D3" s="76" t="s">
        <v>104</v>
      </c>
      <c r="E3" s="99" t="s">
        <v>151</v>
      </c>
    </row>
    <row r="4" spans="1:5" x14ac:dyDescent="0.35">
      <c r="A4" s="77">
        <v>1438409</v>
      </c>
      <c r="B4" s="76" t="s">
        <v>105</v>
      </c>
      <c r="C4" s="76" t="s">
        <v>103</v>
      </c>
      <c r="D4" s="76" t="s">
        <v>104</v>
      </c>
      <c r="E4" s="99" t="s">
        <v>151</v>
      </c>
    </row>
    <row r="5" spans="1:5" x14ac:dyDescent="0.35">
      <c r="A5" s="78">
        <v>904589</v>
      </c>
      <c r="B5" s="78" t="s">
        <v>1</v>
      </c>
      <c r="C5" s="78" t="s">
        <v>106</v>
      </c>
      <c r="D5" s="78" t="s">
        <v>107</v>
      </c>
      <c r="E5" s="78" t="s">
        <v>106</v>
      </c>
    </row>
    <row r="6" spans="1:5" x14ac:dyDescent="0.35">
      <c r="A6" s="78">
        <v>46029952</v>
      </c>
      <c r="B6" s="74" t="s">
        <v>22</v>
      </c>
      <c r="C6" s="74" t="s">
        <v>108</v>
      </c>
      <c r="D6" s="74" t="s">
        <v>109</v>
      </c>
      <c r="E6" s="70" t="s">
        <v>256</v>
      </c>
    </row>
    <row r="7" spans="1:5" x14ac:dyDescent="0.35">
      <c r="A7" s="77">
        <v>46103795</v>
      </c>
      <c r="B7" s="76" t="s">
        <v>85</v>
      </c>
      <c r="C7" s="76" t="s">
        <v>258</v>
      </c>
      <c r="D7" s="76" t="s">
        <v>110</v>
      </c>
      <c r="E7" s="99" t="s">
        <v>257</v>
      </c>
    </row>
    <row r="8" spans="1:5" ht="26" x14ac:dyDescent="0.35">
      <c r="A8" s="78">
        <v>46027125</v>
      </c>
      <c r="B8" s="78" t="s">
        <v>74</v>
      </c>
      <c r="C8" s="78" t="s">
        <v>111</v>
      </c>
      <c r="D8" s="76" t="s">
        <v>104</v>
      </c>
      <c r="E8" s="78" t="s">
        <v>151</v>
      </c>
    </row>
    <row r="9" spans="1:5" x14ac:dyDescent="0.35">
      <c r="A9" s="77">
        <v>1338995</v>
      </c>
      <c r="B9" s="77" t="s">
        <v>112</v>
      </c>
      <c r="C9" s="77" t="s">
        <v>113</v>
      </c>
      <c r="D9" s="76" t="s">
        <v>104</v>
      </c>
      <c r="E9" s="100" t="s">
        <v>151</v>
      </c>
    </row>
    <row r="10" spans="1:5" x14ac:dyDescent="0.35">
      <c r="A10" s="77">
        <v>46122508</v>
      </c>
      <c r="B10" s="77" t="s">
        <v>88</v>
      </c>
      <c r="C10" s="77" t="s">
        <v>114</v>
      </c>
      <c r="D10" s="77" t="s">
        <v>115</v>
      </c>
      <c r="E10" s="100" t="s">
        <v>106</v>
      </c>
    </row>
    <row r="11" spans="1:5" x14ac:dyDescent="0.35">
      <c r="A11" s="74">
        <v>46051834</v>
      </c>
      <c r="B11" s="74" t="s">
        <v>71</v>
      </c>
      <c r="C11" s="74" t="s">
        <v>116</v>
      </c>
      <c r="D11" s="74" t="s">
        <v>107</v>
      </c>
      <c r="E11" s="74" t="s">
        <v>152</v>
      </c>
    </row>
    <row r="12" spans="1:5" x14ac:dyDescent="0.35">
      <c r="A12" s="74">
        <v>1448435</v>
      </c>
      <c r="B12" s="74" t="s">
        <v>69</v>
      </c>
      <c r="C12" s="74" t="s">
        <v>116</v>
      </c>
      <c r="D12" s="74" t="s">
        <v>107</v>
      </c>
      <c r="E12" s="74" t="s">
        <v>152</v>
      </c>
    </row>
    <row r="13" spans="1:5" x14ac:dyDescent="0.35">
      <c r="A13" s="74">
        <v>1116709</v>
      </c>
      <c r="B13" s="74" t="s">
        <v>56</v>
      </c>
      <c r="C13" s="74" t="s">
        <v>117</v>
      </c>
      <c r="D13" s="74" t="s">
        <v>118</v>
      </c>
      <c r="E13" s="74" t="s">
        <v>106</v>
      </c>
    </row>
    <row r="14" spans="1:5" x14ac:dyDescent="0.35">
      <c r="A14" s="74">
        <v>1358209</v>
      </c>
      <c r="B14" s="74" t="s">
        <v>119</v>
      </c>
      <c r="C14" s="74" t="s">
        <v>120</v>
      </c>
      <c r="D14" s="74" t="s">
        <v>121</v>
      </c>
      <c r="E14" s="74" t="s">
        <v>257</v>
      </c>
    </row>
    <row r="15" spans="1:5" x14ac:dyDescent="0.35">
      <c r="A15" s="74">
        <v>46075393</v>
      </c>
      <c r="B15" s="74" t="s">
        <v>122</v>
      </c>
      <c r="C15" s="74" t="s">
        <v>123</v>
      </c>
      <c r="D15" s="74" t="s">
        <v>107</v>
      </c>
      <c r="E15" s="74" t="s">
        <v>106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7"/>
  <sheetViews>
    <sheetView workbookViewId="0">
      <selection activeCell="H5" sqref="H5"/>
    </sheetView>
  </sheetViews>
  <sheetFormatPr defaultRowHeight="14.5" x14ac:dyDescent="0.35"/>
  <cols>
    <col min="1" max="1" width="12" bestFit="1" customWidth="1"/>
    <col min="2" max="2" width="12.08984375" bestFit="1" customWidth="1"/>
    <col min="3" max="3" width="14.81640625" bestFit="1" customWidth="1"/>
    <col min="4" max="4" width="19.6328125" bestFit="1" customWidth="1"/>
    <col min="5" max="5" width="7.7265625" bestFit="1" customWidth="1"/>
    <col min="6" max="6" width="9.08984375" bestFit="1" customWidth="1"/>
    <col min="7" max="7" width="11.1796875" bestFit="1" customWidth="1"/>
    <col min="8" max="8" width="40.54296875" bestFit="1" customWidth="1"/>
  </cols>
  <sheetData>
    <row r="1" spans="1:8" x14ac:dyDescent="0.35">
      <c r="A1" s="98" t="s">
        <v>130</v>
      </c>
      <c r="B1" s="98" t="s">
        <v>131</v>
      </c>
      <c r="C1" s="98" t="s">
        <v>132</v>
      </c>
      <c r="D1" s="98" t="s">
        <v>133</v>
      </c>
      <c r="E1" s="98" t="s">
        <v>134</v>
      </c>
      <c r="F1" s="98" t="s">
        <v>135</v>
      </c>
      <c r="G1" s="98" t="s">
        <v>136</v>
      </c>
      <c r="H1" s="98" t="s">
        <v>141</v>
      </c>
    </row>
    <row r="2" spans="1:8" x14ac:dyDescent="0.35">
      <c r="A2" s="86" t="s">
        <v>55</v>
      </c>
      <c r="B2" s="86">
        <v>1116709</v>
      </c>
      <c r="C2" s="86" t="s">
        <v>9</v>
      </c>
      <c r="D2" s="86" t="s">
        <v>137</v>
      </c>
      <c r="E2" s="87">
        <v>0.54166666666666663</v>
      </c>
      <c r="F2" s="87">
        <v>0.9590277777777777</v>
      </c>
      <c r="G2" s="87">
        <v>0.41736111111111113</v>
      </c>
      <c r="H2" s="88">
        <v>44656</v>
      </c>
    </row>
    <row r="3" spans="1:8" x14ac:dyDescent="0.35">
      <c r="A3" s="86">
        <v>46045351</v>
      </c>
      <c r="B3" s="86" t="s">
        <v>147</v>
      </c>
      <c r="C3" s="86" t="s">
        <v>138</v>
      </c>
      <c r="D3" s="86" t="s">
        <v>137</v>
      </c>
      <c r="E3" s="86" t="s">
        <v>139</v>
      </c>
      <c r="F3" s="86" t="s">
        <v>140</v>
      </c>
      <c r="G3" s="86" t="s">
        <v>143</v>
      </c>
      <c r="H3" s="88">
        <v>44656</v>
      </c>
    </row>
    <row r="4" spans="1:8" x14ac:dyDescent="0.35">
      <c r="A4" s="86" t="s">
        <v>52</v>
      </c>
      <c r="B4" s="86">
        <v>904589</v>
      </c>
      <c r="C4" s="89" t="s">
        <v>1</v>
      </c>
      <c r="D4" s="86" t="s">
        <v>137</v>
      </c>
      <c r="E4" s="90">
        <v>0.25</v>
      </c>
      <c r="F4" s="90">
        <v>0.65625</v>
      </c>
      <c r="G4" s="90">
        <v>0.40625</v>
      </c>
      <c r="H4" s="88">
        <v>44656</v>
      </c>
    </row>
    <row r="5" spans="1:8" ht="26" x14ac:dyDescent="0.35">
      <c r="A5" s="91">
        <v>46075393</v>
      </c>
      <c r="B5" s="92">
        <v>46075393</v>
      </c>
      <c r="C5" s="91" t="s">
        <v>142</v>
      </c>
      <c r="D5" s="86" t="s">
        <v>137</v>
      </c>
      <c r="E5" s="90">
        <v>0.25</v>
      </c>
      <c r="F5" s="90">
        <v>0.64583333333333337</v>
      </c>
      <c r="G5" s="93">
        <v>0.39583333333333331</v>
      </c>
      <c r="H5" s="91" t="s">
        <v>149</v>
      </c>
    </row>
    <row r="6" spans="1:8" ht="39" x14ac:dyDescent="0.35">
      <c r="A6" s="92" t="s">
        <v>64</v>
      </c>
      <c r="B6" s="92" t="s">
        <v>148</v>
      </c>
      <c r="C6" s="91" t="s">
        <v>144</v>
      </c>
      <c r="D6" s="86" t="s">
        <v>137</v>
      </c>
      <c r="E6" s="94">
        <v>0.9194444444444444</v>
      </c>
      <c r="F6" s="94">
        <v>0.30972222222222223</v>
      </c>
      <c r="G6" s="95" t="s">
        <v>145</v>
      </c>
      <c r="H6" s="88">
        <v>44656</v>
      </c>
    </row>
    <row r="7" spans="1:8" ht="26" x14ac:dyDescent="0.35">
      <c r="A7" s="96">
        <v>46027125</v>
      </c>
      <c r="B7" s="96" t="s">
        <v>73</v>
      </c>
      <c r="C7" s="96" t="s">
        <v>146</v>
      </c>
      <c r="D7" s="86" t="s">
        <v>137</v>
      </c>
      <c r="E7" s="97">
        <v>0.91666666666666663</v>
      </c>
      <c r="F7" s="97">
        <v>0.3125</v>
      </c>
      <c r="G7" s="97">
        <v>0.39583333333333331</v>
      </c>
      <c r="H7" s="88">
        <v>44656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NOV'21</vt:lpstr>
      <vt:lpstr>DEC'21</vt:lpstr>
      <vt:lpstr>Jan'22</vt:lpstr>
      <vt:lpstr>Feb'22</vt:lpstr>
      <vt:lpstr>March'22</vt:lpstr>
      <vt:lpstr>April'22</vt:lpstr>
      <vt:lpstr>May'22</vt:lpstr>
      <vt:lpstr>May_Hybrid</vt:lpstr>
      <vt:lpstr>Jun'22 </vt:lpstr>
      <vt:lpstr>July'22</vt:lpstr>
      <vt:lpstr>July'22 New</vt:lpstr>
      <vt:lpstr>Aug'22</vt:lpstr>
      <vt:lpstr>Aug'22 New</vt:lpstr>
      <vt:lpstr>Aug'22_Dipak_format</vt:lpstr>
      <vt:lpstr>Sept'22_old</vt:lpstr>
      <vt:lpstr>Sept'22</vt:lpstr>
      <vt:lpstr>Oct'22</vt:lpstr>
      <vt:lpstr>Oct'22_updated</vt:lpstr>
      <vt:lpstr>Nov'22</vt:lpstr>
      <vt:lpstr>Dec'22</vt:lpstr>
      <vt:lpstr>Jan'23</vt:lpstr>
      <vt:lpstr>Pool_Leave_WFO</vt:lpstr>
      <vt:lpstr>compoff_data</vt:lpstr>
      <vt:lpstr>Optional_Holidays</vt:lpstr>
      <vt:lpstr>Dipak leave info</vt:lpstr>
      <vt:lpstr>peakon details</vt:lpstr>
      <vt:lpstr>shift group</vt:lpstr>
      <vt:lpstr>Associate_details</vt:lpstr>
      <vt:lpstr>Current location</vt:lpstr>
      <vt:lpstr>May 1st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Shaikh, Saifullah</dc:creator>
  <cp:lastModifiedBy>R, Rakesh</cp:lastModifiedBy>
  <dcterms:created xsi:type="dcterms:W3CDTF">2021-01-17T03:52:30Z</dcterms:created>
  <dcterms:modified xsi:type="dcterms:W3CDTF">2022-12-24T19:04:41Z</dcterms:modified>
  <cp:contentStatus/>
</cp:coreProperties>
</file>