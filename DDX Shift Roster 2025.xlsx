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fileSharing readOnlyRecommended="1" userName="Shaikh, Saifullah" algorithmName="SHA-512" hashValue="SXvUDusbEw2AKVwXylwvGkK0ViD/hckpHn90XOtFi2j5jJifFTRISBsEvRfl63cNqcD2dSs4MAI2lUDd/9+dYQ==" saltValue="yV8w3I3PcX4qT3W1upm0ww==" spinCount="100000"/>
  <workbookPr codeName="ThisWorkbook"/>
  <mc:AlternateContent xmlns:mc="http://schemas.openxmlformats.org/markup-compatibility/2006">
    <mc:Choice Requires="x15">
      <x15ac:absPath xmlns:x15ac="http://schemas.microsoft.com/office/spreadsheetml/2010/11/ac" url="\\inazcifs01.file.core.windows.net\inpunazfs01\Discover Project\DFS DOMESTIC\Project execution - 2008\AMS\Payment\Shift Roaster\eWallet\"/>
    </mc:Choice>
  </mc:AlternateContent>
  <xr:revisionPtr revIDLastSave="0" documentId="13_ncr:10001_{1222E940-C0E6-481D-A088-AC47A7C9F599}" xr6:coauthVersionLast="47" xr6:coauthVersionMax="47" xr10:uidLastSave="{00000000-0000-0000-0000-000000000000}"/>
  <bookViews>
    <workbookView xWindow="-110" yWindow="-110" windowWidth="19420" windowHeight="10300" tabRatio="1000" firstSheet="41" activeTab="46" xr2:uid="{00000000-000D-0000-FFFF-FFFF00000000}"/>
  </bookViews>
  <sheets>
    <sheet name="NOV'21" sheetId="2" state="hidden" r:id="rId1"/>
    <sheet name="DEC'21" sheetId="9" state="hidden" r:id="rId2"/>
    <sheet name="Jan'22" sheetId="11" state="hidden" r:id="rId3"/>
    <sheet name="Feb'22" sheetId="12" state="hidden" r:id="rId4"/>
    <sheet name="March'22" sheetId="13" state="hidden" r:id="rId5"/>
    <sheet name="April'22" sheetId="15" state="hidden" r:id="rId6"/>
    <sheet name="May'22" sheetId="17" state="hidden" r:id="rId7"/>
    <sheet name="May_Hybrid" sheetId="19" state="hidden" r:id="rId8"/>
    <sheet name="Jun'22 " sheetId="18" state="hidden" r:id="rId9"/>
    <sheet name="July'22" sheetId="21" state="hidden" r:id="rId10"/>
    <sheet name="July'22 New" sheetId="25" state="hidden" r:id="rId11"/>
    <sheet name="Aug'22" sheetId="22" state="hidden" r:id="rId12"/>
    <sheet name="Aug'22 New" sheetId="26" state="hidden" r:id="rId13"/>
    <sheet name="Aug'22_Dipak_format" sheetId="34" state="hidden" r:id="rId14"/>
    <sheet name="Sept'22_old" sheetId="35" state="hidden" r:id="rId15"/>
    <sheet name="Sept'22" sheetId="36" state="hidden" r:id="rId16"/>
    <sheet name="Oct'22" sheetId="37" state="hidden" r:id="rId17"/>
    <sheet name="Oct'22_updated" sheetId="38" state="hidden" r:id="rId18"/>
    <sheet name="Nov'22" sheetId="39" state="hidden" r:id="rId19"/>
    <sheet name="Dec'22" sheetId="42" state="hidden" r:id="rId20"/>
    <sheet name="Jan'23" sheetId="43" state="hidden" r:id="rId21"/>
    <sheet name="Feb'23 _bkp" sheetId="45" state="hidden" r:id="rId22"/>
    <sheet name="Feb'23" sheetId="44" state="hidden" r:id="rId23"/>
    <sheet name="Mar'23" sheetId="46" state="hidden" r:id="rId24"/>
    <sheet name="Apr'23" sheetId="47" state="hidden" r:id="rId25"/>
    <sheet name="May'23" sheetId="48" state="hidden" r:id="rId26"/>
    <sheet name="Jun'23" sheetId="49" state="hidden" r:id="rId27"/>
    <sheet name="July'23" sheetId="50" state="hidden" r:id="rId28"/>
    <sheet name="Aug'23" sheetId="51" state="hidden" r:id="rId29"/>
    <sheet name="Sept'23" sheetId="53" state="hidden" r:id="rId30"/>
    <sheet name="Oct'23" sheetId="54" state="hidden" r:id="rId31"/>
    <sheet name="Nov'23" sheetId="55" state="hidden" r:id="rId32"/>
    <sheet name="Dec'23" sheetId="57" r:id="rId33"/>
    <sheet name="Jan'24" sheetId="58" r:id="rId34"/>
    <sheet name="Feb'24" sheetId="59" r:id="rId35"/>
    <sheet name="Mar'24" sheetId="60" r:id="rId36"/>
    <sheet name="Apr'24" sheetId="61" r:id="rId37"/>
    <sheet name="May'24" sheetId="62" r:id="rId38"/>
    <sheet name="June'24" sheetId="63" r:id="rId39"/>
    <sheet name="Jul'24" sheetId="64" r:id="rId40"/>
    <sheet name="Aug'24" sheetId="66" r:id="rId41"/>
    <sheet name="Sep'24 " sheetId="67" r:id="rId42"/>
    <sheet name="Oct'24" sheetId="70" r:id="rId43"/>
    <sheet name="Nov'24" sheetId="72" r:id="rId44"/>
    <sheet name="Dec'24" sheetId="73" r:id="rId45"/>
    <sheet name="Jan'25" sheetId="74" r:id="rId46"/>
    <sheet name="Feb'25" sheetId="75" r:id="rId47"/>
    <sheet name="60 hours" sheetId="56" r:id="rId48"/>
    <sheet name="BTO exception" sheetId="71" r:id="rId49"/>
    <sheet name="Associate_details" sheetId="10" r:id="rId50"/>
    <sheet name="Current location" sheetId="16" r:id="rId51"/>
    <sheet name="Learning hours" sheetId="68" r:id="rId52"/>
    <sheet name="DS details CO and leave" sheetId="69" r:id="rId53"/>
  </sheets>
  <definedNames>
    <definedName name="_xlnm._FilterDatabase" localSheetId="47" hidden="1">'60 hours'!$A$1:$G$58</definedName>
    <definedName name="_xlnm._FilterDatabase" localSheetId="49" hidden="1">Associate_details!$A$1:$K$21</definedName>
    <definedName name="_xlnm._FilterDatabase" localSheetId="50" hidden="1">'Current location'!$H$1:$L$15</definedName>
    <definedName name="_xlnm._FilterDatabase" localSheetId="51" hidden="1">'Learning hours'!$A$1:$D$16</definedName>
    <definedName name="_xlnm._FilterDatabase" localSheetId="16" hidden="1">'Oct''22'!$A$1:$A$20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74" l="1"/>
  <c r="AE35" i="75"/>
  <c r="AD35" i="75"/>
  <c r="AC35" i="75"/>
  <c r="AB35" i="75"/>
  <c r="AA35" i="75"/>
  <c r="Z35" i="75"/>
  <c r="Y35" i="75"/>
  <c r="X35" i="75"/>
  <c r="W35" i="75"/>
  <c r="V35" i="75"/>
  <c r="U35" i="75"/>
  <c r="T35" i="75"/>
  <c r="S35" i="75"/>
  <c r="R35" i="75"/>
  <c r="Q35" i="75"/>
  <c r="P35" i="75"/>
  <c r="O35" i="75"/>
  <c r="N35" i="75"/>
  <c r="M35" i="75"/>
  <c r="L35" i="75"/>
  <c r="K35" i="75"/>
  <c r="J35" i="75"/>
  <c r="I35" i="75"/>
  <c r="H35" i="75"/>
  <c r="G35" i="75"/>
  <c r="F35" i="75"/>
  <c r="E35" i="75"/>
  <c r="D35" i="75"/>
  <c r="C35" i="75"/>
  <c r="B35" i="75"/>
  <c r="AE34" i="75"/>
  <c r="AD34" i="75"/>
  <c r="AC34" i="75"/>
  <c r="AB34" i="75"/>
  <c r="AA34" i="75"/>
  <c r="Z34" i="75"/>
  <c r="Y34" i="75"/>
  <c r="X34" i="75"/>
  <c r="W34" i="75"/>
  <c r="V34" i="75"/>
  <c r="U34" i="75"/>
  <c r="T34" i="75"/>
  <c r="S34" i="75"/>
  <c r="R34" i="75"/>
  <c r="Q34" i="75"/>
  <c r="P34" i="75"/>
  <c r="O34" i="75"/>
  <c r="N34" i="75"/>
  <c r="M34" i="75"/>
  <c r="L34" i="75"/>
  <c r="K34" i="75"/>
  <c r="J34" i="75"/>
  <c r="I34" i="75"/>
  <c r="H34" i="75"/>
  <c r="G34" i="75"/>
  <c r="F34" i="75"/>
  <c r="E34" i="75"/>
  <c r="D34" i="75"/>
  <c r="C34" i="75"/>
  <c r="B34" i="75"/>
  <c r="AE33" i="75"/>
  <c r="AD33" i="75"/>
  <c r="AC33" i="75"/>
  <c r="AB33" i="75"/>
  <c r="AA33" i="75"/>
  <c r="Z33" i="75"/>
  <c r="Y33" i="75"/>
  <c r="X33" i="75"/>
  <c r="W33" i="75"/>
  <c r="V33" i="75"/>
  <c r="U33" i="75"/>
  <c r="T33" i="75"/>
  <c r="S33" i="75"/>
  <c r="R33" i="75"/>
  <c r="Q33" i="75"/>
  <c r="P33" i="75"/>
  <c r="O33" i="75"/>
  <c r="N33" i="75"/>
  <c r="M33" i="75"/>
  <c r="L33" i="75"/>
  <c r="K33" i="75"/>
  <c r="J33" i="75"/>
  <c r="I33" i="75"/>
  <c r="H33" i="75"/>
  <c r="G33" i="75"/>
  <c r="F33" i="75"/>
  <c r="E33" i="75"/>
  <c r="D33" i="75"/>
  <c r="C33" i="75"/>
  <c r="B33" i="75"/>
  <c r="AE32" i="75"/>
  <c r="AD32" i="75"/>
  <c r="AC32" i="75"/>
  <c r="AB32" i="75"/>
  <c r="AA32" i="75"/>
  <c r="Z32" i="75"/>
  <c r="Y32" i="75"/>
  <c r="X32" i="75"/>
  <c r="W32" i="75"/>
  <c r="V32" i="75"/>
  <c r="U32" i="75"/>
  <c r="T32" i="75"/>
  <c r="S32" i="75"/>
  <c r="R32" i="75"/>
  <c r="Q32" i="75"/>
  <c r="P32" i="75"/>
  <c r="O32" i="75"/>
  <c r="N32" i="75"/>
  <c r="M32" i="75"/>
  <c r="L32" i="75"/>
  <c r="K32" i="75"/>
  <c r="J32" i="75"/>
  <c r="I32" i="75"/>
  <c r="H32" i="75"/>
  <c r="G32" i="75"/>
  <c r="F32" i="75"/>
  <c r="E32" i="75"/>
  <c r="D32" i="75"/>
  <c r="C32" i="75"/>
  <c r="B32" i="75"/>
  <c r="AE31" i="75"/>
  <c r="AD31" i="75"/>
  <c r="AC31" i="75"/>
  <c r="AB31" i="75"/>
  <c r="AA31" i="75"/>
  <c r="Z31" i="75"/>
  <c r="Y31" i="75"/>
  <c r="X31" i="75"/>
  <c r="W31" i="75"/>
  <c r="V31" i="75"/>
  <c r="U31" i="75"/>
  <c r="T31" i="75"/>
  <c r="S31" i="75"/>
  <c r="R31" i="75"/>
  <c r="Q31" i="75"/>
  <c r="P31" i="75"/>
  <c r="O31" i="75"/>
  <c r="N31" i="75"/>
  <c r="M31" i="75"/>
  <c r="L31" i="75"/>
  <c r="K31" i="75"/>
  <c r="J31" i="75"/>
  <c r="I31" i="75"/>
  <c r="H31" i="75"/>
  <c r="G31" i="75"/>
  <c r="F31" i="75"/>
  <c r="E31" i="75"/>
  <c r="D31" i="75"/>
  <c r="C31" i="75"/>
  <c r="B31" i="75"/>
  <c r="AE30" i="75"/>
  <c r="AD30" i="75"/>
  <c r="AC30" i="75"/>
  <c r="AB30" i="75"/>
  <c r="AA30" i="75"/>
  <c r="Z30" i="75"/>
  <c r="Y30" i="75"/>
  <c r="X30" i="75"/>
  <c r="W30" i="75"/>
  <c r="V30" i="75"/>
  <c r="U30" i="75"/>
  <c r="T30" i="75"/>
  <c r="S30" i="75"/>
  <c r="R30" i="75"/>
  <c r="Q30" i="75"/>
  <c r="P30" i="75"/>
  <c r="O30" i="75"/>
  <c r="N30" i="75"/>
  <c r="M30" i="75"/>
  <c r="L30" i="75"/>
  <c r="K30" i="75"/>
  <c r="J30" i="75"/>
  <c r="I30" i="75"/>
  <c r="H30" i="75"/>
  <c r="G30" i="75"/>
  <c r="F30" i="75"/>
  <c r="E30" i="75"/>
  <c r="D30" i="75"/>
  <c r="C30" i="75"/>
  <c r="B30" i="75"/>
  <c r="AE29" i="75"/>
  <c r="AD29" i="75"/>
  <c r="AC29" i="75"/>
  <c r="AB29" i="75"/>
  <c r="AA29" i="75"/>
  <c r="Z29" i="75"/>
  <c r="Y29" i="75"/>
  <c r="X29" i="75"/>
  <c r="W29" i="75"/>
  <c r="V29" i="75"/>
  <c r="U29" i="75"/>
  <c r="T29" i="75"/>
  <c r="S29" i="75"/>
  <c r="R29" i="75"/>
  <c r="Q29" i="75"/>
  <c r="P29" i="75"/>
  <c r="O29" i="75"/>
  <c r="N29" i="75"/>
  <c r="M29" i="75"/>
  <c r="L29" i="75"/>
  <c r="K29" i="75"/>
  <c r="J29" i="75"/>
  <c r="I29" i="75"/>
  <c r="H29" i="75"/>
  <c r="G29" i="75"/>
  <c r="F29" i="75"/>
  <c r="E29" i="75"/>
  <c r="D29" i="75"/>
  <c r="C29" i="75"/>
  <c r="B29" i="75"/>
  <c r="AE28" i="75"/>
  <c r="AD28" i="75"/>
  <c r="AC28" i="75"/>
  <c r="AB28" i="75"/>
  <c r="AA28" i="75"/>
  <c r="Z28" i="75"/>
  <c r="Y28" i="75"/>
  <c r="X28" i="75"/>
  <c r="W28" i="75"/>
  <c r="V28" i="75"/>
  <c r="U28" i="75"/>
  <c r="T28" i="75"/>
  <c r="S28" i="75"/>
  <c r="R28" i="75"/>
  <c r="Q28" i="75"/>
  <c r="P28" i="75"/>
  <c r="O28" i="75"/>
  <c r="N28" i="75"/>
  <c r="M28" i="75"/>
  <c r="L28" i="75"/>
  <c r="K28" i="75"/>
  <c r="J28" i="75"/>
  <c r="I28" i="75"/>
  <c r="H28" i="75"/>
  <c r="G28" i="75"/>
  <c r="F28" i="75"/>
  <c r="E28" i="75"/>
  <c r="D28" i="75"/>
  <c r="C28" i="75"/>
  <c r="B28" i="75"/>
  <c r="AE1" i="75"/>
  <c r="AD1" i="75"/>
  <c r="AC1" i="75"/>
  <c r="AB1" i="75"/>
  <c r="AA1" i="75"/>
  <c r="Z1" i="75"/>
  <c r="Y1" i="75"/>
  <c r="X1" i="75"/>
  <c r="W1" i="75"/>
  <c r="V1" i="75"/>
  <c r="U1" i="75"/>
  <c r="T1" i="75"/>
  <c r="S1" i="75"/>
  <c r="R1" i="75"/>
  <c r="Q1" i="75"/>
  <c r="P1" i="75"/>
  <c r="O1" i="75"/>
  <c r="N1" i="75"/>
  <c r="M1" i="75"/>
  <c r="L1" i="75"/>
  <c r="K1" i="75"/>
  <c r="J1" i="75"/>
  <c r="I1" i="75"/>
  <c r="H1" i="75"/>
  <c r="G1" i="75"/>
  <c r="F1" i="75"/>
  <c r="E1" i="75"/>
  <c r="D1" i="75"/>
  <c r="C1" i="75"/>
  <c r="B1" i="75"/>
  <c r="P8" i="71"/>
  <c r="AO27" i="70"/>
  <c r="AO26" i="70"/>
  <c r="AO25" i="70"/>
  <c r="AO24" i="70"/>
  <c r="AK27" i="72"/>
  <c r="AJ27" i="72"/>
  <c r="AI27" i="72"/>
  <c r="AH27" i="72"/>
  <c r="AK26" i="72"/>
  <c r="AJ26" i="72"/>
  <c r="AI26" i="72"/>
  <c r="AH26" i="72"/>
  <c r="AK25" i="72"/>
  <c r="AJ25" i="72"/>
  <c r="AI25" i="72"/>
  <c r="AH25" i="72"/>
  <c r="AK24" i="72"/>
  <c r="AJ24" i="72"/>
  <c r="AI24" i="72"/>
  <c r="AH24" i="72"/>
  <c r="AN27" i="70"/>
  <c r="AM27" i="70"/>
  <c r="AL27" i="70"/>
  <c r="AN26" i="70"/>
  <c r="AM26" i="70"/>
  <c r="AL26" i="70"/>
  <c r="AN25" i="70"/>
  <c r="AM25" i="70"/>
  <c r="AL25" i="70"/>
  <c r="AN24" i="70"/>
  <c r="AM24" i="70"/>
  <c r="AL24" i="70"/>
  <c r="AK18" i="72"/>
  <c r="AK19" i="72"/>
  <c r="AK20" i="72"/>
  <c r="AK21" i="72"/>
  <c r="AK17" i="72"/>
  <c r="AJ18" i="72"/>
  <c r="AJ19" i="72"/>
  <c r="AJ20" i="72"/>
  <c r="AJ21" i="72"/>
  <c r="AJ17" i="72"/>
  <c r="AI17" i="72"/>
  <c r="AI18" i="72"/>
  <c r="AI19" i="72"/>
  <c r="AI20" i="72"/>
  <c r="AI21" i="72"/>
  <c r="AH18" i="72"/>
  <c r="AH19" i="72"/>
  <c r="AH20" i="72"/>
  <c r="AH21" i="72"/>
  <c r="AH17" i="72"/>
  <c r="P3" i="71"/>
  <c r="P7" i="71"/>
  <c r="AO5" i="70"/>
  <c r="AO6" i="70"/>
  <c r="AO8" i="70"/>
  <c r="AN5" i="70"/>
  <c r="AN6" i="70"/>
  <c r="AN7" i="70"/>
  <c r="AN8" i="70"/>
  <c r="AN4" i="70"/>
  <c r="AM5" i="70"/>
  <c r="AM6" i="70"/>
  <c r="AQ6" i="70" s="1"/>
  <c r="AM7" i="70"/>
  <c r="AM8" i="70"/>
  <c r="AM4" i="70"/>
  <c r="AL4" i="70"/>
  <c r="AL5" i="70"/>
  <c r="AL6" i="70"/>
  <c r="AL7" i="70"/>
  <c r="AL8" i="70"/>
  <c r="AF35" i="74"/>
  <c r="AE35" i="74"/>
  <c r="AD35" i="74"/>
  <c r="AC35" i="74"/>
  <c r="AB35" i="74"/>
  <c r="AA35" i="74"/>
  <c r="Z35" i="74"/>
  <c r="Y35" i="74"/>
  <c r="X35" i="74"/>
  <c r="W35" i="74"/>
  <c r="V35" i="74"/>
  <c r="U35" i="74"/>
  <c r="T35" i="74"/>
  <c r="S35" i="74"/>
  <c r="R35" i="74"/>
  <c r="Q35" i="74"/>
  <c r="P35" i="74"/>
  <c r="O35" i="74"/>
  <c r="N35" i="74"/>
  <c r="M35" i="74"/>
  <c r="L35" i="74"/>
  <c r="K35" i="74"/>
  <c r="J35" i="74"/>
  <c r="I35" i="74"/>
  <c r="H35" i="74"/>
  <c r="G35" i="74"/>
  <c r="F35" i="74"/>
  <c r="E35" i="74"/>
  <c r="D35" i="74"/>
  <c r="C35" i="74"/>
  <c r="B35" i="74"/>
  <c r="AF34" i="74"/>
  <c r="AE34" i="74"/>
  <c r="AD34" i="74"/>
  <c r="AC34" i="74"/>
  <c r="AB34" i="74"/>
  <c r="AA34" i="74"/>
  <c r="Z34" i="74"/>
  <c r="Y34" i="74"/>
  <c r="X34" i="74"/>
  <c r="W34" i="74"/>
  <c r="V34" i="74"/>
  <c r="U34" i="74"/>
  <c r="T34" i="74"/>
  <c r="S34" i="74"/>
  <c r="R34" i="74"/>
  <c r="Q34" i="74"/>
  <c r="P34" i="74"/>
  <c r="O34" i="74"/>
  <c r="N34" i="74"/>
  <c r="M34" i="74"/>
  <c r="L34" i="74"/>
  <c r="K34" i="74"/>
  <c r="J34" i="74"/>
  <c r="I34" i="74"/>
  <c r="H34" i="74"/>
  <c r="G34" i="74"/>
  <c r="F34" i="74"/>
  <c r="E34" i="74"/>
  <c r="D34" i="74"/>
  <c r="C34" i="74"/>
  <c r="B34" i="74"/>
  <c r="AF33" i="74"/>
  <c r="AE33" i="74"/>
  <c r="AD33" i="74"/>
  <c r="AC33" i="74"/>
  <c r="AB33" i="74"/>
  <c r="AA33" i="74"/>
  <c r="Z33" i="74"/>
  <c r="Y33" i="74"/>
  <c r="X33" i="74"/>
  <c r="W33" i="74"/>
  <c r="V33" i="74"/>
  <c r="U33" i="74"/>
  <c r="T33" i="74"/>
  <c r="S33" i="74"/>
  <c r="R33" i="74"/>
  <c r="Q33" i="74"/>
  <c r="P33" i="74"/>
  <c r="O33" i="74"/>
  <c r="N33" i="74"/>
  <c r="M33" i="74"/>
  <c r="L33" i="74"/>
  <c r="K33" i="74"/>
  <c r="J33" i="74"/>
  <c r="I33" i="74"/>
  <c r="H33" i="74"/>
  <c r="G33" i="74"/>
  <c r="F33" i="74"/>
  <c r="E33" i="74"/>
  <c r="D33" i="74"/>
  <c r="C33" i="74"/>
  <c r="B33" i="74"/>
  <c r="AF32" i="74"/>
  <c r="AE32" i="74"/>
  <c r="AD32" i="74"/>
  <c r="AC32" i="74"/>
  <c r="AB32" i="74"/>
  <c r="AA32" i="74"/>
  <c r="Z32" i="74"/>
  <c r="Y32" i="74"/>
  <c r="X32" i="74"/>
  <c r="W32" i="74"/>
  <c r="V32" i="74"/>
  <c r="U32" i="74"/>
  <c r="T32" i="74"/>
  <c r="S32" i="74"/>
  <c r="R32" i="74"/>
  <c r="Q32" i="74"/>
  <c r="P32" i="74"/>
  <c r="O32" i="74"/>
  <c r="N32" i="74"/>
  <c r="M32" i="74"/>
  <c r="L32" i="74"/>
  <c r="K32" i="74"/>
  <c r="J32" i="74"/>
  <c r="I32" i="74"/>
  <c r="H32" i="74"/>
  <c r="G32" i="74"/>
  <c r="F32" i="74"/>
  <c r="E32" i="74"/>
  <c r="D32" i="74"/>
  <c r="C32" i="74"/>
  <c r="B32" i="74"/>
  <c r="AF31" i="74"/>
  <c r="AE31" i="74"/>
  <c r="AD31" i="74"/>
  <c r="AC31" i="74"/>
  <c r="AB31" i="74"/>
  <c r="AA31" i="74"/>
  <c r="Z31" i="74"/>
  <c r="Y31" i="74"/>
  <c r="X31" i="74"/>
  <c r="W31" i="74"/>
  <c r="V31" i="74"/>
  <c r="U31" i="74"/>
  <c r="T31" i="74"/>
  <c r="S31" i="74"/>
  <c r="R31" i="74"/>
  <c r="Q31" i="74"/>
  <c r="P31" i="74"/>
  <c r="O31" i="74"/>
  <c r="N31" i="74"/>
  <c r="M31" i="74"/>
  <c r="L31" i="74"/>
  <c r="K31" i="74"/>
  <c r="J31" i="74"/>
  <c r="I31" i="74"/>
  <c r="H31" i="74"/>
  <c r="G31" i="74"/>
  <c r="F31" i="74"/>
  <c r="E31" i="74"/>
  <c r="D31" i="74"/>
  <c r="C31" i="74"/>
  <c r="B31" i="74"/>
  <c r="AF30" i="74"/>
  <c r="AE30" i="74"/>
  <c r="AD30" i="74"/>
  <c r="AC30" i="74"/>
  <c r="AB30" i="74"/>
  <c r="AA30" i="74"/>
  <c r="Z30" i="74"/>
  <c r="Y30" i="74"/>
  <c r="X30" i="74"/>
  <c r="W30" i="74"/>
  <c r="V30" i="74"/>
  <c r="U30" i="74"/>
  <c r="T30" i="74"/>
  <c r="S30" i="74"/>
  <c r="R30" i="74"/>
  <c r="Q30" i="74"/>
  <c r="P30" i="74"/>
  <c r="O30" i="74"/>
  <c r="N30" i="74"/>
  <c r="M30" i="74"/>
  <c r="L30" i="74"/>
  <c r="K30" i="74"/>
  <c r="J30" i="74"/>
  <c r="I30" i="74"/>
  <c r="H30" i="74"/>
  <c r="G30" i="74"/>
  <c r="F30" i="74"/>
  <c r="E30" i="74"/>
  <c r="D30" i="74"/>
  <c r="C30" i="74"/>
  <c r="B30" i="74"/>
  <c r="AF29" i="74"/>
  <c r="AE29" i="74"/>
  <c r="AD29" i="74"/>
  <c r="AC29" i="74"/>
  <c r="AB29" i="74"/>
  <c r="AA29" i="74"/>
  <c r="Z29" i="74"/>
  <c r="Y29" i="74"/>
  <c r="X29" i="74"/>
  <c r="W29" i="74"/>
  <c r="V29" i="74"/>
  <c r="U29" i="74"/>
  <c r="T29" i="74"/>
  <c r="S29" i="74"/>
  <c r="R29" i="74"/>
  <c r="Q29" i="74"/>
  <c r="P29" i="74"/>
  <c r="O29" i="74"/>
  <c r="N29" i="74"/>
  <c r="M29" i="74"/>
  <c r="L29" i="74"/>
  <c r="K29" i="74"/>
  <c r="J29" i="74"/>
  <c r="I29" i="74"/>
  <c r="H29" i="74"/>
  <c r="G29" i="74"/>
  <c r="F29" i="74"/>
  <c r="E29" i="74"/>
  <c r="D29" i="74"/>
  <c r="C29" i="74"/>
  <c r="B29" i="74"/>
  <c r="AF28" i="74"/>
  <c r="AE28" i="74"/>
  <c r="AD28" i="74"/>
  <c r="AC28" i="74"/>
  <c r="AB28" i="74"/>
  <c r="AA28" i="74"/>
  <c r="Z28" i="74"/>
  <c r="Y28" i="74"/>
  <c r="X28" i="74"/>
  <c r="W28" i="74"/>
  <c r="V28" i="74"/>
  <c r="U28" i="74"/>
  <c r="T28" i="74"/>
  <c r="S28" i="74"/>
  <c r="R28" i="74"/>
  <c r="Q28" i="74"/>
  <c r="P28" i="74"/>
  <c r="O28" i="74"/>
  <c r="N28" i="74"/>
  <c r="M28" i="74"/>
  <c r="L28" i="74"/>
  <c r="K28" i="74"/>
  <c r="J28" i="74"/>
  <c r="I28" i="74"/>
  <c r="H28" i="74"/>
  <c r="G28" i="74"/>
  <c r="F28" i="74"/>
  <c r="E28" i="74"/>
  <c r="D28" i="74"/>
  <c r="C28" i="74"/>
  <c r="B28" i="74"/>
  <c r="AF1" i="74"/>
  <c r="AE1" i="74"/>
  <c r="AD1" i="74"/>
  <c r="AC1" i="74"/>
  <c r="AB1" i="74"/>
  <c r="AA1" i="74"/>
  <c r="Z1" i="74"/>
  <c r="Y1" i="74"/>
  <c r="X1" i="74"/>
  <c r="W1" i="74"/>
  <c r="V1" i="74"/>
  <c r="U1" i="74"/>
  <c r="T1" i="74"/>
  <c r="S1" i="74"/>
  <c r="R1" i="74"/>
  <c r="Q1" i="74"/>
  <c r="P1" i="74"/>
  <c r="N1" i="74"/>
  <c r="M1" i="74"/>
  <c r="L1" i="74"/>
  <c r="K1" i="74"/>
  <c r="J1" i="74"/>
  <c r="I1" i="74"/>
  <c r="H1" i="74"/>
  <c r="G1" i="74"/>
  <c r="F1" i="74"/>
  <c r="E1" i="74"/>
  <c r="D1" i="74"/>
  <c r="C1" i="74"/>
  <c r="B1" i="74"/>
  <c r="AF36" i="73"/>
  <c r="AE36" i="73"/>
  <c r="AF35" i="73"/>
  <c r="AE35" i="73"/>
  <c r="AF34" i="73"/>
  <c r="AE34" i="73"/>
  <c r="AF33" i="73"/>
  <c r="AE33" i="73"/>
  <c r="AF32" i="73"/>
  <c r="AE32" i="73"/>
  <c r="AF31" i="73"/>
  <c r="AE31" i="73"/>
  <c r="AF30" i="73"/>
  <c r="AE30" i="73"/>
  <c r="AF29" i="73"/>
  <c r="AE29" i="73"/>
  <c r="AD36" i="73"/>
  <c r="AC36" i="73"/>
  <c r="AB36" i="73"/>
  <c r="AA36" i="73"/>
  <c r="Z36" i="73"/>
  <c r="Y36" i="73"/>
  <c r="X36" i="73"/>
  <c r="AD35" i="73"/>
  <c r="AC35" i="73"/>
  <c r="AB35" i="73"/>
  <c r="AA35" i="73"/>
  <c r="Z35" i="73"/>
  <c r="Y35" i="73"/>
  <c r="X35" i="73"/>
  <c r="AD34" i="73"/>
  <c r="AC34" i="73"/>
  <c r="AB34" i="73"/>
  <c r="AA34" i="73"/>
  <c r="Z34" i="73"/>
  <c r="Y34" i="73"/>
  <c r="X34" i="73"/>
  <c r="AD33" i="73"/>
  <c r="AC33" i="73"/>
  <c r="AB33" i="73"/>
  <c r="AA33" i="73"/>
  <c r="Z33" i="73"/>
  <c r="Y33" i="73"/>
  <c r="X33" i="73"/>
  <c r="AD32" i="73"/>
  <c r="AC32" i="73"/>
  <c r="AB32" i="73"/>
  <c r="AA32" i="73"/>
  <c r="Z32" i="73"/>
  <c r="Y32" i="73"/>
  <c r="X32" i="73"/>
  <c r="AD31" i="73"/>
  <c r="AC31" i="73"/>
  <c r="AB31" i="73"/>
  <c r="AA31" i="73"/>
  <c r="Z31" i="73"/>
  <c r="Y31" i="73"/>
  <c r="X31" i="73"/>
  <c r="AD30" i="73"/>
  <c r="AC30" i="73"/>
  <c r="AB30" i="73"/>
  <c r="AA30" i="73"/>
  <c r="Z30" i="73"/>
  <c r="Y30" i="73"/>
  <c r="X30" i="73"/>
  <c r="AD29" i="73"/>
  <c r="AC29" i="73"/>
  <c r="AB29" i="73"/>
  <c r="AA29" i="73"/>
  <c r="Z29" i="73"/>
  <c r="Y29" i="73"/>
  <c r="X29" i="73"/>
  <c r="W36" i="73"/>
  <c r="V36" i="73"/>
  <c r="U36" i="73"/>
  <c r="T36" i="73"/>
  <c r="S36" i="73"/>
  <c r="R36" i="73"/>
  <c r="Q36" i="73"/>
  <c r="W35" i="73"/>
  <c r="V35" i="73"/>
  <c r="U35" i="73"/>
  <c r="T35" i="73"/>
  <c r="S35" i="73"/>
  <c r="R35" i="73"/>
  <c r="Q35" i="73"/>
  <c r="W34" i="73"/>
  <c r="V34" i="73"/>
  <c r="U34" i="73"/>
  <c r="T34" i="73"/>
  <c r="S34" i="73"/>
  <c r="R34" i="73"/>
  <c r="Q34" i="73"/>
  <c r="W33" i="73"/>
  <c r="V33" i="73"/>
  <c r="U33" i="73"/>
  <c r="T33" i="73"/>
  <c r="S33" i="73"/>
  <c r="R33" i="73"/>
  <c r="Q33" i="73"/>
  <c r="W32" i="73"/>
  <c r="V32" i="73"/>
  <c r="U32" i="73"/>
  <c r="T32" i="73"/>
  <c r="S32" i="73"/>
  <c r="R32" i="73"/>
  <c r="Q32" i="73"/>
  <c r="W31" i="73"/>
  <c r="V31" i="73"/>
  <c r="U31" i="73"/>
  <c r="T31" i="73"/>
  <c r="S31" i="73"/>
  <c r="R31" i="73"/>
  <c r="Q31" i="73"/>
  <c r="W30" i="73"/>
  <c r="V30" i="73"/>
  <c r="U30" i="73"/>
  <c r="T30" i="73"/>
  <c r="S30" i="73"/>
  <c r="R30" i="73"/>
  <c r="Q30" i="73"/>
  <c r="W29" i="73"/>
  <c r="V29" i="73"/>
  <c r="U29" i="73"/>
  <c r="T29" i="73"/>
  <c r="S29" i="73"/>
  <c r="R29" i="73"/>
  <c r="Q29" i="73"/>
  <c r="P36" i="73"/>
  <c r="O36" i="73"/>
  <c r="N36" i="73"/>
  <c r="M36" i="73"/>
  <c r="L36" i="73"/>
  <c r="K36" i="73"/>
  <c r="J36" i="73"/>
  <c r="P35" i="73"/>
  <c r="O35" i="73"/>
  <c r="N35" i="73"/>
  <c r="M35" i="73"/>
  <c r="L35" i="73"/>
  <c r="K35" i="73"/>
  <c r="J35" i="73"/>
  <c r="P34" i="73"/>
  <c r="O34" i="73"/>
  <c r="N34" i="73"/>
  <c r="M34" i="73"/>
  <c r="L34" i="73"/>
  <c r="K34" i="73"/>
  <c r="J34" i="73"/>
  <c r="P33" i="73"/>
  <c r="O33" i="73"/>
  <c r="N33" i="73"/>
  <c r="M33" i="73"/>
  <c r="L33" i="73"/>
  <c r="K33" i="73"/>
  <c r="J33" i="73"/>
  <c r="P32" i="73"/>
  <c r="O32" i="73"/>
  <c r="N32" i="73"/>
  <c r="M32" i="73"/>
  <c r="L32" i="73"/>
  <c r="K32" i="73"/>
  <c r="J32" i="73"/>
  <c r="P31" i="73"/>
  <c r="O31" i="73"/>
  <c r="N31" i="73"/>
  <c r="M31" i="73"/>
  <c r="L31" i="73"/>
  <c r="K31" i="73"/>
  <c r="J31" i="73"/>
  <c r="P30" i="73"/>
  <c r="O30" i="73"/>
  <c r="N30" i="73"/>
  <c r="M30" i="73"/>
  <c r="L30" i="73"/>
  <c r="K30" i="73"/>
  <c r="J30" i="73"/>
  <c r="P29" i="73"/>
  <c r="O29" i="73"/>
  <c r="N29" i="73"/>
  <c r="M29" i="73"/>
  <c r="L29" i="73"/>
  <c r="K29" i="73"/>
  <c r="J29" i="73"/>
  <c r="I36" i="73"/>
  <c r="H36" i="73"/>
  <c r="G36" i="73"/>
  <c r="F36" i="73"/>
  <c r="E36" i="73"/>
  <c r="D36" i="73"/>
  <c r="C36" i="73"/>
  <c r="I35" i="73"/>
  <c r="H35" i="73"/>
  <c r="G35" i="73"/>
  <c r="F35" i="73"/>
  <c r="E35" i="73"/>
  <c r="D35" i="73"/>
  <c r="C35" i="73"/>
  <c r="I34" i="73"/>
  <c r="H34" i="73"/>
  <c r="G34" i="73"/>
  <c r="F34" i="73"/>
  <c r="E34" i="73"/>
  <c r="D34" i="73"/>
  <c r="C34" i="73"/>
  <c r="I33" i="73"/>
  <c r="H33" i="73"/>
  <c r="G33" i="73"/>
  <c r="F33" i="73"/>
  <c r="E33" i="73"/>
  <c r="D33" i="73"/>
  <c r="C33" i="73"/>
  <c r="I32" i="73"/>
  <c r="H32" i="73"/>
  <c r="G32" i="73"/>
  <c r="F32" i="73"/>
  <c r="E32" i="73"/>
  <c r="D32" i="73"/>
  <c r="C32" i="73"/>
  <c r="I31" i="73"/>
  <c r="H31" i="73"/>
  <c r="G31" i="73"/>
  <c r="F31" i="73"/>
  <c r="E31" i="73"/>
  <c r="D31" i="73"/>
  <c r="C31" i="73"/>
  <c r="I30" i="73"/>
  <c r="H30" i="73"/>
  <c r="G30" i="73"/>
  <c r="F30" i="73"/>
  <c r="E30" i="73"/>
  <c r="D30" i="73"/>
  <c r="C30" i="73"/>
  <c r="I29" i="73"/>
  <c r="H29" i="73"/>
  <c r="G29" i="73"/>
  <c r="F29" i="73"/>
  <c r="E29" i="73"/>
  <c r="D29" i="73"/>
  <c r="C29" i="73"/>
  <c r="B36" i="73"/>
  <c r="B35" i="73"/>
  <c r="B34" i="73"/>
  <c r="B33" i="73"/>
  <c r="B32" i="73"/>
  <c r="B31" i="73"/>
  <c r="B30" i="73"/>
  <c r="B29" i="73"/>
  <c r="W33" i="72"/>
  <c r="W34" i="72"/>
  <c r="W35" i="72"/>
  <c r="W36" i="72"/>
  <c r="AE36" i="72"/>
  <c r="AE35" i="72"/>
  <c r="AE34" i="72"/>
  <c r="AE33" i="72"/>
  <c r="AE32" i="72"/>
  <c r="AE31" i="72"/>
  <c r="AE30" i="72"/>
  <c r="AE29" i="72"/>
  <c r="AD36" i="72"/>
  <c r="AC36" i="72"/>
  <c r="AB36" i="72"/>
  <c r="AA36" i="72"/>
  <c r="Z36" i="72"/>
  <c r="Y36" i="72"/>
  <c r="X36" i="72"/>
  <c r="AD35" i="72"/>
  <c r="AC35" i="72"/>
  <c r="AB35" i="72"/>
  <c r="AA35" i="72"/>
  <c r="Z35" i="72"/>
  <c r="Y35" i="72"/>
  <c r="X35" i="72"/>
  <c r="AD34" i="72"/>
  <c r="AC34" i="72"/>
  <c r="AB34" i="72"/>
  <c r="AA34" i="72"/>
  <c r="Z34" i="72"/>
  <c r="Y34" i="72"/>
  <c r="X34" i="72"/>
  <c r="AD33" i="72"/>
  <c r="AC33" i="72"/>
  <c r="AB33" i="72"/>
  <c r="AA33" i="72"/>
  <c r="Z33" i="72"/>
  <c r="Y33" i="72"/>
  <c r="X33" i="72"/>
  <c r="AD32" i="72"/>
  <c r="AC32" i="72"/>
  <c r="AB32" i="72"/>
  <c r="AA32" i="72"/>
  <c r="Z32" i="72"/>
  <c r="Y32" i="72"/>
  <c r="X32" i="72"/>
  <c r="AD31" i="72"/>
  <c r="AC31" i="72"/>
  <c r="AB31" i="72"/>
  <c r="AA31" i="72"/>
  <c r="Z31" i="72"/>
  <c r="Y31" i="72"/>
  <c r="X31" i="72"/>
  <c r="AD30" i="72"/>
  <c r="AC30" i="72"/>
  <c r="AB30" i="72"/>
  <c r="AA30" i="72"/>
  <c r="Z30" i="72"/>
  <c r="Y30" i="72"/>
  <c r="X30" i="72"/>
  <c r="AD29" i="72"/>
  <c r="AC29" i="72"/>
  <c r="AB29" i="72"/>
  <c r="AA29" i="72"/>
  <c r="Z29" i="72"/>
  <c r="Y29" i="72"/>
  <c r="X29" i="72"/>
  <c r="V36" i="72"/>
  <c r="U36" i="72"/>
  <c r="T36" i="72"/>
  <c r="S36" i="72"/>
  <c r="R36" i="72"/>
  <c r="Q36" i="72"/>
  <c r="V35" i="72"/>
  <c r="U35" i="72"/>
  <c r="T35" i="72"/>
  <c r="S35" i="72"/>
  <c r="R35" i="72"/>
  <c r="Q35" i="72"/>
  <c r="V34" i="72"/>
  <c r="U34" i="72"/>
  <c r="T34" i="72"/>
  <c r="S34" i="72"/>
  <c r="R34" i="72"/>
  <c r="Q34" i="72"/>
  <c r="V33" i="72"/>
  <c r="U33" i="72"/>
  <c r="T33" i="72"/>
  <c r="S33" i="72"/>
  <c r="R33" i="72"/>
  <c r="Q33" i="72"/>
  <c r="W32" i="72"/>
  <c r="V32" i="72"/>
  <c r="U32" i="72"/>
  <c r="T32" i="72"/>
  <c r="S32" i="72"/>
  <c r="R32" i="72"/>
  <c r="Q32" i="72"/>
  <c r="W31" i="72"/>
  <c r="V31" i="72"/>
  <c r="U31" i="72"/>
  <c r="T31" i="72"/>
  <c r="S31" i="72"/>
  <c r="R31" i="72"/>
  <c r="Q31" i="72"/>
  <c r="W30" i="72"/>
  <c r="V30" i="72"/>
  <c r="U30" i="72"/>
  <c r="T30" i="72"/>
  <c r="S30" i="72"/>
  <c r="R30" i="72"/>
  <c r="Q30" i="72"/>
  <c r="W29" i="72"/>
  <c r="V29" i="72"/>
  <c r="U29" i="72"/>
  <c r="T29" i="72"/>
  <c r="S29" i="72"/>
  <c r="R29" i="72"/>
  <c r="Q29" i="72"/>
  <c r="P36" i="72"/>
  <c r="O36" i="72"/>
  <c r="N36" i="72"/>
  <c r="M36" i="72"/>
  <c r="L36" i="72"/>
  <c r="K36" i="72"/>
  <c r="J36" i="72"/>
  <c r="P35" i="72"/>
  <c r="O35" i="72"/>
  <c r="N35" i="72"/>
  <c r="M35" i="72"/>
  <c r="L35" i="72"/>
  <c r="K35" i="72"/>
  <c r="J35" i="72"/>
  <c r="P34" i="72"/>
  <c r="O34" i="72"/>
  <c r="N34" i="72"/>
  <c r="M34" i="72"/>
  <c r="L34" i="72"/>
  <c r="K34" i="72"/>
  <c r="J34" i="72"/>
  <c r="P33" i="72"/>
  <c r="O33" i="72"/>
  <c r="N33" i="72"/>
  <c r="M33" i="72"/>
  <c r="L33" i="72"/>
  <c r="K33" i="72"/>
  <c r="J33" i="72"/>
  <c r="P32" i="72"/>
  <c r="O32" i="72"/>
  <c r="N32" i="72"/>
  <c r="M32" i="72"/>
  <c r="L32" i="72"/>
  <c r="K32" i="72"/>
  <c r="J32" i="72"/>
  <c r="P31" i="72"/>
  <c r="O31" i="72"/>
  <c r="N31" i="72"/>
  <c r="M31" i="72"/>
  <c r="L31" i="72"/>
  <c r="K31" i="72"/>
  <c r="J31" i="72"/>
  <c r="P30" i="72"/>
  <c r="O30" i="72"/>
  <c r="N30" i="72"/>
  <c r="M30" i="72"/>
  <c r="L30" i="72"/>
  <c r="K30" i="72"/>
  <c r="J30" i="72"/>
  <c r="P29" i="72"/>
  <c r="O29" i="72"/>
  <c r="N29" i="72"/>
  <c r="M29" i="72"/>
  <c r="L29" i="72"/>
  <c r="K29" i="72"/>
  <c r="J29" i="72"/>
  <c r="I36" i="72"/>
  <c r="H36" i="72"/>
  <c r="G36" i="72"/>
  <c r="F36" i="72"/>
  <c r="E36" i="72"/>
  <c r="D36" i="72"/>
  <c r="C36" i="72"/>
  <c r="I35" i="72"/>
  <c r="H35" i="72"/>
  <c r="G35" i="72"/>
  <c r="F35" i="72"/>
  <c r="E35" i="72"/>
  <c r="D35" i="72"/>
  <c r="C35" i="72"/>
  <c r="I34" i="72"/>
  <c r="H34" i="72"/>
  <c r="G34" i="72"/>
  <c r="F34" i="72"/>
  <c r="E34" i="72"/>
  <c r="D34" i="72"/>
  <c r="C34" i="72"/>
  <c r="I33" i="72"/>
  <c r="H33" i="72"/>
  <c r="G33" i="72"/>
  <c r="F33" i="72"/>
  <c r="E33" i="72"/>
  <c r="D33" i="72"/>
  <c r="C33" i="72"/>
  <c r="I32" i="72"/>
  <c r="H32" i="72"/>
  <c r="G32" i="72"/>
  <c r="F32" i="72"/>
  <c r="E32" i="72"/>
  <c r="D32" i="72"/>
  <c r="C32" i="72"/>
  <c r="I31" i="72"/>
  <c r="H31" i="72"/>
  <c r="G31" i="72"/>
  <c r="F31" i="72"/>
  <c r="E31" i="72"/>
  <c r="D31" i="72"/>
  <c r="C31" i="72"/>
  <c r="I30" i="72"/>
  <c r="H30" i="72"/>
  <c r="G30" i="72"/>
  <c r="F30" i="72"/>
  <c r="E30" i="72"/>
  <c r="D30" i="72"/>
  <c r="C30" i="72"/>
  <c r="I29" i="72"/>
  <c r="H29" i="72"/>
  <c r="G29" i="72"/>
  <c r="F29" i="72"/>
  <c r="E29" i="72"/>
  <c r="D29" i="72"/>
  <c r="C29" i="72"/>
  <c r="B36" i="72"/>
  <c r="B35" i="72"/>
  <c r="B34" i="72"/>
  <c r="B33" i="72"/>
  <c r="B32" i="72"/>
  <c r="B31" i="72"/>
  <c r="B30" i="72"/>
  <c r="B29" i="72"/>
  <c r="AF1" i="73"/>
  <c r="B1" i="73"/>
  <c r="C1" i="73"/>
  <c r="D1" i="73"/>
  <c r="E1" i="73"/>
  <c r="F1" i="73"/>
  <c r="G1" i="73"/>
  <c r="H1" i="73"/>
  <c r="I1" i="73"/>
  <c r="J1" i="73"/>
  <c r="K1" i="73"/>
  <c r="L1" i="73"/>
  <c r="M1" i="73"/>
  <c r="N1" i="73"/>
  <c r="O1" i="73"/>
  <c r="P1" i="73"/>
  <c r="Q1" i="73"/>
  <c r="R1" i="73"/>
  <c r="S1" i="73"/>
  <c r="T1" i="73"/>
  <c r="U1" i="73"/>
  <c r="V1" i="73"/>
  <c r="W1" i="73"/>
  <c r="X1" i="73"/>
  <c r="Y1" i="73"/>
  <c r="Z1" i="73"/>
  <c r="AA1" i="73"/>
  <c r="AB1" i="73"/>
  <c r="AC1" i="73"/>
  <c r="AD1" i="73"/>
  <c r="AE1" i="73"/>
  <c r="AI36" i="70"/>
  <c r="AH36" i="70"/>
  <c r="AG36" i="70"/>
  <c r="AF36" i="70"/>
  <c r="AE36" i="70"/>
  <c r="AD36" i="70"/>
  <c r="AC36" i="70"/>
  <c r="AI35" i="70"/>
  <c r="AH35" i="70"/>
  <c r="AG35" i="70"/>
  <c r="AF35" i="70"/>
  <c r="AE35" i="70"/>
  <c r="AD35" i="70"/>
  <c r="AC35" i="70"/>
  <c r="AI34" i="70"/>
  <c r="AH34" i="70"/>
  <c r="AG34" i="70"/>
  <c r="AF34" i="70"/>
  <c r="AE34" i="70"/>
  <c r="AD34" i="70"/>
  <c r="AC34" i="70"/>
  <c r="AI33" i="70"/>
  <c r="AH33" i="70"/>
  <c r="AG33" i="70"/>
  <c r="AF33" i="70"/>
  <c r="AE33" i="70"/>
  <c r="AD33" i="70"/>
  <c r="AC33" i="70"/>
  <c r="AI32" i="70"/>
  <c r="AH32" i="70"/>
  <c r="AG32" i="70"/>
  <c r="AF32" i="70"/>
  <c r="AE32" i="70"/>
  <c r="AD32" i="70"/>
  <c r="AC32" i="70"/>
  <c r="AI31" i="70"/>
  <c r="AH31" i="70"/>
  <c r="AG31" i="70"/>
  <c r="AF31" i="70"/>
  <c r="AE31" i="70"/>
  <c r="AD31" i="70"/>
  <c r="AC31" i="70"/>
  <c r="AI30" i="70"/>
  <c r="AH30" i="70"/>
  <c r="AG30" i="70"/>
  <c r="AF30" i="70"/>
  <c r="AE30" i="70"/>
  <c r="AD30" i="70"/>
  <c r="AC30" i="70"/>
  <c r="AI29" i="70"/>
  <c r="AH29" i="70"/>
  <c r="AG29" i="70"/>
  <c r="AF29" i="70"/>
  <c r="AE29" i="70"/>
  <c r="AD29" i="70"/>
  <c r="AC29" i="70"/>
  <c r="AB36" i="70"/>
  <c r="AA36" i="70"/>
  <c r="Z36" i="70"/>
  <c r="Y36" i="70"/>
  <c r="X36" i="70"/>
  <c r="W36" i="70"/>
  <c r="V36" i="70"/>
  <c r="AB35" i="70"/>
  <c r="AA35" i="70"/>
  <c r="Z35" i="70"/>
  <c r="Y35" i="70"/>
  <c r="X35" i="70"/>
  <c r="W35" i="70"/>
  <c r="V35" i="70"/>
  <c r="AB34" i="70"/>
  <c r="AA34" i="70"/>
  <c r="Z34" i="70"/>
  <c r="Y34" i="70"/>
  <c r="X34" i="70"/>
  <c r="W34" i="70"/>
  <c r="V34" i="70"/>
  <c r="AB33" i="70"/>
  <c r="AA33" i="70"/>
  <c r="Z33" i="70"/>
  <c r="Y33" i="70"/>
  <c r="X33" i="70"/>
  <c r="W33" i="70"/>
  <c r="V33" i="70"/>
  <c r="AB32" i="70"/>
  <c r="AA32" i="70"/>
  <c r="Z32" i="70"/>
  <c r="Y32" i="70"/>
  <c r="X32" i="70"/>
  <c r="W32" i="70"/>
  <c r="V32" i="70"/>
  <c r="AB31" i="70"/>
  <c r="AA31" i="70"/>
  <c r="Z31" i="70"/>
  <c r="Y31" i="70"/>
  <c r="X31" i="70"/>
  <c r="W31" i="70"/>
  <c r="V31" i="70"/>
  <c r="AB30" i="70"/>
  <c r="AA30" i="70"/>
  <c r="Z30" i="70"/>
  <c r="Y30" i="70"/>
  <c r="X30" i="70"/>
  <c r="W30" i="70"/>
  <c r="V30" i="70"/>
  <c r="AB29" i="70"/>
  <c r="AA29" i="70"/>
  <c r="Z29" i="70"/>
  <c r="Y29" i="70"/>
  <c r="X29" i="70"/>
  <c r="W29" i="70"/>
  <c r="V29" i="70"/>
  <c r="U36" i="70"/>
  <c r="T36" i="70"/>
  <c r="S36" i="70"/>
  <c r="R36" i="70"/>
  <c r="Q36" i="70"/>
  <c r="P36" i="70"/>
  <c r="O36" i="70"/>
  <c r="U35" i="70"/>
  <c r="T35" i="70"/>
  <c r="S35" i="70"/>
  <c r="R35" i="70"/>
  <c r="Q35" i="70"/>
  <c r="P35" i="70"/>
  <c r="O35" i="70"/>
  <c r="U34" i="70"/>
  <c r="T34" i="70"/>
  <c r="S34" i="70"/>
  <c r="R34" i="70"/>
  <c r="Q34" i="70"/>
  <c r="P34" i="70"/>
  <c r="O34" i="70"/>
  <c r="U33" i="70"/>
  <c r="T33" i="70"/>
  <c r="S33" i="70"/>
  <c r="R33" i="70"/>
  <c r="Q33" i="70"/>
  <c r="P33" i="70"/>
  <c r="O33" i="70"/>
  <c r="U32" i="70"/>
  <c r="T32" i="70"/>
  <c r="S32" i="70"/>
  <c r="R32" i="70"/>
  <c r="Q32" i="70"/>
  <c r="P32" i="70"/>
  <c r="O32" i="70"/>
  <c r="U31" i="70"/>
  <c r="T31" i="70"/>
  <c r="S31" i="70"/>
  <c r="R31" i="70"/>
  <c r="Q31" i="70"/>
  <c r="P31" i="70"/>
  <c r="O31" i="70"/>
  <c r="U30" i="70"/>
  <c r="T30" i="70"/>
  <c r="S30" i="70"/>
  <c r="R30" i="70"/>
  <c r="Q30" i="70"/>
  <c r="P30" i="70"/>
  <c r="O30" i="70"/>
  <c r="U29" i="70"/>
  <c r="T29" i="70"/>
  <c r="S29" i="70"/>
  <c r="R29" i="70"/>
  <c r="Q29" i="70"/>
  <c r="P29" i="70"/>
  <c r="O29" i="70"/>
  <c r="N36" i="70"/>
  <c r="M36" i="70"/>
  <c r="N35" i="70"/>
  <c r="M35" i="70"/>
  <c r="N34" i="70"/>
  <c r="M34" i="70"/>
  <c r="N33" i="70"/>
  <c r="M33" i="70"/>
  <c r="N32" i="70"/>
  <c r="M32" i="70"/>
  <c r="N31" i="70"/>
  <c r="M31" i="70"/>
  <c r="N30" i="70"/>
  <c r="M30" i="70"/>
  <c r="N29" i="70"/>
  <c r="M29" i="70"/>
  <c r="L36" i="70"/>
  <c r="K36" i="70"/>
  <c r="J36" i="70"/>
  <c r="I36" i="70"/>
  <c r="H36" i="70"/>
  <c r="L35" i="70"/>
  <c r="K35" i="70"/>
  <c r="J35" i="70"/>
  <c r="I35" i="70"/>
  <c r="H35" i="70"/>
  <c r="L34" i="70"/>
  <c r="K34" i="70"/>
  <c r="J34" i="70"/>
  <c r="I34" i="70"/>
  <c r="H34" i="70"/>
  <c r="L33" i="70"/>
  <c r="K33" i="70"/>
  <c r="J33" i="70"/>
  <c r="I33" i="70"/>
  <c r="H33" i="70"/>
  <c r="L32" i="70"/>
  <c r="K32" i="70"/>
  <c r="J32" i="70"/>
  <c r="I32" i="70"/>
  <c r="H32" i="70"/>
  <c r="L31" i="70"/>
  <c r="K31" i="70"/>
  <c r="J31" i="70"/>
  <c r="I31" i="70"/>
  <c r="H31" i="70"/>
  <c r="L30" i="70"/>
  <c r="K30" i="70"/>
  <c r="J30" i="70"/>
  <c r="I30" i="70"/>
  <c r="H30" i="70"/>
  <c r="L29" i="70"/>
  <c r="K29" i="70"/>
  <c r="J29" i="70"/>
  <c r="I29" i="70"/>
  <c r="H29" i="70"/>
  <c r="G33" i="70"/>
  <c r="F33" i="70"/>
  <c r="G29" i="70"/>
  <c r="F29" i="70"/>
  <c r="G36" i="70"/>
  <c r="F36" i="70"/>
  <c r="G35" i="70"/>
  <c r="F35" i="70"/>
  <c r="G34" i="70"/>
  <c r="F34" i="70"/>
  <c r="G32" i="70"/>
  <c r="F32" i="70"/>
  <c r="G31" i="70"/>
  <c r="F31" i="70"/>
  <c r="G30" i="70"/>
  <c r="F30" i="70"/>
  <c r="E36" i="70"/>
  <c r="E35" i="70"/>
  <c r="E34" i="70"/>
  <c r="E33" i="70"/>
  <c r="E32" i="70"/>
  <c r="E31" i="70"/>
  <c r="E30" i="70"/>
  <c r="E29" i="70"/>
  <c r="D36" i="70"/>
  <c r="C36" i="70"/>
  <c r="D35" i="70"/>
  <c r="C35" i="70"/>
  <c r="D34" i="70"/>
  <c r="C34" i="70"/>
  <c r="D33" i="70"/>
  <c r="C33" i="70"/>
  <c r="D32" i="70"/>
  <c r="C32" i="70"/>
  <c r="D31" i="70"/>
  <c r="C31" i="70"/>
  <c r="D30" i="70"/>
  <c r="C30" i="70"/>
  <c r="D29" i="70"/>
  <c r="C29" i="70"/>
  <c r="B29" i="70"/>
  <c r="B36" i="70"/>
  <c r="B35" i="70"/>
  <c r="B34" i="70"/>
  <c r="B33" i="70"/>
  <c r="B32" i="70"/>
  <c r="B31" i="70"/>
  <c r="B30" i="70"/>
  <c r="AJ1" i="70"/>
  <c r="AI1" i="70"/>
  <c r="AH1" i="70"/>
  <c r="AG1" i="70"/>
  <c r="Q31" i="67"/>
  <c r="B1" i="72"/>
  <c r="C1" i="72"/>
  <c r="D1" i="72"/>
  <c r="E1" i="72"/>
  <c r="F1" i="72"/>
  <c r="G1" i="72"/>
  <c r="H1" i="72"/>
  <c r="I1" i="72"/>
  <c r="J1" i="72"/>
  <c r="K1" i="72"/>
  <c r="L1" i="72"/>
  <c r="M1" i="72"/>
  <c r="N1" i="72"/>
  <c r="O1" i="72"/>
  <c r="P1" i="72"/>
  <c r="Q1" i="72"/>
  <c r="R1" i="72"/>
  <c r="S1" i="72"/>
  <c r="T1" i="72"/>
  <c r="U1" i="72"/>
  <c r="V1" i="72"/>
  <c r="W1" i="72"/>
  <c r="X1" i="72"/>
  <c r="Y1" i="72"/>
  <c r="Z1" i="72"/>
  <c r="AA1" i="72"/>
  <c r="AB1" i="72"/>
  <c r="AC1" i="72"/>
  <c r="AD1" i="72"/>
  <c r="AE1" i="72"/>
  <c r="AD36" i="67"/>
  <c r="AD35" i="67"/>
  <c r="AD34" i="67"/>
  <c r="AD33" i="67"/>
  <c r="AD32" i="67"/>
  <c r="AD31" i="67"/>
  <c r="AD30" i="67"/>
  <c r="AD29" i="67"/>
  <c r="P36" i="67"/>
  <c r="P35" i="67"/>
  <c r="P34" i="67"/>
  <c r="P33" i="67"/>
  <c r="P32" i="67"/>
  <c r="P31" i="67"/>
  <c r="P30" i="67"/>
  <c r="P29" i="67"/>
  <c r="AF36" i="67"/>
  <c r="AF35" i="67"/>
  <c r="AF34" i="67"/>
  <c r="AF33" i="67"/>
  <c r="AF32" i="67"/>
  <c r="AF31" i="67"/>
  <c r="AF30" i="67"/>
  <c r="AF29" i="67"/>
  <c r="AE36" i="67"/>
  <c r="AE35" i="67"/>
  <c r="AE34" i="67"/>
  <c r="AE33" i="67"/>
  <c r="AE32" i="67"/>
  <c r="AE31" i="67"/>
  <c r="AE30" i="67"/>
  <c r="AE29" i="67"/>
  <c r="AC36" i="67"/>
  <c r="AB36" i="67"/>
  <c r="AA36" i="67"/>
  <c r="Z36" i="67"/>
  <c r="Y36" i="67"/>
  <c r="X36" i="67"/>
  <c r="AC35" i="67"/>
  <c r="AB35" i="67"/>
  <c r="AA35" i="67"/>
  <c r="Z35" i="67"/>
  <c r="Y35" i="67"/>
  <c r="X35" i="67"/>
  <c r="AC34" i="67"/>
  <c r="AB34" i="67"/>
  <c r="AA34" i="67"/>
  <c r="Z34" i="67"/>
  <c r="Y34" i="67"/>
  <c r="X34" i="67"/>
  <c r="AC33" i="67"/>
  <c r="AB33" i="67"/>
  <c r="AA33" i="67"/>
  <c r="Z33" i="67"/>
  <c r="Y33" i="67"/>
  <c r="X33" i="67"/>
  <c r="AC32" i="67"/>
  <c r="AB32" i="67"/>
  <c r="AA32" i="67"/>
  <c r="Z32" i="67"/>
  <c r="Y32" i="67"/>
  <c r="X32" i="67"/>
  <c r="AC31" i="67"/>
  <c r="AB31" i="67"/>
  <c r="AA31" i="67"/>
  <c r="Z31" i="67"/>
  <c r="Y31" i="67"/>
  <c r="X31" i="67"/>
  <c r="AC30" i="67"/>
  <c r="AB30" i="67"/>
  <c r="AA30" i="67"/>
  <c r="Z30" i="67"/>
  <c r="Y30" i="67"/>
  <c r="X30" i="67"/>
  <c r="AC29" i="67"/>
  <c r="AB29" i="67"/>
  <c r="AA29" i="67"/>
  <c r="Z29" i="67"/>
  <c r="Y29" i="67"/>
  <c r="X29" i="67"/>
  <c r="W36" i="67"/>
  <c r="V36" i="67"/>
  <c r="U36" i="67"/>
  <c r="T36" i="67"/>
  <c r="S36" i="67"/>
  <c r="R36" i="67"/>
  <c r="Q36" i="67"/>
  <c r="W35" i="67"/>
  <c r="V35" i="67"/>
  <c r="U35" i="67"/>
  <c r="T35" i="67"/>
  <c r="S35" i="67"/>
  <c r="R35" i="67"/>
  <c r="Q35" i="67"/>
  <c r="W34" i="67"/>
  <c r="V34" i="67"/>
  <c r="U34" i="67"/>
  <c r="T34" i="67"/>
  <c r="S34" i="67"/>
  <c r="R34" i="67"/>
  <c r="Q34" i="67"/>
  <c r="W33" i="67"/>
  <c r="V33" i="67"/>
  <c r="U33" i="67"/>
  <c r="T33" i="67"/>
  <c r="S33" i="67"/>
  <c r="R33" i="67"/>
  <c r="Q33" i="67"/>
  <c r="W32" i="67"/>
  <c r="V32" i="67"/>
  <c r="U32" i="67"/>
  <c r="T32" i="67"/>
  <c r="S32" i="67"/>
  <c r="R32" i="67"/>
  <c r="Q32" i="67"/>
  <c r="W31" i="67"/>
  <c r="V31" i="67"/>
  <c r="U31" i="67"/>
  <c r="T31" i="67"/>
  <c r="S31" i="67"/>
  <c r="R31" i="67"/>
  <c r="W30" i="67"/>
  <c r="V30" i="67"/>
  <c r="U30" i="67"/>
  <c r="T30" i="67"/>
  <c r="S30" i="67"/>
  <c r="R30" i="67"/>
  <c r="Q30" i="67"/>
  <c r="W29" i="67"/>
  <c r="V29" i="67"/>
  <c r="U29" i="67"/>
  <c r="T29" i="67"/>
  <c r="S29" i="67"/>
  <c r="R29" i="67"/>
  <c r="Q29" i="67"/>
  <c r="O36" i="67"/>
  <c r="N36" i="67"/>
  <c r="M36" i="67"/>
  <c r="L36" i="67"/>
  <c r="K36" i="67"/>
  <c r="J36" i="67"/>
  <c r="O35" i="67"/>
  <c r="N35" i="67"/>
  <c r="M35" i="67"/>
  <c r="L35" i="67"/>
  <c r="K35" i="67"/>
  <c r="J35" i="67"/>
  <c r="O34" i="67"/>
  <c r="N34" i="67"/>
  <c r="M34" i="67"/>
  <c r="L34" i="67"/>
  <c r="K34" i="67"/>
  <c r="J34" i="67"/>
  <c r="O33" i="67"/>
  <c r="N33" i="67"/>
  <c r="M33" i="67"/>
  <c r="L33" i="67"/>
  <c r="K33" i="67"/>
  <c r="J33" i="67"/>
  <c r="O32" i="67"/>
  <c r="N32" i="67"/>
  <c r="M32" i="67"/>
  <c r="L32" i="67"/>
  <c r="K32" i="67"/>
  <c r="J32" i="67"/>
  <c r="O31" i="67"/>
  <c r="N31" i="67"/>
  <c r="M31" i="67"/>
  <c r="L31" i="67"/>
  <c r="K31" i="67"/>
  <c r="J31" i="67"/>
  <c r="O30" i="67"/>
  <c r="N30" i="67"/>
  <c r="M30" i="67"/>
  <c r="L30" i="67"/>
  <c r="K30" i="67"/>
  <c r="J30" i="67"/>
  <c r="O29" i="67"/>
  <c r="N29" i="67"/>
  <c r="M29" i="67"/>
  <c r="L29" i="67"/>
  <c r="K29" i="67"/>
  <c r="J29" i="67"/>
  <c r="I36" i="67"/>
  <c r="H36" i="67"/>
  <c r="I35" i="67"/>
  <c r="H35" i="67"/>
  <c r="I34" i="67"/>
  <c r="H34" i="67"/>
  <c r="I33" i="67"/>
  <c r="H33" i="67"/>
  <c r="I32" i="67"/>
  <c r="H32" i="67"/>
  <c r="I31" i="67"/>
  <c r="H31" i="67"/>
  <c r="I30" i="67"/>
  <c r="H30" i="67"/>
  <c r="I29" i="67"/>
  <c r="H29" i="67"/>
  <c r="G36" i="67"/>
  <c r="F36" i="67"/>
  <c r="E36" i="67"/>
  <c r="D36" i="67"/>
  <c r="C36" i="67"/>
  <c r="G35" i="67"/>
  <c r="F35" i="67"/>
  <c r="E35" i="67"/>
  <c r="D35" i="67"/>
  <c r="C35" i="67"/>
  <c r="G34" i="67"/>
  <c r="F34" i="67"/>
  <c r="E34" i="67"/>
  <c r="D34" i="67"/>
  <c r="C34" i="67"/>
  <c r="G33" i="67"/>
  <c r="F33" i="67"/>
  <c r="E33" i="67"/>
  <c r="D33" i="67"/>
  <c r="C33" i="67"/>
  <c r="G32" i="67"/>
  <c r="F32" i="67"/>
  <c r="E32" i="67"/>
  <c r="D32" i="67"/>
  <c r="C32" i="67"/>
  <c r="G31" i="67"/>
  <c r="F31" i="67"/>
  <c r="E31" i="67"/>
  <c r="D31" i="67"/>
  <c r="C31" i="67"/>
  <c r="G30" i="67"/>
  <c r="F30" i="67"/>
  <c r="E30" i="67"/>
  <c r="D30" i="67"/>
  <c r="C30" i="67"/>
  <c r="G29" i="67"/>
  <c r="F29" i="67"/>
  <c r="E29" i="67"/>
  <c r="D29" i="67"/>
  <c r="C29" i="67"/>
  <c r="B36" i="67"/>
  <c r="B35" i="67"/>
  <c r="B34" i="67"/>
  <c r="B33" i="67"/>
  <c r="B32" i="67"/>
  <c r="B31" i="67"/>
  <c r="B30" i="67"/>
  <c r="B29" i="67"/>
  <c r="P13" i="71"/>
  <c r="P14" i="71"/>
  <c r="P15" i="71"/>
  <c r="P16" i="71"/>
  <c r="P12" i="71"/>
  <c r="AP5" i="64"/>
  <c r="AP6" i="64"/>
  <c r="AP7" i="64"/>
  <c r="AP8" i="64"/>
  <c r="AP4" i="64"/>
  <c r="AO8" i="64"/>
  <c r="AO5" i="64"/>
  <c r="AO6" i="64"/>
  <c r="AO7" i="64"/>
  <c r="AO4" i="64"/>
  <c r="AN5" i="64"/>
  <c r="AN6" i="64"/>
  <c r="AN7" i="64"/>
  <c r="AN8" i="64"/>
  <c r="AN4" i="64"/>
  <c r="AM5" i="64"/>
  <c r="AM6" i="64"/>
  <c r="AM7" i="64"/>
  <c r="AM8" i="64"/>
  <c r="AM4" i="64"/>
  <c r="P4" i="71"/>
  <c r="P5" i="71"/>
  <c r="P6" i="71"/>
  <c r="AO11" i="63"/>
  <c r="AO12" i="63"/>
  <c r="AO13" i="63"/>
  <c r="AO14" i="63"/>
  <c r="AO10" i="63"/>
  <c r="AN11" i="63"/>
  <c r="AN12" i="63"/>
  <c r="AN13" i="63"/>
  <c r="AN14" i="63"/>
  <c r="AN10" i="63"/>
  <c r="AM11" i="63"/>
  <c r="AM12" i="63"/>
  <c r="AM13" i="63"/>
  <c r="AM14" i="63"/>
  <c r="AM10" i="63"/>
  <c r="AL11" i="63"/>
  <c r="AL12" i="63"/>
  <c r="AL13" i="63"/>
  <c r="AL14" i="63"/>
  <c r="AL10" i="63"/>
  <c r="AF1" i="70"/>
  <c r="AE1" i="70"/>
  <c r="AD1" i="70"/>
  <c r="AC1" i="70"/>
  <c r="AB1" i="70"/>
  <c r="AA1" i="70"/>
  <c r="Z1" i="70"/>
  <c r="Y1" i="70"/>
  <c r="X1" i="70"/>
  <c r="W1" i="70"/>
  <c r="V1" i="70"/>
  <c r="U1" i="70"/>
  <c r="T1" i="70"/>
  <c r="S1" i="70"/>
  <c r="R1" i="70"/>
  <c r="Q1" i="70"/>
  <c r="P1" i="70"/>
  <c r="O1" i="70"/>
  <c r="N1" i="70"/>
  <c r="M1" i="70"/>
  <c r="L1" i="70"/>
  <c r="K1" i="70"/>
  <c r="J1" i="70"/>
  <c r="I1" i="70"/>
  <c r="H1" i="70"/>
  <c r="G1" i="70"/>
  <c r="F1" i="70"/>
  <c r="E1" i="70"/>
  <c r="D1" i="70"/>
  <c r="C1" i="70"/>
  <c r="B1" i="70"/>
  <c r="AG24" i="66"/>
  <c r="AF24" i="66"/>
  <c r="Z24" i="66"/>
  <c r="Y24" i="66"/>
  <c r="E24" i="66"/>
  <c r="D24" i="66"/>
  <c r="S24" i="66"/>
  <c r="R24" i="66"/>
  <c r="L24" i="66"/>
  <c r="K24" i="66"/>
  <c r="AE24" i="66"/>
  <c r="AD24" i="66"/>
  <c r="AC24" i="66"/>
  <c r="AB24" i="66"/>
  <c r="AA24" i="66"/>
  <c r="X24" i="66"/>
  <c r="W24" i="66"/>
  <c r="V24" i="66"/>
  <c r="U24" i="66"/>
  <c r="T24" i="66"/>
  <c r="Q24" i="66"/>
  <c r="P24" i="66"/>
  <c r="O24" i="66"/>
  <c r="N24" i="66"/>
  <c r="M24" i="66"/>
  <c r="J24" i="66"/>
  <c r="I24" i="66"/>
  <c r="H24" i="66"/>
  <c r="G24" i="66"/>
  <c r="F24" i="66"/>
  <c r="C24" i="66"/>
  <c r="B24" i="66"/>
  <c r="AG31" i="66"/>
  <c r="AF31" i="66"/>
  <c r="AE31" i="66"/>
  <c r="AD31" i="66"/>
  <c r="AC31" i="66"/>
  <c r="AB31" i="66"/>
  <c r="AA31" i="66"/>
  <c r="AG30" i="66"/>
  <c r="AF30" i="66"/>
  <c r="AE30" i="66"/>
  <c r="AD30" i="66"/>
  <c r="AC30" i="66"/>
  <c r="AB30" i="66"/>
  <c r="AA30" i="66"/>
  <c r="AG29" i="66"/>
  <c r="AF29" i="66"/>
  <c r="AE29" i="66"/>
  <c r="AD29" i="66"/>
  <c r="AC29" i="66"/>
  <c r="AB29" i="66"/>
  <c r="AA29" i="66"/>
  <c r="AG28" i="66"/>
  <c r="AF28" i="66"/>
  <c r="AE28" i="66"/>
  <c r="AD28" i="66"/>
  <c r="AC28" i="66"/>
  <c r="AB28" i="66"/>
  <c r="AA28" i="66"/>
  <c r="AG27" i="66"/>
  <c r="AF27" i="66"/>
  <c r="AE27" i="66"/>
  <c r="AD27" i="66"/>
  <c r="AC27" i="66"/>
  <c r="AB27" i="66"/>
  <c r="AA27" i="66"/>
  <c r="AG26" i="66"/>
  <c r="AF26" i="66"/>
  <c r="AE26" i="66"/>
  <c r="AD26" i="66"/>
  <c r="AC26" i="66"/>
  <c r="AB26" i="66"/>
  <c r="AA26" i="66"/>
  <c r="AG25" i="66"/>
  <c r="AF25" i="66"/>
  <c r="AE25" i="66"/>
  <c r="AD25" i="66"/>
  <c r="AC25" i="66"/>
  <c r="AB25" i="66"/>
  <c r="AA25" i="66"/>
  <c r="Z31" i="66"/>
  <c r="Y31" i="66"/>
  <c r="X31" i="66"/>
  <c r="W31" i="66"/>
  <c r="V31" i="66"/>
  <c r="U31" i="66"/>
  <c r="T31" i="66"/>
  <c r="Z30" i="66"/>
  <c r="Y30" i="66"/>
  <c r="X30" i="66"/>
  <c r="W30" i="66"/>
  <c r="V30" i="66"/>
  <c r="U30" i="66"/>
  <c r="T30" i="66"/>
  <c r="Z29" i="66"/>
  <c r="Y29" i="66"/>
  <c r="X29" i="66"/>
  <c r="W29" i="66"/>
  <c r="V29" i="66"/>
  <c r="U29" i="66"/>
  <c r="T29" i="66"/>
  <c r="Z28" i="66"/>
  <c r="Y28" i="66"/>
  <c r="X28" i="66"/>
  <c r="W28" i="66"/>
  <c r="V28" i="66"/>
  <c r="U28" i="66"/>
  <c r="T28" i="66"/>
  <c r="Z27" i="66"/>
  <c r="Y27" i="66"/>
  <c r="X27" i="66"/>
  <c r="W27" i="66"/>
  <c r="V27" i="66"/>
  <c r="U27" i="66"/>
  <c r="T27" i="66"/>
  <c r="Z26" i="66"/>
  <c r="Y26" i="66"/>
  <c r="X26" i="66"/>
  <c r="W26" i="66"/>
  <c r="V26" i="66"/>
  <c r="U26" i="66"/>
  <c r="T26" i="66"/>
  <c r="Z25" i="66"/>
  <c r="Y25" i="66"/>
  <c r="X25" i="66"/>
  <c r="W25" i="66"/>
  <c r="V25" i="66"/>
  <c r="U25" i="66"/>
  <c r="T25" i="66"/>
  <c r="S31" i="66"/>
  <c r="R31" i="66"/>
  <c r="Q31" i="66"/>
  <c r="P31" i="66"/>
  <c r="O31" i="66"/>
  <c r="N31" i="66"/>
  <c r="M31" i="66"/>
  <c r="S30" i="66"/>
  <c r="R30" i="66"/>
  <c r="Q30" i="66"/>
  <c r="P30" i="66"/>
  <c r="O30" i="66"/>
  <c r="N30" i="66"/>
  <c r="M30" i="66"/>
  <c r="S29" i="66"/>
  <c r="R29" i="66"/>
  <c r="Q29" i="66"/>
  <c r="P29" i="66"/>
  <c r="O29" i="66"/>
  <c r="N29" i="66"/>
  <c r="M29" i="66"/>
  <c r="S28" i="66"/>
  <c r="R28" i="66"/>
  <c r="Q28" i="66"/>
  <c r="P28" i="66"/>
  <c r="O28" i="66"/>
  <c r="N28" i="66"/>
  <c r="M28" i="66"/>
  <c r="S27" i="66"/>
  <c r="R27" i="66"/>
  <c r="Q27" i="66"/>
  <c r="P27" i="66"/>
  <c r="O27" i="66"/>
  <c r="N27" i="66"/>
  <c r="M27" i="66"/>
  <c r="S26" i="66"/>
  <c r="R26" i="66"/>
  <c r="Q26" i="66"/>
  <c r="P26" i="66"/>
  <c r="O26" i="66"/>
  <c r="N26" i="66"/>
  <c r="M26" i="66"/>
  <c r="S25" i="66"/>
  <c r="R25" i="66"/>
  <c r="Q25" i="66"/>
  <c r="P25" i="66"/>
  <c r="O25" i="66"/>
  <c r="N25" i="66"/>
  <c r="M25" i="66"/>
  <c r="L31" i="66"/>
  <c r="K31" i="66"/>
  <c r="J31" i="66"/>
  <c r="I31" i="66"/>
  <c r="H31" i="66"/>
  <c r="G31" i="66"/>
  <c r="F31" i="66"/>
  <c r="L30" i="66"/>
  <c r="K30" i="66"/>
  <c r="J30" i="66"/>
  <c r="I30" i="66"/>
  <c r="H30" i="66"/>
  <c r="G30" i="66"/>
  <c r="F30" i="66"/>
  <c r="L29" i="66"/>
  <c r="K29" i="66"/>
  <c r="J29" i="66"/>
  <c r="I29" i="66"/>
  <c r="H29" i="66"/>
  <c r="G29" i="66"/>
  <c r="F29" i="66"/>
  <c r="L28" i="66"/>
  <c r="K28" i="66"/>
  <c r="J28" i="66"/>
  <c r="I28" i="66"/>
  <c r="H28" i="66"/>
  <c r="G28" i="66"/>
  <c r="F28" i="66"/>
  <c r="L27" i="66"/>
  <c r="K27" i="66"/>
  <c r="J27" i="66"/>
  <c r="I27" i="66"/>
  <c r="H27" i="66"/>
  <c r="G27" i="66"/>
  <c r="F27" i="66"/>
  <c r="L26" i="66"/>
  <c r="K26" i="66"/>
  <c r="J26" i="66"/>
  <c r="I26" i="66"/>
  <c r="H26" i="66"/>
  <c r="G26" i="66"/>
  <c r="F26" i="66"/>
  <c r="L25" i="66"/>
  <c r="K25" i="66"/>
  <c r="J25" i="66"/>
  <c r="I25" i="66"/>
  <c r="H25" i="66"/>
  <c r="G25" i="66"/>
  <c r="F25" i="66"/>
  <c r="E31" i="66"/>
  <c r="D31" i="66"/>
  <c r="E30" i="66"/>
  <c r="D30" i="66"/>
  <c r="E29" i="66"/>
  <c r="D29" i="66"/>
  <c r="E28" i="66"/>
  <c r="D28" i="66"/>
  <c r="E27" i="66"/>
  <c r="D27" i="66"/>
  <c r="E26" i="66"/>
  <c r="D26" i="66"/>
  <c r="E25" i="66"/>
  <c r="D25" i="66"/>
  <c r="C31" i="66"/>
  <c r="B31" i="66"/>
  <c r="C30" i="66"/>
  <c r="B30" i="66"/>
  <c r="C29" i="66"/>
  <c r="B29" i="66"/>
  <c r="C28" i="66"/>
  <c r="B28" i="66"/>
  <c r="C27" i="66"/>
  <c r="B27" i="66"/>
  <c r="C26" i="66"/>
  <c r="B26" i="66"/>
  <c r="C25" i="66"/>
  <c r="B25" i="66"/>
  <c r="C1" i="67"/>
  <c r="D1" i="67"/>
  <c r="E1" i="67"/>
  <c r="F1" i="67"/>
  <c r="G1" i="67"/>
  <c r="H1" i="67"/>
  <c r="I1" i="67"/>
  <c r="J1" i="67"/>
  <c r="K1" i="67"/>
  <c r="L1" i="67"/>
  <c r="M1" i="67"/>
  <c r="N1" i="67"/>
  <c r="O1" i="67"/>
  <c r="P1" i="67"/>
  <c r="Q1" i="67"/>
  <c r="R1" i="67"/>
  <c r="S1" i="67"/>
  <c r="T1" i="67"/>
  <c r="U1" i="67"/>
  <c r="V1" i="67"/>
  <c r="W1" i="67"/>
  <c r="X1" i="67"/>
  <c r="Y1" i="67"/>
  <c r="Z1" i="67"/>
  <c r="AA1" i="67"/>
  <c r="AB1" i="67"/>
  <c r="AC1" i="67"/>
  <c r="AD1" i="67"/>
  <c r="AE1" i="67"/>
  <c r="AF1" i="67"/>
  <c r="B1" i="67"/>
  <c r="AG1" i="66"/>
  <c r="B1" i="66"/>
  <c r="C1" i="66"/>
  <c r="D1" i="66"/>
  <c r="E1" i="66"/>
  <c r="F1" i="66"/>
  <c r="G1" i="66"/>
  <c r="H1" i="66"/>
  <c r="I1" i="66"/>
  <c r="J1" i="66"/>
  <c r="K1" i="66"/>
  <c r="L1" i="66"/>
  <c r="M1" i="66"/>
  <c r="N1" i="66"/>
  <c r="O1" i="66"/>
  <c r="P1" i="66"/>
  <c r="Q1" i="66"/>
  <c r="R1" i="66"/>
  <c r="S1" i="66"/>
  <c r="T1" i="66"/>
  <c r="U1" i="66"/>
  <c r="V1" i="66"/>
  <c r="W1" i="66"/>
  <c r="X1" i="66"/>
  <c r="Y1" i="66"/>
  <c r="Z1" i="66"/>
  <c r="AA1" i="66"/>
  <c r="AB1" i="66"/>
  <c r="AC1" i="66"/>
  <c r="AD1" i="66"/>
  <c r="AE1" i="66"/>
  <c r="AF1" i="66"/>
  <c r="AK30" i="64"/>
  <c r="AJ30" i="64"/>
  <c r="AI30" i="64"/>
  <c r="AK29" i="64"/>
  <c r="AJ29" i="64"/>
  <c r="AI29" i="64"/>
  <c r="AK28" i="64"/>
  <c r="AJ28" i="64"/>
  <c r="AI28" i="64"/>
  <c r="AK27" i="64"/>
  <c r="AJ27" i="64"/>
  <c r="AI27" i="64"/>
  <c r="AK26" i="64"/>
  <c r="AJ26" i="64"/>
  <c r="AI26" i="64"/>
  <c r="AK25" i="64"/>
  <c r="AJ25" i="64"/>
  <c r="AI25" i="64"/>
  <c r="AK24" i="64"/>
  <c r="AJ24" i="64"/>
  <c r="AI24" i="64"/>
  <c r="AK23" i="64"/>
  <c r="AJ23" i="64"/>
  <c r="AI23" i="64"/>
  <c r="AH30" i="64"/>
  <c r="AG30" i="64"/>
  <c r="AF30" i="64"/>
  <c r="AE30" i="64"/>
  <c r="AD30" i="64"/>
  <c r="AC30" i="64"/>
  <c r="AB30" i="64"/>
  <c r="AH29" i="64"/>
  <c r="AG29" i="64"/>
  <c r="AF29" i="64"/>
  <c r="AE29" i="64"/>
  <c r="AD29" i="64"/>
  <c r="AC29" i="64"/>
  <c r="AB29" i="64"/>
  <c r="AH28" i="64"/>
  <c r="AG28" i="64"/>
  <c r="AF28" i="64"/>
  <c r="AE28" i="64"/>
  <c r="AD28" i="64"/>
  <c r="AC28" i="64"/>
  <c r="AB28" i="64"/>
  <c r="AH27" i="64"/>
  <c r="AG27" i="64"/>
  <c r="AF27" i="64"/>
  <c r="AE27" i="64"/>
  <c r="AD27" i="64"/>
  <c r="AC27" i="64"/>
  <c r="AB27" i="64"/>
  <c r="AH26" i="64"/>
  <c r="AG26" i="64"/>
  <c r="AF26" i="64"/>
  <c r="AE26" i="64"/>
  <c r="AD26" i="64"/>
  <c r="AC26" i="64"/>
  <c r="AB26" i="64"/>
  <c r="AH25" i="64"/>
  <c r="AG25" i="64"/>
  <c r="AF25" i="64"/>
  <c r="AE25" i="64"/>
  <c r="AD25" i="64"/>
  <c r="AC25" i="64"/>
  <c r="AB25" i="64"/>
  <c r="AH24" i="64"/>
  <c r="AG24" i="64"/>
  <c r="AF24" i="64"/>
  <c r="AE24" i="64"/>
  <c r="AD24" i="64"/>
  <c r="AC24" i="64"/>
  <c r="AB24" i="64"/>
  <c r="AH23" i="64"/>
  <c r="AG23" i="64"/>
  <c r="AF23" i="64"/>
  <c r="AE23" i="64"/>
  <c r="AD23" i="64"/>
  <c r="AC23" i="64"/>
  <c r="AB23" i="64"/>
  <c r="AA30" i="64"/>
  <c r="Z30" i="64"/>
  <c r="Y30" i="64"/>
  <c r="X30" i="64"/>
  <c r="W30" i="64"/>
  <c r="V30" i="64"/>
  <c r="U30" i="64"/>
  <c r="AA29" i="64"/>
  <c r="Z29" i="64"/>
  <c r="Y29" i="64"/>
  <c r="X29" i="64"/>
  <c r="W29" i="64"/>
  <c r="V29" i="64"/>
  <c r="U29" i="64"/>
  <c r="AA28" i="64"/>
  <c r="Z28" i="64"/>
  <c r="Y28" i="64"/>
  <c r="X28" i="64"/>
  <c r="W28" i="64"/>
  <c r="V28" i="64"/>
  <c r="U28" i="64"/>
  <c r="AA27" i="64"/>
  <c r="Z27" i="64"/>
  <c r="Y27" i="64"/>
  <c r="X27" i="64"/>
  <c r="W27" i="64"/>
  <c r="V27" i="64"/>
  <c r="U27" i="64"/>
  <c r="AA26" i="64"/>
  <c r="Z26" i="64"/>
  <c r="Y26" i="64"/>
  <c r="X26" i="64"/>
  <c r="W26" i="64"/>
  <c r="V26" i="64"/>
  <c r="U26" i="64"/>
  <c r="AA25" i="64"/>
  <c r="Z25" i="64"/>
  <c r="Y25" i="64"/>
  <c r="X25" i="64"/>
  <c r="W25" i="64"/>
  <c r="V25" i="64"/>
  <c r="U25" i="64"/>
  <c r="AA24" i="64"/>
  <c r="Z24" i="64"/>
  <c r="Y24" i="64"/>
  <c r="X24" i="64"/>
  <c r="W24" i="64"/>
  <c r="V24" i="64"/>
  <c r="U24" i="64"/>
  <c r="AA23" i="64"/>
  <c r="Z23" i="64"/>
  <c r="Y23" i="64"/>
  <c r="X23" i="64"/>
  <c r="W23" i="64"/>
  <c r="V23" i="64"/>
  <c r="U23" i="64"/>
  <c r="T30" i="64"/>
  <c r="S30" i="64"/>
  <c r="R30" i="64"/>
  <c r="Q30" i="64"/>
  <c r="P30" i="64"/>
  <c r="O30" i="64"/>
  <c r="N30" i="64"/>
  <c r="T29" i="64"/>
  <c r="S29" i="64"/>
  <c r="R29" i="64"/>
  <c r="Q29" i="64"/>
  <c r="P29" i="64"/>
  <c r="O29" i="64"/>
  <c r="N29" i="64"/>
  <c r="T28" i="64"/>
  <c r="S28" i="64"/>
  <c r="R28" i="64"/>
  <c r="Q28" i="64"/>
  <c r="P28" i="64"/>
  <c r="O28" i="64"/>
  <c r="N28" i="64"/>
  <c r="T27" i="64"/>
  <c r="S27" i="64"/>
  <c r="R27" i="64"/>
  <c r="Q27" i="64"/>
  <c r="P27" i="64"/>
  <c r="O27" i="64"/>
  <c r="N27" i="64"/>
  <c r="T26" i="64"/>
  <c r="S26" i="64"/>
  <c r="R26" i="64"/>
  <c r="Q26" i="64"/>
  <c r="P26" i="64"/>
  <c r="O26" i="64"/>
  <c r="N26" i="64"/>
  <c r="T25" i="64"/>
  <c r="S25" i="64"/>
  <c r="R25" i="64"/>
  <c r="Q25" i="64"/>
  <c r="P25" i="64"/>
  <c r="O25" i="64"/>
  <c r="N25" i="64"/>
  <c r="T24" i="64"/>
  <c r="S24" i="64"/>
  <c r="R24" i="64"/>
  <c r="Q24" i="64"/>
  <c r="P24" i="64"/>
  <c r="O24" i="64"/>
  <c r="N24" i="64"/>
  <c r="T23" i="64"/>
  <c r="S23" i="64"/>
  <c r="R23" i="64"/>
  <c r="Q23" i="64"/>
  <c r="P23" i="64"/>
  <c r="O23" i="64"/>
  <c r="N23" i="64"/>
  <c r="M30" i="64"/>
  <c r="L30" i="64"/>
  <c r="M29" i="64"/>
  <c r="L29" i="64"/>
  <c r="M28" i="64"/>
  <c r="L28" i="64"/>
  <c r="M27" i="64"/>
  <c r="L27" i="64"/>
  <c r="M26" i="64"/>
  <c r="L26" i="64"/>
  <c r="M25" i="64"/>
  <c r="L25" i="64"/>
  <c r="M24" i="64"/>
  <c r="L24" i="64"/>
  <c r="M23" i="64"/>
  <c r="L23" i="64"/>
  <c r="K30" i="64"/>
  <c r="J30" i="64"/>
  <c r="I30" i="64"/>
  <c r="H30" i="64"/>
  <c r="G30" i="64"/>
  <c r="K29" i="64"/>
  <c r="J29" i="64"/>
  <c r="I29" i="64"/>
  <c r="H29" i="64"/>
  <c r="G29" i="64"/>
  <c r="K28" i="64"/>
  <c r="J28" i="64"/>
  <c r="I28" i="64"/>
  <c r="H28" i="64"/>
  <c r="G28" i="64"/>
  <c r="K27" i="64"/>
  <c r="J27" i="64"/>
  <c r="I27" i="64"/>
  <c r="H27" i="64"/>
  <c r="G27" i="64"/>
  <c r="K26" i="64"/>
  <c r="J26" i="64"/>
  <c r="I26" i="64"/>
  <c r="H26" i="64"/>
  <c r="G26" i="64"/>
  <c r="K25" i="64"/>
  <c r="J25" i="64"/>
  <c r="I25" i="64"/>
  <c r="H25" i="64"/>
  <c r="G25" i="64"/>
  <c r="K24" i="64"/>
  <c r="J24" i="64"/>
  <c r="I24" i="64"/>
  <c r="H24" i="64"/>
  <c r="G24" i="64"/>
  <c r="K23" i="64"/>
  <c r="J23" i="64"/>
  <c r="I23" i="64"/>
  <c r="H23" i="64"/>
  <c r="G23" i="64"/>
  <c r="F30" i="64"/>
  <c r="E30" i="64"/>
  <c r="D30" i="64"/>
  <c r="C30" i="64"/>
  <c r="B30" i="64"/>
  <c r="F29" i="64"/>
  <c r="E29" i="64"/>
  <c r="D29" i="64"/>
  <c r="C29" i="64"/>
  <c r="B29" i="64"/>
  <c r="F28" i="64"/>
  <c r="E28" i="64"/>
  <c r="D28" i="64"/>
  <c r="C28" i="64"/>
  <c r="B28" i="64"/>
  <c r="F27" i="64"/>
  <c r="E27" i="64"/>
  <c r="D27" i="64"/>
  <c r="C27" i="64"/>
  <c r="B27" i="64"/>
  <c r="F26" i="64"/>
  <c r="E26" i="64"/>
  <c r="D26" i="64"/>
  <c r="C26" i="64"/>
  <c r="B26" i="64"/>
  <c r="F25" i="64"/>
  <c r="E25" i="64"/>
  <c r="D25" i="64"/>
  <c r="C25" i="64"/>
  <c r="B25" i="64"/>
  <c r="F24" i="64"/>
  <c r="E24" i="64"/>
  <c r="D24" i="64"/>
  <c r="C24" i="64"/>
  <c r="B24" i="64"/>
  <c r="F23" i="64"/>
  <c r="E23" i="64"/>
  <c r="D23" i="64"/>
  <c r="C23" i="64"/>
  <c r="B23" i="64"/>
  <c r="C30" i="63"/>
  <c r="B30" i="63"/>
  <c r="C29" i="63"/>
  <c r="B29" i="63"/>
  <c r="C28" i="63"/>
  <c r="B28" i="63"/>
  <c r="C27" i="63"/>
  <c r="B27" i="63"/>
  <c r="C26" i="63"/>
  <c r="B26" i="63"/>
  <c r="C25" i="63"/>
  <c r="B25" i="63"/>
  <c r="C24" i="63"/>
  <c r="B24" i="63"/>
  <c r="C23" i="63"/>
  <c r="B23" i="63"/>
  <c r="C1" i="63"/>
  <c r="B1" i="63"/>
  <c r="B36" i="75" l="1"/>
  <c r="J36" i="75"/>
  <c r="R36" i="75"/>
  <c r="Z36" i="75"/>
  <c r="C36" i="75"/>
  <c r="K36" i="75"/>
  <c r="S36" i="75"/>
  <c r="AA36" i="75"/>
  <c r="AC36" i="75"/>
  <c r="T36" i="75"/>
  <c r="F36" i="75"/>
  <c r="N36" i="75"/>
  <c r="V36" i="75"/>
  <c r="AD36" i="75"/>
  <c r="D36" i="75"/>
  <c r="U36" i="75"/>
  <c r="G36" i="75"/>
  <c r="O36" i="75"/>
  <c r="W36" i="75"/>
  <c r="AE36" i="75"/>
  <c r="L36" i="75"/>
  <c r="E36" i="75"/>
  <c r="H36" i="75"/>
  <c r="P36" i="75"/>
  <c r="X36" i="75"/>
  <c r="AB36" i="75"/>
  <c r="M36" i="75"/>
  <c r="I36" i="75"/>
  <c r="Q36" i="75"/>
  <c r="Y36" i="75"/>
  <c r="AM18" i="72"/>
  <c r="AQ4" i="70"/>
  <c r="AQ7" i="70"/>
  <c r="AQ5" i="70"/>
  <c r="AM20" i="72"/>
  <c r="AQ27" i="70"/>
  <c r="AQ8" i="70"/>
  <c r="AM26" i="72"/>
  <c r="AQ26" i="70"/>
  <c r="AQ24" i="70"/>
  <c r="AM25" i="72"/>
  <c r="AQ25" i="70"/>
  <c r="AM17" i="72"/>
  <c r="AC36" i="74"/>
  <c r="AM24" i="72"/>
  <c r="AM27" i="72"/>
  <c r="AM21" i="72"/>
  <c r="AM19" i="72"/>
  <c r="U36" i="74"/>
  <c r="M36" i="74"/>
  <c r="E36" i="74"/>
  <c r="G36" i="74"/>
  <c r="O36" i="74"/>
  <c r="W36" i="74"/>
  <c r="AE36" i="74"/>
  <c r="F36" i="74"/>
  <c r="N36" i="74"/>
  <c r="V36" i="74"/>
  <c r="AD36" i="74"/>
  <c r="H36" i="74"/>
  <c r="P36" i="74"/>
  <c r="X36" i="74"/>
  <c r="AF36" i="74"/>
  <c r="I36" i="74"/>
  <c r="Q36" i="74"/>
  <c r="Y36" i="74"/>
  <c r="J36" i="74"/>
  <c r="R36" i="74"/>
  <c r="Z36" i="74"/>
  <c r="K36" i="74"/>
  <c r="AA36" i="74"/>
  <c r="C36" i="74"/>
  <c r="S36" i="74"/>
  <c r="D36" i="74"/>
  <c r="L36" i="74"/>
  <c r="T36" i="74"/>
  <c r="AB36" i="74"/>
  <c r="B36" i="74"/>
  <c r="AP14" i="63"/>
  <c r="AP12" i="63"/>
  <c r="AP13" i="63"/>
  <c r="AQ5" i="64"/>
  <c r="AP11" i="63"/>
  <c r="AP10" i="63"/>
  <c r="AQ7" i="64"/>
  <c r="F37" i="73"/>
  <c r="G37" i="73"/>
  <c r="AF37" i="73"/>
  <c r="AE37" i="73"/>
  <c r="X37" i="73"/>
  <c r="W37" i="73"/>
  <c r="L37" i="73"/>
  <c r="T37" i="73"/>
  <c r="Z37" i="73"/>
  <c r="S37" i="73"/>
  <c r="I37" i="73"/>
  <c r="AC37" i="73"/>
  <c r="J37" i="73"/>
  <c r="R37" i="73"/>
  <c r="AD37" i="73"/>
  <c r="Q37" i="73"/>
  <c r="Y37" i="73"/>
  <c r="H37" i="73"/>
  <c r="D37" i="73"/>
  <c r="E37" i="73"/>
  <c r="N37" i="73"/>
  <c r="O37" i="73"/>
  <c r="M37" i="73"/>
  <c r="K37" i="73"/>
  <c r="B37" i="73"/>
  <c r="P37" i="73"/>
  <c r="AA37" i="73"/>
  <c r="AB37" i="73"/>
  <c r="U37" i="73"/>
  <c r="V37" i="73"/>
  <c r="C37" i="73"/>
  <c r="AE37" i="72"/>
  <c r="Y37" i="72"/>
  <c r="U37" i="72"/>
  <c r="D37" i="72"/>
  <c r="N37" i="72"/>
  <c r="O37" i="72"/>
  <c r="B37" i="72"/>
  <c r="G37" i="72"/>
  <c r="K37" i="72"/>
  <c r="AB37" i="72"/>
  <c r="M37" i="72"/>
  <c r="P37" i="72"/>
  <c r="J37" i="72"/>
  <c r="AA37" i="72"/>
  <c r="H37" i="72"/>
  <c r="L37" i="72"/>
  <c r="AC37" i="72"/>
  <c r="E37" i="72"/>
  <c r="V37" i="72"/>
  <c r="S37" i="72"/>
  <c r="F37" i="72"/>
  <c r="I37" i="72"/>
  <c r="AD37" i="72"/>
  <c r="Z37" i="72"/>
  <c r="W37" i="72"/>
  <c r="Q37" i="72"/>
  <c r="R37" i="72"/>
  <c r="C37" i="72"/>
  <c r="T37" i="72"/>
  <c r="X37" i="72"/>
  <c r="O37" i="70"/>
  <c r="C37" i="70"/>
  <c r="J37" i="70"/>
  <c r="I37" i="70"/>
  <c r="H37" i="70"/>
  <c r="M37" i="70"/>
  <c r="N37" i="70"/>
  <c r="F37" i="70"/>
  <c r="D37" i="70"/>
  <c r="E37" i="70"/>
  <c r="L37" i="70"/>
  <c r="K37" i="70"/>
  <c r="AA37" i="70"/>
  <c r="P37" i="70"/>
  <c r="S37" i="70"/>
  <c r="V37" i="70"/>
  <c r="AG37" i="70"/>
  <c r="U37" i="70"/>
  <c r="AE37" i="70"/>
  <c r="Q37" i="70"/>
  <c r="AH37" i="70"/>
  <c r="X37" i="70"/>
  <c r="AI37" i="70"/>
  <c r="R37" i="70"/>
  <c r="Y37" i="70"/>
  <c r="T37" i="70"/>
  <c r="AF37" i="70"/>
  <c r="AD37" i="70"/>
  <c r="AC37" i="70"/>
  <c r="AB37" i="70"/>
  <c r="Z37" i="70"/>
  <c r="W37" i="70"/>
  <c r="G37" i="70"/>
  <c r="B37" i="70"/>
  <c r="AF37" i="67"/>
  <c r="AD37" i="67"/>
  <c r="P37" i="67"/>
  <c r="E37" i="67"/>
  <c r="B37" i="67"/>
  <c r="AE37" i="67"/>
  <c r="AC37" i="67"/>
  <c r="AB37" i="67"/>
  <c r="Y37" i="67"/>
  <c r="Z37" i="67"/>
  <c r="AA37" i="67"/>
  <c r="X37" i="67"/>
  <c r="W37" i="67"/>
  <c r="V37" i="67"/>
  <c r="Q37" i="67"/>
  <c r="T37" i="67"/>
  <c r="R37" i="67"/>
  <c r="U37" i="67"/>
  <c r="S37" i="67"/>
  <c r="O37" i="67"/>
  <c r="C37" i="67"/>
  <c r="D37" i="67"/>
  <c r="J37" i="67"/>
  <c r="L37" i="67"/>
  <c r="N37" i="67"/>
  <c r="K37" i="67"/>
  <c r="M37" i="67"/>
  <c r="I37" i="67"/>
  <c r="H37" i="67"/>
  <c r="G37" i="67"/>
  <c r="F37" i="67"/>
  <c r="AQ6" i="64"/>
  <c r="AQ8" i="64"/>
  <c r="AQ4" i="64"/>
  <c r="X32" i="66"/>
  <c r="M32" i="66"/>
  <c r="Y32" i="66"/>
  <c r="Z32" i="66"/>
  <c r="AB32" i="66"/>
  <c r="L32" i="66"/>
  <c r="S32" i="66"/>
  <c r="R32" i="66"/>
  <c r="K32" i="66"/>
  <c r="AE32" i="66"/>
  <c r="AD32" i="66"/>
  <c r="U32" i="66"/>
  <c r="T32" i="66"/>
  <c r="P32" i="66"/>
  <c r="Q32" i="66"/>
  <c r="N32" i="66"/>
  <c r="O32" i="66"/>
  <c r="J32" i="66"/>
  <c r="H32" i="66"/>
  <c r="I32" i="66"/>
  <c r="G32" i="66"/>
  <c r="F32" i="66"/>
  <c r="E32" i="66"/>
  <c r="D32" i="66"/>
  <c r="B32" i="66"/>
  <c r="C32" i="66"/>
  <c r="AG32" i="66"/>
  <c r="AF32" i="66"/>
  <c r="AA32" i="66"/>
  <c r="AC32" i="66"/>
  <c r="W32" i="66"/>
  <c r="V32" i="66"/>
  <c r="AF31" i="64"/>
  <c r="K31" i="64"/>
  <c r="O31" i="64"/>
  <c r="U31" i="64"/>
  <c r="X31" i="64"/>
  <c r="Z31" i="64"/>
  <c r="AD31" i="64"/>
  <c r="AJ31" i="64"/>
  <c r="P31" i="64"/>
  <c r="V31" i="64"/>
  <c r="B31" i="64"/>
  <c r="AC31" i="64"/>
  <c r="D31" i="64"/>
  <c r="AA31" i="64"/>
  <c r="AK31" i="64"/>
  <c r="W31" i="64"/>
  <c r="AH31" i="64"/>
  <c r="Y31" i="64"/>
  <c r="Q31" i="64"/>
  <c r="F31" i="64"/>
  <c r="G31" i="64"/>
  <c r="R31" i="64"/>
  <c r="AB31" i="64"/>
  <c r="AG31" i="64"/>
  <c r="AI31" i="64"/>
  <c r="C31" i="64"/>
  <c r="E31" i="64"/>
  <c r="H31" i="64"/>
  <c r="S31" i="64"/>
  <c r="L31" i="64"/>
  <c r="M31" i="64"/>
  <c r="I31" i="64"/>
  <c r="T31" i="64"/>
  <c r="J31" i="64"/>
  <c r="N31" i="64"/>
  <c r="AE31" i="64"/>
  <c r="C31" i="63"/>
  <c r="B31" i="63"/>
  <c r="R1" i="62" l="1"/>
  <c r="R24" i="62"/>
  <c r="R25" i="62"/>
  <c r="R26" i="62"/>
  <c r="R27" i="62"/>
  <c r="R28" i="62"/>
  <c r="R29" i="62"/>
  <c r="R30" i="62"/>
  <c r="R31" i="62"/>
  <c r="AJ30" i="63"/>
  <c r="AI30" i="63"/>
  <c r="AH30" i="63"/>
  <c r="AG30" i="63"/>
  <c r="AF30" i="63"/>
  <c r="AE30" i="63"/>
  <c r="AD30" i="63"/>
  <c r="AJ29" i="63"/>
  <c r="AI29" i="63"/>
  <c r="AH29" i="63"/>
  <c r="AG29" i="63"/>
  <c r="AF29" i="63"/>
  <c r="AE29" i="63"/>
  <c r="AD29" i="63"/>
  <c r="AJ28" i="63"/>
  <c r="AI28" i="63"/>
  <c r="AH28" i="63"/>
  <c r="AG28" i="63"/>
  <c r="AF28" i="63"/>
  <c r="AE28" i="63"/>
  <c r="AD28" i="63"/>
  <c r="AJ27" i="63"/>
  <c r="AI27" i="63"/>
  <c r="AH27" i="63"/>
  <c r="AG27" i="63"/>
  <c r="AF27" i="63"/>
  <c r="AE27" i="63"/>
  <c r="AD27" i="63"/>
  <c r="AJ26" i="63"/>
  <c r="AI26" i="63"/>
  <c r="AH26" i="63"/>
  <c r="AG26" i="63"/>
  <c r="AF26" i="63"/>
  <c r="AE26" i="63"/>
  <c r="AD26" i="63"/>
  <c r="AJ25" i="63"/>
  <c r="AI25" i="63"/>
  <c r="AH25" i="63"/>
  <c r="AG25" i="63"/>
  <c r="AF25" i="63"/>
  <c r="AE25" i="63"/>
  <c r="AD25" i="63"/>
  <c r="AJ24" i="63"/>
  <c r="AI24" i="63"/>
  <c r="AH24" i="63"/>
  <c r="AG24" i="63"/>
  <c r="AF24" i="63"/>
  <c r="AE24" i="63"/>
  <c r="AD24" i="63"/>
  <c r="AJ23" i="63"/>
  <c r="AI23" i="63"/>
  <c r="AH23" i="63"/>
  <c r="AG23" i="63"/>
  <c r="AF23" i="63"/>
  <c r="AE23" i="63"/>
  <c r="AD23" i="63"/>
  <c r="AC30" i="63"/>
  <c r="AB30" i="63"/>
  <c r="AA30" i="63"/>
  <c r="Z30" i="63"/>
  <c r="Y30" i="63"/>
  <c r="X30" i="63"/>
  <c r="W30" i="63"/>
  <c r="AC29" i="63"/>
  <c r="AB29" i="63"/>
  <c r="AA29" i="63"/>
  <c r="Z29" i="63"/>
  <c r="Y29" i="63"/>
  <c r="X29" i="63"/>
  <c r="W29" i="63"/>
  <c r="AC28" i="63"/>
  <c r="AB28" i="63"/>
  <c r="AA28" i="63"/>
  <c r="Z28" i="63"/>
  <c r="Y28" i="63"/>
  <c r="X28" i="63"/>
  <c r="W28" i="63"/>
  <c r="AC27" i="63"/>
  <c r="AB27" i="63"/>
  <c r="AA27" i="63"/>
  <c r="Z27" i="63"/>
  <c r="Y27" i="63"/>
  <c r="X27" i="63"/>
  <c r="W27" i="63"/>
  <c r="AC26" i="63"/>
  <c r="AB26" i="63"/>
  <c r="AA26" i="63"/>
  <c r="Z26" i="63"/>
  <c r="Y26" i="63"/>
  <c r="X26" i="63"/>
  <c r="W26" i="63"/>
  <c r="AC25" i="63"/>
  <c r="AB25" i="63"/>
  <c r="AA25" i="63"/>
  <c r="Z25" i="63"/>
  <c r="Y25" i="63"/>
  <c r="X25" i="63"/>
  <c r="W25" i="63"/>
  <c r="AC24" i="63"/>
  <c r="AB24" i="63"/>
  <c r="AA24" i="63"/>
  <c r="Z24" i="63"/>
  <c r="Y24" i="63"/>
  <c r="X24" i="63"/>
  <c r="W24" i="63"/>
  <c r="AC23" i="63"/>
  <c r="AB23" i="63"/>
  <c r="AA23" i="63"/>
  <c r="Z23" i="63"/>
  <c r="Y23" i="63"/>
  <c r="X23" i="63"/>
  <c r="W23" i="63"/>
  <c r="V30" i="63"/>
  <c r="U30" i="63"/>
  <c r="T30" i="63"/>
  <c r="S30" i="63"/>
  <c r="R30" i="63"/>
  <c r="Q30" i="63"/>
  <c r="P30" i="63"/>
  <c r="V29" i="63"/>
  <c r="U29" i="63"/>
  <c r="T29" i="63"/>
  <c r="S29" i="63"/>
  <c r="R29" i="63"/>
  <c r="Q29" i="63"/>
  <c r="P29" i="63"/>
  <c r="V28" i="63"/>
  <c r="U28" i="63"/>
  <c r="T28" i="63"/>
  <c r="S28" i="63"/>
  <c r="R28" i="63"/>
  <c r="Q28" i="63"/>
  <c r="P28" i="63"/>
  <c r="V27" i="63"/>
  <c r="U27" i="63"/>
  <c r="T27" i="63"/>
  <c r="S27" i="63"/>
  <c r="R27" i="63"/>
  <c r="Q27" i="63"/>
  <c r="P27" i="63"/>
  <c r="V26" i="63"/>
  <c r="U26" i="63"/>
  <c r="T26" i="63"/>
  <c r="S26" i="63"/>
  <c r="R26" i="63"/>
  <c r="Q26" i="63"/>
  <c r="P26" i="63"/>
  <c r="V25" i="63"/>
  <c r="U25" i="63"/>
  <c r="T25" i="63"/>
  <c r="S25" i="63"/>
  <c r="R25" i="63"/>
  <c r="Q25" i="63"/>
  <c r="P25" i="63"/>
  <c r="V24" i="63"/>
  <c r="U24" i="63"/>
  <c r="T24" i="63"/>
  <c r="S24" i="63"/>
  <c r="R24" i="63"/>
  <c r="Q24" i="63"/>
  <c r="P24" i="63"/>
  <c r="V23" i="63"/>
  <c r="U23" i="63"/>
  <c r="T23" i="63"/>
  <c r="S23" i="63"/>
  <c r="R23" i="63"/>
  <c r="Q23" i="63"/>
  <c r="P23" i="63"/>
  <c r="O30" i="63"/>
  <c r="N30" i="63"/>
  <c r="O29" i="63"/>
  <c r="N29" i="63"/>
  <c r="O28" i="63"/>
  <c r="N28" i="63"/>
  <c r="O27" i="63"/>
  <c r="N27" i="63"/>
  <c r="O26" i="63"/>
  <c r="N26" i="63"/>
  <c r="O25" i="63"/>
  <c r="N25" i="63"/>
  <c r="O24" i="63"/>
  <c r="N24" i="63"/>
  <c r="O23" i="63"/>
  <c r="N23" i="63"/>
  <c r="M30" i="63"/>
  <c r="L30" i="63"/>
  <c r="K30" i="63"/>
  <c r="J30" i="63"/>
  <c r="I30" i="63"/>
  <c r="M29" i="63"/>
  <c r="L29" i="63"/>
  <c r="K29" i="63"/>
  <c r="J29" i="63"/>
  <c r="I29" i="63"/>
  <c r="M28" i="63"/>
  <c r="L28" i="63"/>
  <c r="K28" i="63"/>
  <c r="J28" i="63"/>
  <c r="I28" i="63"/>
  <c r="M27" i="63"/>
  <c r="L27" i="63"/>
  <c r="K27" i="63"/>
  <c r="J27" i="63"/>
  <c r="I27" i="63"/>
  <c r="M26" i="63"/>
  <c r="L26" i="63"/>
  <c r="K26" i="63"/>
  <c r="J26" i="63"/>
  <c r="I26" i="63"/>
  <c r="M25" i="63"/>
  <c r="L25" i="63"/>
  <c r="K25" i="63"/>
  <c r="J25" i="63"/>
  <c r="I25" i="63"/>
  <c r="M24" i="63"/>
  <c r="L24" i="63"/>
  <c r="K24" i="63"/>
  <c r="J24" i="63"/>
  <c r="I24" i="63"/>
  <c r="M23" i="63"/>
  <c r="L23" i="63"/>
  <c r="K23" i="63"/>
  <c r="J23" i="63"/>
  <c r="I23" i="63"/>
  <c r="H30" i="63"/>
  <c r="H29" i="63"/>
  <c r="H28" i="63"/>
  <c r="H27" i="63"/>
  <c r="H26" i="63"/>
  <c r="H25" i="63"/>
  <c r="H24" i="63"/>
  <c r="H23" i="63"/>
  <c r="G30" i="63"/>
  <c r="G29" i="63"/>
  <c r="G28" i="63"/>
  <c r="G26" i="63"/>
  <c r="G27" i="63"/>
  <c r="G25" i="63"/>
  <c r="G24" i="63"/>
  <c r="G23" i="63"/>
  <c r="F30" i="63"/>
  <c r="E30" i="63"/>
  <c r="F29" i="63"/>
  <c r="E29" i="63"/>
  <c r="F28" i="63"/>
  <c r="E28" i="63"/>
  <c r="F27" i="63"/>
  <c r="E27" i="63"/>
  <c r="F26" i="63"/>
  <c r="E26" i="63"/>
  <c r="F25" i="63"/>
  <c r="E25" i="63"/>
  <c r="F24" i="63"/>
  <c r="E24" i="63"/>
  <c r="F23" i="63"/>
  <c r="E23" i="63"/>
  <c r="D30" i="63"/>
  <c r="D29" i="63"/>
  <c r="D28" i="63"/>
  <c r="D27" i="63"/>
  <c r="D26" i="63"/>
  <c r="D25" i="63"/>
  <c r="D24" i="63"/>
  <c r="D23" i="63"/>
  <c r="H1" i="64"/>
  <c r="G1" i="64"/>
  <c r="F1" i="64"/>
  <c r="E1" i="64"/>
  <c r="D1" i="64"/>
  <c r="C1" i="64"/>
  <c r="B1" i="64"/>
  <c r="R32" i="62" l="1"/>
  <c r="AI31" i="63"/>
  <c r="AJ31" i="63"/>
  <c r="AG31" i="63"/>
  <c r="AH31" i="63"/>
  <c r="X31" i="63"/>
  <c r="Y31" i="63"/>
  <c r="V31" i="63"/>
  <c r="AB31" i="63"/>
  <c r="AA31" i="63"/>
  <c r="W31" i="63"/>
  <c r="AC31" i="63"/>
  <c r="U31" i="63"/>
  <c r="N31" i="63"/>
  <c r="O31" i="63"/>
  <c r="AF31" i="63"/>
  <c r="AE31" i="63"/>
  <c r="AD31" i="63"/>
  <c r="Z31" i="63"/>
  <c r="S31" i="63"/>
  <c r="R31" i="63"/>
  <c r="Q31" i="63"/>
  <c r="L31" i="63"/>
  <c r="K31" i="63"/>
  <c r="I31" i="63"/>
  <c r="T31" i="63"/>
  <c r="P31" i="63"/>
  <c r="M31" i="63"/>
  <c r="J31" i="63"/>
  <c r="AJ1" i="64"/>
  <c r="AK1" i="64"/>
  <c r="AI1" i="64"/>
  <c r="AH1" i="64"/>
  <c r="AG1" i="64"/>
  <c r="AF1" i="64"/>
  <c r="AE1" i="64"/>
  <c r="AD1" i="64"/>
  <c r="AC1" i="64"/>
  <c r="AB1" i="64"/>
  <c r="AA1" i="64"/>
  <c r="Z1" i="64"/>
  <c r="Y1" i="64"/>
  <c r="X1" i="64"/>
  <c r="W1" i="64"/>
  <c r="V1" i="64"/>
  <c r="U1" i="64"/>
  <c r="T1" i="64"/>
  <c r="S1" i="64"/>
  <c r="R1" i="64"/>
  <c r="Q1" i="64"/>
  <c r="P1" i="64"/>
  <c r="O1" i="64"/>
  <c r="N1" i="64"/>
  <c r="M1" i="64"/>
  <c r="L1" i="64"/>
  <c r="K1" i="64"/>
  <c r="J1" i="64"/>
  <c r="I1" i="64"/>
  <c r="I1" i="63"/>
  <c r="J1" i="63"/>
  <c r="K1" i="63"/>
  <c r="L1" i="63"/>
  <c r="M1" i="63"/>
  <c r="N1" i="63"/>
  <c r="O1" i="63"/>
  <c r="P1" i="63"/>
  <c r="Q1" i="63"/>
  <c r="R1" i="63"/>
  <c r="S1" i="63"/>
  <c r="T1" i="63"/>
  <c r="U1" i="63"/>
  <c r="V1" i="63"/>
  <c r="W1" i="63"/>
  <c r="X1" i="63"/>
  <c r="Y1" i="63"/>
  <c r="Z1" i="63"/>
  <c r="AA1" i="63"/>
  <c r="AB1" i="63"/>
  <c r="AC1" i="63"/>
  <c r="AD1" i="63"/>
  <c r="AE1" i="63"/>
  <c r="AF1" i="63"/>
  <c r="AG1" i="63"/>
  <c r="AH1" i="63"/>
  <c r="AI1" i="63"/>
  <c r="AJ1" i="63"/>
  <c r="H1" i="63"/>
  <c r="G1" i="63"/>
  <c r="F1" i="63"/>
  <c r="E1" i="63"/>
  <c r="D1" i="63"/>
  <c r="AN5" i="62"/>
  <c r="AN6" i="62"/>
  <c r="AN7" i="62"/>
  <c r="AN8" i="62"/>
  <c r="AN10" i="62"/>
  <c r="AN11" i="62"/>
  <c r="AN16" i="62"/>
  <c r="AN13" i="62"/>
  <c r="AN14" i="62"/>
  <c r="AN15" i="62"/>
  <c r="AN17" i="62"/>
  <c r="AN18" i="62"/>
  <c r="AN19" i="62"/>
  <c r="AN20" i="62"/>
  <c r="AN21" i="62"/>
  <c r="AN4" i="62"/>
  <c r="AM5" i="62"/>
  <c r="AM6" i="62"/>
  <c r="AM7" i="62"/>
  <c r="AM8" i="62"/>
  <c r="AM10" i="62"/>
  <c r="AM11" i="62"/>
  <c r="AM16" i="62"/>
  <c r="AM13" i="62"/>
  <c r="AM14" i="62"/>
  <c r="AM15" i="62"/>
  <c r="AM17" i="62"/>
  <c r="AM18" i="62"/>
  <c r="AM19" i="62"/>
  <c r="AM20" i="62"/>
  <c r="AM21" i="62"/>
  <c r="AM4" i="62"/>
  <c r="AK17" i="61"/>
  <c r="AL17" i="61"/>
  <c r="AJ31" i="62"/>
  <c r="AI31" i="62"/>
  <c r="AH31" i="62"/>
  <c r="AG31" i="62"/>
  <c r="AF31" i="62"/>
  <c r="AJ30" i="62"/>
  <c r="AI30" i="62"/>
  <c r="AH30" i="62"/>
  <c r="AG30" i="62"/>
  <c r="AF30" i="62"/>
  <c r="AJ29" i="62"/>
  <c r="AI29" i="62"/>
  <c r="AH29" i="62"/>
  <c r="AG29" i="62"/>
  <c r="AF29" i="62"/>
  <c r="AJ28" i="62"/>
  <c r="AI28" i="62"/>
  <c r="AH28" i="62"/>
  <c r="AG28" i="62"/>
  <c r="AF28" i="62"/>
  <c r="AJ27" i="62"/>
  <c r="AI27" i="62"/>
  <c r="AH27" i="62"/>
  <c r="AG27" i="62"/>
  <c r="AF27" i="62"/>
  <c r="AJ26" i="62"/>
  <c r="AI26" i="62"/>
  <c r="AH26" i="62"/>
  <c r="AG26" i="62"/>
  <c r="AF26" i="62"/>
  <c r="AJ25" i="62"/>
  <c r="AI25" i="62"/>
  <c r="AH25" i="62"/>
  <c r="AG25" i="62"/>
  <c r="AF25" i="62"/>
  <c r="AJ24" i="62"/>
  <c r="AI24" i="62"/>
  <c r="AH24" i="62"/>
  <c r="AG24" i="62"/>
  <c r="AF24" i="62"/>
  <c r="AE31" i="62"/>
  <c r="AD31" i="62"/>
  <c r="AC31" i="62"/>
  <c r="AB31" i="62"/>
  <c r="AA31" i="62"/>
  <c r="Z31" i="62"/>
  <c r="Y31" i="62"/>
  <c r="AE30" i="62"/>
  <c r="AD30" i="62"/>
  <c r="AC30" i="62"/>
  <c r="AB30" i="62"/>
  <c r="AA30" i="62"/>
  <c r="Z30" i="62"/>
  <c r="Y30" i="62"/>
  <c r="AE29" i="62"/>
  <c r="AD29" i="62"/>
  <c r="AC29" i="62"/>
  <c r="AB29" i="62"/>
  <c r="AA29" i="62"/>
  <c r="Z29" i="62"/>
  <c r="Y29" i="62"/>
  <c r="AE28" i="62"/>
  <c r="AD28" i="62"/>
  <c r="AC28" i="62"/>
  <c r="AB28" i="62"/>
  <c r="AA28" i="62"/>
  <c r="Z28" i="62"/>
  <c r="Y28" i="62"/>
  <c r="AE27" i="62"/>
  <c r="AD27" i="62"/>
  <c r="AC27" i="62"/>
  <c r="AB27" i="62"/>
  <c r="AA27" i="62"/>
  <c r="Z27" i="62"/>
  <c r="Y27" i="62"/>
  <c r="AE26" i="62"/>
  <c r="AD26" i="62"/>
  <c r="AC26" i="62"/>
  <c r="AB26" i="62"/>
  <c r="AA26" i="62"/>
  <c r="Z26" i="62"/>
  <c r="Y26" i="62"/>
  <c r="AE25" i="62"/>
  <c r="AD25" i="62"/>
  <c r="AC25" i="62"/>
  <c r="AB25" i="62"/>
  <c r="AA25" i="62"/>
  <c r="Z25" i="62"/>
  <c r="Y25" i="62"/>
  <c r="AE24" i="62"/>
  <c r="AD24" i="62"/>
  <c r="AC24" i="62"/>
  <c r="AB24" i="62"/>
  <c r="AA24" i="62"/>
  <c r="Z24" i="62"/>
  <c r="Y24" i="62"/>
  <c r="X31" i="62"/>
  <c r="W31" i="62"/>
  <c r="V31" i="62"/>
  <c r="U31" i="62"/>
  <c r="T31" i="62"/>
  <c r="S31" i="62"/>
  <c r="X30" i="62"/>
  <c r="W30" i="62"/>
  <c r="V30" i="62"/>
  <c r="U30" i="62"/>
  <c r="T30" i="62"/>
  <c r="S30" i="62"/>
  <c r="X29" i="62"/>
  <c r="W29" i="62"/>
  <c r="V29" i="62"/>
  <c r="U29" i="62"/>
  <c r="T29" i="62"/>
  <c r="S29" i="62"/>
  <c r="X28" i="62"/>
  <c r="W28" i="62"/>
  <c r="V28" i="62"/>
  <c r="U28" i="62"/>
  <c r="T28" i="62"/>
  <c r="S28" i="62"/>
  <c r="X27" i="62"/>
  <c r="W27" i="62"/>
  <c r="V27" i="62"/>
  <c r="U27" i="62"/>
  <c r="T27" i="62"/>
  <c r="S27" i="62"/>
  <c r="X26" i="62"/>
  <c r="W26" i="62"/>
  <c r="V26" i="62"/>
  <c r="U26" i="62"/>
  <c r="T26" i="62"/>
  <c r="S26" i="62"/>
  <c r="X25" i="62"/>
  <c r="W25" i="62"/>
  <c r="V25" i="62"/>
  <c r="U25" i="62"/>
  <c r="T25" i="62"/>
  <c r="S25" i="62"/>
  <c r="X24" i="62"/>
  <c r="W24" i="62"/>
  <c r="V24" i="62"/>
  <c r="U24" i="62"/>
  <c r="T24" i="62"/>
  <c r="S24" i="62"/>
  <c r="Q31" i="62"/>
  <c r="P31" i="62"/>
  <c r="O31" i="62"/>
  <c r="N31" i="62"/>
  <c r="M31" i="62"/>
  <c r="L31" i="62"/>
  <c r="K31" i="62"/>
  <c r="Q30" i="62"/>
  <c r="P30" i="62"/>
  <c r="O30" i="62"/>
  <c r="N30" i="62"/>
  <c r="M30" i="62"/>
  <c r="L30" i="62"/>
  <c r="K30" i="62"/>
  <c r="Q29" i="62"/>
  <c r="P29" i="62"/>
  <c r="O29" i="62"/>
  <c r="N29" i="62"/>
  <c r="M29" i="62"/>
  <c r="L29" i="62"/>
  <c r="K29" i="62"/>
  <c r="Q28" i="62"/>
  <c r="P28" i="62"/>
  <c r="O28" i="62"/>
  <c r="N28" i="62"/>
  <c r="M28" i="62"/>
  <c r="L28" i="62"/>
  <c r="K28" i="62"/>
  <c r="Q27" i="62"/>
  <c r="P27" i="62"/>
  <c r="O27" i="62"/>
  <c r="N27" i="62"/>
  <c r="M27" i="62"/>
  <c r="L27" i="62"/>
  <c r="K27" i="62"/>
  <c r="Q26" i="62"/>
  <c r="P26" i="62"/>
  <c r="O26" i="62"/>
  <c r="N26" i="62"/>
  <c r="M26" i="62"/>
  <c r="L26" i="62"/>
  <c r="K26" i="62"/>
  <c r="Q25" i="62"/>
  <c r="P25" i="62"/>
  <c r="O25" i="62"/>
  <c r="N25" i="62"/>
  <c r="M25" i="62"/>
  <c r="L25" i="62"/>
  <c r="K25" i="62"/>
  <c r="Q24" i="62"/>
  <c r="P24" i="62"/>
  <c r="O24" i="62"/>
  <c r="N24" i="62"/>
  <c r="M24" i="62"/>
  <c r="L24" i="62"/>
  <c r="K24" i="62"/>
  <c r="J31" i="62"/>
  <c r="I31" i="62"/>
  <c r="J30" i="62"/>
  <c r="I30" i="62"/>
  <c r="J29" i="62"/>
  <c r="I29" i="62"/>
  <c r="J28" i="62"/>
  <c r="I28" i="62"/>
  <c r="J27" i="62"/>
  <c r="I27" i="62"/>
  <c r="J26" i="62"/>
  <c r="I26" i="62"/>
  <c r="J25" i="62"/>
  <c r="I25" i="62"/>
  <c r="J24" i="62"/>
  <c r="I24" i="62"/>
  <c r="H31" i="62"/>
  <c r="G31" i="62"/>
  <c r="F31" i="62"/>
  <c r="E31" i="62"/>
  <c r="H30" i="62"/>
  <c r="G30" i="62"/>
  <c r="F30" i="62"/>
  <c r="E30" i="62"/>
  <c r="H29" i="62"/>
  <c r="G29" i="62"/>
  <c r="F29" i="62"/>
  <c r="E29" i="62"/>
  <c r="H28" i="62"/>
  <c r="G28" i="62"/>
  <c r="F28" i="62"/>
  <c r="E28" i="62"/>
  <c r="H27" i="62"/>
  <c r="G27" i="62"/>
  <c r="F27" i="62"/>
  <c r="E27" i="62"/>
  <c r="H26" i="62"/>
  <c r="G26" i="62"/>
  <c r="F26" i="62"/>
  <c r="E26" i="62"/>
  <c r="H25" i="62"/>
  <c r="G25" i="62"/>
  <c r="F25" i="62"/>
  <c r="E25" i="62"/>
  <c r="H24" i="62"/>
  <c r="G24" i="62"/>
  <c r="F24" i="62"/>
  <c r="E24" i="62"/>
  <c r="D31" i="62"/>
  <c r="D30" i="62"/>
  <c r="D29" i="62"/>
  <c r="D28" i="62"/>
  <c r="D27" i="62"/>
  <c r="D26" i="62"/>
  <c r="D25" i="62"/>
  <c r="D24" i="62"/>
  <c r="C31" i="62"/>
  <c r="C30" i="62"/>
  <c r="C29" i="62"/>
  <c r="C28" i="62"/>
  <c r="C27" i="62"/>
  <c r="C26" i="62"/>
  <c r="C25" i="62"/>
  <c r="C24" i="62"/>
  <c r="B31" i="62"/>
  <c r="B30" i="62"/>
  <c r="B29" i="62"/>
  <c r="B28" i="62"/>
  <c r="B27" i="62"/>
  <c r="B26" i="62"/>
  <c r="B25" i="62"/>
  <c r="B24" i="62"/>
  <c r="K1" i="62"/>
  <c r="L1" i="62"/>
  <c r="M1" i="62"/>
  <c r="N1" i="62"/>
  <c r="O1" i="62"/>
  <c r="P1" i="62"/>
  <c r="Q1" i="62"/>
  <c r="S1" i="62"/>
  <c r="T1" i="62"/>
  <c r="U1" i="62"/>
  <c r="V1" i="62"/>
  <c r="W1" i="62"/>
  <c r="X1" i="62"/>
  <c r="Y1" i="62"/>
  <c r="Z1" i="62"/>
  <c r="AA1" i="62"/>
  <c r="AB1" i="62"/>
  <c r="AC1" i="62"/>
  <c r="AD1" i="62"/>
  <c r="AE1" i="62"/>
  <c r="AF1" i="62"/>
  <c r="AG1" i="62"/>
  <c r="AH1" i="62"/>
  <c r="AI1" i="62"/>
  <c r="AJ1" i="62"/>
  <c r="J1" i="62"/>
  <c r="I1" i="62"/>
  <c r="H1" i="62"/>
  <c r="G1" i="62"/>
  <c r="F1" i="62"/>
  <c r="E1" i="62"/>
  <c r="D1" i="62"/>
  <c r="C1" i="62"/>
  <c r="B1" i="62"/>
  <c r="AK5" i="61"/>
  <c r="AL5" i="61"/>
  <c r="AK6" i="61"/>
  <c r="AL6" i="61"/>
  <c r="AK7" i="61"/>
  <c r="AL7" i="61"/>
  <c r="AK8" i="61"/>
  <c r="AL8" i="61"/>
  <c r="AK10" i="61"/>
  <c r="AL10" i="61"/>
  <c r="AK11" i="61"/>
  <c r="AL11" i="61"/>
  <c r="AK12" i="61"/>
  <c r="AL12" i="61"/>
  <c r="AK13" i="61"/>
  <c r="AL13" i="61"/>
  <c r="AK14" i="61"/>
  <c r="AL14" i="61"/>
  <c r="AK16" i="61"/>
  <c r="AL16" i="61"/>
  <c r="AK33" i="61"/>
  <c r="AL33" i="61"/>
  <c r="AK18" i="61"/>
  <c r="AL18" i="61"/>
  <c r="AK19" i="61"/>
  <c r="AL19" i="61"/>
  <c r="AK20" i="61"/>
  <c r="AL20" i="61"/>
  <c r="AK4" i="61"/>
  <c r="AL4" i="61"/>
  <c r="Y30" i="58"/>
  <c r="Y29" i="58"/>
  <c r="Y28" i="58"/>
  <c r="Y27" i="58"/>
  <c r="Y26" i="58"/>
  <c r="Y25" i="58"/>
  <c r="Y24" i="58"/>
  <c r="Y23" i="58"/>
  <c r="AF30" i="61"/>
  <c r="AE30" i="61"/>
  <c r="AF29" i="61"/>
  <c r="AE29" i="61"/>
  <c r="AF28" i="61"/>
  <c r="AE28" i="61"/>
  <c r="AF27" i="61"/>
  <c r="AE27" i="61"/>
  <c r="AF26" i="61"/>
  <c r="AE26" i="61"/>
  <c r="AF25" i="61"/>
  <c r="AE25" i="61"/>
  <c r="AF24" i="61"/>
  <c r="AE24" i="61"/>
  <c r="AF23" i="61"/>
  <c r="AE23" i="61"/>
  <c r="Y30" i="61"/>
  <c r="X30" i="61"/>
  <c r="Y29" i="61"/>
  <c r="X29" i="61"/>
  <c r="Y28" i="61"/>
  <c r="X28" i="61"/>
  <c r="Y27" i="61"/>
  <c r="X27" i="61"/>
  <c r="Y26" i="61"/>
  <c r="X26" i="61"/>
  <c r="Y25" i="61"/>
  <c r="X25" i="61"/>
  <c r="Y24" i="61"/>
  <c r="X24" i="61"/>
  <c r="Y23" i="61"/>
  <c r="X23" i="61"/>
  <c r="R30" i="61"/>
  <c r="Q30" i="61"/>
  <c r="R29" i="61"/>
  <c r="Q29" i="61"/>
  <c r="R28" i="61"/>
  <c r="Q28" i="61"/>
  <c r="R27" i="61"/>
  <c r="Q27" i="61"/>
  <c r="R26" i="61"/>
  <c r="Q26" i="61"/>
  <c r="R25" i="61"/>
  <c r="Q25" i="61"/>
  <c r="R24" i="61"/>
  <c r="Q24" i="61"/>
  <c r="R23" i="61"/>
  <c r="Q23" i="61"/>
  <c r="K30" i="61"/>
  <c r="J30" i="61"/>
  <c r="K29" i="61"/>
  <c r="J29" i="61"/>
  <c r="K28" i="61"/>
  <c r="J28" i="61"/>
  <c r="K27" i="61"/>
  <c r="J27" i="61"/>
  <c r="K26" i="61"/>
  <c r="J26" i="61"/>
  <c r="K25" i="61"/>
  <c r="J25" i="61"/>
  <c r="K24" i="61"/>
  <c r="J24" i="61"/>
  <c r="K23" i="61"/>
  <c r="J23" i="61"/>
  <c r="D30" i="61"/>
  <c r="D29" i="61"/>
  <c r="D28" i="61"/>
  <c r="D27" i="61"/>
  <c r="D26" i="61"/>
  <c r="D25" i="61"/>
  <c r="D24" i="61"/>
  <c r="D23" i="61"/>
  <c r="C30" i="61"/>
  <c r="C29" i="61"/>
  <c r="C28" i="61"/>
  <c r="C27" i="61"/>
  <c r="C26" i="61"/>
  <c r="C25" i="61"/>
  <c r="C24" i="61"/>
  <c r="C23" i="61"/>
  <c r="AI30" i="61"/>
  <c r="AH30" i="61"/>
  <c r="AG30" i="61"/>
  <c r="AI29" i="61"/>
  <c r="AH29" i="61"/>
  <c r="AG29" i="61"/>
  <c r="AI28" i="61"/>
  <c r="AH28" i="61"/>
  <c r="AG28" i="61"/>
  <c r="AI27" i="61"/>
  <c r="AH27" i="61"/>
  <c r="AG27" i="61"/>
  <c r="AI26" i="61"/>
  <c r="AH26" i="61"/>
  <c r="AG26" i="61"/>
  <c r="AI25" i="61"/>
  <c r="AH25" i="61"/>
  <c r="AG25" i="61"/>
  <c r="AI24" i="61"/>
  <c r="AH24" i="61"/>
  <c r="AG24" i="61"/>
  <c r="AI23" i="61"/>
  <c r="AH23" i="61"/>
  <c r="AG23" i="61"/>
  <c r="AD30" i="61"/>
  <c r="AC30" i="61"/>
  <c r="AB30" i="61"/>
  <c r="AA30" i="61"/>
  <c r="Z30" i="61"/>
  <c r="AD29" i="61"/>
  <c r="AC29" i="61"/>
  <c r="AB29" i="61"/>
  <c r="AA29" i="61"/>
  <c r="Z29" i="61"/>
  <c r="AD28" i="61"/>
  <c r="AC28" i="61"/>
  <c r="AB28" i="61"/>
  <c r="AA28" i="61"/>
  <c r="Z28" i="61"/>
  <c r="AD27" i="61"/>
  <c r="AC27" i="61"/>
  <c r="AB27" i="61"/>
  <c r="AA27" i="61"/>
  <c r="Z27" i="61"/>
  <c r="AD26" i="61"/>
  <c r="AC26" i="61"/>
  <c r="AB26" i="61"/>
  <c r="AA26" i="61"/>
  <c r="Z26" i="61"/>
  <c r="AD25" i="61"/>
  <c r="AC25" i="61"/>
  <c r="AB25" i="61"/>
  <c r="AA25" i="61"/>
  <c r="Z25" i="61"/>
  <c r="AD24" i="61"/>
  <c r="AC24" i="61"/>
  <c r="AB24" i="61"/>
  <c r="AA24" i="61"/>
  <c r="Z24" i="61"/>
  <c r="AD23" i="61"/>
  <c r="AC23" i="61"/>
  <c r="AB23" i="61"/>
  <c r="AA23" i="61"/>
  <c r="Z23" i="61"/>
  <c r="W30" i="61"/>
  <c r="V30" i="61"/>
  <c r="U30" i="61"/>
  <c r="T30" i="61"/>
  <c r="S30" i="61"/>
  <c r="W29" i="61"/>
  <c r="V29" i="61"/>
  <c r="U29" i="61"/>
  <c r="T29" i="61"/>
  <c r="S29" i="61"/>
  <c r="W28" i="61"/>
  <c r="V28" i="61"/>
  <c r="U28" i="61"/>
  <c r="T28" i="61"/>
  <c r="S28" i="61"/>
  <c r="W27" i="61"/>
  <c r="V27" i="61"/>
  <c r="U27" i="61"/>
  <c r="T27" i="61"/>
  <c r="S27" i="61"/>
  <c r="W26" i="61"/>
  <c r="V26" i="61"/>
  <c r="U26" i="61"/>
  <c r="T26" i="61"/>
  <c r="S26" i="61"/>
  <c r="W25" i="61"/>
  <c r="V25" i="61"/>
  <c r="U25" i="61"/>
  <c r="T25" i="61"/>
  <c r="S25" i="61"/>
  <c r="W24" i="61"/>
  <c r="V24" i="61"/>
  <c r="U24" i="61"/>
  <c r="T24" i="61"/>
  <c r="S24" i="61"/>
  <c r="W23" i="61"/>
  <c r="V23" i="61"/>
  <c r="U23" i="61"/>
  <c r="T23" i="61"/>
  <c r="S23" i="61"/>
  <c r="P30" i="61"/>
  <c r="O30" i="61"/>
  <c r="N30" i="61"/>
  <c r="M30" i="61"/>
  <c r="L30" i="61"/>
  <c r="P29" i="61"/>
  <c r="O29" i="61"/>
  <c r="N29" i="61"/>
  <c r="M29" i="61"/>
  <c r="L29" i="61"/>
  <c r="P28" i="61"/>
  <c r="O28" i="61"/>
  <c r="N28" i="61"/>
  <c r="M28" i="61"/>
  <c r="L28" i="61"/>
  <c r="P27" i="61"/>
  <c r="O27" i="61"/>
  <c r="N27" i="61"/>
  <c r="M27" i="61"/>
  <c r="L27" i="61"/>
  <c r="P26" i="61"/>
  <c r="O26" i="61"/>
  <c r="N26" i="61"/>
  <c r="M26" i="61"/>
  <c r="L26" i="61"/>
  <c r="P25" i="61"/>
  <c r="O25" i="61"/>
  <c r="N25" i="61"/>
  <c r="M25" i="61"/>
  <c r="L25" i="61"/>
  <c r="P24" i="61"/>
  <c r="O24" i="61"/>
  <c r="N24" i="61"/>
  <c r="M24" i="61"/>
  <c r="L24" i="61"/>
  <c r="P23" i="61"/>
  <c r="O23" i="61"/>
  <c r="N23" i="61"/>
  <c r="M23" i="61"/>
  <c r="L23" i="61"/>
  <c r="I30" i="61"/>
  <c r="H30" i="61"/>
  <c r="G30" i="61"/>
  <c r="F30" i="61"/>
  <c r="I29" i="61"/>
  <c r="H29" i="61"/>
  <c r="G29" i="61"/>
  <c r="F29" i="61"/>
  <c r="I28" i="61"/>
  <c r="H28" i="61"/>
  <c r="G28" i="61"/>
  <c r="F28" i="61"/>
  <c r="I27" i="61"/>
  <c r="H27" i="61"/>
  <c r="G27" i="61"/>
  <c r="F27" i="61"/>
  <c r="I26" i="61"/>
  <c r="H26" i="61"/>
  <c r="G26" i="61"/>
  <c r="F26" i="61"/>
  <c r="I25" i="61"/>
  <c r="H25" i="61"/>
  <c r="G25" i="61"/>
  <c r="F25" i="61"/>
  <c r="I24" i="61"/>
  <c r="H24" i="61"/>
  <c r="G24" i="61"/>
  <c r="F24" i="61"/>
  <c r="I23" i="61"/>
  <c r="H23" i="61"/>
  <c r="G23" i="61"/>
  <c r="F23" i="61"/>
  <c r="B30" i="61"/>
  <c r="B29" i="61"/>
  <c r="B28" i="61"/>
  <c r="B27" i="61"/>
  <c r="B26" i="61"/>
  <c r="B25" i="61"/>
  <c r="B24" i="61"/>
  <c r="B23" i="61"/>
  <c r="E30" i="61"/>
  <c r="E29" i="61"/>
  <c r="E28" i="61"/>
  <c r="E27" i="61"/>
  <c r="E26" i="61"/>
  <c r="E25" i="61"/>
  <c r="E23" i="61"/>
  <c r="E24" i="61"/>
  <c r="E1" i="61"/>
  <c r="F1" i="61"/>
  <c r="G1" i="61"/>
  <c r="H1" i="61"/>
  <c r="I1" i="61"/>
  <c r="J1" i="61"/>
  <c r="K1" i="61"/>
  <c r="L1" i="61"/>
  <c r="M1" i="61"/>
  <c r="N1" i="61"/>
  <c r="O1" i="61"/>
  <c r="P1" i="61"/>
  <c r="Q1" i="61"/>
  <c r="R1" i="61"/>
  <c r="S1" i="61"/>
  <c r="T1" i="61"/>
  <c r="U1" i="61"/>
  <c r="V1" i="61"/>
  <c r="W1" i="61"/>
  <c r="X1" i="61"/>
  <c r="Y1" i="61"/>
  <c r="Z1" i="61"/>
  <c r="AA1" i="61"/>
  <c r="AB1" i="61"/>
  <c r="AC1" i="61"/>
  <c r="AD1" i="61"/>
  <c r="AE1" i="61"/>
  <c r="AF1" i="61"/>
  <c r="AG1" i="61"/>
  <c r="AH1" i="61"/>
  <c r="AI1" i="61"/>
  <c r="D1" i="61"/>
  <c r="C1" i="61"/>
  <c r="B1" i="61"/>
  <c r="B1" i="59"/>
  <c r="C1" i="59"/>
  <c r="D1" i="59"/>
  <c r="B23" i="59"/>
  <c r="C23" i="59"/>
  <c r="D23" i="59"/>
  <c r="B24" i="59"/>
  <c r="C24" i="59"/>
  <c r="D24" i="59"/>
  <c r="B25" i="59"/>
  <c r="C25" i="59"/>
  <c r="D25" i="59"/>
  <c r="B26" i="59"/>
  <c r="C26" i="59"/>
  <c r="D26" i="59"/>
  <c r="B27" i="59"/>
  <c r="C27" i="59"/>
  <c r="D27" i="59"/>
  <c r="B28" i="59"/>
  <c r="C28" i="59"/>
  <c r="D28" i="59"/>
  <c r="B29" i="59"/>
  <c r="C29" i="59"/>
  <c r="D29" i="59"/>
  <c r="B30" i="59"/>
  <c r="C30" i="59"/>
  <c r="D30" i="59"/>
  <c r="AH17" i="60"/>
  <c r="AH18" i="60"/>
  <c r="AH19" i="60"/>
  <c r="AH20" i="60"/>
  <c r="AH16" i="60"/>
  <c r="AH11" i="60"/>
  <c r="AH12" i="60"/>
  <c r="AH13" i="60"/>
  <c r="AH14" i="60"/>
  <c r="AH10" i="60"/>
  <c r="AH5" i="60"/>
  <c r="AH6" i="60"/>
  <c r="AH7" i="60"/>
  <c r="AH8" i="60"/>
  <c r="AH4" i="60"/>
  <c r="AI17" i="60"/>
  <c r="AI18" i="60"/>
  <c r="AI19" i="60"/>
  <c r="AI20" i="60"/>
  <c r="AI16" i="60"/>
  <c r="AI11" i="60"/>
  <c r="AI12" i="60"/>
  <c r="AI13" i="60"/>
  <c r="AI14" i="60"/>
  <c r="AI10" i="60"/>
  <c r="AI5" i="60"/>
  <c r="AI6" i="60"/>
  <c r="AI7" i="60"/>
  <c r="AI8" i="60"/>
  <c r="AI4" i="60"/>
  <c r="B31" i="60"/>
  <c r="B30" i="60"/>
  <c r="B29" i="60"/>
  <c r="B28" i="60"/>
  <c r="B27" i="60"/>
  <c r="B26" i="60"/>
  <c r="B25" i="60"/>
  <c r="B24" i="60"/>
  <c r="AF31" i="60"/>
  <c r="AF30" i="60"/>
  <c r="AF29" i="60"/>
  <c r="AF28" i="60"/>
  <c r="AF27" i="60"/>
  <c r="AF26" i="60"/>
  <c r="AF25" i="60"/>
  <c r="AF24" i="60"/>
  <c r="AE31" i="60"/>
  <c r="AE30" i="60"/>
  <c r="AE29" i="60"/>
  <c r="AE28" i="60"/>
  <c r="AE27" i="60"/>
  <c r="AE26" i="60"/>
  <c r="AE25" i="60"/>
  <c r="AE24" i="60"/>
  <c r="Y31" i="60"/>
  <c r="X31" i="60"/>
  <c r="Y30" i="60"/>
  <c r="X30" i="60"/>
  <c r="Y29" i="60"/>
  <c r="X29" i="60"/>
  <c r="Y28" i="60"/>
  <c r="X28" i="60"/>
  <c r="Y27" i="60"/>
  <c r="X27" i="60"/>
  <c r="Y26" i="60"/>
  <c r="X26" i="60"/>
  <c r="Y25" i="60"/>
  <c r="X25" i="60"/>
  <c r="Y24" i="60"/>
  <c r="X24" i="60"/>
  <c r="R31" i="60"/>
  <c r="Q31" i="60"/>
  <c r="R30" i="60"/>
  <c r="Q30" i="60"/>
  <c r="R29" i="60"/>
  <c r="Q29" i="60"/>
  <c r="R28" i="60"/>
  <c r="Q28" i="60"/>
  <c r="R27" i="60"/>
  <c r="Q27" i="60"/>
  <c r="R26" i="60"/>
  <c r="Q26" i="60"/>
  <c r="R25" i="60"/>
  <c r="Q25" i="60"/>
  <c r="R24" i="60"/>
  <c r="Q24" i="60"/>
  <c r="K31" i="60"/>
  <c r="J31" i="60"/>
  <c r="K30" i="60"/>
  <c r="J30" i="60"/>
  <c r="K29" i="60"/>
  <c r="J29" i="60"/>
  <c r="K28" i="60"/>
  <c r="J28" i="60"/>
  <c r="K27" i="60"/>
  <c r="J27" i="60"/>
  <c r="K26" i="60"/>
  <c r="J26" i="60"/>
  <c r="K25" i="60"/>
  <c r="J25" i="60"/>
  <c r="K24" i="60"/>
  <c r="J24" i="60"/>
  <c r="D31" i="60"/>
  <c r="D30" i="60"/>
  <c r="D29" i="60"/>
  <c r="D28" i="60"/>
  <c r="D27" i="60"/>
  <c r="D26" i="60"/>
  <c r="D25" i="60"/>
  <c r="D24" i="60"/>
  <c r="C31" i="60"/>
  <c r="C30" i="60"/>
  <c r="C29" i="60"/>
  <c r="C28" i="60"/>
  <c r="C27" i="60"/>
  <c r="C26" i="60"/>
  <c r="C25" i="60"/>
  <c r="C24" i="60"/>
  <c r="AD31" i="60"/>
  <c r="AC31" i="60"/>
  <c r="AB31" i="60"/>
  <c r="AA31" i="60"/>
  <c r="Z31" i="60"/>
  <c r="AD30" i="60"/>
  <c r="AC30" i="60"/>
  <c r="AB30" i="60"/>
  <c r="AA30" i="60"/>
  <c r="Z30" i="60"/>
  <c r="AD29" i="60"/>
  <c r="AC29" i="60"/>
  <c r="AB29" i="60"/>
  <c r="AA29" i="60"/>
  <c r="Z29" i="60"/>
  <c r="AD28" i="60"/>
  <c r="AC28" i="60"/>
  <c r="AB28" i="60"/>
  <c r="AA28" i="60"/>
  <c r="Z28" i="60"/>
  <c r="AD27" i="60"/>
  <c r="AC27" i="60"/>
  <c r="AB27" i="60"/>
  <c r="AA27" i="60"/>
  <c r="Z27" i="60"/>
  <c r="AD26" i="60"/>
  <c r="AC26" i="60"/>
  <c r="AB26" i="60"/>
  <c r="AA26" i="60"/>
  <c r="Z26" i="60"/>
  <c r="AD25" i="60"/>
  <c r="AC25" i="60"/>
  <c r="AB25" i="60"/>
  <c r="AA25" i="60"/>
  <c r="Z25" i="60"/>
  <c r="AD24" i="60"/>
  <c r="AC24" i="60"/>
  <c r="AB24" i="60"/>
  <c r="AA24" i="60"/>
  <c r="Z24" i="60"/>
  <c r="W31" i="60"/>
  <c r="V31" i="60"/>
  <c r="U31" i="60"/>
  <c r="T31" i="60"/>
  <c r="S31" i="60"/>
  <c r="W30" i="60"/>
  <c r="V30" i="60"/>
  <c r="U30" i="60"/>
  <c r="T30" i="60"/>
  <c r="S30" i="60"/>
  <c r="W29" i="60"/>
  <c r="V29" i="60"/>
  <c r="U29" i="60"/>
  <c r="T29" i="60"/>
  <c r="S29" i="60"/>
  <c r="W28" i="60"/>
  <c r="V28" i="60"/>
  <c r="U28" i="60"/>
  <c r="T28" i="60"/>
  <c r="S28" i="60"/>
  <c r="W27" i="60"/>
  <c r="V27" i="60"/>
  <c r="U27" i="60"/>
  <c r="T27" i="60"/>
  <c r="S27" i="60"/>
  <c r="W26" i="60"/>
  <c r="V26" i="60"/>
  <c r="U26" i="60"/>
  <c r="T26" i="60"/>
  <c r="S26" i="60"/>
  <c r="W25" i="60"/>
  <c r="V25" i="60"/>
  <c r="U25" i="60"/>
  <c r="T25" i="60"/>
  <c r="S25" i="60"/>
  <c r="W24" i="60"/>
  <c r="V24" i="60"/>
  <c r="U24" i="60"/>
  <c r="T24" i="60"/>
  <c r="S24" i="60"/>
  <c r="P31" i="60"/>
  <c r="O31" i="60"/>
  <c r="N31" i="60"/>
  <c r="M31" i="60"/>
  <c r="L31" i="60"/>
  <c r="P30" i="60"/>
  <c r="O30" i="60"/>
  <c r="N30" i="60"/>
  <c r="M30" i="60"/>
  <c r="L30" i="60"/>
  <c r="P29" i="60"/>
  <c r="O29" i="60"/>
  <c r="N29" i="60"/>
  <c r="M29" i="60"/>
  <c r="L29" i="60"/>
  <c r="P28" i="60"/>
  <c r="O28" i="60"/>
  <c r="N28" i="60"/>
  <c r="M28" i="60"/>
  <c r="L28" i="60"/>
  <c r="P27" i="60"/>
  <c r="O27" i="60"/>
  <c r="N27" i="60"/>
  <c r="M27" i="60"/>
  <c r="L27" i="60"/>
  <c r="P26" i="60"/>
  <c r="O26" i="60"/>
  <c r="N26" i="60"/>
  <c r="M26" i="60"/>
  <c r="L26" i="60"/>
  <c r="P25" i="60"/>
  <c r="O25" i="60"/>
  <c r="N25" i="60"/>
  <c r="M25" i="60"/>
  <c r="L25" i="60"/>
  <c r="P24" i="60"/>
  <c r="O24" i="60"/>
  <c r="N24" i="60"/>
  <c r="M24" i="60"/>
  <c r="L24" i="60"/>
  <c r="I31" i="60"/>
  <c r="H31" i="60"/>
  <c r="G31" i="60"/>
  <c r="F31" i="60"/>
  <c r="E31" i="60"/>
  <c r="I30" i="60"/>
  <c r="H30" i="60"/>
  <c r="G30" i="60"/>
  <c r="F30" i="60"/>
  <c r="E30" i="60"/>
  <c r="I29" i="60"/>
  <c r="H29" i="60"/>
  <c r="G29" i="60"/>
  <c r="F29" i="60"/>
  <c r="E29" i="60"/>
  <c r="I28" i="60"/>
  <c r="H28" i="60"/>
  <c r="G28" i="60"/>
  <c r="F28" i="60"/>
  <c r="E28" i="60"/>
  <c r="I27" i="60"/>
  <c r="H27" i="60"/>
  <c r="G27" i="60"/>
  <c r="F27" i="60"/>
  <c r="E27" i="60"/>
  <c r="I26" i="60"/>
  <c r="H26" i="60"/>
  <c r="G26" i="60"/>
  <c r="F26" i="60"/>
  <c r="E26" i="60"/>
  <c r="I25" i="60"/>
  <c r="H25" i="60"/>
  <c r="G25" i="60"/>
  <c r="F25" i="60"/>
  <c r="E25" i="60"/>
  <c r="I24" i="60"/>
  <c r="H24" i="60"/>
  <c r="G24" i="60"/>
  <c r="F24" i="60"/>
  <c r="E24" i="60"/>
  <c r="AL5" i="58"/>
  <c r="D31" i="59" l="1"/>
  <c r="C31" i="59"/>
  <c r="B31" i="59"/>
  <c r="D31" i="63"/>
  <c r="E31" i="63"/>
  <c r="F31" i="63"/>
  <c r="G31" i="63"/>
  <c r="H31" i="63"/>
  <c r="AC32" i="62"/>
  <c r="F32" i="62"/>
  <c r="AE32" i="62"/>
  <c r="AA32" i="62"/>
  <c r="V32" i="62"/>
  <c r="AH32" i="62"/>
  <c r="T32" i="62"/>
  <c r="AJ32" i="62"/>
  <c r="L32" i="62"/>
  <c r="M32" i="62"/>
  <c r="O32" i="62"/>
  <c r="D32" i="62"/>
  <c r="E32" i="62"/>
  <c r="AI32" i="62"/>
  <c r="AG32" i="62"/>
  <c r="AF32" i="62"/>
  <c r="AB32" i="62"/>
  <c r="Y32" i="62"/>
  <c r="Z32" i="62"/>
  <c r="U32" i="62"/>
  <c r="S32" i="62"/>
  <c r="N32" i="62"/>
  <c r="K32" i="62"/>
  <c r="AD32" i="62"/>
  <c r="W32" i="62"/>
  <c r="X32" i="62"/>
  <c r="P32" i="62"/>
  <c r="Q32" i="62"/>
  <c r="H32" i="62"/>
  <c r="I32" i="62"/>
  <c r="J32" i="62"/>
  <c r="G32" i="62"/>
  <c r="B32" i="62"/>
  <c r="C32" i="62"/>
  <c r="K31" i="61"/>
  <c r="E31" i="61"/>
  <c r="J31" i="61"/>
  <c r="I31" i="61"/>
  <c r="AG31" i="61"/>
  <c r="AE31" i="61"/>
  <c r="AD31" i="61"/>
  <c r="Z31" i="61"/>
  <c r="AC31" i="61"/>
  <c r="S31" i="61"/>
  <c r="W31" i="61"/>
  <c r="T31" i="61"/>
  <c r="Q31" i="61"/>
  <c r="U31" i="61"/>
  <c r="V31" i="61"/>
  <c r="R31" i="61"/>
  <c r="O31" i="61"/>
  <c r="N31" i="61"/>
  <c r="P31" i="61"/>
  <c r="L31" i="61"/>
  <c r="F31" i="61"/>
  <c r="G31" i="61"/>
  <c r="AH31" i="61"/>
  <c r="AI31" i="61"/>
  <c r="AF31" i="61"/>
  <c r="AB31" i="61"/>
  <c r="AA31" i="61"/>
  <c r="Y31" i="61"/>
  <c r="X31" i="61"/>
  <c r="M31" i="61"/>
  <c r="H31" i="61"/>
  <c r="D31" i="61"/>
  <c r="B31" i="61"/>
  <c r="C31" i="61"/>
  <c r="L32" i="60"/>
  <c r="B32" i="60"/>
  <c r="E32" i="60"/>
  <c r="F32" i="60"/>
  <c r="X32" i="60"/>
  <c r="AA32" i="60"/>
  <c r="Y32" i="60"/>
  <c r="W32" i="60"/>
  <c r="S32" i="60"/>
  <c r="H32" i="60"/>
  <c r="G32" i="60"/>
  <c r="D32" i="60"/>
  <c r="AC32" i="60"/>
  <c r="AD32" i="60"/>
  <c r="AB32" i="60"/>
  <c r="AE32" i="60"/>
  <c r="AF32" i="60"/>
  <c r="Z32" i="60"/>
  <c r="T32" i="60"/>
  <c r="U32" i="60"/>
  <c r="V32" i="60"/>
  <c r="P32" i="60"/>
  <c r="Q32" i="60"/>
  <c r="O32" i="60"/>
  <c r="R32" i="60"/>
  <c r="N32" i="60"/>
  <c r="C32" i="60"/>
  <c r="K32" i="60"/>
  <c r="J32" i="60"/>
  <c r="M32" i="60"/>
  <c r="I32" i="60"/>
  <c r="AJ21" i="59"/>
  <c r="AI21" i="59"/>
  <c r="AJ20" i="59"/>
  <c r="AI20" i="59"/>
  <c r="AJ19" i="59"/>
  <c r="AI19" i="59"/>
  <c r="AJ18" i="59"/>
  <c r="AI18" i="59"/>
  <c r="AJ17" i="59"/>
  <c r="AI17" i="59"/>
  <c r="AJ15" i="59"/>
  <c r="AI15" i="59"/>
  <c r="AJ14" i="59"/>
  <c r="AI14" i="59"/>
  <c r="AJ13" i="59"/>
  <c r="AI13" i="59"/>
  <c r="AJ12" i="59"/>
  <c r="AI12" i="59"/>
  <c r="AJ11" i="59"/>
  <c r="AI11" i="59"/>
  <c r="AJ10" i="59"/>
  <c r="AI10" i="59"/>
  <c r="AJ8" i="59"/>
  <c r="AI8" i="59"/>
  <c r="AJ7" i="59"/>
  <c r="AI7" i="59"/>
  <c r="AJ6" i="59"/>
  <c r="AI6" i="59"/>
  <c r="AJ5" i="59"/>
  <c r="AI5" i="59"/>
  <c r="AJ4" i="59"/>
  <c r="AI4" i="59"/>
  <c r="AG30" i="59"/>
  <c r="AF30" i="59"/>
  <c r="AE30" i="59"/>
  <c r="AD30" i="59"/>
  <c r="AG29" i="59"/>
  <c r="AF29" i="59"/>
  <c r="AE29" i="59"/>
  <c r="AD29" i="59"/>
  <c r="AG28" i="59"/>
  <c r="AF28" i="59"/>
  <c r="AE28" i="59"/>
  <c r="AD28" i="59"/>
  <c r="AG27" i="59"/>
  <c r="AF27" i="59"/>
  <c r="AE27" i="59"/>
  <c r="AD27" i="59"/>
  <c r="AG26" i="59"/>
  <c r="AF26" i="59"/>
  <c r="AE26" i="59"/>
  <c r="AD26" i="59"/>
  <c r="AG25" i="59"/>
  <c r="AF25" i="59"/>
  <c r="AE25" i="59"/>
  <c r="AD25" i="59"/>
  <c r="AG24" i="59"/>
  <c r="AF24" i="59"/>
  <c r="AE24" i="59"/>
  <c r="AD24" i="59"/>
  <c r="AG23" i="59"/>
  <c r="AF23" i="59"/>
  <c r="AE23" i="59"/>
  <c r="AD23" i="59"/>
  <c r="AC30" i="59"/>
  <c r="AB30" i="59"/>
  <c r="AA30" i="59"/>
  <c r="Z30" i="59"/>
  <c r="Y30" i="59"/>
  <c r="X30" i="59"/>
  <c r="W30" i="59"/>
  <c r="AC29" i="59"/>
  <c r="AB29" i="59"/>
  <c r="AA29" i="59"/>
  <c r="Z29" i="59"/>
  <c r="Y29" i="59"/>
  <c r="X29" i="59"/>
  <c r="W29" i="59"/>
  <c r="AC28" i="59"/>
  <c r="AB28" i="59"/>
  <c r="AA28" i="59"/>
  <c r="Z28" i="59"/>
  <c r="Y28" i="59"/>
  <c r="X28" i="59"/>
  <c r="W28" i="59"/>
  <c r="AC27" i="59"/>
  <c r="AB27" i="59"/>
  <c r="AA27" i="59"/>
  <c r="Z27" i="59"/>
  <c r="Y27" i="59"/>
  <c r="X27" i="59"/>
  <c r="W27" i="59"/>
  <c r="AC26" i="59"/>
  <c r="AB26" i="59"/>
  <c r="AA26" i="59"/>
  <c r="Z26" i="59"/>
  <c r="Y26" i="59"/>
  <c r="X26" i="59"/>
  <c r="W26" i="59"/>
  <c r="AC25" i="59"/>
  <c r="AB25" i="59"/>
  <c r="AA25" i="59"/>
  <c r="Z25" i="59"/>
  <c r="Y25" i="59"/>
  <c r="X25" i="59"/>
  <c r="W25" i="59"/>
  <c r="AC24" i="59"/>
  <c r="AB24" i="59"/>
  <c r="AA24" i="59"/>
  <c r="Z24" i="59"/>
  <c r="Y24" i="59"/>
  <c r="X24" i="59"/>
  <c r="W24" i="59"/>
  <c r="AC23" i="59"/>
  <c r="AB23" i="59"/>
  <c r="AA23" i="59"/>
  <c r="Z23" i="59"/>
  <c r="Y23" i="59"/>
  <c r="X23" i="59"/>
  <c r="W23" i="59"/>
  <c r="V30" i="59"/>
  <c r="U30" i="59"/>
  <c r="T30" i="59"/>
  <c r="S30" i="59"/>
  <c r="R30" i="59"/>
  <c r="Q30" i="59"/>
  <c r="P30" i="59"/>
  <c r="V29" i="59"/>
  <c r="U29" i="59"/>
  <c r="T29" i="59"/>
  <c r="S29" i="59"/>
  <c r="R29" i="59"/>
  <c r="Q29" i="59"/>
  <c r="P29" i="59"/>
  <c r="V28" i="59"/>
  <c r="U28" i="59"/>
  <c r="T28" i="59"/>
  <c r="S28" i="59"/>
  <c r="R28" i="59"/>
  <c r="Q28" i="59"/>
  <c r="P28" i="59"/>
  <c r="V27" i="59"/>
  <c r="U27" i="59"/>
  <c r="T27" i="59"/>
  <c r="S27" i="59"/>
  <c r="R27" i="59"/>
  <c r="Q27" i="59"/>
  <c r="P27" i="59"/>
  <c r="V26" i="59"/>
  <c r="U26" i="59"/>
  <c r="T26" i="59"/>
  <c r="S26" i="59"/>
  <c r="R26" i="59"/>
  <c r="Q26" i="59"/>
  <c r="P26" i="59"/>
  <c r="V25" i="59"/>
  <c r="U25" i="59"/>
  <c r="T25" i="59"/>
  <c r="S25" i="59"/>
  <c r="R25" i="59"/>
  <c r="Q25" i="59"/>
  <c r="P25" i="59"/>
  <c r="V24" i="59"/>
  <c r="U24" i="59"/>
  <c r="T24" i="59"/>
  <c r="S24" i="59"/>
  <c r="R24" i="59"/>
  <c r="Q24" i="59"/>
  <c r="P24" i="59"/>
  <c r="V23" i="59"/>
  <c r="U23" i="59"/>
  <c r="T23" i="59"/>
  <c r="S23" i="59"/>
  <c r="R23" i="59"/>
  <c r="Q23" i="59"/>
  <c r="P23" i="59"/>
  <c r="O30" i="59"/>
  <c r="N30" i="59"/>
  <c r="M30" i="59"/>
  <c r="L30" i="59"/>
  <c r="K30" i="59"/>
  <c r="J30" i="59"/>
  <c r="I30" i="59"/>
  <c r="O29" i="59"/>
  <c r="N29" i="59"/>
  <c r="M29" i="59"/>
  <c r="L29" i="59"/>
  <c r="K29" i="59"/>
  <c r="J29" i="59"/>
  <c r="I29" i="59"/>
  <c r="O28" i="59"/>
  <c r="N28" i="59"/>
  <c r="M28" i="59"/>
  <c r="L28" i="59"/>
  <c r="K28" i="59"/>
  <c r="J28" i="59"/>
  <c r="I28" i="59"/>
  <c r="O27" i="59"/>
  <c r="N27" i="59"/>
  <c r="M27" i="59"/>
  <c r="L27" i="59"/>
  <c r="K27" i="59"/>
  <c r="J27" i="59"/>
  <c r="I27" i="59"/>
  <c r="O26" i="59"/>
  <c r="N26" i="59"/>
  <c r="M26" i="59"/>
  <c r="L26" i="59"/>
  <c r="K26" i="59"/>
  <c r="J26" i="59"/>
  <c r="I26" i="59"/>
  <c r="O25" i="59"/>
  <c r="N25" i="59"/>
  <c r="M25" i="59"/>
  <c r="L25" i="59"/>
  <c r="K25" i="59"/>
  <c r="J25" i="59"/>
  <c r="I25" i="59"/>
  <c r="O24" i="59"/>
  <c r="N24" i="59"/>
  <c r="M24" i="59"/>
  <c r="L24" i="59"/>
  <c r="K24" i="59"/>
  <c r="J24" i="59"/>
  <c r="I24" i="59"/>
  <c r="O23" i="59"/>
  <c r="N23" i="59"/>
  <c r="M23" i="59"/>
  <c r="L23" i="59"/>
  <c r="K23" i="59"/>
  <c r="J23" i="59"/>
  <c r="I23" i="59"/>
  <c r="H30" i="59"/>
  <c r="G30" i="59"/>
  <c r="F30" i="59"/>
  <c r="E30" i="59"/>
  <c r="H29" i="59"/>
  <c r="G29" i="59"/>
  <c r="F29" i="59"/>
  <c r="E29" i="59"/>
  <c r="H28" i="59"/>
  <c r="G28" i="59"/>
  <c r="F28" i="59"/>
  <c r="E28" i="59"/>
  <c r="H27" i="59"/>
  <c r="G27" i="59"/>
  <c r="F27" i="59"/>
  <c r="E27" i="59"/>
  <c r="H26" i="59"/>
  <c r="G26" i="59"/>
  <c r="F26" i="59"/>
  <c r="E26" i="59"/>
  <c r="H25" i="59"/>
  <c r="G25" i="59"/>
  <c r="F25" i="59"/>
  <c r="E25" i="59"/>
  <c r="H24" i="59"/>
  <c r="G24" i="59"/>
  <c r="F24" i="59"/>
  <c r="E24" i="59"/>
  <c r="H23" i="59"/>
  <c r="G23" i="59"/>
  <c r="F23" i="59"/>
  <c r="E23" i="59"/>
  <c r="AG1" i="59"/>
  <c r="B1" i="60"/>
  <c r="C1" i="60"/>
  <c r="D1" i="60"/>
  <c r="E1" i="60"/>
  <c r="F1" i="60"/>
  <c r="G1" i="60"/>
  <c r="H1" i="60"/>
  <c r="I1" i="60"/>
  <c r="J1" i="60"/>
  <c r="K1" i="60"/>
  <c r="L1" i="60"/>
  <c r="M1" i="60"/>
  <c r="N1" i="60"/>
  <c r="O1" i="60"/>
  <c r="P1" i="60"/>
  <c r="Q1" i="60"/>
  <c r="R1" i="60"/>
  <c r="S1" i="60"/>
  <c r="T1" i="60"/>
  <c r="U1" i="60"/>
  <c r="V1" i="60"/>
  <c r="W1" i="60"/>
  <c r="X1" i="60"/>
  <c r="Y1" i="60"/>
  <c r="Z1" i="60"/>
  <c r="AA1" i="60"/>
  <c r="AB1" i="60"/>
  <c r="AC1" i="60"/>
  <c r="AD1" i="60"/>
  <c r="AE1" i="60"/>
  <c r="AF1" i="60"/>
  <c r="O30" i="57"/>
  <c r="O29" i="57"/>
  <c r="O28" i="57"/>
  <c r="O27" i="57"/>
  <c r="O26" i="57"/>
  <c r="O25" i="57"/>
  <c r="O24" i="57"/>
  <c r="O23" i="57"/>
  <c r="AI21" i="58"/>
  <c r="AI20" i="58"/>
  <c r="AI19" i="58"/>
  <c r="AI18" i="58"/>
  <c r="AI17" i="58"/>
  <c r="AI15" i="58"/>
  <c r="AI14" i="58"/>
  <c r="AI13" i="58"/>
  <c r="AI12" i="58"/>
  <c r="AI11" i="58"/>
  <c r="AI10" i="58"/>
  <c r="AI5" i="58"/>
  <c r="AI6" i="58"/>
  <c r="AI7" i="58"/>
  <c r="AI8" i="58"/>
  <c r="AI4" i="58"/>
  <c r="AH5" i="58"/>
  <c r="AH6" i="58"/>
  <c r="AH7" i="58"/>
  <c r="AH8" i="58"/>
  <c r="AH10" i="58"/>
  <c r="AH11" i="58"/>
  <c r="AH12" i="58"/>
  <c r="AH13" i="58"/>
  <c r="AH14" i="58"/>
  <c r="AH15" i="58"/>
  <c r="AH17" i="58"/>
  <c r="AH18" i="58"/>
  <c r="AH19" i="58"/>
  <c r="AH20" i="58"/>
  <c r="AH21" i="58"/>
  <c r="AH4" i="58"/>
  <c r="AF23" i="58"/>
  <c r="AF24" i="58"/>
  <c r="AF25" i="58"/>
  <c r="AF26" i="58"/>
  <c r="AF27" i="58"/>
  <c r="AF28" i="58"/>
  <c r="AF29" i="58"/>
  <c r="AF30" i="58"/>
  <c r="AE23" i="58"/>
  <c r="AE24" i="58"/>
  <c r="AE25" i="58"/>
  <c r="AE26" i="58"/>
  <c r="AE27" i="58"/>
  <c r="AE28" i="58"/>
  <c r="AE29" i="58"/>
  <c r="AE30" i="58"/>
  <c r="AD23" i="58"/>
  <c r="AD24" i="58"/>
  <c r="AD25" i="58"/>
  <c r="AD26" i="58"/>
  <c r="AD27" i="58"/>
  <c r="AD28" i="58"/>
  <c r="AD29" i="58"/>
  <c r="AD30" i="58"/>
  <c r="AC23" i="58"/>
  <c r="AC24" i="58"/>
  <c r="AC25" i="58"/>
  <c r="AC26" i="58"/>
  <c r="AC27" i="58"/>
  <c r="AC28" i="58"/>
  <c r="AC29" i="58"/>
  <c r="AC30" i="58"/>
  <c r="AB23" i="58"/>
  <c r="AB24" i="58"/>
  <c r="AB25" i="58"/>
  <c r="AB26" i="58"/>
  <c r="AB27" i="58"/>
  <c r="AB28" i="58"/>
  <c r="AB29" i="58"/>
  <c r="AB30" i="58"/>
  <c r="AA23" i="58"/>
  <c r="AA24" i="58"/>
  <c r="AA25" i="58"/>
  <c r="AA26" i="58"/>
  <c r="AA27" i="58"/>
  <c r="AA28" i="58"/>
  <c r="AA29" i="58"/>
  <c r="AA30" i="58"/>
  <c r="Z23" i="58"/>
  <c r="Z24" i="58"/>
  <c r="Z25" i="58"/>
  <c r="Z26" i="58"/>
  <c r="Z27" i="58"/>
  <c r="Z28" i="58"/>
  <c r="Z29" i="58"/>
  <c r="Z30" i="58"/>
  <c r="X23" i="58"/>
  <c r="X24" i="58"/>
  <c r="X25" i="58"/>
  <c r="X26" i="58"/>
  <c r="X27" i="58"/>
  <c r="X28" i="58"/>
  <c r="X29" i="58"/>
  <c r="X30" i="58"/>
  <c r="W23" i="58"/>
  <c r="W24" i="58"/>
  <c r="W25" i="58"/>
  <c r="W26" i="58"/>
  <c r="W27" i="58"/>
  <c r="W28" i="58"/>
  <c r="W29" i="58"/>
  <c r="W30" i="58"/>
  <c r="V23" i="58"/>
  <c r="V24" i="58"/>
  <c r="V25" i="58"/>
  <c r="V26" i="58"/>
  <c r="V27" i="58"/>
  <c r="V28" i="58"/>
  <c r="V29" i="58"/>
  <c r="V30" i="58"/>
  <c r="U23" i="58"/>
  <c r="U24" i="58"/>
  <c r="U25" i="58"/>
  <c r="U26" i="58"/>
  <c r="U27" i="58"/>
  <c r="U28" i="58"/>
  <c r="U29" i="58"/>
  <c r="U30" i="58"/>
  <c r="T23" i="58"/>
  <c r="T24" i="58"/>
  <c r="T25" i="58"/>
  <c r="T26" i="58"/>
  <c r="T27" i="58"/>
  <c r="T28" i="58"/>
  <c r="T29" i="58"/>
  <c r="T30" i="58"/>
  <c r="S23" i="58"/>
  <c r="S24" i="58"/>
  <c r="S25" i="58"/>
  <c r="S26" i="58"/>
  <c r="S27" i="58"/>
  <c r="S28" i="58"/>
  <c r="S29" i="58"/>
  <c r="S30" i="58"/>
  <c r="R23" i="58"/>
  <c r="R24" i="58"/>
  <c r="R25" i="58"/>
  <c r="R26" i="58"/>
  <c r="R27" i="58"/>
  <c r="R28" i="58"/>
  <c r="R29" i="58"/>
  <c r="R30" i="58"/>
  <c r="Q23" i="58"/>
  <c r="Q24" i="58"/>
  <c r="Q25" i="58"/>
  <c r="Q26" i="58"/>
  <c r="Q27" i="58"/>
  <c r="Q28" i="58"/>
  <c r="Q29" i="58"/>
  <c r="Q30" i="58"/>
  <c r="P23" i="58"/>
  <c r="P24" i="58"/>
  <c r="P25" i="58"/>
  <c r="P26" i="58"/>
  <c r="P27" i="58"/>
  <c r="P28" i="58"/>
  <c r="P29" i="58"/>
  <c r="P30" i="58"/>
  <c r="O23" i="58"/>
  <c r="O24" i="58"/>
  <c r="O25" i="58"/>
  <c r="O26" i="58"/>
  <c r="O27" i="58"/>
  <c r="O28" i="58"/>
  <c r="O29" i="58"/>
  <c r="O30" i="58"/>
  <c r="N23" i="58"/>
  <c r="N24" i="58"/>
  <c r="N25" i="58"/>
  <c r="N26" i="58"/>
  <c r="N27" i="58"/>
  <c r="N28" i="58"/>
  <c r="N29" i="58"/>
  <c r="N30" i="58"/>
  <c r="M23" i="58"/>
  <c r="M24" i="58"/>
  <c r="M25" i="58"/>
  <c r="M26" i="58"/>
  <c r="M27" i="58"/>
  <c r="M28" i="58"/>
  <c r="M29" i="58"/>
  <c r="M30" i="58"/>
  <c r="L23" i="58"/>
  <c r="L24" i="58"/>
  <c r="L25" i="58"/>
  <c r="L26" i="58"/>
  <c r="L27" i="58"/>
  <c r="L28" i="58"/>
  <c r="L29" i="58"/>
  <c r="L30" i="58"/>
  <c r="K23" i="58"/>
  <c r="K24" i="58"/>
  <c r="K25" i="58"/>
  <c r="K26" i="58"/>
  <c r="K27" i="58"/>
  <c r="K28" i="58"/>
  <c r="K29" i="58"/>
  <c r="K30" i="58"/>
  <c r="J23" i="58"/>
  <c r="J24" i="58"/>
  <c r="J25" i="58"/>
  <c r="J26" i="58"/>
  <c r="J27" i="58"/>
  <c r="J28" i="58"/>
  <c r="J29" i="58"/>
  <c r="J30" i="58"/>
  <c r="I23" i="58"/>
  <c r="I24" i="58"/>
  <c r="I25" i="58"/>
  <c r="I26" i="58"/>
  <c r="I27" i="58"/>
  <c r="I28" i="58"/>
  <c r="I29" i="58"/>
  <c r="I30" i="58"/>
  <c r="H23" i="58"/>
  <c r="H24" i="58"/>
  <c r="H25" i="58"/>
  <c r="H26" i="58"/>
  <c r="H27" i="58"/>
  <c r="H28" i="58"/>
  <c r="H29" i="58"/>
  <c r="H30" i="58"/>
  <c r="G23" i="58"/>
  <c r="G24" i="58"/>
  <c r="G25" i="58"/>
  <c r="G26" i="58"/>
  <c r="G27" i="58"/>
  <c r="G28" i="58"/>
  <c r="G29" i="58"/>
  <c r="G30" i="58"/>
  <c r="F23" i="58"/>
  <c r="F24" i="58"/>
  <c r="F25" i="58"/>
  <c r="F26" i="58"/>
  <c r="F27" i="58"/>
  <c r="F28" i="58"/>
  <c r="F29" i="58"/>
  <c r="F30" i="58"/>
  <c r="E23" i="58"/>
  <c r="E24" i="58"/>
  <c r="E25" i="58"/>
  <c r="E26" i="58"/>
  <c r="E27" i="58"/>
  <c r="E28" i="58"/>
  <c r="E29" i="58"/>
  <c r="E30" i="58"/>
  <c r="D23" i="58"/>
  <c r="D24" i="58"/>
  <c r="D25" i="58"/>
  <c r="D26" i="58"/>
  <c r="D27" i="58"/>
  <c r="D28" i="58"/>
  <c r="D29" i="58"/>
  <c r="D30" i="58"/>
  <c r="C23" i="58"/>
  <c r="C24" i="58"/>
  <c r="C25" i="58"/>
  <c r="C26" i="58"/>
  <c r="C27" i="58"/>
  <c r="C28" i="58"/>
  <c r="C29" i="58"/>
  <c r="C30" i="58"/>
  <c r="B23" i="58"/>
  <c r="B24" i="58"/>
  <c r="B25" i="58"/>
  <c r="B26" i="58"/>
  <c r="B27" i="58"/>
  <c r="B28" i="58"/>
  <c r="B29" i="58"/>
  <c r="B30" i="58"/>
  <c r="L1" i="57"/>
  <c r="AH5" i="57"/>
  <c r="AH6" i="57"/>
  <c r="AH7" i="57"/>
  <c r="AH8" i="57"/>
  <c r="AH9" i="57"/>
  <c r="AH11" i="57"/>
  <c r="AH12" i="57"/>
  <c r="AH13" i="57"/>
  <c r="AH14" i="57"/>
  <c r="AH15" i="57"/>
  <c r="AH17" i="57"/>
  <c r="AH18" i="57"/>
  <c r="AH19" i="57"/>
  <c r="AH20" i="57"/>
  <c r="AH21" i="57"/>
  <c r="AH4" i="57"/>
  <c r="AI4" i="57"/>
  <c r="E1" i="59"/>
  <c r="F1" i="59"/>
  <c r="G1" i="59"/>
  <c r="H1" i="59"/>
  <c r="I1" i="59"/>
  <c r="J1" i="59"/>
  <c r="K1" i="59"/>
  <c r="L1" i="59"/>
  <c r="M1" i="59"/>
  <c r="N1" i="59"/>
  <c r="O1" i="59"/>
  <c r="P1" i="59"/>
  <c r="Q1" i="59"/>
  <c r="R1" i="59"/>
  <c r="S1" i="59"/>
  <c r="T1" i="59"/>
  <c r="U1" i="59"/>
  <c r="V1" i="59"/>
  <c r="W1" i="59"/>
  <c r="X1" i="59"/>
  <c r="Y1" i="59"/>
  <c r="Z1" i="59"/>
  <c r="AA1" i="59"/>
  <c r="AB1" i="59"/>
  <c r="AC1" i="59"/>
  <c r="AD1" i="59"/>
  <c r="AE1" i="59"/>
  <c r="AF1" i="59"/>
  <c r="AF1" i="58"/>
  <c r="B1" i="58"/>
  <c r="C1" i="58"/>
  <c r="D1" i="58"/>
  <c r="E1" i="58"/>
  <c r="F1" i="58"/>
  <c r="G1" i="58"/>
  <c r="H1" i="58"/>
  <c r="I1" i="58"/>
  <c r="J1" i="58"/>
  <c r="K1" i="58"/>
  <c r="L1" i="58"/>
  <c r="M1" i="58"/>
  <c r="N1" i="58"/>
  <c r="O1" i="58"/>
  <c r="P1" i="58"/>
  <c r="Q1" i="58"/>
  <c r="R1" i="58"/>
  <c r="S1" i="58"/>
  <c r="T1" i="58"/>
  <c r="U1" i="58"/>
  <c r="V1" i="58"/>
  <c r="W1" i="58"/>
  <c r="X1" i="58"/>
  <c r="Y1" i="58"/>
  <c r="Z1" i="58"/>
  <c r="AA1" i="58"/>
  <c r="AB1" i="58"/>
  <c r="AC1" i="58"/>
  <c r="AD1" i="58"/>
  <c r="AE1" i="58"/>
  <c r="AF30" i="57"/>
  <c r="AE30" i="57"/>
  <c r="AD30" i="57"/>
  <c r="AC30" i="57"/>
  <c r="AB30" i="57"/>
  <c r="AA30" i="57"/>
  <c r="Z30" i="57"/>
  <c r="AF29" i="57"/>
  <c r="AE29" i="57"/>
  <c r="AD29" i="57"/>
  <c r="AC29" i="57"/>
  <c r="AB29" i="57"/>
  <c r="AA29" i="57"/>
  <c r="Z29" i="57"/>
  <c r="AF28" i="57"/>
  <c r="AE28" i="57"/>
  <c r="AD28" i="57"/>
  <c r="AC28" i="57"/>
  <c r="AB28" i="57"/>
  <c r="AA28" i="57"/>
  <c r="Z28" i="57"/>
  <c r="AF27" i="57"/>
  <c r="AE27" i="57"/>
  <c r="AD27" i="57"/>
  <c r="AC27" i="57"/>
  <c r="AB27" i="57"/>
  <c r="AA27" i="57"/>
  <c r="Z27" i="57"/>
  <c r="AF26" i="57"/>
  <c r="AE26" i="57"/>
  <c r="AD26" i="57"/>
  <c r="AC26" i="57"/>
  <c r="AB26" i="57"/>
  <c r="AA26" i="57"/>
  <c r="Z26" i="57"/>
  <c r="AF25" i="57"/>
  <c r="AE25" i="57"/>
  <c r="AD25" i="57"/>
  <c r="AC25" i="57"/>
  <c r="AB25" i="57"/>
  <c r="AA25" i="57"/>
  <c r="Z25" i="57"/>
  <c r="AF24" i="57"/>
  <c r="AE24" i="57"/>
  <c r="AD24" i="57"/>
  <c r="AC24" i="57"/>
  <c r="AB24" i="57"/>
  <c r="AA24" i="57"/>
  <c r="Z24" i="57"/>
  <c r="AF23" i="57"/>
  <c r="AE23" i="57"/>
  <c r="AD23" i="57"/>
  <c r="AC23" i="57"/>
  <c r="AB23" i="57"/>
  <c r="AA23" i="57"/>
  <c r="Z23" i="57"/>
  <c r="Y30" i="57"/>
  <c r="X30" i="57"/>
  <c r="W30" i="57"/>
  <c r="V30" i="57"/>
  <c r="U30" i="57"/>
  <c r="T30" i="57"/>
  <c r="S30" i="57"/>
  <c r="Y29" i="57"/>
  <c r="X29" i="57"/>
  <c r="W29" i="57"/>
  <c r="V29" i="57"/>
  <c r="U29" i="57"/>
  <c r="T29" i="57"/>
  <c r="S29" i="57"/>
  <c r="Y28" i="57"/>
  <c r="X28" i="57"/>
  <c r="W28" i="57"/>
  <c r="V28" i="57"/>
  <c r="U28" i="57"/>
  <c r="T28" i="57"/>
  <c r="S28" i="57"/>
  <c r="Y27" i="57"/>
  <c r="X27" i="57"/>
  <c r="W27" i="57"/>
  <c r="V27" i="57"/>
  <c r="U27" i="57"/>
  <c r="T27" i="57"/>
  <c r="S27" i="57"/>
  <c r="Y26" i="57"/>
  <c r="X26" i="57"/>
  <c r="W26" i="57"/>
  <c r="V26" i="57"/>
  <c r="U26" i="57"/>
  <c r="T26" i="57"/>
  <c r="S26" i="57"/>
  <c r="Y25" i="57"/>
  <c r="X25" i="57"/>
  <c r="W25" i="57"/>
  <c r="V25" i="57"/>
  <c r="U25" i="57"/>
  <c r="T25" i="57"/>
  <c r="S25" i="57"/>
  <c r="Y24" i="57"/>
  <c r="X24" i="57"/>
  <c r="W24" i="57"/>
  <c r="V24" i="57"/>
  <c r="U24" i="57"/>
  <c r="T24" i="57"/>
  <c r="S24" i="57"/>
  <c r="Y23" i="57"/>
  <c r="X23" i="57"/>
  <c r="W23" i="57"/>
  <c r="V23" i="57"/>
  <c r="U23" i="57"/>
  <c r="T23" i="57"/>
  <c r="S23" i="57"/>
  <c r="R30" i="57"/>
  <c r="Q30" i="57"/>
  <c r="P30" i="57"/>
  <c r="N30" i="57"/>
  <c r="M30" i="57"/>
  <c r="L30" i="57"/>
  <c r="R29" i="57"/>
  <c r="Q29" i="57"/>
  <c r="P29" i="57"/>
  <c r="N29" i="57"/>
  <c r="M29" i="57"/>
  <c r="L29" i="57"/>
  <c r="R28" i="57"/>
  <c r="Q28" i="57"/>
  <c r="P28" i="57"/>
  <c r="N28" i="57"/>
  <c r="M28" i="57"/>
  <c r="L28" i="57"/>
  <c r="R27" i="57"/>
  <c r="Q27" i="57"/>
  <c r="P27" i="57"/>
  <c r="N27" i="57"/>
  <c r="M27" i="57"/>
  <c r="L27" i="57"/>
  <c r="R26" i="57"/>
  <c r="Q26" i="57"/>
  <c r="P26" i="57"/>
  <c r="N26" i="57"/>
  <c r="M26" i="57"/>
  <c r="L26" i="57"/>
  <c r="R25" i="57"/>
  <c r="Q25" i="57"/>
  <c r="P25" i="57"/>
  <c r="N25" i="57"/>
  <c r="M25" i="57"/>
  <c r="L25" i="57"/>
  <c r="R24" i="57"/>
  <c r="Q24" i="57"/>
  <c r="P24" i="57"/>
  <c r="N24" i="57"/>
  <c r="M24" i="57"/>
  <c r="L24" i="57"/>
  <c r="R23" i="57"/>
  <c r="Q23" i="57"/>
  <c r="P23" i="57"/>
  <c r="N23" i="57"/>
  <c r="M23" i="57"/>
  <c r="L23" i="57"/>
  <c r="K30" i="57"/>
  <c r="J30" i="57"/>
  <c r="K29" i="57"/>
  <c r="J29" i="57"/>
  <c r="K28" i="57"/>
  <c r="J28" i="57"/>
  <c r="K27" i="57"/>
  <c r="J27" i="57"/>
  <c r="K26" i="57"/>
  <c r="J26" i="57"/>
  <c r="K25" i="57"/>
  <c r="J25" i="57"/>
  <c r="K24" i="57"/>
  <c r="J24" i="57"/>
  <c r="K23" i="57"/>
  <c r="J23" i="57"/>
  <c r="I30" i="57"/>
  <c r="H30" i="57"/>
  <c r="G30" i="57"/>
  <c r="F30" i="57"/>
  <c r="E30" i="57"/>
  <c r="I29" i="57"/>
  <c r="H29" i="57"/>
  <c r="G29" i="57"/>
  <c r="F29" i="57"/>
  <c r="E29" i="57"/>
  <c r="I28" i="57"/>
  <c r="H28" i="57"/>
  <c r="G28" i="57"/>
  <c r="F28" i="57"/>
  <c r="E28" i="57"/>
  <c r="I27" i="57"/>
  <c r="H27" i="57"/>
  <c r="G27" i="57"/>
  <c r="F27" i="57"/>
  <c r="E27" i="57"/>
  <c r="I26" i="57"/>
  <c r="H26" i="57"/>
  <c r="G26" i="57"/>
  <c r="F26" i="57"/>
  <c r="E26" i="57"/>
  <c r="I25" i="57"/>
  <c r="H25" i="57"/>
  <c r="G25" i="57"/>
  <c r="F25" i="57"/>
  <c r="E25" i="57"/>
  <c r="I24" i="57"/>
  <c r="H24" i="57"/>
  <c r="G24" i="57"/>
  <c r="F24" i="57"/>
  <c r="E24" i="57"/>
  <c r="I23" i="57"/>
  <c r="H23" i="57"/>
  <c r="G23" i="57"/>
  <c r="F23" i="57"/>
  <c r="E23" i="57"/>
  <c r="D30" i="57"/>
  <c r="C30" i="57"/>
  <c r="B30" i="57"/>
  <c r="D29" i="57"/>
  <c r="C29" i="57"/>
  <c r="B29" i="57"/>
  <c r="D28" i="57"/>
  <c r="C28" i="57"/>
  <c r="B28" i="57"/>
  <c r="D27" i="57"/>
  <c r="C27" i="57"/>
  <c r="B27" i="57"/>
  <c r="D26" i="57"/>
  <c r="C26" i="57"/>
  <c r="B26" i="57"/>
  <c r="D25" i="57"/>
  <c r="C25" i="57"/>
  <c r="B25" i="57"/>
  <c r="D24" i="57"/>
  <c r="C24" i="57"/>
  <c r="B24" i="57"/>
  <c r="D23" i="57"/>
  <c r="C23" i="57"/>
  <c r="B23" i="57"/>
  <c r="AF1" i="57"/>
  <c r="AE1" i="57"/>
  <c r="AD1" i="57"/>
  <c r="AC1" i="57"/>
  <c r="AB1" i="57"/>
  <c r="AA1" i="57"/>
  <c r="Z1" i="57"/>
  <c r="Y1" i="57"/>
  <c r="X1" i="57"/>
  <c r="W1" i="57"/>
  <c r="V1" i="57"/>
  <c r="U1" i="57"/>
  <c r="T1" i="57"/>
  <c r="S1" i="57"/>
  <c r="R1" i="57"/>
  <c r="Q1" i="57"/>
  <c r="P1" i="57"/>
  <c r="O1" i="57"/>
  <c r="N1" i="57"/>
  <c r="M1" i="57"/>
  <c r="K1" i="57"/>
  <c r="J1" i="57"/>
  <c r="I1" i="57"/>
  <c r="H1" i="57"/>
  <c r="G1" i="57"/>
  <c r="F1" i="57"/>
  <c r="E1" i="57"/>
  <c r="D1" i="57"/>
  <c r="C1" i="57"/>
  <c r="B1" i="57"/>
  <c r="AH30" i="55"/>
  <c r="AG30" i="55"/>
  <c r="AF30" i="55"/>
  <c r="AE30" i="55"/>
  <c r="AD30" i="55"/>
  <c r="AC30" i="55"/>
  <c r="AB30" i="55"/>
  <c r="AH29" i="55"/>
  <c r="AG29" i="55"/>
  <c r="AF29" i="55"/>
  <c r="AE29" i="55"/>
  <c r="AD29" i="55"/>
  <c r="AC29" i="55"/>
  <c r="AB29" i="55"/>
  <c r="AH28" i="55"/>
  <c r="AG28" i="55"/>
  <c r="AF28" i="55"/>
  <c r="AE28" i="55"/>
  <c r="AD28" i="55"/>
  <c r="AC28" i="55"/>
  <c r="AB28" i="55"/>
  <c r="AH27" i="55"/>
  <c r="AG27" i="55"/>
  <c r="AF27" i="55"/>
  <c r="AE27" i="55"/>
  <c r="AD27" i="55"/>
  <c r="AC27" i="55"/>
  <c r="AB27" i="55"/>
  <c r="AH26" i="55"/>
  <c r="AG26" i="55"/>
  <c r="AF26" i="55"/>
  <c r="AE26" i="55"/>
  <c r="AD26" i="55"/>
  <c r="AC26" i="55"/>
  <c r="AB26" i="55"/>
  <c r="AH25" i="55"/>
  <c r="AG25" i="55"/>
  <c r="AF25" i="55"/>
  <c r="AE25" i="55"/>
  <c r="AD25" i="55"/>
  <c r="AC25" i="55"/>
  <c r="AB25" i="55"/>
  <c r="AH24" i="55"/>
  <c r="AG24" i="55"/>
  <c r="AF24" i="55"/>
  <c r="AE24" i="55"/>
  <c r="AD24" i="55"/>
  <c r="AC24" i="55"/>
  <c r="AB24" i="55"/>
  <c r="AH23" i="55"/>
  <c r="AG23" i="55"/>
  <c r="AF23" i="55"/>
  <c r="AE23" i="55"/>
  <c r="AD23" i="55"/>
  <c r="AC23" i="55"/>
  <c r="AB23" i="55"/>
  <c r="AA30" i="55"/>
  <c r="Z30" i="55"/>
  <c r="Y30" i="55"/>
  <c r="X30" i="55"/>
  <c r="W30" i="55"/>
  <c r="V30" i="55"/>
  <c r="U30" i="55"/>
  <c r="AA29" i="55"/>
  <c r="Z29" i="55"/>
  <c r="Y29" i="55"/>
  <c r="X29" i="55"/>
  <c r="W29" i="55"/>
  <c r="V29" i="55"/>
  <c r="U29" i="55"/>
  <c r="AA28" i="55"/>
  <c r="Z28" i="55"/>
  <c r="Y28" i="55"/>
  <c r="X28" i="55"/>
  <c r="W28" i="55"/>
  <c r="V28" i="55"/>
  <c r="U28" i="55"/>
  <c r="AA27" i="55"/>
  <c r="Z27" i="55"/>
  <c r="Y27" i="55"/>
  <c r="X27" i="55"/>
  <c r="W27" i="55"/>
  <c r="V27" i="55"/>
  <c r="U27" i="55"/>
  <c r="AA26" i="55"/>
  <c r="Z26" i="55"/>
  <c r="Y26" i="55"/>
  <c r="X26" i="55"/>
  <c r="W26" i="55"/>
  <c r="V26" i="55"/>
  <c r="U26" i="55"/>
  <c r="AA25" i="55"/>
  <c r="Z25" i="55"/>
  <c r="Y25" i="55"/>
  <c r="X25" i="55"/>
  <c r="W25" i="55"/>
  <c r="V25" i="55"/>
  <c r="U25" i="55"/>
  <c r="AA24" i="55"/>
  <c r="Z24" i="55"/>
  <c r="Y24" i="55"/>
  <c r="X24" i="55"/>
  <c r="W24" i="55"/>
  <c r="V24" i="55"/>
  <c r="U24" i="55"/>
  <c r="AA23" i="55"/>
  <c r="Z23" i="55"/>
  <c r="Y23" i="55"/>
  <c r="X23" i="55"/>
  <c r="W23" i="55"/>
  <c r="V23" i="55"/>
  <c r="U23" i="55"/>
  <c r="T30" i="55"/>
  <c r="S30" i="55"/>
  <c r="R30" i="55"/>
  <c r="Q30" i="55"/>
  <c r="P30" i="55"/>
  <c r="O30" i="55"/>
  <c r="N30" i="55"/>
  <c r="T29" i="55"/>
  <c r="S29" i="55"/>
  <c r="R29" i="55"/>
  <c r="Q29" i="55"/>
  <c r="P29" i="55"/>
  <c r="O29" i="55"/>
  <c r="N29" i="55"/>
  <c r="T28" i="55"/>
  <c r="S28" i="55"/>
  <c r="R28" i="55"/>
  <c r="Q28" i="55"/>
  <c r="P28" i="55"/>
  <c r="O28" i="55"/>
  <c r="N28" i="55"/>
  <c r="T27" i="55"/>
  <c r="S27" i="55"/>
  <c r="R27" i="55"/>
  <c r="Q27" i="55"/>
  <c r="P27" i="55"/>
  <c r="O27" i="55"/>
  <c r="N27" i="55"/>
  <c r="T26" i="55"/>
  <c r="S26" i="55"/>
  <c r="R26" i="55"/>
  <c r="Q26" i="55"/>
  <c r="P26" i="55"/>
  <c r="O26" i="55"/>
  <c r="N26" i="55"/>
  <c r="T25" i="55"/>
  <c r="S25" i="55"/>
  <c r="R25" i="55"/>
  <c r="Q25" i="55"/>
  <c r="P25" i="55"/>
  <c r="O25" i="55"/>
  <c r="N25" i="55"/>
  <c r="T24" i="55"/>
  <c r="S24" i="55"/>
  <c r="R24" i="55"/>
  <c r="Q24" i="55"/>
  <c r="P24" i="55"/>
  <c r="O24" i="55"/>
  <c r="N24" i="55"/>
  <c r="T23" i="55"/>
  <c r="S23" i="55"/>
  <c r="R23" i="55"/>
  <c r="Q23" i="55"/>
  <c r="P23" i="55"/>
  <c r="O23" i="55"/>
  <c r="N23" i="55"/>
  <c r="M30" i="55"/>
  <c r="L30" i="55"/>
  <c r="K30" i="55"/>
  <c r="J30" i="55"/>
  <c r="I30" i="55"/>
  <c r="H30" i="55"/>
  <c r="G30" i="55"/>
  <c r="M29" i="55"/>
  <c r="L29" i="55"/>
  <c r="K29" i="55"/>
  <c r="J29" i="55"/>
  <c r="I29" i="55"/>
  <c r="H29" i="55"/>
  <c r="G29" i="55"/>
  <c r="M28" i="55"/>
  <c r="L28" i="55"/>
  <c r="K28" i="55"/>
  <c r="J28" i="55"/>
  <c r="I28" i="55"/>
  <c r="H28" i="55"/>
  <c r="G28" i="55"/>
  <c r="M27" i="55"/>
  <c r="L27" i="55"/>
  <c r="K27" i="55"/>
  <c r="J27" i="55"/>
  <c r="I27" i="55"/>
  <c r="H27" i="55"/>
  <c r="G27" i="55"/>
  <c r="M26" i="55"/>
  <c r="L26" i="55"/>
  <c r="K26" i="55"/>
  <c r="J26" i="55"/>
  <c r="I26" i="55"/>
  <c r="H26" i="55"/>
  <c r="G26" i="55"/>
  <c r="M25" i="55"/>
  <c r="L25" i="55"/>
  <c r="K25" i="55"/>
  <c r="J25" i="55"/>
  <c r="I25" i="55"/>
  <c r="H25" i="55"/>
  <c r="G25" i="55"/>
  <c r="M24" i="55"/>
  <c r="L24" i="55"/>
  <c r="K24" i="55"/>
  <c r="J24" i="55"/>
  <c r="I24" i="55"/>
  <c r="H24" i="55"/>
  <c r="G24" i="55"/>
  <c r="M23" i="55"/>
  <c r="L23" i="55"/>
  <c r="K23" i="55"/>
  <c r="J23" i="55"/>
  <c r="I23" i="55"/>
  <c r="H23" i="55"/>
  <c r="G23" i="55"/>
  <c r="F30" i="55"/>
  <c r="E30" i="55"/>
  <c r="F29" i="55"/>
  <c r="E29" i="55"/>
  <c r="F28" i="55"/>
  <c r="E28" i="55"/>
  <c r="F27" i="55"/>
  <c r="E27" i="55"/>
  <c r="F26" i="55"/>
  <c r="E26" i="55"/>
  <c r="F25" i="55"/>
  <c r="E25" i="55"/>
  <c r="F24" i="55"/>
  <c r="E24" i="55"/>
  <c r="F23" i="55"/>
  <c r="E23" i="55"/>
  <c r="D30" i="55"/>
  <c r="C30" i="55"/>
  <c r="B30" i="55"/>
  <c r="D29" i="55"/>
  <c r="C29" i="55"/>
  <c r="B29" i="55"/>
  <c r="D28" i="55"/>
  <c r="C28" i="55"/>
  <c r="B28" i="55"/>
  <c r="D27" i="55"/>
  <c r="C27" i="55"/>
  <c r="B27" i="55"/>
  <c r="D26" i="55"/>
  <c r="C26" i="55"/>
  <c r="B26" i="55"/>
  <c r="D25" i="55"/>
  <c r="C25" i="55"/>
  <c r="B25" i="55"/>
  <c r="D24" i="55"/>
  <c r="C24" i="55"/>
  <c r="B24" i="55"/>
  <c r="D23" i="55"/>
  <c r="C23" i="55"/>
  <c r="B23" i="55"/>
  <c r="S23" i="54"/>
  <c r="T23" i="54"/>
  <c r="S24" i="54"/>
  <c r="T24" i="54"/>
  <c r="S25" i="54"/>
  <c r="T25" i="54"/>
  <c r="S26" i="54"/>
  <c r="T26" i="54"/>
  <c r="S27" i="54"/>
  <c r="T27" i="54"/>
  <c r="S28" i="54"/>
  <c r="T28" i="54"/>
  <c r="S29" i="54"/>
  <c r="T29" i="54"/>
  <c r="S30" i="54"/>
  <c r="T30" i="54"/>
  <c r="AH1" i="55"/>
  <c r="AI1" i="55"/>
  <c r="AJ1" i="55"/>
  <c r="AK1" i="55"/>
  <c r="AL1" i="55"/>
  <c r="AM1" i="55"/>
  <c r="AN1" i="55"/>
  <c r="AO1" i="55"/>
  <c r="AP1" i="55"/>
  <c r="AQ1" i="55"/>
  <c r="AR1" i="55"/>
  <c r="AS1" i="55"/>
  <c r="AT1" i="55"/>
  <c r="AU1" i="55"/>
  <c r="AV1" i="55"/>
  <c r="AW1" i="55"/>
  <c r="AX1" i="55"/>
  <c r="AY1" i="55"/>
  <c r="AZ1" i="55"/>
  <c r="BA1" i="55"/>
  <c r="BB1" i="55"/>
  <c r="BC1" i="55"/>
  <c r="BD1" i="55"/>
  <c r="BE1" i="55"/>
  <c r="BF1" i="55"/>
  <c r="BG1" i="55"/>
  <c r="BH1" i="55"/>
  <c r="BI1" i="55"/>
  <c r="BJ1" i="55"/>
  <c r="AF30" i="54"/>
  <c r="AE30" i="54"/>
  <c r="AF29" i="54"/>
  <c r="AE29" i="54"/>
  <c r="AF28" i="54"/>
  <c r="AE28" i="54"/>
  <c r="AF27" i="54"/>
  <c r="AE27" i="54"/>
  <c r="AF26" i="54"/>
  <c r="AE26" i="54"/>
  <c r="AF25" i="54"/>
  <c r="AE25" i="54"/>
  <c r="AF24" i="54"/>
  <c r="AE24" i="54"/>
  <c r="AF23" i="54"/>
  <c r="AE23" i="54"/>
  <c r="AD30" i="54"/>
  <c r="AC30" i="54"/>
  <c r="AB30" i="54"/>
  <c r="AA30" i="54"/>
  <c r="Z30" i="54"/>
  <c r="Y30" i="54"/>
  <c r="X30" i="54"/>
  <c r="AD29" i="54"/>
  <c r="AC29" i="54"/>
  <c r="AB29" i="54"/>
  <c r="AA29" i="54"/>
  <c r="Z29" i="54"/>
  <c r="Y29" i="54"/>
  <c r="X29" i="54"/>
  <c r="AD28" i="54"/>
  <c r="AC28" i="54"/>
  <c r="AB28" i="54"/>
  <c r="AA28" i="54"/>
  <c r="Z28" i="54"/>
  <c r="Y28" i="54"/>
  <c r="X28" i="54"/>
  <c r="AD27" i="54"/>
  <c r="AC27" i="54"/>
  <c r="AB27" i="54"/>
  <c r="AA27" i="54"/>
  <c r="Z27" i="54"/>
  <c r="Y27" i="54"/>
  <c r="X27" i="54"/>
  <c r="AD26" i="54"/>
  <c r="AC26" i="54"/>
  <c r="AB26" i="54"/>
  <c r="AA26" i="54"/>
  <c r="Z26" i="54"/>
  <c r="Y26" i="54"/>
  <c r="X26" i="54"/>
  <c r="AD25" i="54"/>
  <c r="AC25" i="54"/>
  <c r="AB25" i="54"/>
  <c r="AA25" i="54"/>
  <c r="Z25" i="54"/>
  <c r="Y25" i="54"/>
  <c r="X25" i="54"/>
  <c r="AD24" i="54"/>
  <c r="AC24" i="54"/>
  <c r="AB24" i="54"/>
  <c r="AA24" i="54"/>
  <c r="Z24" i="54"/>
  <c r="Y24" i="54"/>
  <c r="X24" i="54"/>
  <c r="AD23" i="54"/>
  <c r="AC23" i="54"/>
  <c r="AB23" i="54"/>
  <c r="AA23" i="54"/>
  <c r="Z23" i="54"/>
  <c r="Y23" i="54"/>
  <c r="X23" i="54"/>
  <c r="W30" i="54"/>
  <c r="V30" i="54"/>
  <c r="U30" i="54"/>
  <c r="R30" i="54"/>
  <c r="Q30" i="54"/>
  <c r="W29" i="54"/>
  <c r="V29" i="54"/>
  <c r="U29" i="54"/>
  <c r="R29" i="54"/>
  <c r="Q29" i="54"/>
  <c r="W28" i="54"/>
  <c r="V28" i="54"/>
  <c r="U28" i="54"/>
  <c r="R28" i="54"/>
  <c r="Q28" i="54"/>
  <c r="W27" i="54"/>
  <c r="V27" i="54"/>
  <c r="U27" i="54"/>
  <c r="R27" i="54"/>
  <c r="Q27" i="54"/>
  <c r="W26" i="54"/>
  <c r="V26" i="54"/>
  <c r="U26" i="54"/>
  <c r="R26" i="54"/>
  <c r="Q26" i="54"/>
  <c r="W25" i="54"/>
  <c r="V25" i="54"/>
  <c r="U25" i="54"/>
  <c r="R25" i="54"/>
  <c r="Q25" i="54"/>
  <c r="W24" i="54"/>
  <c r="V24" i="54"/>
  <c r="U24" i="54"/>
  <c r="R24" i="54"/>
  <c r="Q24" i="54"/>
  <c r="W23" i="54"/>
  <c r="V23" i="54"/>
  <c r="U23" i="54"/>
  <c r="R23" i="54"/>
  <c r="Q23" i="54"/>
  <c r="P30" i="54"/>
  <c r="O30" i="54"/>
  <c r="N30" i="54"/>
  <c r="M30" i="54"/>
  <c r="L30" i="54"/>
  <c r="K30" i="54"/>
  <c r="J30" i="54"/>
  <c r="P29" i="54"/>
  <c r="O29" i="54"/>
  <c r="N29" i="54"/>
  <c r="M29" i="54"/>
  <c r="L29" i="54"/>
  <c r="K29" i="54"/>
  <c r="J29" i="54"/>
  <c r="P28" i="54"/>
  <c r="O28" i="54"/>
  <c r="N28" i="54"/>
  <c r="M28" i="54"/>
  <c r="L28" i="54"/>
  <c r="K28" i="54"/>
  <c r="J28" i="54"/>
  <c r="P27" i="54"/>
  <c r="O27" i="54"/>
  <c r="N27" i="54"/>
  <c r="M27" i="54"/>
  <c r="L27" i="54"/>
  <c r="K27" i="54"/>
  <c r="J27" i="54"/>
  <c r="P26" i="54"/>
  <c r="O26" i="54"/>
  <c r="N26" i="54"/>
  <c r="M26" i="54"/>
  <c r="L26" i="54"/>
  <c r="K26" i="54"/>
  <c r="J26" i="54"/>
  <c r="P25" i="54"/>
  <c r="O25" i="54"/>
  <c r="N25" i="54"/>
  <c r="M25" i="54"/>
  <c r="L25" i="54"/>
  <c r="K25" i="54"/>
  <c r="J25" i="54"/>
  <c r="P24" i="54"/>
  <c r="O24" i="54"/>
  <c r="N24" i="54"/>
  <c r="M24" i="54"/>
  <c r="L24" i="54"/>
  <c r="K24" i="54"/>
  <c r="J24" i="54"/>
  <c r="P23" i="54"/>
  <c r="O23" i="54"/>
  <c r="N23" i="54"/>
  <c r="M23" i="54"/>
  <c r="L23" i="54"/>
  <c r="K23" i="54"/>
  <c r="J23" i="54"/>
  <c r="I30" i="54"/>
  <c r="H30" i="54"/>
  <c r="G30" i="54"/>
  <c r="F30" i="54"/>
  <c r="E30" i="54"/>
  <c r="D30" i="54"/>
  <c r="C30" i="54"/>
  <c r="I29" i="54"/>
  <c r="H29" i="54"/>
  <c r="G29" i="54"/>
  <c r="F29" i="54"/>
  <c r="E29" i="54"/>
  <c r="D29" i="54"/>
  <c r="C29" i="54"/>
  <c r="I28" i="54"/>
  <c r="H28" i="54"/>
  <c r="G28" i="54"/>
  <c r="F28" i="54"/>
  <c r="E28" i="54"/>
  <c r="D28" i="54"/>
  <c r="C28" i="54"/>
  <c r="I27" i="54"/>
  <c r="H27" i="54"/>
  <c r="G27" i="54"/>
  <c r="F27" i="54"/>
  <c r="E27" i="54"/>
  <c r="D27" i="54"/>
  <c r="C27" i="54"/>
  <c r="I26" i="54"/>
  <c r="H26" i="54"/>
  <c r="G26" i="54"/>
  <c r="F26" i="54"/>
  <c r="E26" i="54"/>
  <c r="D26" i="54"/>
  <c r="C26" i="54"/>
  <c r="I25" i="54"/>
  <c r="H25" i="54"/>
  <c r="G25" i="54"/>
  <c r="F25" i="54"/>
  <c r="E25" i="54"/>
  <c r="D25" i="54"/>
  <c r="C25" i="54"/>
  <c r="I24" i="54"/>
  <c r="H24" i="54"/>
  <c r="G24" i="54"/>
  <c r="F24" i="54"/>
  <c r="E24" i="54"/>
  <c r="D24" i="54"/>
  <c r="C24" i="54"/>
  <c r="I23" i="54"/>
  <c r="H23" i="54"/>
  <c r="G23" i="54"/>
  <c r="F23" i="54"/>
  <c r="E23" i="54"/>
  <c r="D23" i="54"/>
  <c r="C23" i="54"/>
  <c r="B30" i="54"/>
  <c r="B29" i="54"/>
  <c r="B28" i="54"/>
  <c r="B27" i="54"/>
  <c r="B26" i="54"/>
  <c r="B25" i="54"/>
  <c r="B24" i="54"/>
  <c r="B23" i="54"/>
  <c r="AF1" i="55"/>
  <c r="AG1" i="55"/>
  <c r="N1" i="55"/>
  <c r="O1" i="55"/>
  <c r="P1" i="55"/>
  <c r="Q1" i="55"/>
  <c r="R1" i="55"/>
  <c r="S1" i="55"/>
  <c r="T1" i="55"/>
  <c r="U1" i="55"/>
  <c r="V1" i="55"/>
  <c r="W1" i="55"/>
  <c r="X1" i="55"/>
  <c r="Y1" i="55"/>
  <c r="Z1" i="55"/>
  <c r="AA1" i="55"/>
  <c r="AB1" i="55"/>
  <c r="AC1" i="55"/>
  <c r="AD1" i="55"/>
  <c r="AE1" i="55"/>
  <c r="M1" i="55"/>
  <c r="L1" i="55"/>
  <c r="K1" i="55"/>
  <c r="J1" i="55"/>
  <c r="I1" i="55"/>
  <c r="H1" i="55"/>
  <c r="G1" i="55"/>
  <c r="F1" i="55"/>
  <c r="E1" i="55"/>
  <c r="D1" i="55"/>
  <c r="C1" i="55"/>
  <c r="B1" i="55"/>
  <c r="AL31" i="51"/>
  <c r="AK31" i="51"/>
  <c r="AL30" i="51"/>
  <c r="AK30" i="51"/>
  <c r="AL29" i="51"/>
  <c r="AK29" i="51"/>
  <c r="AL28" i="51"/>
  <c r="AK28" i="51"/>
  <c r="AL27" i="51"/>
  <c r="AK27" i="51"/>
  <c r="AL26" i="51"/>
  <c r="AK26" i="51"/>
  <c r="AL25" i="51"/>
  <c r="AK25" i="51"/>
  <c r="AL24" i="51"/>
  <c r="AK24" i="51"/>
  <c r="AG1" i="54"/>
  <c r="AH1" i="54"/>
  <c r="AI1" i="54"/>
  <c r="AJ1" i="54"/>
  <c r="AK1" i="54"/>
  <c r="C1" i="54"/>
  <c r="D1" i="54"/>
  <c r="E1" i="54"/>
  <c r="F1" i="54"/>
  <c r="G1" i="54"/>
  <c r="H1" i="54"/>
  <c r="I1" i="54"/>
  <c r="J1" i="54"/>
  <c r="K1" i="54"/>
  <c r="L1" i="54"/>
  <c r="M1" i="54"/>
  <c r="N1" i="54"/>
  <c r="O1" i="54"/>
  <c r="P1" i="54"/>
  <c r="Q1" i="54"/>
  <c r="R1" i="54"/>
  <c r="S1" i="54"/>
  <c r="T1" i="54"/>
  <c r="U1" i="54"/>
  <c r="V1" i="54"/>
  <c r="W1" i="54"/>
  <c r="X1" i="54"/>
  <c r="Y1" i="54"/>
  <c r="Z1" i="54"/>
  <c r="AA1" i="54"/>
  <c r="AB1" i="54"/>
  <c r="AC1" i="54"/>
  <c r="AD1" i="54"/>
  <c r="AE1" i="54"/>
  <c r="AF1" i="54"/>
  <c r="B1" i="54"/>
  <c r="AD27" i="53"/>
  <c r="AC27" i="53"/>
  <c r="AB27" i="53"/>
  <c r="AA27" i="53"/>
  <c r="Z27" i="53"/>
  <c r="W27" i="53"/>
  <c r="V27" i="53"/>
  <c r="U27" i="53"/>
  <c r="T27" i="53"/>
  <c r="S27" i="53"/>
  <c r="P27" i="53"/>
  <c r="O27" i="53"/>
  <c r="N27" i="53"/>
  <c r="M27" i="53"/>
  <c r="L27" i="53"/>
  <c r="I27" i="53"/>
  <c r="H27" i="53"/>
  <c r="G27" i="53"/>
  <c r="F27" i="53"/>
  <c r="E27" i="53"/>
  <c r="B27" i="53"/>
  <c r="AF30" i="53"/>
  <c r="AE30" i="53"/>
  <c r="AD30" i="53"/>
  <c r="AC30" i="53"/>
  <c r="AB30" i="53"/>
  <c r="AA30" i="53"/>
  <c r="Z30" i="53"/>
  <c r="AF29" i="53"/>
  <c r="AE29" i="53"/>
  <c r="AD29" i="53"/>
  <c r="AC29" i="53"/>
  <c r="AB29" i="53"/>
  <c r="AA29" i="53"/>
  <c r="Z29" i="53"/>
  <c r="AF28" i="53"/>
  <c r="AE28" i="53"/>
  <c r="AD28" i="53"/>
  <c r="AC28" i="53"/>
  <c r="AB28" i="53"/>
  <c r="AA28" i="53"/>
  <c r="Z28" i="53"/>
  <c r="AF27" i="53"/>
  <c r="AE27" i="53"/>
  <c r="AF26" i="53"/>
  <c r="AE26" i="53"/>
  <c r="AD26" i="53"/>
  <c r="AC26" i="53"/>
  <c r="AB26" i="53"/>
  <c r="AA26" i="53"/>
  <c r="Z26" i="53"/>
  <c r="AF25" i="53"/>
  <c r="AE25" i="53"/>
  <c r="AD25" i="53"/>
  <c r="AC25" i="53"/>
  <c r="AB25" i="53"/>
  <c r="AA25" i="53"/>
  <c r="Z25" i="53"/>
  <c r="AF24" i="53"/>
  <c r="AE24" i="53"/>
  <c r="AD24" i="53"/>
  <c r="AC24" i="53"/>
  <c r="AB24" i="53"/>
  <c r="AA24" i="53"/>
  <c r="Z24" i="53"/>
  <c r="AF23" i="53"/>
  <c r="AE23" i="53"/>
  <c r="AD23" i="53"/>
  <c r="AC23" i="53"/>
  <c r="AB23" i="53"/>
  <c r="AA23" i="53"/>
  <c r="Z23" i="53"/>
  <c r="Y30" i="53"/>
  <c r="X30" i="53"/>
  <c r="W30" i="53"/>
  <c r="V30" i="53"/>
  <c r="U30" i="53"/>
  <c r="T30" i="53"/>
  <c r="S30" i="53"/>
  <c r="Y29" i="53"/>
  <c r="X29" i="53"/>
  <c r="W29" i="53"/>
  <c r="V29" i="53"/>
  <c r="U29" i="53"/>
  <c r="T29" i="53"/>
  <c r="S29" i="53"/>
  <c r="Y28" i="53"/>
  <c r="X28" i="53"/>
  <c r="W28" i="53"/>
  <c r="V28" i="53"/>
  <c r="U28" i="53"/>
  <c r="T28" i="53"/>
  <c r="S28" i="53"/>
  <c r="Y27" i="53"/>
  <c r="X27" i="53"/>
  <c r="Y26" i="53"/>
  <c r="X26" i="53"/>
  <c r="W26" i="53"/>
  <c r="V26" i="53"/>
  <c r="U26" i="53"/>
  <c r="T26" i="53"/>
  <c r="S26" i="53"/>
  <c r="Y25" i="53"/>
  <c r="X25" i="53"/>
  <c r="W25" i="53"/>
  <c r="V25" i="53"/>
  <c r="U25" i="53"/>
  <c r="T25" i="53"/>
  <c r="S25" i="53"/>
  <c r="Y24" i="53"/>
  <c r="X24" i="53"/>
  <c r="W24" i="53"/>
  <c r="V24" i="53"/>
  <c r="U24" i="53"/>
  <c r="T24" i="53"/>
  <c r="S24" i="53"/>
  <c r="Y23" i="53"/>
  <c r="X23" i="53"/>
  <c r="W23" i="53"/>
  <c r="V23" i="53"/>
  <c r="U23" i="53"/>
  <c r="T23" i="53"/>
  <c r="S23" i="53"/>
  <c r="R30" i="53"/>
  <c r="Q30" i="53"/>
  <c r="P30" i="53"/>
  <c r="O30" i="53"/>
  <c r="N30" i="53"/>
  <c r="M30" i="53"/>
  <c r="L30" i="53"/>
  <c r="R29" i="53"/>
  <c r="Q29" i="53"/>
  <c r="P29" i="53"/>
  <c r="O29" i="53"/>
  <c r="N29" i="53"/>
  <c r="M29" i="53"/>
  <c r="L29" i="53"/>
  <c r="R28" i="53"/>
  <c r="Q28" i="53"/>
  <c r="P28" i="53"/>
  <c r="O28" i="53"/>
  <c r="N28" i="53"/>
  <c r="M28" i="53"/>
  <c r="L28" i="53"/>
  <c r="R27" i="53"/>
  <c r="Q27" i="53"/>
  <c r="R26" i="53"/>
  <c r="Q26" i="53"/>
  <c r="P26" i="53"/>
  <c r="O26" i="53"/>
  <c r="N26" i="53"/>
  <c r="M26" i="53"/>
  <c r="L26" i="53"/>
  <c r="R25" i="53"/>
  <c r="Q25" i="53"/>
  <c r="P25" i="53"/>
  <c r="O25" i="53"/>
  <c r="N25" i="53"/>
  <c r="M25" i="53"/>
  <c r="L25" i="53"/>
  <c r="R24" i="53"/>
  <c r="Q24" i="53"/>
  <c r="P24" i="53"/>
  <c r="O24" i="53"/>
  <c r="N24" i="53"/>
  <c r="M24" i="53"/>
  <c r="L24" i="53"/>
  <c r="R23" i="53"/>
  <c r="Q23" i="53"/>
  <c r="P23" i="53"/>
  <c r="O23" i="53"/>
  <c r="N23" i="53"/>
  <c r="M23" i="53"/>
  <c r="L23" i="53"/>
  <c r="K30" i="53"/>
  <c r="J30" i="53"/>
  <c r="K29" i="53"/>
  <c r="J29" i="53"/>
  <c r="K28" i="53"/>
  <c r="J28" i="53"/>
  <c r="K27" i="53"/>
  <c r="J27" i="53"/>
  <c r="K26" i="53"/>
  <c r="J26" i="53"/>
  <c r="K25" i="53"/>
  <c r="J25" i="53"/>
  <c r="K24" i="53"/>
  <c r="J24" i="53"/>
  <c r="K23" i="53"/>
  <c r="J23" i="53"/>
  <c r="I30" i="53"/>
  <c r="H30" i="53"/>
  <c r="G30" i="53"/>
  <c r="F30" i="53"/>
  <c r="E30" i="53"/>
  <c r="I29" i="53"/>
  <c r="H29" i="53"/>
  <c r="G29" i="53"/>
  <c r="F29" i="53"/>
  <c r="E29" i="53"/>
  <c r="I28" i="53"/>
  <c r="H28" i="53"/>
  <c r="G28" i="53"/>
  <c r="F28" i="53"/>
  <c r="E28" i="53"/>
  <c r="I26" i="53"/>
  <c r="H26" i="53"/>
  <c r="G26" i="53"/>
  <c r="F26" i="53"/>
  <c r="E26" i="53"/>
  <c r="I25" i="53"/>
  <c r="H25" i="53"/>
  <c r="G25" i="53"/>
  <c r="F25" i="53"/>
  <c r="E25" i="53"/>
  <c r="I24" i="53"/>
  <c r="H24" i="53"/>
  <c r="G24" i="53"/>
  <c r="F24" i="53"/>
  <c r="E24" i="53"/>
  <c r="I23" i="53"/>
  <c r="H23" i="53"/>
  <c r="G23" i="53"/>
  <c r="F23" i="53"/>
  <c r="E23" i="53"/>
  <c r="D30" i="53"/>
  <c r="C30" i="53"/>
  <c r="D29" i="53"/>
  <c r="C29" i="53"/>
  <c r="D28" i="53"/>
  <c r="C28" i="53"/>
  <c r="D27" i="53"/>
  <c r="C27" i="53"/>
  <c r="D26" i="53"/>
  <c r="C26" i="53"/>
  <c r="D25" i="53"/>
  <c r="C25" i="53"/>
  <c r="D24" i="53"/>
  <c r="C24" i="53"/>
  <c r="D23" i="53"/>
  <c r="C23" i="53"/>
  <c r="B30" i="53"/>
  <c r="B29" i="53"/>
  <c r="B28" i="53"/>
  <c r="B26" i="53"/>
  <c r="B25" i="53"/>
  <c r="B24" i="53"/>
  <c r="B23" i="53"/>
  <c r="AD27" i="51"/>
  <c r="AD31" i="51"/>
  <c r="AD30" i="51"/>
  <c r="AD29" i="51"/>
  <c r="AD28" i="51"/>
  <c r="AD26" i="51"/>
  <c r="AD25" i="51"/>
  <c r="AD24" i="51"/>
  <c r="AF1" i="53"/>
  <c r="E1" i="53"/>
  <c r="F1" i="53"/>
  <c r="G1" i="53"/>
  <c r="H1" i="53"/>
  <c r="I1" i="53"/>
  <c r="J1" i="53"/>
  <c r="K1" i="53"/>
  <c r="L1" i="53"/>
  <c r="M1" i="53"/>
  <c r="N1" i="53"/>
  <c r="O1" i="53"/>
  <c r="P1" i="53"/>
  <c r="Q1" i="53"/>
  <c r="R1" i="53"/>
  <c r="S1" i="53"/>
  <c r="T1" i="53"/>
  <c r="U1" i="53"/>
  <c r="V1" i="53"/>
  <c r="W1" i="53"/>
  <c r="X1" i="53"/>
  <c r="Y1" i="53"/>
  <c r="Z1" i="53"/>
  <c r="AA1" i="53"/>
  <c r="AB1" i="53"/>
  <c r="AC1" i="53"/>
  <c r="AD1" i="53"/>
  <c r="AE1" i="53"/>
  <c r="D1" i="53"/>
  <c r="C1" i="53"/>
  <c r="B1" i="53"/>
  <c r="AH1" i="51"/>
  <c r="AH24" i="51"/>
  <c r="AH25" i="51"/>
  <c r="AH26" i="51"/>
  <c r="AH27" i="51"/>
  <c r="AH28" i="51"/>
  <c r="AH29" i="51"/>
  <c r="AH30" i="51"/>
  <c r="AH31" i="51"/>
  <c r="AJ31" i="51"/>
  <c r="AJ30" i="51"/>
  <c r="AJ29" i="51"/>
  <c r="AJ28" i="51"/>
  <c r="AJ27" i="51"/>
  <c r="AJ26" i="51"/>
  <c r="AJ25" i="51"/>
  <c r="AJ24" i="51"/>
  <c r="AJ1" i="51"/>
  <c r="AK1" i="51"/>
  <c r="AL1" i="51"/>
  <c r="AI31" i="51"/>
  <c r="AG31" i="51"/>
  <c r="AF31" i="51"/>
  <c r="AI30" i="51"/>
  <c r="AG30" i="51"/>
  <c r="AF30" i="51"/>
  <c r="AI29" i="51"/>
  <c r="AG29" i="51"/>
  <c r="AF29" i="51"/>
  <c r="AI28" i="51"/>
  <c r="AG28" i="51"/>
  <c r="AF28" i="51"/>
  <c r="AI27" i="51"/>
  <c r="AG27" i="51"/>
  <c r="AF27" i="51"/>
  <c r="AI26" i="51"/>
  <c r="AG26" i="51"/>
  <c r="AF26" i="51"/>
  <c r="AI25" i="51"/>
  <c r="AG25" i="51"/>
  <c r="AF25" i="51"/>
  <c r="AI24" i="51"/>
  <c r="AG24" i="51"/>
  <c r="AF24" i="51"/>
  <c r="AE31" i="51"/>
  <c r="AC31" i="51"/>
  <c r="AB31" i="51"/>
  <c r="AA31" i="51"/>
  <c r="Z31" i="51"/>
  <c r="Y31" i="51"/>
  <c r="AE30" i="51"/>
  <c r="AC30" i="51"/>
  <c r="AB30" i="51"/>
  <c r="AA30" i="51"/>
  <c r="Z30" i="51"/>
  <c r="Y30" i="51"/>
  <c r="AE29" i="51"/>
  <c r="AC29" i="51"/>
  <c r="AB29" i="51"/>
  <c r="AA29" i="51"/>
  <c r="Z29" i="51"/>
  <c r="Y29" i="51"/>
  <c r="AE28" i="51"/>
  <c r="AC28" i="51"/>
  <c r="AB28" i="51"/>
  <c r="AA28" i="51"/>
  <c r="Z28" i="51"/>
  <c r="Y28" i="51"/>
  <c r="AE27" i="51"/>
  <c r="AC27" i="51"/>
  <c r="AB27" i="51"/>
  <c r="AA27" i="51"/>
  <c r="Z27" i="51"/>
  <c r="Y27" i="51"/>
  <c r="AE26" i="51"/>
  <c r="AC26" i="51"/>
  <c r="AB26" i="51"/>
  <c r="AA26" i="51"/>
  <c r="Z26" i="51"/>
  <c r="Y26" i="51"/>
  <c r="AE25" i="51"/>
  <c r="AC25" i="51"/>
  <c r="AB25" i="51"/>
  <c r="AA25" i="51"/>
  <c r="Z25" i="51"/>
  <c r="Y25" i="51"/>
  <c r="AE24" i="51"/>
  <c r="AC24" i="51"/>
  <c r="AB24" i="51"/>
  <c r="AA24" i="51"/>
  <c r="Z24" i="51"/>
  <c r="Y24" i="51"/>
  <c r="X31" i="51"/>
  <c r="W31" i="51"/>
  <c r="V31" i="51"/>
  <c r="U31" i="51"/>
  <c r="T31" i="51"/>
  <c r="S31" i="51"/>
  <c r="R31" i="51"/>
  <c r="X30" i="51"/>
  <c r="W30" i="51"/>
  <c r="V30" i="51"/>
  <c r="U30" i="51"/>
  <c r="T30" i="51"/>
  <c r="S30" i="51"/>
  <c r="R30" i="51"/>
  <c r="X29" i="51"/>
  <c r="W29" i="51"/>
  <c r="V29" i="51"/>
  <c r="U29" i="51"/>
  <c r="T29" i="51"/>
  <c r="S29" i="51"/>
  <c r="R29" i="51"/>
  <c r="X28" i="51"/>
  <c r="W28" i="51"/>
  <c r="V28" i="51"/>
  <c r="U28" i="51"/>
  <c r="T28" i="51"/>
  <c r="S28" i="51"/>
  <c r="R28" i="51"/>
  <c r="X27" i="51"/>
  <c r="W27" i="51"/>
  <c r="V27" i="51"/>
  <c r="U27" i="51"/>
  <c r="T27" i="51"/>
  <c r="S27" i="51"/>
  <c r="R27" i="51"/>
  <c r="X26" i="51"/>
  <c r="W26" i="51"/>
  <c r="V26" i="51"/>
  <c r="U26" i="51"/>
  <c r="T26" i="51"/>
  <c r="S26" i="51"/>
  <c r="R26" i="51"/>
  <c r="X25" i="51"/>
  <c r="W25" i="51"/>
  <c r="V25" i="51"/>
  <c r="U25" i="51"/>
  <c r="T25" i="51"/>
  <c r="S25" i="51"/>
  <c r="R25" i="51"/>
  <c r="X24" i="51"/>
  <c r="W24" i="51"/>
  <c r="V24" i="51"/>
  <c r="U24" i="51"/>
  <c r="T24" i="51"/>
  <c r="S24" i="51"/>
  <c r="R24" i="51"/>
  <c r="Q31" i="51"/>
  <c r="P31" i="51"/>
  <c r="O31" i="51"/>
  <c r="N31" i="51"/>
  <c r="M31" i="51"/>
  <c r="L31" i="51"/>
  <c r="K31" i="51"/>
  <c r="Q30" i="51"/>
  <c r="P30" i="51"/>
  <c r="O30" i="51"/>
  <c r="N30" i="51"/>
  <c r="M30" i="51"/>
  <c r="L30" i="51"/>
  <c r="K30" i="51"/>
  <c r="Q29" i="51"/>
  <c r="P29" i="51"/>
  <c r="O29" i="51"/>
  <c r="N29" i="51"/>
  <c r="M29" i="51"/>
  <c r="L29" i="51"/>
  <c r="K29" i="51"/>
  <c r="Q28" i="51"/>
  <c r="P28" i="51"/>
  <c r="O28" i="51"/>
  <c r="N28" i="51"/>
  <c r="M28" i="51"/>
  <c r="L28" i="51"/>
  <c r="K28" i="51"/>
  <c r="Q27" i="51"/>
  <c r="P27" i="51"/>
  <c r="O27" i="51"/>
  <c r="N27" i="51"/>
  <c r="M27" i="51"/>
  <c r="L27" i="51"/>
  <c r="K27" i="51"/>
  <c r="Q26" i="51"/>
  <c r="P26" i="51"/>
  <c r="O26" i="51"/>
  <c r="N26" i="51"/>
  <c r="M26" i="51"/>
  <c r="L26" i="51"/>
  <c r="K26" i="51"/>
  <c r="Q25" i="51"/>
  <c r="P25" i="51"/>
  <c r="O25" i="51"/>
  <c r="N25" i="51"/>
  <c r="M25" i="51"/>
  <c r="L25" i="51"/>
  <c r="K25" i="51"/>
  <c r="Q24" i="51"/>
  <c r="P24" i="51"/>
  <c r="O24" i="51"/>
  <c r="N24" i="51"/>
  <c r="M24" i="51"/>
  <c r="L24" i="51"/>
  <c r="K24" i="51"/>
  <c r="J31" i="51"/>
  <c r="I31" i="51"/>
  <c r="J30" i="51"/>
  <c r="I30" i="51"/>
  <c r="J29" i="51"/>
  <c r="I29" i="51"/>
  <c r="J28" i="51"/>
  <c r="I28" i="51"/>
  <c r="J27" i="51"/>
  <c r="I27" i="51"/>
  <c r="J26" i="51"/>
  <c r="I26" i="51"/>
  <c r="J25" i="51"/>
  <c r="I25" i="51"/>
  <c r="J24" i="51"/>
  <c r="I24" i="51"/>
  <c r="H31" i="51"/>
  <c r="G31" i="51"/>
  <c r="F31" i="51"/>
  <c r="E31" i="51"/>
  <c r="H30" i="51"/>
  <c r="G30" i="51"/>
  <c r="F30" i="51"/>
  <c r="E30" i="51"/>
  <c r="H29" i="51"/>
  <c r="G29" i="51"/>
  <c r="F29" i="51"/>
  <c r="E29" i="51"/>
  <c r="H28" i="51"/>
  <c r="G28" i="51"/>
  <c r="F28" i="51"/>
  <c r="E28" i="51"/>
  <c r="H27" i="51"/>
  <c r="G27" i="51"/>
  <c r="F27" i="51"/>
  <c r="E27" i="51"/>
  <c r="H26" i="51"/>
  <c r="G26" i="51"/>
  <c r="F26" i="51"/>
  <c r="E26" i="51"/>
  <c r="H25" i="51"/>
  <c r="G25" i="51"/>
  <c r="F25" i="51"/>
  <c r="E25" i="51"/>
  <c r="H24" i="51"/>
  <c r="G24" i="51"/>
  <c r="F24" i="51"/>
  <c r="E24" i="51"/>
  <c r="D28" i="51"/>
  <c r="D25" i="51"/>
  <c r="D26" i="51"/>
  <c r="D27" i="51"/>
  <c r="D29" i="51"/>
  <c r="D30" i="51"/>
  <c r="D31" i="51"/>
  <c r="D24" i="51"/>
  <c r="C31" i="51"/>
  <c r="C30" i="51"/>
  <c r="C29" i="51"/>
  <c r="C28" i="51"/>
  <c r="C27" i="51"/>
  <c r="C26" i="51"/>
  <c r="C25" i="51"/>
  <c r="C24" i="51"/>
  <c r="B31" i="51"/>
  <c r="B30" i="51"/>
  <c r="B29" i="51"/>
  <c r="B28" i="51"/>
  <c r="B27" i="51"/>
  <c r="B26" i="51"/>
  <c r="B25" i="51"/>
  <c r="B24" i="51"/>
  <c r="AF29" i="50"/>
  <c r="AF28" i="50"/>
  <c r="AF27" i="50"/>
  <c r="AF26" i="50"/>
  <c r="AF25" i="50"/>
  <c r="AF24" i="50"/>
  <c r="AF23" i="50"/>
  <c r="AF22" i="50"/>
  <c r="D1" i="51"/>
  <c r="C1" i="51"/>
  <c r="B1" i="51"/>
  <c r="AL29" i="49"/>
  <c r="AK29" i="49"/>
  <c r="AL28" i="49"/>
  <c r="AK28" i="49"/>
  <c r="AL27" i="49"/>
  <c r="AK27" i="49"/>
  <c r="AL26" i="49"/>
  <c r="AK26" i="49"/>
  <c r="AL25" i="49"/>
  <c r="AK25" i="49"/>
  <c r="AL24" i="49"/>
  <c r="AK24" i="49"/>
  <c r="AL23" i="49"/>
  <c r="AK23" i="49"/>
  <c r="AL22" i="49"/>
  <c r="AK22" i="49"/>
  <c r="AL1" i="49"/>
  <c r="AK1" i="49"/>
  <c r="G1" i="51"/>
  <c r="H1" i="51"/>
  <c r="I1" i="51"/>
  <c r="J1" i="51"/>
  <c r="K1" i="51"/>
  <c r="L1" i="51"/>
  <c r="M1" i="51"/>
  <c r="N1" i="51"/>
  <c r="O1" i="51"/>
  <c r="P1" i="51"/>
  <c r="Q1" i="51"/>
  <c r="R1" i="51"/>
  <c r="S1" i="51"/>
  <c r="T1" i="51"/>
  <c r="U1" i="51"/>
  <c r="V1" i="51"/>
  <c r="W1" i="51"/>
  <c r="X1" i="51"/>
  <c r="Y1" i="51"/>
  <c r="Z1" i="51"/>
  <c r="AA1" i="51"/>
  <c r="AB1" i="51"/>
  <c r="AC1" i="51"/>
  <c r="AD1" i="51"/>
  <c r="AE1" i="51"/>
  <c r="AF1" i="51"/>
  <c r="AG1" i="51"/>
  <c r="AI1" i="51"/>
  <c r="F1" i="51"/>
  <c r="E1" i="51"/>
  <c r="Q29" i="50"/>
  <c r="P29" i="50"/>
  <c r="Q28" i="50"/>
  <c r="P28" i="50"/>
  <c r="Q27" i="50"/>
  <c r="P27" i="50"/>
  <c r="Q26" i="50"/>
  <c r="P26" i="50"/>
  <c r="Q25" i="50"/>
  <c r="P25" i="50"/>
  <c r="Q24" i="50"/>
  <c r="P24" i="50"/>
  <c r="Q23" i="50"/>
  <c r="P23" i="50"/>
  <c r="Q22" i="50"/>
  <c r="P22" i="50"/>
  <c r="AC29" i="50"/>
  <c r="AB29" i="50"/>
  <c r="AA29" i="50"/>
  <c r="Z29" i="50"/>
  <c r="Y29" i="50"/>
  <c r="AC28" i="50"/>
  <c r="AB28" i="50"/>
  <c r="AA28" i="50"/>
  <c r="Z28" i="50"/>
  <c r="Y28" i="50"/>
  <c r="AC27" i="50"/>
  <c r="AB27" i="50"/>
  <c r="AA27" i="50"/>
  <c r="Z27" i="50"/>
  <c r="Y27" i="50"/>
  <c r="AC26" i="50"/>
  <c r="AB26" i="50"/>
  <c r="AA26" i="50"/>
  <c r="Z26" i="50"/>
  <c r="Y26" i="50"/>
  <c r="AC25" i="50"/>
  <c r="AB25" i="50"/>
  <c r="AA25" i="50"/>
  <c r="Z25" i="50"/>
  <c r="Y25" i="50"/>
  <c r="AC24" i="50"/>
  <c r="AB24" i="50"/>
  <c r="AA24" i="50"/>
  <c r="Z24" i="50"/>
  <c r="Y24" i="50"/>
  <c r="AC23" i="50"/>
  <c r="AB23" i="50"/>
  <c r="AA23" i="50"/>
  <c r="Z23" i="50"/>
  <c r="Y23" i="50"/>
  <c r="AC22" i="50"/>
  <c r="AB22" i="50"/>
  <c r="AA22" i="50"/>
  <c r="Z22" i="50"/>
  <c r="Y22" i="50"/>
  <c r="V29" i="50"/>
  <c r="U29" i="50"/>
  <c r="T29" i="50"/>
  <c r="S29" i="50"/>
  <c r="R29" i="50"/>
  <c r="V28" i="50"/>
  <c r="U28" i="50"/>
  <c r="T28" i="50"/>
  <c r="S28" i="50"/>
  <c r="R28" i="50"/>
  <c r="V27" i="50"/>
  <c r="U27" i="50"/>
  <c r="T27" i="50"/>
  <c r="S27" i="50"/>
  <c r="R27" i="50"/>
  <c r="V26" i="50"/>
  <c r="U26" i="50"/>
  <c r="T26" i="50"/>
  <c r="S26" i="50"/>
  <c r="R26" i="50"/>
  <c r="V25" i="50"/>
  <c r="U25" i="50"/>
  <c r="T25" i="50"/>
  <c r="S25" i="50"/>
  <c r="R25" i="50"/>
  <c r="V24" i="50"/>
  <c r="U24" i="50"/>
  <c r="T24" i="50"/>
  <c r="S24" i="50"/>
  <c r="R24" i="50"/>
  <c r="V23" i="50"/>
  <c r="U23" i="50"/>
  <c r="T23" i="50"/>
  <c r="S23" i="50"/>
  <c r="R23" i="50"/>
  <c r="V22" i="50"/>
  <c r="U22" i="50"/>
  <c r="T22" i="50"/>
  <c r="S22" i="50"/>
  <c r="R22" i="50"/>
  <c r="O29" i="50"/>
  <c r="N29" i="50"/>
  <c r="M29" i="50"/>
  <c r="L29" i="50"/>
  <c r="O28" i="50"/>
  <c r="N28" i="50"/>
  <c r="M28" i="50"/>
  <c r="L28" i="50"/>
  <c r="O27" i="50"/>
  <c r="N27" i="50"/>
  <c r="M27" i="50"/>
  <c r="L27" i="50"/>
  <c r="O26" i="50"/>
  <c r="N26" i="50"/>
  <c r="M26" i="50"/>
  <c r="L26" i="50"/>
  <c r="O25" i="50"/>
  <c r="N25" i="50"/>
  <c r="M25" i="50"/>
  <c r="L25" i="50"/>
  <c r="O24" i="50"/>
  <c r="N24" i="50"/>
  <c r="M24" i="50"/>
  <c r="L24" i="50"/>
  <c r="O23" i="50"/>
  <c r="N23" i="50"/>
  <c r="M23" i="50"/>
  <c r="L23" i="50"/>
  <c r="O22" i="50"/>
  <c r="N22" i="50"/>
  <c r="M22" i="50"/>
  <c r="L22" i="50"/>
  <c r="K29" i="50"/>
  <c r="K28" i="50"/>
  <c r="K27" i="50"/>
  <c r="K26" i="50"/>
  <c r="K25" i="50"/>
  <c r="K24" i="50"/>
  <c r="K23" i="50"/>
  <c r="K22" i="50"/>
  <c r="H29" i="50"/>
  <c r="G29" i="50"/>
  <c r="F29" i="50"/>
  <c r="E29" i="50"/>
  <c r="D29" i="50"/>
  <c r="H28" i="50"/>
  <c r="G28" i="50"/>
  <c r="F28" i="50"/>
  <c r="E28" i="50"/>
  <c r="D28" i="50"/>
  <c r="H27" i="50"/>
  <c r="G27" i="50"/>
  <c r="F27" i="50"/>
  <c r="E27" i="50"/>
  <c r="D27" i="50"/>
  <c r="H26" i="50"/>
  <c r="G26" i="50"/>
  <c r="F26" i="50"/>
  <c r="E26" i="50"/>
  <c r="D26" i="50"/>
  <c r="H25" i="50"/>
  <c r="G25" i="50"/>
  <c r="F25" i="50"/>
  <c r="E25" i="50"/>
  <c r="D25" i="50"/>
  <c r="H24" i="50"/>
  <c r="G24" i="50"/>
  <c r="F24" i="50"/>
  <c r="E24" i="50"/>
  <c r="D24" i="50"/>
  <c r="H23" i="50"/>
  <c r="G23" i="50"/>
  <c r="F23" i="50"/>
  <c r="E23" i="50"/>
  <c r="D23" i="50"/>
  <c r="H22" i="50"/>
  <c r="G22" i="50"/>
  <c r="F22" i="50"/>
  <c r="E22" i="50"/>
  <c r="D22" i="50"/>
  <c r="AE29" i="50"/>
  <c r="AD29" i="50"/>
  <c r="AE28" i="50"/>
  <c r="AD28" i="50"/>
  <c r="AE27" i="50"/>
  <c r="AD27" i="50"/>
  <c r="AE26" i="50"/>
  <c r="AD26" i="50"/>
  <c r="AE25" i="50"/>
  <c r="AD25" i="50"/>
  <c r="AE24" i="50"/>
  <c r="AD24" i="50"/>
  <c r="AE23" i="50"/>
  <c r="AD23" i="50"/>
  <c r="AE22" i="50"/>
  <c r="AD22" i="50"/>
  <c r="X29" i="50"/>
  <c r="W29" i="50"/>
  <c r="X28" i="50"/>
  <c r="W28" i="50"/>
  <c r="X27" i="50"/>
  <c r="W27" i="50"/>
  <c r="X26" i="50"/>
  <c r="W26" i="50"/>
  <c r="X25" i="50"/>
  <c r="W25" i="50"/>
  <c r="X24" i="50"/>
  <c r="W24" i="50"/>
  <c r="X23" i="50"/>
  <c r="W23" i="50"/>
  <c r="X22" i="50"/>
  <c r="W22" i="50"/>
  <c r="J29" i="50"/>
  <c r="I29" i="50"/>
  <c r="J28" i="50"/>
  <c r="I28" i="50"/>
  <c r="J27" i="50"/>
  <c r="I27" i="50"/>
  <c r="J26" i="50"/>
  <c r="I26" i="50"/>
  <c r="J25" i="50"/>
  <c r="I25" i="50"/>
  <c r="J24" i="50"/>
  <c r="I24" i="50"/>
  <c r="J23" i="50"/>
  <c r="I23" i="50"/>
  <c r="J22" i="50"/>
  <c r="I22" i="50"/>
  <c r="C29" i="50"/>
  <c r="B29" i="50"/>
  <c r="C28" i="50"/>
  <c r="B28" i="50"/>
  <c r="C27" i="50"/>
  <c r="B27" i="50"/>
  <c r="C26" i="50"/>
  <c r="B26" i="50"/>
  <c r="C25" i="50"/>
  <c r="B25" i="50"/>
  <c r="C24" i="50"/>
  <c r="B24" i="50"/>
  <c r="C23" i="50"/>
  <c r="B23" i="50"/>
  <c r="C22" i="50"/>
  <c r="B22" i="50"/>
  <c r="D1" i="50"/>
  <c r="E1" i="50"/>
  <c r="F1" i="50"/>
  <c r="G1" i="50"/>
  <c r="H1" i="50"/>
  <c r="I1" i="50"/>
  <c r="J1" i="50"/>
  <c r="K1" i="50"/>
  <c r="L1" i="50"/>
  <c r="M1" i="50"/>
  <c r="N1" i="50"/>
  <c r="O1" i="50"/>
  <c r="P1" i="50"/>
  <c r="Q1" i="50"/>
  <c r="R1" i="50"/>
  <c r="S1" i="50"/>
  <c r="T1" i="50"/>
  <c r="U1" i="50"/>
  <c r="V1" i="50"/>
  <c r="W1" i="50"/>
  <c r="X1" i="50"/>
  <c r="Y1" i="50"/>
  <c r="Z1" i="50"/>
  <c r="AA1" i="50"/>
  <c r="AB1" i="50"/>
  <c r="AC1" i="50"/>
  <c r="AD1" i="50"/>
  <c r="AE1" i="50"/>
  <c r="AF1" i="50"/>
  <c r="C1" i="50"/>
  <c r="B1" i="50"/>
  <c r="E29" i="49"/>
  <c r="D29" i="49"/>
  <c r="E28" i="49"/>
  <c r="D28" i="49"/>
  <c r="E27" i="49"/>
  <c r="D27" i="49"/>
  <c r="E26" i="49"/>
  <c r="D26" i="49"/>
  <c r="E25" i="49"/>
  <c r="D25" i="49"/>
  <c r="E24" i="49"/>
  <c r="D24" i="49"/>
  <c r="E23" i="49"/>
  <c r="D23" i="49"/>
  <c r="E22" i="49"/>
  <c r="D22" i="49"/>
  <c r="C29" i="49"/>
  <c r="B29" i="49"/>
  <c r="C28" i="49"/>
  <c r="B28" i="49"/>
  <c r="C27" i="49"/>
  <c r="B27" i="49"/>
  <c r="C26" i="49"/>
  <c r="B26" i="49"/>
  <c r="C25" i="49"/>
  <c r="B25" i="49"/>
  <c r="C24" i="49"/>
  <c r="B24" i="49"/>
  <c r="C23" i="49"/>
  <c r="B23" i="49"/>
  <c r="C22" i="49"/>
  <c r="B22" i="49"/>
  <c r="D1" i="49"/>
  <c r="C1" i="49"/>
  <c r="B1" i="49"/>
  <c r="R29" i="49"/>
  <c r="R28" i="49"/>
  <c r="R27" i="49"/>
  <c r="R26" i="49"/>
  <c r="R25" i="49"/>
  <c r="R24" i="49"/>
  <c r="R23" i="49"/>
  <c r="R22" i="49"/>
  <c r="H29" i="49"/>
  <c r="G29" i="49"/>
  <c r="F29" i="49"/>
  <c r="H28" i="49"/>
  <c r="G28" i="49"/>
  <c r="F28" i="49"/>
  <c r="H27" i="49"/>
  <c r="G27" i="49"/>
  <c r="F27" i="49"/>
  <c r="H26" i="49"/>
  <c r="G26" i="49"/>
  <c r="F26" i="49"/>
  <c r="H25" i="49"/>
  <c r="G25" i="49"/>
  <c r="F25" i="49"/>
  <c r="H24" i="49"/>
  <c r="G24" i="49"/>
  <c r="F24" i="49"/>
  <c r="H23" i="49"/>
  <c r="G23" i="49"/>
  <c r="F23" i="49"/>
  <c r="H22" i="49"/>
  <c r="G22" i="49"/>
  <c r="F22" i="49"/>
  <c r="AJ29" i="49"/>
  <c r="AI29" i="49"/>
  <c r="AH29" i="49"/>
  <c r="AG29" i="49"/>
  <c r="AF29" i="49"/>
  <c r="AE29" i="49"/>
  <c r="AD29" i="49"/>
  <c r="AJ28" i="49"/>
  <c r="AI28" i="49"/>
  <c r="AH28" i="49"/>
  <c r="AG28" i="49"/>
  <c r="AF28" i="49"/>
  <c r="AE28" i="49"/>
  <c r="AD28" i="49"/>
  <c r="AJ27" i="49"/>
  <c r="AI27" i="49"/>
  <c r="AH27" i="49"/>
  <c r="AG27" i="49"/>
  <c r="AF27" i="49"/>
  <c r="AE27" i="49"/>
  <c r="AD27" i="49"/>
  <c r="AJ26" i="49"/>
  <c r="AI26" i="49"/>
  <c r="AH26" i="49"/>
  <c r="AG26" i="49"/>
  <c r="AF26" i="49"/>
  <c r="AE26" i="49"/>
  <c r="AD26" i="49"/>
  <c r="AJ25" i="49"/>
  <c r="AI25" i="49"/>
  <c r="AH25" i="49"/>
  <c r="AG25" i="49"/>
  <c r="AF25" i="49"/>
  <c r="AE25" i="49"/>
  <c r="AD25" i="49"/>
  <c r="AJ24" i="49"/>
  <c r="AI24" i="49"/>
  <c r="AH24" i="49"/>
  <c r="AG24" i="49"/>
  <c r="AF24" i="49"/>
  <c r="AE24" i="49"/>
  <c r="AD24" i="49"/>
  <c r="AJ23" i="49"/>
  <c r="AI23" i="49"/>
  <c r="AH23" i="49"/>
  <c r="AG23" i="49"/>
  <c r="AF23" i="49"/>
  <c r="AE23" i="49"/>
  <c r="AD23" i="49"/>
  <c r="AJ22" i="49"/>
  <c r="AI22" i="49"/>
  <c r="AH22" i="49"/>
  <c r="AG22" i="49"/>
  <c r="AF22" i="49"/>
  <c r="AE22" i="49"/>
  <c r="AD22" i="49"/>
  <c r="AC29" i="49"/>
  <c r="AB29" i="49"/>
  <c r="AA29" i="49"/>
  <c r="Z29" i="49"/>
  <c r="Y29" i="49"/>
  <c r="X29" i="49"/>
  <c r="W29" i="49"/>
  <c r="AC28" i="49"/>
  <c r="AB28" i="49"/>
  <c r="AA28" i="49"/>
  <c r="Z28" i="49"/>
  <c r="Y28" i="49"/>
  <c r="X28" i="49"/>
  <c r="W28" i="49"/>
  <c r="AC27" i="49"/>
  <c r="AB27" i="49"/>
  <c r="AA27" i="49"/>
  <c r="Z27" i="49"/>
  <c r="Y27" i="49"/>
  <c r="X27" i="49"/>
  <c r="W27" i="49"/>
  <c r="AC26" i="49"/>
  <c r="AB26" i="49"/>
  <c r="AA26" i="49"/>
  <c r="Z26" i="49"/>
  <c r="Y26" i="49"/>
  <c r="X26" i="49"/>
  <c r="W26" i="49"/>
  <c r="AC25" i="49"/>
  <c r="AB25" i="49"/>
  <c r="AA25" i="49"/>
  <c r="Z25" i="49"/>
  <c r="Y25" i="49"/>
  <c r="X25" i="49"/>
  <c r="W25" i="49"/>
  <c r="AC24" i="49"/>
  <c r="AB24" i="49"/>
  <c r="AA24" i="49"/>
  <c r="Z24" i="49"/>
  <c r="Y24" i="49"/>
  <c r="X24" i="49"/>
  <c r="W24" i="49"/>
  <c r="AC23" i="49"/>
  <c r="AB23" i="49"/>
  <c r="AA23" i="49"/>
  <c r="Z23" i="49"/>
  <c r="Y23" i="49"/>
  <c r="X23" i="49"/>
  <c r="W23" i="49"/>
  <c r="AC22" i="49"/>
  <c r="AB22" i="49"/>
  <c r="AA22" i="49"/>
  <c r="Z22" i="49"/>
  <c r="Y22" i="49"/>
  <c r="X22" i="49"/>
  <c r="W22" i="49"/>
  <c r="V29" i="49"/>
  <c r="U29" i="49"/>
  <c r="T29" i="49"/>
  <c r="S29" i="49"/>
  <c r="Q29" i="49"/>
  <c r="P29" i="49"/>
  <c r="V28" i="49"/>
  <c r="U28" i="49"/>
  <c r="T28" i="49"/>
  <c r="S28" i="49"/>
  <c r="Q28" i="49"/>
  <c r="P28" i="49"/>
  <c r="V27" i="49"/>
  <c r="U27" i="49"/>
  <c r="T27" i="49"/>
  <c r="S27" i="49"/>
  <c r="Q27" i="49"/>
  <c r="P27" i="49"/>
  <c r="V26" i="49"/>
  <c r="U26" i="49"/>
  <c r="T26" i="49"/>
  <c r="S26" i="49"/>
  <c r="Q26" i="49"/>
  <c r="P26" i="49"/>
  <c r="V25" i="49"/>
  <c r="U25" i="49"/>
  <c r="T25" i="49"/>
  <c r="S25" i="49"/>
  <c r="Q25" i="49"/>
  <c r="P25" i="49"/>
  <c r="V24" i="49"/>
  <c r="U24" i="49"/>
  <c r="T24" i="49"/>
  <c r="S24" i="49"/>
  <c r="Q24" i="49"/>
  <c r="P24" i="49"/>
  <c r="V23" i="49"/>
  <c r="U23" i="49"/>
  <c r="T23" i="49"/>
  <c r="S23" i="49"/>
  <c r="Q23" i="49"/>
  <c r="P23" i="49"/>
  <c r="V22" i="49"/>
  <c r="U22" i="49"/>
  <c r="T22" i="49"/>
  <c r="S22" i="49"/>
  <c r="Q22" i="49"/>
  <c r="P22" i="49"/>
  <c r="O29" i="49"/>
  <c r="N29" i="49"/>
  <c r="M29" i="49"/>
  <c r="L29" i="49"/>
  <c r="K29" i="49"/>
  <c r="J29" i="49"/>
  <c r="I29" i="49"/>
  <c r="O28" i="49"/>
  <c r="N28" i="49"/>
  <c r="M28" i="49"/>
  <c r="L28" i="49"/>
  <c r="K28" i="49"/>
  <c r="J28" i="49"/>
  <c r="I28" i="49"/>
  <c r="O27" i="49"/>
  <c r="N27" i="49"/>
  <c r="M27" i="49"/>
  <c r="L27" i="49"/>
  <c r="K27" i="49"/>
  <c r="J27" i="49"/>
  <c r="I27" i="49"/>
  <c r="O26" i="49"/>
  <c r="N26" i="49"/>
  <c r="M26" i="49"/>
  <c r="L26" i="49"/>
  <c r="K26" i="49"/>
  <c r="J26" i="49"/>
  <c r="I26" i="49"/>
  <c r="O25" i="49"/>
  <c r="N25" i="49"/>
  <c r="M25" i="49"/>
  <c r="L25" i="49"/>
  <c r="K25" i="49"/>
  <c r="J25" i="49"/>
  <c r="I25" i="49"/>
  <c r="O24" i="49"/>
  <c r="N24" i="49"/>
  <c r="M24" i="49"/>
  <c r="L24" i="49"/>
  <c r="K24" i="49"/>
  <c r="J24" i="49"/>
  <c r="I24" i="49"/>
  <c r="O23" i="49"/>
  <c r="N23" i="49"/>
  <c r="M23" i="49"/>
  <c r="L23" i="49"/>
  <c r="K23" i="49"/>
  <c r="J23" i="49"/>
  <c r="I23" i="49"/>
  <c r="O22" i="49"/>
  <c r="N22" i="49"/>
  <c r="M22" i="49"/>
  <c r="L22" i="49"/>
  <c r="K22" i="49"/>
  <c r="J22" i="49"/>
  <c r="I22" i="49"/>
  <c r="AI1" i="49"/>
  <c r="AJ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H1" i="49"/>
  <c r="G1" i="49"/>
  <c r="F1" i="49"/>
  <c r="E1" i="49"/>
  <c r="AM29" i="48"/>
  <c r="AL29" i="48"/>
  <c r="AK29" i="48"/>
  <c r="AJ29" i="48"/>
  <c r="AM28" i="48"/>
  <c r="AL28" i="48"/>
  <c r="AK28" i="48"/>
  <c r="AJ28" i="48"/>
  <c r="AM27" i="48"/>
  <c r="AL27" i="48"/>
  <c r="AK27" i="48"/>
  <c r="AJ27" i="48"/>
  <c r="AM26" i="48"/>
  <c r="AL26" i="48"/>
  <c r="AK26" i="48"/>
  <c r="AJ26" i="48"/>
  <c r="AM25" i="48"/>
  <c r="AL25" i="48"/>
  <c r="AK25" i="48"/>
  <c r="AJ25" i="48"/>
  <c r="AM24" i="48"/>
  <c r="AL24" i="48"/>
  <c r="AK24" i="48"/>
  <c r="AJ24" i="48"/>
  <c r="AM23" i="48"/>
  <c r="AL23" i="48"/>
  <c r="AK23" i="48"/>
  <c r="AJ23" i="48"/>
  <c r="AM22" i="48"/>
  <c r="AL22" i="48"/>
  <c r="AK22" i="48"/>
  <c r="AJ22" i="48"/>
  <c r="D1" i="48"/>
  <c r="C1" i="48"/>
  <c r="B1" i="48"/>
  <c r="AJ1" i="48"/>
  <c r="AK1" i="48"/>
  <c r="AL1" i="48"/>
  <c r="AM1" i="48"/>
  <c r="AI29" i="48"/>
  <c r="AH29" i="48"/>
  <c r="AG29" i="48"/>
  <c r="AI28" i="48"/>
  <c r="AH28" i="48"/>
  <c r="AG28" i="48"/>
  <c r="AI27" i="48"/>
  <c r="AH27" i="48"/>
  <c r="AG27" i="48"/>
  <c r="AI26" i="48"/>
  <c r="AH26" i="48"/>
  <c r="AG26" i="48"/>
  <c r="AI25" i="48"/>
  <c r="AH25" i="48"/>
  <c r="AG25" i="48"/>
  <c r="AI24" i="48"/>
  <c r="AH24" i="48"/>
  <c r="AG24" i="48"/>
  <c r="AI23" i="48"/>
  <c r="AH23" i="48"/>
  <c r="AG23" i="48"/>
  <c r="AI22" i="48"/>
  <c r="AH22" i="48"/>
  <c r="AG22" i="48"/>
  <c r="AF29" i="48"/>
  <c r="AE29" i="48"/>
  <c r="AD29" i="48"/>
  <c r="AC29" i="48"/>
  <c r="AB29" i="48"/>
  <c r="AA29" i="48"/>
  <c r="Z29" i="48"/>
  <c r="AF28" i="48"/>
  <c r="AE28" i="48"/>
  <c r="AD28" i="48"/>
  <c r="AC28" i="48"/>
  <c r="AB28" i="48"/>
  <c r="AA28" i="48"/>
  <c r="Z28" i="48"/>
  <c r="AF27" i="48"/>
  <c r="AE27" i="48"/>
  <c r="AD27" i="48"/>
  <c r="AC27" i="48"/>
  <c r="AB27" i="48"/>
  <c r="AA27" i="48"/>
  <c r="Z27" i="48"/>
  <c r="AF26" i="48"/>
  <c r="AE26" i="48"/>
  <c r="AD26" i="48"/>
  <c r="AC26" i="48"/>
  <c r="AB26" i="48"/>
  <c r="AA26" i="48"/>
  <c r="Z26" i="48"/>
  <c r="AF25" i="48"/>
  <c r="AE25" i="48"/>
  <c r="AD25" i="48"/>
  <c r="AC25" i="48"/>
  <c r="AB25" i="48"/>
  <c r="AA25" i="48"/>
  <c r="Z25" i="48"/>
  <c r="AF24" i="48"/>
  <c r="AE24" i="48"/>
  <c r="AD24" i="48"/>
  <c r="AC24" i="48"/>
  <c r="AB24" i="48"/>
  <c r="AA24" i="48"/>
  <c r="Z24" i="48"/>
  <c r="AF23" i="48"/>
  <c r="AE23" i="48"/>
  <c r="AD23" i="48"/>
  <c r="AC23" i="48"/>
  <c r="AB23" i="48"/>
  <c r="AA23" i="48"/>
  <c r="Z23" i="48"/>
  <c r="AF22" i="48"/>
  <c r="AE22" i="48"/>
  <c r="AD22" i="48"/>
  <c r="AC22" i="48"/>
  <c r="AB22" i="48"/>
  <c r="AA22" i="48"/>
  <c r="Z22" i="48"/>
  <c r="Y29" i="48"/>
  <c r="X29" i="48"/>
  <c r="W29" i="48"/>
  <c r="V29" i="48"/>
  <c r="U29" i="48"/>
  <c r="T29" i="48"/>
  <c r="S29" i="48"/>
  <c r="Y28" i="48"/>
  <c r="X28" i="48"/>
  <c r="W28" i="48"/>
  <c r="V28" i="48"/>
  <c r="U28" i="48"/>
  <c r="T28" i="48"/>
  <c r="S28" i="48"/>
  <c r="Y27" i="48"/>
  <c r="X27" i="48"/>
  <c r="W27" i="48"/>
  <c r="V27" i="48"/>
  <c r="U27" i="48"/>
  <c r="T27" i="48"/>
  <c r="S27" i="48"/>
  <c r="Y26" i="48"/>
  <c r="X26" i="48"/>
  <c r="W26" i="48"/>
  <c r="V26" i="48"/>
  <c r="U26" i="48"/>
  <c r="T26" i="48"/>
  <c r="S26" i="48"/>
  <c r="Y25" i="48"/>
  <c r="X25" i="48"/>
  <c r="W25" i="48"/>
  <c r="V25" i="48"/>
  <c r="U25" i="48"/>
  <c r="T25" i="48"/>
  <c r="S25" i="48"/>
  <c r="Y24" i="48"/>
  <c r="X24" i="48"/>
  <c r="W24" i="48"/>
  <c r="V24" i="48"/>
  <c r="U24" i="48"/>
  <c r="T24" i="48"/>
  <c r="S24" i="48"/>
  <c r="Y23" i="48"/>
  <c r="X23" i="48"/>
  <c r="W23" i="48"/>
  <c r="V23" i="48"/>
  <c r="U23" i="48"/>
  <c r="T23" i="48"/>
  <c r="S23" i="48"/>
  <c r="Y22" i="48"/>
  <c r="X22" i="48"/>
  <c r="W22" i="48"/>
  <c r="V22" i="48"/>
  <c r="U22" i="48"/>
  <c r="T22" i="48"/>
  <c r="S22" i="48"/>
  <c r="R29" i="48"/>
  <c r="Q29" i="48"/>
  <c r="P29" i="48"/>
  <c r="O29" i="48"/>
  <c r="N29" i="48"/>
  <c r="M29" i="48"/>
  <c r="L29" i="48"/>
  <c r="R28" i="48"/>
  <c r="Q28" i="48"/>
  <c r="P28" i="48"/>
  <c r="O28" i="48"/>
  <c r="N28" i="48"/>
  <c r="M28" i="48"/>
  <c r="L28" i="48"/>
  <c r="R27" i="48"/>
  <c r="Q27" i="48"/>
  <c r="P27" i="48"/>
  <c r="O27" i="48"/>
  <c r="N27" i="48"/>
  <c r="M27" i="48"/>
  <c r="L27" i="48"/>
  <c r="R26" i="48"/>
  <c r="Q26" i="48"/>
  <c r="P26" i="48"/>
  <c r="O26" i="48"/>
  <c r="N26" i="48"/>
  <c r="M26" i="48"/>
  <c r="L26" i="48"/>
  <c r="R25" i="48"/>
  <c r="Q25" i="48"/>
  <c r="P25" i="48"/>
  <c r="O25" i="48"/>
  <c r="N25" i="48"/>
  <c r="M25" i="48"/>
  <c r="L25" i="48"/>
  <c r="R24" i="48"/>
  <c r="Q24" i="48"/>
  <c r="P24" i="48"/>
  <c r="O24" i="48"/>
  <c r="N24" i="48"/>
  <c r="M24" i="48"/>
  <c r="L24" i="48"/>
  <c r="R23" i="48"/>
  <c r="Q23" i="48"/>
  <c r="P23" i="48"/>
  <c r="O23" i="48"/>
  <c r="N23" i="48"/>
  <c r="M23" i="48"/>
  <c r="L23" i="48"/>
  <c r="R22" i="48"/>
  <c r="Q22" i="48"/>
  <c r="P22" i="48"/>
  <c r="O22" i="48"/>
  <c r="N22" i="48"/>
  <c r="M22" i="48"/>
  <c r="L22" i="48"/>
  <c r="K29" i="48"/>
  <c r="J29" i="48"/>
  <c r="I29" i="48"/>
  <c r="H29" i="48"/>
  <c r="G29" i="48"/>
  <c r="F29" i="48"/>
  <c r="E29" i="48"/>
  <c r="K28" i="48"/>
  <c r="J28" i="48"/>
  <c r="I28" i="48"/>
  <c r="H28" i="48"/>
  <c r="G28" i="48"/>
  <c r="F28" i="48"/>
  <c r="E28" i="48"/>
  <c r="K27" i="48"/>
  <c r="J27" i="48"/>
  <c r="I27" i="48"/>
  <c r="H27" i="48"/>
  <c r="G27" i="48"/>
  <c r="F27" i="48"/>
  <c r="E27" i="48"/>
  <c r="K26" i="48"/>
  <c r="J26" i="48"/>
  <c r="I26" i="48"/>
  <c r="H26" i="48"/>
  <c r="G26" i="48"/>
  <c r="F26" i="48"/>
  <c r="E26" i="48"/>
  <c r="K25" i="48"/>
  <c r="J25" i="48"/>
  <c r="I25" i="48"/>
  <c r="H25" i="48"/>
  <c r="G25" i="48"/>
  <c r="F25" i="48"/>
  <c r="E25" i="48"/>
  <c r="K24" i="48"/>
  <c r="J24" i="48"/>
  <c r="I24" i="48"/>
  <c r="H24" i="48"/>
  <c r="G24" i="48"/>
  <c r="F24" i="48"/>
  <c r="E24" i="48"/>
  <c r="K23" i="48"/>
  <c r="J23" i="48"/>
  <c r="I23" i="48"/>
  <c r="H23" i="48"/>
  <c r="G23" i="48"/>
  <c r="F23" i="48"/>
  <c r="E23" i="48"/>
  <c r="K22" i="48"/>
  <c r="J22" i="48"/>
  <c r="I22" i="48"/>
  <c r="H22" i="48"/>
  <c r="G22" i="48"/>
  <c r="F22" i="48"/>
  <c r="E22" i="48"/>
  <c r="G1" i="48"/>
  <c r="H1" i="48"/>
  <c r="I1" i="48"/>
  <c r="J1" i="48"/>
  <c r="K1" i="48"/>
  <c r="L1" i="48"/>
  <c r="M1" i="48"/>
  <c r="N1" i="48"/>
  <c r="O1" i="48"/>
  <c r="P1" i="48"/>
  <c r="Q1" i="48"/>
  <c r="R1" i="48"/>
  <c r="S1" i="48"/>
  <c r="T1" i="48"/>
  <c r="U1" i="48"/>
  <c r="V1" i="48"/>
  <c r="W1" i="48"/>
  <c r="X1" i="48"/>
  <c r="Y1" i="48"/>
  <c r="Z1" i="48"/>
  <c r="AA1" i="48"/>
  <c r="AB1" i="48"/>
  <c r="AC1" i="48"/>
  <c r="AD1" i="48"/>
  <c r="AE1" i="48"/>
  <c r="AF1" i="48"/>
  <c r="AG1" i="48"/>
  <c r="AH1" i="48"/>
  <c r="AI1" i="48"/>
  <c r="F1" i="48"/>
  <c r="E1" i="48"/>
  <c r="AG29" i="47"/>
  <c r="AF29" i="47"/>
  <c r="AG28" i="47"/>
  <c r="AF28" i="47"/>
  <c r="AG27" i="47"/>
  <c r="AF27" i="47"/>
  <c r="AG26" i="47"/>
  <c r="AF26" i="47"/>
  <c r="AG25" i="47"/>
  <c r="AF25" i="47"/>
  <c r="AG24" i="47"/>
  <c r="AF24" i="47"/>
  <c r="AG23" i="47"/>
  <c r="AF23" i="47"/>
  <c r="AG22" i="47"/>
  <c r="AF22" i="47"/>
  <c r="AC29" i="47"/>
  <c r="AB29" i="47"/>
  <c r="AA29" i="47"/>
  <c r="Z29" i="47"/>
  <c r="Y29" i="47"/>
  <c r="AC28" i="47"/>
  <c r="AB28" i="47"/>
  <c r="AA28" i="47"/>
  <c r="Z28" i="47"/>
  <c r="Y28" i="47"/>
  <c r="AC27" i="47"/>
  <c r="AB27" i="47"/>
  <c r="AA27" i="47"/>
  <c r="Z27" i="47"/>
  <c r="Y27" i="47"/>
  <c r="AC26" i="47"/>
  <c r="AB26" i="47"/>
  <c r="AA26" i="47"/>
  <c r="Z26" i="47"/>
  <c r="Y26" i="47"/>
  <c r="AC25" i="47"/>
  <c r="AB25" i="47"/>
  <c r="AA25" i="47"/>
  <c r="Z25" i="47"/>
  <c r="Y25" i="47"/>
  <c r="AC24" i="47"/>
  <c r="AB24" i="47"/>
  <c r="AA24" i="47"/>
  <c r="Z24" i="47"/>
  <c r="Y24" i="47"/>
  <c r="AC23" i="47"/>
  <c r="AB23" i="47"/>
  <c r="AA23" i="47"/>
  <c r="Z23" i="47"/>
  <c r="Y23" i="47"/>
  <c r="AC22" i="47"/>
  <c r="AB22" i="47"/>
  <c r="AA22" i="47"/>
  <c r="Z22" i="47"/>
  <c r="Y22" i="47"/>
  <c r="V29" i="47"/>
  <c r="U29" i="47"/>
  <c r="T29" i="47"/>
  <c r="S29" i="47"/>
  <c r="R29" i="47"/>
  <c r="V28" i="47"/>
  <c r="U28" i="47"/>
  <c r="T28" i="47"/>
  <c r="S28" i="47"/>
  <c r="R28" i="47"/>
  <c r="V27" i="47"/>
  <c r="U27" i="47"/>
  <c r="T27" i="47"/>
  <c r="S27" i="47"/>
  <c r="R27" i="47"/>
  <c r="V26" i="47"/>
  <c r="U26" i="47"/>
  <c r="T26" i="47"/>
  <c r="S26" i="47"/>
  <c r="R26" i="47"/>
  <c r="V25" i="47"/>
  <c r="U25" i="47"/>
  <c r="T25" i="47"/>
  <c r="S25" i="47"/>
  <c r="R25" i="47"/>
  <c r="V24" i="47"/>
  <c r="U24" i="47"/>
  <c r="T24" i="47"/>
  <c r="S24" i="47"/>
  <c r="R24" i="47"/>
  <c r="V23" i="47"/>
  <c r="U23" i="47"/>
  <c r="T23" i="47"/>
  <c r="S23" i="47"/>
  <c r="R23" i="47"/>
  <c r="V22" i="47"/>
  <c r="U22" i="47"/>
  <c r="T22" i="47"/>
  <c r="S22" i="47"/>
  <c r="R22" i="47"/>
  <c r="O29" i="47"/>
  <c r="N29" i="47"/>
  <c r="M29" i="47"/>
  <c r="L29" i="47"/>
  <c r="K29" i="47"/>
  <c r="O28" i="47"/>
  <c r="N28" i="47"/>
  <c r="M28" i="47"/>
  <c r="L28" i="47"/>
  <c r="K28" i="47"/>
  <c r="O27" i="47"/>
  <c r="N27" i="47"/>
  <c r="M27" i="47"/>
  <c r="L27" i="47"/>
  <c r="K27" i="47"/>
  <c r="O26" i="47"/>
  <c r="N26" i="47"/>
  <c r="M26" i="47"/>
  <c r="L26" i="47"/>
  <c r="K26" i="47"/>
  <c r="O25" i="47"/>
  <c r="N25" i="47"/>
  <c r="M25" i="47"/>
  <c r="L25" i="47"/>
  <c r="K25" i="47"/>
  <c r="O24" i="47"/>
  <c r="N24" i="47"/>
  <c r="M24" i="47"/>
  <c r="L24" i="47"/>
  <c r="K24" i="47"/>
  <c r="O23" i="47"/>
  <c r="N23" i="47"/>
  <c r="M23" i="47"/>
  <c r="L23" i="47"/>
  <c r="K23" i="47"/>
  <c r="O22" i="47"/>
  <c r="N22" i="47"/>
  <c r="M22" i="47"/>
  <c r="L22" i="47"/>
  <c r="K22" i="47"/>
  <c r="F29" i="47"/>
  <c r="E29" i="47"/>
  <c r="D29" i="47"/>
  <c r="F28" i="47"/>
  <c r="E28" i="47"/>
  <c r="D28" i="47"/>
  <c r="F27" i="47"/>
  <c r="E27" i="47"/>
  <c r="D27" i="47"/>
  <c r="F26" i="47"/>
  <c r="E26" i="47"/>
  <c r="D26" i="47"/>
  <c r="F25" i="47"/>
  <c r="E25" i="47"/>
  <c r="D25" i="47"/>
  <c r="F24" i="47"/>
  <c r="E24" i="47"/>
  <c r="D24" i="47"/>
  <c r="F23" i="47"/>
  <c r="E23" i="47"/>
  <c r="D23" i="47"/>
  <c r="F22" i="47"/>
  <c r="E22" i="47"/>
  <c r="D22" i="47"/>
  <c r="AE29" i="47"/>
  <c r="AD29" i="47"/>
  <c r="AE28" i="47"/>
  <c r="AD28" i="47"/>
  <c r="AE27" i="47"/>
  <c r="AD27" i="47"/>
  <c r="AE26" i="47"/>
  <c r="AD26" i="47"/>
  <c r="AE25" i="47"/>
  <c r="AD25" i="47"/>
  <c r="AE24" i="47"/>
  <c r="AD24" i="47"/>
  <c r="AE23" i="47"/>
  <c r="AD23" i="47"/>
  <c r="AE22" i="47"/>
  <c r="AD22" i="47"/>
  <c r="X29" i="47"/>
  <c r="W29" i="47"/>
  <c r="X28" i="47"/>
  <c r="W28" i="47"/>
  <c r="X27" i="47"/>
  <c r="W27" i="47"/>
  <c r="X26" i="47"/>
  <c r="W26" i="47"/>
  <c r="X25" i="47"/>
  <c r="W25" i="47"/>
  <c r="X24" i="47"/>
  <c r="W24" i="47"/>
  <c r="X23" i="47"/>
  <c r="W23" i="47"/>
  <c r="X22" i="47"/>
  <c r="W22" i="47"/>
  <c r="Q29" i="47"/>
  <c r="P29" i="47"/>
  <c r="Q28" i="47"/>
  <c r="P28" i="47"/>
  <c r="Q27" i="47"/>
  <c r="P27" i="47"/>
  <c r="Q26" i="47"/>
  <c r="P26" i="47"/>
  <c r="Q25" i="47"/>
  <c r="P25" i="47"/>
  <c r="Q24" i="47"/>
  <c r="P24" i="47"/>
  <c r="Q23" i="47"/>
  <c r="P23" i="47"/>
  <c r="Q22" i="47"/>
  <c r="P22" i="47"/>
  <c r="J29" i="47"/>
  <c r="I29" i="47"/>
  <c r="J28" i="47"/>
  <c r="I28" i="47"/>
  <c r="J27" i="47"/>
  <c r="I27" i="47"/>
  <c r="J26" i="47"/>
  <c r="I26" i="47"/>
  <c r="J25" i="47"/>
  <c r="I25" i="47"/>
  <c r="J24" i="47"/>
  <c r="I24" i="47"/>
  <c r="J23" i="47"/>
  <c r="I23" i="47"/>
  <c r="J22" i="47"/>
  <c r="I22" i="47"/>
  <c r="C29" i="47"/>
  <c r="B29" i="47"/>
  <c r="C28" i="47"/>
  <c r="B28" i="47"/>
  <c r="C27" i="47"/>
  <c r="B27" i="47"/>
  <c r="C26" i="47"/>
  <c r="B26" i="47"/>
  <c r="C25" i="47"/>
  <c r="B25" i="47"/>
  <c r="C24" i="47"/>
  <c r="B24" i="47"/>
  <c r="C23" i="47"/>
  <c r="B23" i="47"/>
  <c r="C22" i="47"/>
  <c r="B22" i="47"/>
  <c r="AG1" i="47"/>
  <c r="C1" i="47"/>
  <c r="D1" i="47"/>
  <c r="E1" i="47"/>
  <c r="F1" i="47"/>
  <c r="G1" i="47"/>
  <c r="H1" i="47"/>
  <c r="I1" i="47"/>
  <c r="J1" i="47"/>
  <c r="K1" i="47"/>
  <c r="L1" i="47"/>
  <c r="M1" i="47"/>
  <c r="N1" i="47"/>
  <c r="O1" i="47"/>
  <c r="P1" i="47"/>
  <c r="Q1" i="47"/>
  <c r="R1" i="47"/>
  <c r="S1" i="47"/>
  <c r="T1" i="47"/>
  <c r="U1" i="47"/>
  <c r="V1" i="47"/>
  <c r="W1" i="47"/>
  <c r="X1" i="47"/>
  <c r="Y1" i="47"/>
  <c r="Z1" i="47"/>
  <c r="AA1" i="47"/>
  <c r="AB1" i="47"/>
  <c r="AC1" i="47"/>
  <c r="AD1" i="47"/>
  <c r="AE1" i="47"/>
  <c r="AF1" i="47"/>
  <c r="B1" i="47"/>
  <c r="H29" i="47"/>
  <c r="G29" i="47"/>
  <c r="H28" i="47"/>
  <c r="G28" i="47"/>
  <c r="H27" i="47"/>
  <c r="G27" i="47"/>
  <c r="H26" i="47"/>
  <c r="G26" i="47"/>
  <c r="H25" i="47"/>
  <c r="G25" i="47"/>
  <c r="H24" i="47"/>
  <c r="G24" i="47"/>
  <c r="H23" i="47"/>
  <c r="G23" i="47"/>
  <c r="H22" i="47"/>
  <c r="G22" i="47"/>
  <c r="AH29" i="46"/>
  <c r="AG29" i="46"/>
  <c r="AH28" i="46"/>
  <c r="AG28" i="46"/>
  <c r="AH27" i="46"/>
  <c r="AG27" i="46"/>
  <c r="AH26" i="46"/>
  <c r="AG26" i="46"/>
  <c r="AH25" i="46"/>
  <c r="AG25" i="46"/>
  <c r="AH24" i="46"/>
  <c r="AG24" i="46"/>
  <c r="AH23" i="46"/>
  <c r="AG23" i="46"/>
  <c r="AH22" i="46"/>
  <c r="AG22" i="46"/>
  <c r="AA29" i="46"/>
  <c r="Z29" i="46"/>
  <c r="AA28" i="46"/>
  <c r="Z28" i="46"/>
  <c r="AA27" i="46"/>
  <c r="Z27" i="46"/>
  <c r="AA26" i="46"/>
  <c r="Z26" i="46"/>
  <c r="AA25" i="46"/>
  <c r="Z25" i="46"/>
  <c r="AA24" i="46"/>
  <c r="Z24" i="46"/>
  <c r="AA23" i="46"/>
  <c r="Z23" i="46"/>
  <c r="AA22" i="46"/>
  <c r="Z22" i="46"/>
  <c r="T29" i="46"/>
  <c r="S29" i="46"/>
  <c r="T28" i="46"/>
  <c r="S28" i="46"/>
  <c r="T27" i="46"/>
  <c r="S27" i="46"/>
  <c r="T26" i="46"/>
  <c r="S26" i="46"/>
  <c r="T25" i="46"/>
  <c r="S25" i="46"/>
  <c r="T24" i="46"/>
  <c r="S24" i="46"/>
  <c r="T23" i="46"/>
  <c r="S23" i="46"/>
  <c r="T22" i="46"/>
  <c r="S22" i="46"/>
  <c r="M29" i="46"/>
  <c r="M28" i="46"/>
  <c r="M27" i="46"/>
  <c r="M26" i="46"/>
  <c r="M25" i="46"/>
  <c r="M24" i="46"/>
  <c r="M23" i="46"/>
  <c r="M22" i="46"/>
  <c r="L29" i="46"/>
  <c r="L28" i="46"/>
  <c r="L27" i="46"/>
  <c r="L26" i="46"/>
  <c r="L25" i="46"/>
  <c r="L24" i="46"/>
  <c r="L23" i="46"/>
  <c r="L22" i="46"/>
  <c r="F29" i="46"/>
  <c r="E29" i="46"/>
  <c r="F28" i="46"/>
  <c r="E28" i="46"/>
  <c r="F27" i="46"/>
  <c r="E27" i="46"/>
  <c r="F26" i="46"/>
  <c r="E26" i="46"/>
  <c r="F25" i="46"/>
  <c r="E25" i="46"/>
  <c r="F24" i="46"/>
  <c r="E24" i="46"/>
  <c r="F23" i="46"/>
  <c r="E23" i="46"/>
  <c r="F22" i="46"/>
  <c r="E22" i="46"/>
  <c r="AF29" i="46"/>
  <c r="AE29" i="46"/>
  <c r="AD29" i="46"/>
  <c r="AC29" i="46"/>
  <c r="AB29" i="46"/>
  <c r="Y29" i="46"/>
  <c r="X29" i="46"/>
  <c r="W29" i="46"/>
  <c r="V29" i="46"/>
  <c r="U29" i="46"/>
  <c r="R29" i="46"/>
  <c r="Q29" i="46"/>
  <c r="P29" i="46"/>
  <c r="O29" i="46"/>
  <c r="N29" i="46"/>
  <c r="K29" i="46"/>
  <c r="J29" i="46"/>
  <c r="I29" i="46"/>
  <c r="H29" i="46"/>
  <c r="G29" i="46"/>
  <c r="AF28" i="46"/>
  <c r="AE28" i="46"/>
  <c r="AD28" i="46"/>
  <c r="AC28" i="46"/>
  <c r="AB28" i="46"/>
  <c r="Y28" i="46"/>
  <c r="X28" i="46"/>
  <c r="W28" i="46"/>
  <c r="V28" i="46"/>
  <c r="U28" i="46"/>
  <c r="R28" i="46"/>
  <c r="Q28" i="46"/>
  <c r="P28" i="46"/>
  <c r="O28" i="46"/>
  <c r="N28" i="46"/>
  <c r="K28" i="46"/>
  <c r="J28" i="46"/>
  <c r="I28" i="46"/>
  <c r="H28" i="46"/>
  <c r="G28" i="46"/>
  <c r="AF27" i="46"/>
  <c r="AE27" i="46"/>
  <c r="AD27" i="46"/>
  <c r="AC27" i="46"/>
  <c r="AB27" i="46"/>
  <c r="Y27" i="46"/>
  <c r="X27" i="46"/>
  <c r="W27" i="46"/>
  <c r="V27" i="46"/>
  <c r="U27" i="46"/>
  <c r="R27" i="46"/>
  <c r="Q27" i="46"/>
  <c r="P27" i="46"/>
  <c r="O27" i="46"/>
  <c r="N27" i="46"/>
  <c r="K27" i="46"/>
  <c r="J27" i="46"/>
  <c r="I27" i="46"/>
  <c r="H27" i="46"/>
  <c r="G27" i="46"/>
  <c r="AF26" i="46"/>
  <c r="AE26" i="46"/>
  <c r="AD26" i="46"/>
  <c r="AC26" i="46"/>
  <c r="AB26" i="46"/>
  <c r="Y26" i="46"/>
  <c r="X26" i="46"/>
  <c r="W26" i="46"/>
  <c r="V26" i="46"/>
  <c r="U26" i="46"/>
  <c r="R26" i="46"/>
  <c r="Q26" i="46"/>
  <c r="P26" i="46"/>
  <c r="O26" i="46"/>
  <c r="N26" i="46"/>
  <c r="K26" i="46"/>
  <c r="J26" i="46"/>
  <c r="I26" i="46"/>
  <c r="H26" i="46"/>
  <c r="G26" i="46"/>
  <c r="AF25" i="46"/>
  <c r="AE25" i="46"/>
  <c r="AD25" i="46"/>
  <c r="AC25" i="46"/>
  <c r="AB25" i="46"/>
  <c r="Y25" i="46"/>
  <c r="X25" i="46"/>
  <c r="W25" i="46"/>
  <c r="V25" i="46"/>
  <c r="U25" i="46"/>
  <c r="R25" i="46"/>
  <c r="Q25" i="46"/>
  <c r="P25" i="46"/>
  <c r="O25" i="46"/>
  <c r="N25" i="46"/>
  <c r="K25" i="46"/>
  <c r="J25" i="46"/>
  <c r="I25" i="46"/>
  <c r="H25" i="46"/>
  <c r="G25" i="46"/>
  <c r="AF24" i="46"/>
  <c r="AE24" i="46"/>
  <c r="AD24" i="46"/>
  <c r="AC24" i="46"/>
  <c r="AB24" i="46"/>
  <c r="Y24" i="46"/>
  <c r="X24" i="46"/>
  <c r="W24" i="46"/>
  <c r="V24" i="46"/>
  <c r="U24" i="46"/>
  <c r="R24" i="46"/>
  <c r="Q24" i="46"/>
  <c r="P24" i="46"/>
  <c r="O24" i="46"/>
  <c r="N24" i="46"/>
  <c r="K24" i="46"/>
  <c r="J24" i="46"/>
  <c r="I24" i="46"/>
  <c r="H24" i="46"/>
  <c r="G24" i="46"/>
  <c r="AF23" i="46"/>
  <c r="AE23" i="46"/>
  <c r="AD23" i="46"/>
  <c r="AC23" i="46"/>
  <c r="AB23" i="46"/>
  <c r="Y23" i="46"/>
  <c r="X23" i="46"/>
  <c r="W23" i="46"/>
  <c r="V23" i="46"/>
  <c r="U23" i="46"/>
  <c r="R23" i="46"/>
  <c r="Q23" i="46"/>
  <c r="P23" i="46"/>
  <c r="O23" i="46"/>
  <c r="N23" i="46"/>
  <c r="K23" i="46"/>
  <c r="J23" i="46"/>
  <c r="I23" i="46"/>
  <c r="H23" i="46"/>
  <c r="G23" i="46"/>
  <c r="AF22" i="46"/>
  <c r="AE22" i="46"/>
  <c r="AD22" i="46"/>
  <c r="AC22" i="46"/>
  <c r="AB22" i="46"/>
  <c r="Y22" i="46"/>
  <c r="X22" i="46"/>
  <c r="W22" i="46"/>
  <c r="V22" i="46"/>
  <c r="U22" i="46"/>
  <c r="R22" i="46"/>
  <c r="Q22" i="46"/>
  <c r="P22" i="46"/>
  <c r="O22" i="46"/>
  <c r="N22" i="46"/>
  <c r="K22" i="46"/>
  <c r="J22" i="46"/>
  <c r="I22" i="46"/>
  <c r="H22" i="46"/>
  <c r="G22" i="46"/>
  <c r="E1" i="46"/>
  <c r="F1" i="46"/>
  <c r="G1" i="46"/>
  <c r="H1" i="46"/>
  <c r="I1" i="46"/>
  <c r="J1" i="46"/>
  <c r="K1" i="46"/>
  <c r="L1" i="46"/>
  <c r="M1" i="46"/>
  <c r="N1" i="46"/>
  <c r="O1" i="46"/>
  <c r="P1" i="46"/>
  <c r="Q1" i="46"/>
  <c r="R1" i="46"/>
  <c r="S1" i="46"/>
  <c r="T1" i="46"/>
  <c r="U1" i="46"/>
  <c r="V1" i="46"/>
  <c r="W1" i="46"/>
  <c r="X1" i="46"/>
  <c r="Y1" i="46"/>
  <c r="Z1" i="46"/>
  <c r="AA1" i="46"/>
  <c r="AB1" i="46"/>
  <c r="AC1" i="46"/>
  <c r="AD1" i="46"/>
  <c r="AE1" i="46"/>
  <c r="AF1" i="46"/>
  <c r="AG1" i="46"/>
  <c r="AH1" i="46"/>
  <c r="D29" i="46"/>
  <c r="C29" i="46"/>
  <c r="B29" i="46"/>
  <c r="D28" i="46"/>
  <c r="C28" i="46"/>
  <c r="B28" i="46"/>
  <c r="D27" i="46"/>
  <c r="C27" i="46"/>
  <c r="B27" i="46"/>
  <c r="D26" i="46"/>
  <c r="C26" i="46"/>
  <c r="B26" i="46"/>
  <c r="D25" i="46"/>
  <c r="C25" i="46"/>
  <c r="B25" i="46"/>
  <c r="D24" i="46"/>
  <c r="C24" i="46"/>
  <c r="B24" i="46"/>
  <c r="D23" i="46"/>
  <c r="C23" i="46"/>
  <c r="B23" i="46"/>
  <c r="D22" i="46"/>
  <c r="C22" i="46"/>
  <c r="B22" i="46"/>
  <c r="D1" i="46"/>
  <c r="C1" i="46"/>
  <c r="B1" i="46"/>
  <c r="AH29" i="45"/>
  <c r="AG29" i="45"/>
  <c r="AF29" i="45"/>
  <c r="AE29" i="45"/>
  <c r="AD29" i="45"/>
  <c r="AC29" i="45"/>
  <c r="AB29" i="45"/>
  <c r="AA29" i="45"/>
  <c r="Z29" i="45"/>
  <c r="Y29" i="45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E29" i="45"/>
  <c r="D29" i="45"/>
  <c r="C29" i="45"/>
  <c r="B29" i="45"/>
  <c r="AH28" i="45"/>
  <c r="AG28" i="45"/>
  <c r="AF28" i="45"/>
  <c r="AE28" i="45"/>
  <c r="AD28" i="45"/>
  <c r="AC28" i="45"/>
  <c r="AB28" i="45"/>
  <c r="AA28" i="45"/>
  <c r="Z28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E28" i="45"/>
  <c r="D28" i="45"/>
  <c r="C28" i="45"/>
  <c r="B28" i="45"/>
  <c r="AH27" i="45"/>
  <c r="AG27" i="45"/>
  <c r="AF27" i="45"/>
  <c r="AE27" i="45"/>
  <c r="AD27" i="45"/>
  <c r="AC27" i="45"/>
  <c r="AB27" i="45"/>
  <c r="AA27" i="45"/>
  <c r="Z27" i="45"/>
  <c r="Y27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E27" i="45"/>
  <c r="D27" i="45"/>
  <c r="C27" i="45"/>
  <c r="B27" i="45"/>
  <c r="AH26" i="45"/>
  <c r="AG26" i="45"/>
  <c r="AF26" i="45"/>
  <c r="AE26" i="45"/>
  <c r="AD26" i="45"/>
  <c r="AC26" i="45"/>
  <c r="AB26" i="45"/>
  <c r="AA26" i="45"/>
  <c r="Z26" i="45"/>
  <c r="Y26" i="45"/>
  <c r="X26" i="45"/>
  <c r="W26" i="45"/>
  <c r="V26" i="45"/>
  <c r="U26" i="45"/>
  <c r="T26" i="45"/>
  <c r="S26" i="45"/>
  <c r="R26" i="45"/>
  <c r="Q26" i="45"/>
  <c r="P26" i="45"/>
  <c r="O26" i="45"/>
  <c r="N26" i="45"/>
  <c r="M26" i="45"/>
  <c r="L26" i="45"/>
  <c r="K26" i="45"/>
  <c r="J26" i="45"/>
  <c r="I26" i="45"/>
  <c r="H26" i="45"/>
  <c r="G26" i="45"/>
  <c r="F26" i="45"/>
  <c r="E26" i="45"/>
  <c r="D26" i="45"/>
  <c r="C26" i="45"/>
  <c r="B26" i="45"/>
  <c r="AH25" i="45"/>
  <c r="AG25" i="45"/>
  <c r="AF25" i="45"/>
  <c r="AE25" i="45"/>
  <c r="AD25" i="45"/>
  <c r="AC25" i="45"/>
  <c r="AB25" i="45"/>
  <c r="AA25" i="45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E25" i="45"/>
  <c r="D25" i="45"/>
  <c r="C25" i="45"/>
  <c r="B25" i="45"/>
  <c r="AH24" i="45"/>
  <c r="AG24" i="45"/>
  <c r="AF24" i="45"/>
  <c r="AE24" i="45"/>
  <c r="AD24" i="45"/>
  <c r="AC24" i="45"/>
  <c r="AB24" i="45"/>
  <c r="AA24" i="45"/>
  <c r="Z24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E24" i="45"/>
  <c r="D24" i="45"/>
  <c r="C24" i="45"/>
  <c r="B24" i="45"/>
  <c r="AH23" i="45"/>
  <c r="AG23" i="45"/>
  <c r="AF23" i="45"/>
  <c r="AE23" i="45"/>
  <c r="AD23" i="45"/>
  <c r="AC23" i="45"/>
  <c r="AB23" i="45"/>
  <c r="AA23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C23" i="45"/>
  <c r="B23" i="45"/>
  <c r="AH22" i="45"/>
  <c r="AG22" i="45"/>
  <c r="AF22" i="45"/>
  <c r="AE22" i="45"/>
  <c r="AD22" i="45"/>
  <c r="AC22" i="45"/>
  <c r="AB22" i="45"/>
  <c r="AA22" i="45"/>
  <c r="Z22" i="45"/>
  <c r="Y22" i="45"/>
  <c r="X22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J22" i="45"/>
  <c r="I22" i="45"/>
  <c r="H22" i="45"/>
  <c r="G22" i="45"/>
  <c r="F22" i="45"/>
  <c r="E22" i="45"/>
  <c r="D22" i="45"/>
  <c r="C22" i="45"/>
  <c r="B22" i="45"/>
  <c r="AH1" i="45"/>
  <c r="AG1" i="45"/>
  <c r="AF1" i="45"/>
  <c r="AE1" i="45"/>
  <c r="AD1" i="45"/>
  <c r="AC1" i="45"/>
  <c r="AB1" i="45"/>
  <c r="AA1" i="45"/>
  <c r="Z1" i="45"/>
  <c r="Y1" i="45"/>
  <c r="X1" i="45"/>
  <c r="W1" i="45"/>
  <c r="V1" i="45"/>
  <c r="U1" i="45"/>
  <c r="T1" i="45"/>
  <c r="S1" i="45"/>
  <c r="R1" i="45"/>
  <c r="Q1" i="45"/>
  <c r="P1" i="45"/>
  <c r="O1" i="45"/>
  <c r="N1" i="45"/>
  <c r="M1" i="45"/>
  <c r="L1" i="45"/>
  <c r="K1" i="45"/>
  <c r="J1" i="45"/>
  <c r="I1" i="45"/>
  <c r="H1" i="45"/>
  <c r="G1" i="45"/>
  <c r="F1" i="45"/>
  <c r="E1" i="45"/>
  <c r="D1" i="45"/>
  <c r="C1" i="45"/>
  <c r="B1" i="45"/>
  <c r="AA26" i="44"/>
  <c r="Z26" i="44"/>
  <c r="T26" i="44"/>
  <c r="M26" i="44"/>
  <c r="L26" i="44"/>
  <c r="F26" i="44"/>
  <c r="E26" i="44"/>
  <c r="S26" i="44"/>
  <c r="T26" i="42"/>
  <c r="U26" i="42"/>
  <c r="C26" i="44"/>
  <c r="AC29" i="44"/>
  <c r="AB29" i="44"/>
  <c r="AA29" i="44"/>
  <c r="Z29" i="44"/>
  <c r="Y29" i="44"/>
  <c r="X29" i="44"/>
  <c r="W29" i="44"/>
  <c r="V29" i="44"/>
  <c r="U29" i="44"/>
  <c r="T29" i="44"/>
  <c r="S29" i="44"/>
  <c r="R29" i="44"/>
  <c r="Q29" i="44"/>
  <c r="P29" i="44"/>
  <c r="O29" i="44"/>
  <c r="N29" i="44"/>
  <c r="M29" i="44"/>
  <c r="L29" i="44"/>
  <c r="K29" i="44"/>
  <c r="J29" i="44"/>
  <c r="I29" i="44"/>
  <c r="H29" i="44"/>
  <c r="G29" i="44"/>
  <c r="F29" i="44"/>
  <c r="E29" i="44"/>
  <c r="D29" i="44"/>
  <c r="C29" i="44"/>
  <c r="B29" i="44"/>
  <c r="AC28" i="44"/>
  <c r="AB28" i="44"/>
  <c r="AA28" i="44"/>
  <c r="Z28" i="44"/>
  <c r="Y28" i="44"/>
  <c r="X28" i="44"/>
  <c r="W28" i="44"/>
  <c r="V28" i="44"/>
  <c r="U28" i="44"/>
  <c r="T28" i="44"/>
  <c r="S28" i="44"/>
  <c r="R28" i="44"/>
  <c r="Q28" i="44"/>
  <c r="P28" i="44"/>
  <c r="O28" i="44"/>
  <c r="N28" i="44"/>
  <c r="M28" i="44"/>
  <c r="L28" i="44"/>
  <c r="K28" i="44"/>
  <c r="J28" i="44"/>
  <c r="I28" i="44"/>
  <c r="H28" i="44"/>
  <c r="G28" i="44"/>
  <c r="F28" i="44"/>
  <c r="E28" i="44"/>
  <c r="D28" i="44"/>
  <c r="C28" i="44"/>
  <c r="B28" i="44"/>
  <c r="AC27" i="44"/>
  <c r="AB27" i="44"/>
  <c r="AA27" i="44"/>
  <c r="Z27" i="44"/>
  <c r="Y27" i="44"/>
  <c r="X27" i="44"/>
  <c r="W27" i="44"/>
  <c r="V27" i="44"/>
  <c r="U27" i="44"/>
  <c r="T27" i="44"/>
  <c r="S27" i="44"/>
  <c r="R27" i="44"/>
  <c r="Q27" i="44"/>
  <c r="P27" i="44"/>
  <c r="O27" i="44"/>
  <c r="N27" i="44"/>
  <c r="M27" i="44"/>
  <c r="L27" i="44"/>
  <c r="K27" i="44"/>
  <c r="J27" i="44"/>
  <c r="I27" i="44"/>
  <c r="H27" i="44"/>
  <c r="G27" i="44"/>
  <c r="F27" i="44"/>
  <c r="E27" i="44"/>
  <c r="D27" i="44"/>
  <c r="C27" i="44"/>
  <c r="B27" i="44"/>
  <c r="AC26" i="44"/>
  <c r="AB26" i="44"/>
  <c r="Y26" i="44"/>
  <c r="X26" i="44"/>
  <c r="W26" i="44"/>
  <c r="V26" i="44"/>
  <c r="U26" i="44"/>
  <c r="R26" i="44"/>
  <c r="Q26" i="44"/>
  <c r="P26" i="44"/>
  <c r="O26" i="44"/>
  <c r="N26" i="44"/>
  <c r="K26" i="44"/>
  <c r="J26" i="44"/>
  <c r="I26" i="44"/>
  <c r="H26" i="44"/>
  <c r="G26" i="44"/>
  <c r="D26" i="44"/>
  <c r="B26" i="44"/>
  <c r="AC25" i="44"/>
  <c r="AB25" i="44"/>
  <c r="AA25" i="44"/>
  <c r="Z25" i="44"/>
  <c r="Y25" i="44"/>
  <c r="X25" i="44"/>
  <c r="W25" i="44"/>
  <c r="V25" i="44"/>
  <c r="U25" i="44"/>
  <c r="T25" i="44"/>
  <c r="S25" i="44"/>
  <c r="R25" i="44"/>
  <c r="Q25" i="44"/>
  <c r="P25" i="44"/>
  <c r="O25" i="44"/>
  <c r="N25" i="44"/>
  <c r="M25" i="44"/>
  <c r="L25" i="44"/>
  <c r="K25" i="44"/>
  <c r="J25" i="44"/>
  <c r="I25" i="44"/>
  <c r="H25" i="44"/>
  <c r="G25" i="44"/>
  <c r="F25" i="44"/>
  <c r="E25" i="44"/>
  <c r="D25" i="44"/>
  <c r="C25" i="44"/>
  <c r="B25" i="44"/>
  <c r="AC24" i="44"/>
  <c r="AB24" i="44"/>
  <c r="AA24" i="44"/>
  <c r="Z24" i="44"/>
  <c r="Y24" i="44"/>
  <c r="X24" i="44"/>
  <c r="W24" i="44"/>
  <c r="V24" i="44"/>
  <c r="U24" i="44"/>
  <c r="T24" i="44"/>
  <c r="S24" i="44"/>
  <c r="R24" i="44"/>
  <c r="Q24" i="44"/>
  <c r="P24" i="44"/>
  <c r="O24" i="44"/>
  <c r="N24" i="44"/>
  <c r="M24" i="44"/>
  <c r="L24" i="44"/>
  <c r="K24" i="44"/>
  <c r="J24" i="44"/>
  <c r="I24" i="44"/>
  <c r="H24" i="44"/>
  <c r="G24" i="44"/>
  <c r="F24" i="44"/>
  <c r="E24" i="44"/>
  <c r="D24" i="44"/>
  <c r="C24" i="44"/>
  <c r="B24" i="44"/>
  <c r="AC23" i="44"/>
  <c r="AB23" i="44"/>
  <c r="AA23" i="44"/>
  <c r="Z23" i="44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AC22" i="44"/>
  <c r="AB22" i="44"/>
  <c r="AA22" i="44"/>
  <c r="Z22" i="44"/>
  <c r="Y22" i="44"/>
  <c r="X22" i="44"/>
  <c r="W22" i="44"/>
  <c r="V22" i="44"/>
  <c r="U22" i="44"/>
  <c r="T22" i="44"/>
  <c r="S22" i="44"/>
  <c r="R22" i="44"/>
  <c r="Q22" i="44"/>
  <c r="P22" i="44"/>
  <c r="O22" i="44"/>
  <c r="N22" i="44"/>
  <c r="M22" i="44"/>
  <c r="L22" i="44"/>
  <c r="K22" i="44"/>
  <c r="J22" i="44"/>
  <c r="I22" i="44"/>
  <c r="H22" i="44"/>
  <c r="G22" i="44"/>
  <c r="F22" i="44"/>
  <c r="E22" i="44"/>
  <c r="D22" i="44"/>
  <c r="C22" i="44"/>
  <c r="B22" i="44"/>
  <c r="B1" i="44"/>
  <c r="AC1" i="44"/>
  <c r="AB1" i="44"/>
  <c r="AA1" i="44"/>
  <c r="Z1" i="44"/>
  <c r="Y1" i="44"/>
  <c r="X1" i="44"/>
  <c r="W1" i="44"/>
  <c r="V1" i="44"/>
  <c r="U1" i="44"/>
  <c r="T1" i="44"/>
  <c r="S1" i="44"/>
  <c r="R1" i="44"/>
  <c r="Q1" i="44"/>
  <c r="P1" i="44"/>
  <c r="O1" i="44"/>
  <c r="N1" i="44"/>
  <c r="M1" i="44"/>
  <c r="L1" i="44"/>
  <c r="K1" i="44"/>
  <c r="J1" i="44"/>
  <c r="I1" i="44"/>
  <c r="H1" i="44"/>
  <c r="G1" i="44"/>
  <c r="F1" i="44"/>
  <c r="E1" i="44"/>
  <c r="D1" i="44"/>
  <c r="C1" i="44"/>
  <c r="AG30" i="43"/>
  <c r="AG29" i="43"/>
  <c r="AG28" i="43"/>
  <c r="AG27" i="43"/>
  <c r="AG26" i="43"/>
  <c r="AG25" i="43"/>
  <c r="AG24" i="43"/>
  <c r="AG23" i="43"/>
  <c r="AG1" i="43"/>
  <c r="C1" i="43"/>
  <c r="D1" i="43"/>
  <c r="E1" i="43"/>
  <c r="F1" i="43"/>
  <c r="G1" i="43"/>
  <c r="H1" i="43"/>
  <c r="I1" i="43"/>
  <c r="J1" i="43"/>
  <c r="K1" i="43"/>
  <c r="L1" i="43"/>
  <c r="M1" i="43"/>
  <c r="N1" i="43"/>
  <c r="O1" i="43"/>
  <c r="P1" i="43"/>
  <c r="Q1" i="43"/>
  <c r="R1" i="43"/>
  <c r="S1" i="43"/>
  <c r="T1" i="43"/>
  <c r="U1" i="43"/>
  <c r="V1" i="43"/>
  <c r="W1" i="43"/>
  <c r="X1" i="43"/>
  <c r="Y1" i="43"/>
  <c r="Z1" i="43"/>
  <c r="AA1" i="43"/>
  <c r="AB1" i="43"/>
  <c r="AC1" i="43"/>
  <c r="AD1" i="43"/>
  <c r="AE1" i="43"/>
  <c r="AF1" i="43"/>
  <c r="B1" i="43"/>
  <c r="AF30" i="43"/>
  <c r="AE30" i="43"/>
  <c r="AD30" i="43"/>
  <c r="AC30" i="43"/>
  <c r="AB30" i="43"/>
  <c r="AA30" i="43"/>
  <c r="Z30" i="43"/>
  <c r="Y30" i="43"/>
  <c r="X30" i="43"/>
  <c r="W30" i="43"/>
  <c r="V30" i="43"/>
  <c r="U30" i="43"/>
  <c r="T30" i="43"/>
  <c r="S30" i="43"/>
  <c r="R30" i="43"/>
  <c r="Q30" i="43"/>
  <c r="P30" i="43"/>
  <c r="O30" i="43"/>
  <c r="N30" i="43"/>
  <c r="M30" i="43"/>
  <c r="L30" i="43"/>
  <c r="K30" i="43"/>
  <c r="J30" i="43"/>
  <c r="I30" i="43"/>
  <c r="H30" i="43"/>
  <c r="G30" i="43"/>
  <c r="F30" i="43"/>
  <c r="E30" i="43"/>
  <c r="D30" i="43"/>
  <c r="C30" i="43"/>
  <c r="B30" i="43"/>
  <c r="AF29" i="43"/>
  <c r="AE29" i="43"/>
  <c r="AD29" i="43"/>
  <c r="AC29" i="43"/>
  <c r="AB29" i="43"/>
  <c r="AA29" i="43"/>
  <c r="Z29" i="43"/>
  <c r="Y29" i="43"/>
  <c r="X29" i="43"/>
  <c r="W29" i="43"/>
  <c r="V29" i="43"/>
  <c r="U29" i="43"/>
  <c r="T29" i="43"/>
  <c r="S29" i="43"/>
  <c r="R29" i="43"/>
  <c r="Q29" i="43"/>
  <c r="P29" i="43"/>
  <c r="O29" i="43"/>
  <c r="N29" i="43"/>
  <c r="M29" i="43"/>
  <c r="L29" i="43"/>
  <c r="K29" i="43"/>
  <c r="J29" i="43"/>
  <c r="I29" i="43"/>
  <c r="H29" i="43"/>
  <c r="G29" i="43"/>
  <c r="F29" i="43"/>
  <c r="E29" i="43"/>
  <c r="D29" i="43"/>
  <c r="C29" i="43"/>
  <c r="B29" i="43"/>
  <c r="AF28" i="43"/>
  <c r="AE28" i="43"/>
  <c r="AD28" i="43"/>
  <c r="AC28" i="43"/>
  <c r="AB28" i="43"/>
  <c r="AA28" i="43"/>
  <c r="Z28" i="43"/>
  <c r="Y28" i="43"/>
  <c r="X28" i="43"/>
  <c r="W28" i="43"/>
  <c r="V28" i="43"/>
  <c r="U28" i="43"/>
  <c r="T28" i="43"/>
  <c r="S28" i="43"/>
  <c r="R28" i="43"/>
  <c r="Q28" i="43"/>
  <c r="P28" i="43"/>
  <c r="O28" i="43"/>
  <c r="N28" i="43"/>
  <c r="M28" i="43"/>
  <c r="L28" i="43"/>
  <c r="K28" i="43"/>
  <c r="J28" i="43"/>
  <c r="I28" i="43"/>
  <c r="H28" i="43"/>
  <c r="G28" i="43"/>
  <c r="F28" i="43"/>
  <c r="E28" i="43"/>
  <c r="D28" i="43"/>
  <c r="C28" i="43"/>
  <c r="B28" i="43"/>
  <c r="AF27" i="43"/>
  <c r="AE27" i="43"/>
  <c r="AD27" i="43"/>
  <c r="AC27" i="43"/>
  <c r="AB27" i="43"/>
  <c r="AA27" i="43"/>
  <c r="Z27" i="43"/>
  <c r="Y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E27" i="43"/>
  <c r="D27" i="43"/>
  <c r="C27" i="43"/>
  <c r="B27" i="43"/>
  <c r="AF26" i="43"/>
  <c r="AE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E26" i="43"/>
  <c r="D26" i="43"/>
  <c r="C26" i="43"/>
  <c r="B26" i="43"/>
  <c r="AF25" i="43"/>
  <c r="AE25" i="43"/>
  <c r="AD25" i="43"/>
  <c r="AC25" i="43"/>
  <c r="AB25" i="43"/>
  <c r="AA25" i="43"/>
  <c r="Z25" i="43"/>
  <c r="Y25" i="43"/>
  <c r="X25" i="43"/>
  <c r="W25" i="43"/>
  <c r="V25" i="43"/>
  <c r="U25" i="43"/>
  <c r="T25" i="43"/>
  <c r="S25" i="43"/>
  <c r="R25" i="43"/>
  <c r="Q25" i="43"/>
  <c r="P25" i="43"/>
  <c r="O25" i="43"/>
  <c r="N25" i="43"/>
  <c r="M25" i="43"/>
  <c r="L25" i="43"/>
  <c r="K25" i="43"/>
  <c r="J25" i="43"/>
  <c r="I25" i="43"/>
  <c r="H25" i="43"/>
  <c r="G25" i="43"/>
  <c r="F25" i="43"/>
  <c r="E25" i="43"/>
  <c r="D25" i="43"/>
  <c r="C25" i="43"/>
  <c r="B25" i="43"/>
  <c r="AF24" i="43"/>
  <c r="AE24" i="43"/>
  <c r="AD24" i="43"/>
  <c r="AC24" i="43"/>
  <c r="AB24" i="43"/>
  <c r="AA24" i="43"/>
  <c r="Z24" i="43"/>
  <c r="Y24" i="43"/>
  <c r="X24" i="43"/>
  <c r="W24" i="43"/>
  <c r="V24" i="43"/>
  <c r="U24" i="43"/>
  <c r="T24" i="43"/>
  <c r="S24" i="43"/>
  <c r="R24" i="43"/>
  <c r="Q24" i="43"/>
  <c r="P24" i="43"/>
  <c r="O24" i="43"/>
  <c r="N24" i="43"/>
  <c r="M24" i="43"/>
  <c r="L24" i="43"/>
  <c r="K24" i="43"/>
  <c r="J24" i="43"/>
  <c r="I24" i="43"/>
  <c r="H24" i="43"/>
  <c r="G24" i="43"/>
  <c r="F24" i="43"/>
  <c r="E24" i="43"/>
  <c r="D24" i="43"/>
  <c r="C24" i="43"/>
  <c r="B24" i="43"/>
  <c r="AF23" i="43"/>
  <c r="AE23" i="43"/>
  <c r="AD23" i="43"/>
  <c r="AC23" i="43"/>
  <c r="AB23" i="43"/>
  <c r="AA23" i="43"/>
  <c r="Z23" i="43"/>
  <c r="Y23" i="43"/>
  <c r="X23" i="43"/>
  <c r="W23" i="43"/>
  <c r="V23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D23" i="43"/>
  <c r="C23" i="43"/>
  <c r="B23" i="43"/>
  <c r="H1" i="42"/>
  <c r="G1" i="42"/>
  <c r="F1" i="42"/>
  <c r="E1" i="42"/>
  <c r="W22" i="42"/>
  <c r="AI26" i="42"/>
  <c r="AC26" i="42"/>
  <c r="AB26" i="42"/>
  <c r="V26" i="42"/>
  <c r="H26" i="42"/>
  <c r="G26" i="42"/>
  <c r="O26" i="42"/>
  <c r="N26" i="42"/>
  <c r="G22" i="42"/>
  <c r="AI29" i="42"/>
  <c r="AH29" i="42"/>
  <c r="AG29" i="42"/>
  <c r="AF29" i="42"/>
  <c r="AE29" i="42"/>
  <c r="AD29" i="42"/>
  <c r="AC29" i="42"/>
  <c r="AB29" i="42"/>
  <c r="AA29" i="42"/>
  <c r="Z29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AI28" i="42"/>
  <c r="AH28" i="42"/>
  <c r="AG28" i="42"/>
  <c r="AF28" i="42"/>
  <c r="AE28" i="42"/>
  <c r="AD28" i="42"/>
  <c r="AC28" i="42"/>
  <c r="AB28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AI27" i="42"/>
  <c r="AH27" i="42"/>
  <c r="AG27" i="42"/>
  <c r="AF27" i="42"/>
  <c r="AE27" i="42"/>
  <c r="AD27" i="42"/>
  <c r="AC27" i="42"/>
  <c r="AB27" i="42"/>
  <c r="AA27" i="42"/>
  <c r="Z27" i="42"/>
  <c r="Y27" i="4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AH26" i="42"/>
  <c r="AG26" i="42"/>
  <c r="AF26" i="42"/>
  <c r="AE26" i="42"/>
  <c r="AD26" i="42"/>
  <c r="AA26" i="42"/>
  <c r="Z26" i="42"/>
  <c r="Y26" i="42"/>
  <c r="X26" i="42"/>
  <c r="W26" i="42"/>
  <c r="S26" i="42"/>
  <c r="R26" i="42"/>
  <c r="Q26" i="42"/>
  <c r="P26" i="42"/>
  <c r="M26" i="42"/>
  <c r="L26" i="42"/>
  <c r="K26" i="42"/>
  <c r="J26" i="42"/>
  <c r="I26" i="42"/>
  <c r="AI25" i="42"/>
  <c r="AH25" i="42"/>
  <c r="AG25" i="42"/>
  <c r="AF25" i="42"/>
  <c r="AE25" i="42"/>
  <c r="AD25" i="42"/>
  <c r="AC25" i="42"/>
  <c r="AB25" i="42"/>
  <c r="AA25" i="42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AI24" i="42"/>
  <c r="AH24" i="42"/>
  <c r="AG24" i="42"/>
  <c r="AF24" i="42"/>
  <c r="AE24" i="42"/>
  <c r="AD24" i="42"/>
  <c r="AC24" i="42"/>
  <c r="AB24" i="42"/>
  <c r="AA24" i="42"/>
  <c r="Z24" i="42"/>
  <c r="Y24" i="42"/>
  <c r="X24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AI23" i="42"/>
  <c r="AH23" i="42"/>
  <c r="AG23" i="42"/>
  <c r="AF23" i="42"/>
  <c r="AE23" i="42"/>
  <c r="AD23" i="42"/>
  <c r="AC23" i="42"/>
  <c r="AB23" i="42"/>
  <c r="AA23" i="42"/>
  <c r="Z23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AI22" i="42"/>
  <c r="AH22" i="42"/>
  <c r="AG22" i="42"/>
  <c r="AF22" i="42"/>
  <c r="AE22" i="42"/>
  <c r="AD22" i="42"/>
  <c r="AC22" i="42"/>
  <c r="AB22" i="42"/>
  <c r="AA22" i="42"/>
  <c r="Z22" i="42"/>
  <c r="Y22" i="42"/>
  <c r="X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I1" i="42"/>
  <c r="J1" i="42"/>
  <c r="K1" i="42"/>
  <c r="L1" i="42"/>
  <c r="M1" i="42"/>
  <c r="N1" i="42"/>
  <c r="O1" i="42"/>
  <c r="P1" i="42"/>
  <c r="Q1" i="42"/>
  <c r="R1" i="42"/>
  <c r="S1" i="42"/>
  <c r="T1" i="42"/>
  <c r="U1" i="42"/>
  <c r="V1" i="42"/>
  <c r="W1" i="42"/>
  <c r="X1" i="42"/>
  <c r="Y1" i="42"/>
  <c r="Z1" i="42"/>
  <c r="AA1" i="42"/>
  <c r="AB1" i="42"/>
  <c r="AC1" i="42"/>
  <c r="AD1" i="42"/>
  <c r="AE1" i="42"/>
  <c r="AF1" i="42"/>
  <c r="AG1" i="42"/>
  <c r="AH1" i="42"/>
  <c r="AI1" i="42"/>
  <c r="H29" i="42"/>
  <c r="G29" i="42"/>
  <c r="F29" i="42"/>
  <c r="E29" i="42"/>
  <c r="D29" i="42"/>
  <c r="C29" i="42"/>
  <c r="B29" i="42"/>
  <c r="H28" i="42"/>
  <c r="G28" i="42"/>
  <c r="F28" i="42"/>
  <c r="E28" i="42"/>
  <c r="D28" i="42"/>
  <c r="C28" i="42"/>
  <c r="B28" i="42"/>
  <c r="H27" i="42"/>
  <c r="G27" i="42"/>
  <c r="F27" i="42"/>
  <c r="E27" i="42"/>
  <c r="D27" i="42"/>
  <c r="C27" i="42"/>
  <c r="B27" i="42"/>
  <c r="F26" i="42"/>
  <c r="E26" i="42"/>
  <c r="D26" i="42"/>
  <c r="C26" i="42"/>
  <c r="B26" i="42"/>
  <c r="H25" i="42"/>
  <c r="G25" i="42"/>
  <c r="F25" i="42"/>
  <c r="E25" i="42"/>
  <c r="D25" i="42"/>
  <c r="C25" i="42"/>
  <c r="B25" i="42"/>
  <c r="H24" i="42"/>
  <c r="G24" i="42"/>
  <c r="F24" i="42"/>
  <c r="E24" i="42"/>
  <c r="D24" i="42"/>
  <c r="C24" i="42"/>
  <c r="B24" i="42"/>
  <c r="H23" i="42"/>
  <c r="G23" i="42"/>
  <c r="F23" i="42"/>
  <c r="E23" i="42"/>
  <c r="D23" i="42"/>
  <c r="C23" i="42"/>
  <c r="B23" i="42"/>
  <c r="H22" i="42"/>
  <c r="F22" i="42"/>
  <c r="E22" i="42"/>
  <c r="D22" i="42"/>
  <c r="C22" i="42"/>
  <c r="B22" i="42"/>
  <c r="D1" i="42"/>
  <c r="C1" i="42"/>
  <c r="B1" i="42"/>
  <c r="D1" i="39"/>
  <c r="C1" i="39"/>
  <c r="B1" i="39"/>
  <c r="F23" i="39"/>
  <c r="G23" i="39"/>
  <c r="H23" i="39"/>
  <c r="I23" i="39"/>
  <c r="J23" i="39"/>
  <c r="K23" i="39"/>
  <c r="L23" i="39"/>
  <c r="M23" i="39"/>
  <c r="N23" i="39"/>
  <c r="O23" i="39"/>
  <c r="P23" i="39"/>
  <c r="Q23" i="39"/>
  <c r="R23" i="39"/>
  <c r="S23" i="39"/>
  <c r="T23" i="39"/>
  <c r="U23" i="39"/>
  <c r="V23" i="39"/>
  <c r="W23" i="39"/>
  <c r="X23" i="39"/>
  <c r="Y23" i="39"/>
  <c r="Z23" i="39"/>
  <c r="AA23" i="39"/>
  <c r="AB23" i="39"/>
  <c r="AC23" i="39"/>
  <c r="AD23" i="39"/>
  <c r="AE23" i="39"/>
  <c r="AF23" i="39"/>
  <c r="AG23" i="39"/>
  <c r="AH23" i="39"/>
  <c r="AI23" i="39"/>
  <c r="AJ23" i="39"/>
  <c r="AK23" i="39"/>
  <c r="AL23" i="39"/>
  <c r="F24" i="39"/>
  <c r="G24" i="39"/>
  <c r="H24" i="39"/>
  <c r="I24" i="39"/>
  <c r="J24" i="39"/>
  <c r="K24" i="39"/>
  <c r="L24" i="39"/>
  <c r="M24" i="39"/>
  <c r="N24" i="39"/>
  <c r="O24" i="39"/>
  <c r="P24" i="39"/>
  <c r="Q24" i="39"/>
  <c r="R24" i="39"/>
  <c r="S24" i="39"/>
  <c r="T24" i="39"/>
  <c r="U24" i="39"/>
  <c r="V24" i="39"/>
  <c r="W24" i="39"/>
  <c r="X24" i="39"/>
  <c r="Y24" i="39"/>
  <c r="Z24" i="39"/>
  <c r="AA24" i="39"/>
  <c r="AB24" i="39"/>
  <c r="AC24" i="39"/>
  <c r="AD24" i="39"/>
  <c r="AE24" i="39"/>
  <c r="AF24" i="39"/>
  <c r="AG24" i="39"/>
  <c r="AH24" i="39"/>
  <c r="AI24" i="39"/>
  <c r="AJ24" i="39"/>
  <c r="AK24" i="39"/>
  <c r="AL24" i="39"/>
  <c r="F25" i="39"/>
  <c r="G25" i="39"/>
  <c r="H25" i="39"/>
  <c r="I25" i="39"/>
  <c r="J25" i="39"/>
  <c r="K25" i="39"/>
  <c r="L25" i="39"/>
  <c r="M25" i="39"/>
  <c r="N25" i="39"/>
  <c r="O25" i="39"/>
  <c r="P25" i="39"/>
  <c r="Q25" i="39"/>
  <c r="R25" i="39"/>
  <c r="S25" i="39"/>
  <c r="T25" i="39"/>
  <c r="U25" i="39"/>
  <c r="V25" i="39"/>
  <c r="W25" i="39"/>
  <c r="X25" i="39"/>
  <c r="Y25" i="39"/>
  <c r="Z25" i="39"/>
  <c r="AA25" i="39"/>
  <c r="AB25" i="39"/>
  <c r="AC25" i="39"/>
  <c r="AD25" i="39"/>
  <c r="AE25" i="39"/>
  <c r="AF25" i="39"/>
  <c r="AG25" i="39"/>
  <c r="AH25" i="39"/>
  <c r="AI25" i="39"/>
  <c r="AJ25" i="39"/>
  <c r="AK25" i="39"/>
  <c r="AL25" i="39"/>
  <c r="F26" i="39"/>
  <c r="G26" i="39"/>
  <c r="H26" i="39"/>
  <c r="I26" i="39"/>
  <c r="J26" i="39"/>
  <c r="K26" i="39"/>
  <c r="L26" i="39"/>
  <c r="M26" i="39"/>
  <c r="N26" i="39"/>
  <c r="O26" i="39"/>
  <c r="P26" i="39"/>
  <c r="Q26" i="39"/>
  <c r="R26" i="39"/>
  <c r="S26" i="39"/>
  <c r="T26" i="39"/>
  <c r="U26" i="39"/>
  <c r="V26" i="39"/>
  <c r="W26" i="39"/>
  <c r="X26" i="39"/>
  <c r="Y26" i="39"/>
  <c r="Z26" i="39"/>
  <c r="AA26" i="39"/>
  <c r="AB26" i="39"/>
  <c r="AC26" i="39"/>
  <c r="AD26" i="39"/>
  <c r="AE26" i="39"/>
  <c r="AF26" i="39"/>
  <c r="AG26" i="39"/>
  <c r="AH26" i="39"/>
  <c r="AI26" i="39"/>
  <c r="AJ26" i="39"/>
  <c r="AK26" i="39"/>
  <c r="AL26" i="39"/>
  <c r="F27" i="39"/>
  <c r="G27" i="39"/>
  <c r="H27" i="39"/>
  <c r="I27" i="39"/>
  <c r="J27" i="39"/>
  <c r="K27" i="39"/>
  <c r="L27" i="39"/>
  <c r="M27" i="39"/>
  <c r="N27" i="39"/>
  <c r="O27" i="39"/>
  <c r="P27" i="39"/>
  <c r="Q27" i="39"/>
  <c r="R27" i="39"/>
  <c r="S27" i="39"/>
  <c r="T27" i="39"/>
  <c r="U27" i="39"/>
  <c r="V27" i="39"/>
  <c r="W27" i="39"/>
  <c r="X27" i="39"/>
  <c r="Y27" i="39"/>
  <c r="Z27" i="39"/>
  <c r="AA27" i="39"/>
  <c r="AB27" i="39"/>
  <c r="AC27" i="39"/>
  <c r="AD27" i="39"/>
  <c r="AE27" i="39"/>
  <c r="AF27" i="39"/>
  <c r="AG27" i="39"/>
  <c r="AH27" i="39"/>
  <c r="AI27" i="39"/>
  <c r="AJ27" i="39"/>
  <c r="AK27" i="39"/>
  <c r="AL27" i="39"/>
  <c r="F28" i="39"/>
  <c r="G28" i="39"/>
  <c r="H28" i="39"/>
  <c r="I28" i="39"/>
  <c r="J28" i="39"/>
  <c r="K28" i="39"/>
  <c r="L28" i="39"/>
  <c r="M28" i="39"/>
  <c r="N28" i="39"/>
  <c r="O28" i="39"/>
  <c r="P28" i="39"/>
  <c r="Q28" i="39"/>
  <c r="R28" i="39"/>
  <c r="S28" i="39"/>
  <c r="T28" i="39"/>
  <c r="U28" i="39"/>
  <c r="V28" i="39"/>
  <c r="W28" i="39"/>
  <c r="X28" i="39"/>
  <c r="Y28" i="39"/>
  <c r="Z28" i="39"/>
  <c r="AA28" i="39"/>
  <c r="AB28" i="39"/>
  <c r="AC28" i="39"/>
  <c r="AD28" i="39"/>
  <c r="AE28" i="39"/>
  <c r="AF28" i="39"/>
  <c r="AG28" i="39"/>
  <c r="AH28" i="39"/>
  <c r="AI28" i="39"/>
  <c r="AJ28" i="39"/>
  <c r="AK28" i="39"/>
  <c r="AL28" i="39"/>
  <c r="F29" i="39"/>
  <c r="G29" i="39"/>
  <c r="H29" i="39"/>
  <c r="I29" i="39"/>
  <c r="J29" i="39"/>
  <c r="K29" i="39"/>
  <c r="L29" i="39"/>
  <c r="M29" i="39"/>
  <c r="N29" i="39"/>
  <c r="O29" i="39"/>
  <c r="P29" i="39"/>
  <c r="Q29" i="39"/>
  <c r="R29" i="39"/>
  <c r="S29" i="39"/>
  <c r="T29" i="39"/>
  <c r="U29" i="39"/>
  <c r="V29" i="39"/>
  <c r="W29" i="39"/>
  <c r="X29" i="39"/>
  <c r="Y29" i="39"/>
  <c r="Z29" i="39"/>
  <c r="AA29" i="39"/>
  <c r="AB29" i="39"/>
  <c r="AC29" i="39"/>
  <c r="AD29" i="39"/>
  <c r="AE29" i="39"/>
  <c r="AF29" i="39"/>
  <c r="AG29" i="39"/>
  <c r="AH29" i="39"/>
  <c r="AI29" i="39"/>
  <c r="AJ29" i="39"/>
  <c r="AK29" i="39"/>
  <c r="AL29" i="39"/>
  <c r="F22" i="39"/>
  <c r="G22" i="39"/>
  <c r="H22" i="39"/>
  <c r="I22" i="39"/>
  <c r="J22" i="39"/>
  <c r="K22" i="39"/>
  <c r="L22" i="39"/>
  <c r="M22" i="39"/>
  <c r="N22" i="39"/>
  <c r="O22" i="39"/>
  <c r="P22" i="39"/>
  <c r="Q22" i="39"/>
  <c r="R22" i="39"/>
  <c r="S22" i="39"/>
  <c r="T22" i="39"/>
  <c r="U22" i="39"/>
  <c r="V22" i="39"/>
  <c r="W22" i="39"/>
  <c r="X22" i="39"/>
  <c r="Y22" i="39"/>
  <c r="Z22" i="39"/>
  <c r="AA22" i="39"/>
  <c r="AB22" i="39"/>
  <c r="AC22" i="39"/>
  <c r="AD22" i="39"/>
  <c r="AE22" i="39"/>
  <c r="AF22" i="39"/>
  <c r="AG22" i="39"/>
  <c r="AH22" i="39"/>
  <c r="AI22" i="39"/>
  <c r="AJ22" i="39"/>
  <c r="AK22" i="39"/>
  <c r="AL22" i="39"/>
  <c r="E29" i="39"/>
  <c r="E28" i="39"/>
  <c r="E27" i="39"/>
  <c r="E26" i="39"/>
  <c r="E25" i="39"/>
  <c r="E24" i="39"/>
  <c r="E23" i="39"/>
  <c r="E22" i="39"/>
  <c r="AI1" i="39"/>
  <c r="AJ1" i="39"/>
  <c r="AK1" i="39"/>
  <c r="AL1" i="39"/>
  <c r="E1" i="39"/>
  <c r="F1" i="39"/>
  <c r="G1" i="39"/>
  <c r="H1" i="39"/>
  <c r="I1" i="39"/>
  <c r="J1" i="39"/>
  <c r="K1" i="39"/>
  <c r="L1" i="39"/>
  <c r="M1" i="39"/>
  <c r="N1" i="39"/>
  <c r="O1" i="39"/>
  <c r="P1" i="39"/>
  <c r="Q1" i="39"/>
  <c r="R1" i="39"/>
  <c r="S1" i="39"/>
  <c r="T1" i="39"/>
  <c r="U1" i="39"/>
  <c r="V1" i="39"/>
  <c r="W1" i="39"/>
  <c r="X1" i="39"/>
  <c r="Y1" i="39"/>
  <c r="Z1" i="39"/>
  <c r="AA1" i="39"/>
  <c r="AB1" i="39"/>
  <c r="AC1" i="39"/>
  <c r="AD1" i="39"/>
  <c r="AE1" i="39"/>
  <c r="AF1" i="39"/>
  <c r="AG1" i="39"/>
  <c r="AH1" i="39"/>
  <c r="D29" i="39"/>
  <c r="C29" i="39"/>
  <c r="B29" i="39"/>
  <c r="D28" i="39"/>
  <c r="C28" i="39"/>
  <c r="B28" i="39"/>
  <c r="D27" i="39"/>
  <c r="C27" i="39"/>
  <c r="B27" i="39"/>
  <c r="D26" i="39"/>
  <c r="C26" i="39"/>
  <c r="B26" i="39"/>
  <c r="D25" i="39"/>
  <c r="C25" i="39"/>
  <c r="B25" i="39"/>
  <c r="D24" i="39"/>
  <c r="C24" i="39"/>
  <c r="B24" i="39"/>
  <c r="D23" i="39"/>
  <c r="C23" i="39"/>
  <c r="B23" i="39"/>
  <c r="D22" i="39"/>
  <c r="C22" i="39"/>
  <c r="B22" i="39"/>
  <c r="AK2" i="36"/>
  <c r="AJ2" i="36"/>
  <c r="AI2" i="36"/>
  <c r="AH2" i="36"/>
  <c r="E1" i="38"/>
  <c r="D1" i="38"/>
  <c r="C1" i="38"/>
  <c r="B1" i="38"/>
  <c r="AH29" i="38"/>
  <c r="AG29" i="38"/>
  <c r="AF29" i="38"/>
  <c r="AE29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B29" i="38"/>
  <c r="AH28" i="38"/>
  <c r="AG28" i="38"/>
  <c r="AF28" i="38"/>
  <c r="AE28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E28" i="38"/>
  <c r="D28" i="38"/>
  <c r="C28" i="38"/>
  <c r="B28" i="38"/>
  <c r="AH27" i="38"/>
  <c r="AG27" i="38"/>
  <c r="AF27" i="38"/>
  <c r="AE27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AH26" i="38"/>
  <c r="AG26" i="38"/>
  <c r="AF26" i="38"/>
  <c r="AE26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AH25" i="38"/>
  <c r="AG25" i="38"/>
  <c r="AF25" i="38"/>
  <c r="AE25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B25" i="38"/>
  <c r="AH24" i="38"/>
  <c r="AG24" i="38"/>
  <c r="AF24" i="38"/>
  <c r="AE24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AH23" i="38"/>
  <c r="AG23" i="38"/>
  <c r="AF23" i="38"/>
  <c r="AE23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C23" i="38"/>
  <c r="B23" i="38"/>
  <c r="AH22" i="38"/>
  <c r="AG22" i="38"/>
  <c r="AF22" i="38"/>
  <c r="AE22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G22" i="38"/>
  <c r="F22" i="38"/>
  <c r="E22" i="38"/>
  <c r="D22" i="38"/>
  <c r="C22" i="38"/>
  <c r="B22" i="38"/>
  <c r="AH1" i="38"/>
  <c r="AG1" i="38"/>
  <c r="AF1" i="38"/>
  <c r="AE1" i="38"/>
  <c r="AD1" i="38"/>
  <c r="AC1" i="38"/>
  <c r="AB1" i="38"/>
  <c r="AA1" i="38"/>
  <c r="Z1" i="38"/>
  <c r="Y1" i="38"/>
  <c r="X1" i="38"/>
  <c r="W1" i="38"/>
  <c r="V1" i="38"/>
  <c r="U1" i="38"/>
  <c r="T1" i="38"/>
  <c r="S1" i="38"/>
  <c r="R1" i="38"/>
  <c r="Q1" i="38"/>
  <c r="P1" i="38"/>
  <c r="O1" i="38"/>
  <c r="N1" i="38"/>
  <c r="M1" i="38"/>
  <c r="L1" i="38"/>
  <c r="K1" i="38"/>
  <c r="J1" i="38"/>
  <c r="I1" i="38"/>
  <c r="H1" i="38"/>
  <c r="G1" i="38"/>
  <c r="F1" i="38"/>
  <c r="AN28" i="37"/>
  <c r="AM28" i="37"/>
  <c r="AL28" i="37"/>
  <c r="AK28" i="37"/>
  <c r="AJ28" i="37"/>
  <c r="AI28" i="37"/>
  <c r="AH28" i="37"/>
  <c r="AG28" i="37"/>
  <c r="AF28" i="37"/>
  <c r="AE28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AN27" i="37"/>
  <c r="AM27" i="37"/>
  <c r="AL27" i="37"/>
  <c r="AK27" i="37"/>
  <c r="AJ27" i="37"/>
  <c r="AI27" i="37"/>
  <c r="AH27" i="37"/>
  <c r="AG27" i="37"/>
  <c r="AF27" i="37"/>
  <c r="AE27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AN26" i="37"/>
  <c r="AM26" i="37"/>
  <c r="AL26" i="37"/>
  <c r="AK26" i="37"/>
  <c r="AJ26" i="37"/>
  <c r="AI26" i="37"/>
  <c r="AH26" i="37"/>
  <c r="AG26" i="37"/>
  <c r="AF26" i="37"/>
  <c r="AE26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AN25" i="37"/>
  <c r="AM25" i="37"/>
  <c r="AL25" i="37"/>
  <c r="AK25" i="37"/>
  <c r="AJ25" i="37"/>
  <c r="AI25" i="37"/>
  <c r="AH25" i="37"/>
  <c r="AG25" i="37"/>
  <c r="AF25" i="37"/>
  <c r="AE25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AN24" i="37"/>
  <c r="AM24" i="37"/>
  <c r="AL24" i="37"/>
  <c r="AK24" i="37"/>
  <c r="AJ24" i="37"/>
  <c r="AI24" i="37"/>
  <c r="AH24" i="37"/>
  <c r="AG24" i="37"/>
  <c r="AF24" i="37"/>
  <c r="AE24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AN23" i="37"/>
  <c r="AM23" i="37"/>
  <c r="AL23" i="37"/>
  <c r="AK23" i="37"/>
  <c r="AJ23" i="37"/>
  <c r="AI23" i="37"/>
  <c r="AH23" i="37"/>
  <c r="AG23" i="37"/>
  <c r="AF23" i="37"/>
  <c r="AE23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AN22" i="37"/>
  <c r="AM22" i="37"/>
  <c r="AL22" i="37"/>
  <c r="AK22" i="37"/>
  <c r="AJ22" i="37"/>
  <c r="AI22" i="37"/>
  <c r="AH22" i="37"/>
  <c r="AG22" i="37"/>
  <c r="AF22" i="37"/>
  <c r="AE22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5" i="37"/>
  <c r="B24" i="37"/>
  <c r="B23" i="37"/>
  <c r="B22" i="37"/>
  <c r="B28" i="37"/>
  <c r="B27" i="37"/>
  <c r="B26" i="37"/>
  <c r="AK1" i="37"/>
  <c r="AL1" i="37"/>
  <c r="AM1" i="37"/>
  <c r="AN1" i="37"/>
  <c r="E1" i="37"/>
  <c r="D1" i="37"/>
  <c r="C1" i="37"/>
  <c r="B1" i="37"/>
  <c r="AJ1" i="37"/>
  <c r="AI1" i="37"/>
  <c r="AH1" i="37"/>
  <c r="AG1" i="37"/>
  <c r="AF1" i="37"/>
  <c r="AE1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AG2" i="36"/>
  <c r="AF2" i="36"/>
  <c r="AE2" i="36"/>
  <c r="AD2" i="36"/>
  <c r="AC2" i="36"/>
  <c r="AB2" i="36"/>
  <c r="AA2" i="36"/>
  <c r="Z2" i="36"/>
  <c r="Y2" i="36"/>
  <c r="X2" i="36"/>
  <c r="W2" i="36"/>
  <c r="V2" i="36"/>
  <c r="U2" i="36"/>
  <c r="T2" i="36"/>
  <c r="S2" i="36"/>
  <c r="R2" i="36"/>
  <c r="Q2" i="36"/>
  <c r="AK29" i="36"/>
  <c r="AJ29" i="36"/>
  <c r="AI29" i="36"/>
  <c r="AH29" i="36"/>
  <c r="AG29" i="36"/>
  <c r="AF29" i="36"/>
  <c r="AE29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AK28" i="36"/>
  <c r="AJ28" i="36"/>
  <c r="AI28" i="36"/>
  <c r="AH28" i="36"/>
  <c r="AG28" i="36"/>
  <c r="AF28" i="36"/>
  <c r="AE28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AK27" i="36"/>
  <c r="AJ27" i="36"/>
  <c r="AI27" i="36"/>
  <c r="AH27" i="36"/>
  <c r="AG27" i="36"/>
  <c r="AF27" i="36"/>
  <c r="AE27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AK26" i="36"/>
  <c r="AJ26" i="36"/>
  <c r="AI26" i="36"/>
  <c r="AH26" i="36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AK25" i="36"/>
  <c r="AJ25" i="36"/>
  <c r="AI25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AK24" i="36"/>
  <c r="AJ24" i="36"/>
  <c r="AI24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AK23" i="36"/>
  <c r="AJ23" i="36"/>
  <c r="AI23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P2" i="36"/>
  <c r="O2" i="36"/>
  <c r="N2" i="36"/>
  <c r="M2" i="36"/>
  <c r="L2" i="36"/>
  <c r="K2" i="36"/>
  <c r="J2" i="36"/>
  <c r="I2" i="36"/>
  <c r="H2" i="36"/>
  <c r="G2" i="36"/>
  <c r="F2" i="36"/>
  <c r="E2" i="36"/>
  <c r="D2" i="36"/>
  <c r="C2" i="36"/>
  <c r="E2" i="35"/>
  <c r="D2" i="35"/>
  <c r="C2" i="35"/>
  <c r="AH29" i="35"/>
  <c r="AG29" i="35"/>
  <c r="AF29" i="35"/>
  <c r="AE29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AH28" i="35"/>
  <c r="AG28" i="35"/>
  <c r="AF28" i="35"/>
  <c r="AE28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AH27" i="35"/>
  <c r="AG27" i="35"/>
  <c r="AF27" i="35"/>
  <c r="AE27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AH26" i="35"/>
  <c r="AG26" i="35"/>
  <c r="AF26" i="35"/>
  <c r="AE26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AH25" i="35"/>
  <c r="AG25" i="35"/>
  <c r="AF25" i="35"/>
  <c r="AE25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AH24" i="35"/>
  <c r="AG24" i="35"/>
  <c r="AF24" i="35"/>
  <c r="AE24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AH23" i="35"/>
  <c r="AG23" i="35"/>
  <c r="AF23" i="35"/>
  <c r="AF30" i="35" s="1"/>
  <c r="AE23" i="35"/>
  <c r="AE30" i="35" s="1"/>
  <c r="AD23" i="35"/>
  <c r="AC23" i="35"/>
  <c r="AC30" i="35" s="1"/>
  <c r="AB23" i="35"/>
  <c r="AB30" i="35" s="1"/>
  <c r="AA23" i="35"/>
  <c r="AA30" i="35" s="1"/>
  <c r="Z23" i="35"/>
  <c r="Z30" i="35" s="1"/>
  <c r="Y23" i="35"/>
  <c r="X23" i="35"/>
  <c r="X30" i="35" s="1"/>
  <c r="W23" i="35"/>
  <c r="W30" i="35" s="1"/>
  <c r="V23" i="35"/>
  <c r="V30" i="35" s="1"/>
  <c r="U23" i="35"/>
  <c r="U30" i="35" s="1"/>
  <c r="T23" i="35"/>
  <c r="S23" i="35"/>
  <c r="R23" i="35"/>
  <c r="Q23" i="35"/>
  <c r="P23" i="35"/>
  <c r="P30" i="35" s="1"/>
  <c r="O23" i="35"/>
  <c r="O30" i="35" s="1"/>
  <c r="N23" i="35"/>
  <c r="M23" i="35"/>
  <c r="M30" i="35" s="1"/>
  <c r="L23" i="35"/>
  <c r="K23" i="35"/>
  <c r="K30" i="35" s="1"/>
  <c r="J23" i="35"/>
  <c r="I23" i="35"/>
  <c r="I30" i="35" s="1"/>
  <c r="H23" i="35"/>
  <c r="G23" i="35"/>
  <c r="G30" i="35" s="1"/>
  <c r="F23" i="35"/>
  <c r="F30" i="35" s="1"/>
  <c r="E23" i="35"/>
  <c r="E30" i="35" s="1"/>
  <c r="D23" i="35"/>
  <c r="C23" i="35"/>
  <c r="C30" i="35" s="1"/>
  <c r="AH2" i="35"/>
  <c r="AG2" i="35"/>
  <c r="AF2" i="35"/>
  <c r="AE2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AI26" i="34"/>
  <c r="AI25" i="34"/>
  <c r="AI24" i="34"/>
  <c r="AI27" i="34"/>
  <c r="AI28" i="34"/>
  <c r="AI29" i="34"/>
  <c r="AI23" i="34"/>
  <c r="AH29" i="34"/>
  <c r="AG29" i="34"/>
  <c r="AF29" i="34"/>
  <c r="AE29" i="34"/>
  <c r="AD29" i="34"/>
  <c r="AC29" i="34"/>
  <c r="AB29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AH28" i="34"/>
  <c r="AG28" i="34"/>
  <c r="AF28" i="34"/>
  <c r="AE28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AH27" i="34"/>
  <c r="AG27" i="34"/>
  <c r="AF27" i="34"/>
  <c r="AE27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AH26" i="34"/>
  <c r="AG26" i="34"/>
  <c r="AF26" i="34"/>
  <c r="AE26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AH25" i="34"/>
  <c r="AG25" i="34"/>
  <c r="AF25" i="34"/>
  <c r="AE25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AH24" i="34"/>
  <c r="AG24" i="34"/>
  <c r="AF24" i="34"/>
  <c r="AE24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AH23" i="34"/>
  <c r="AH30" i="34" s="1"/>
  <c r="AG23" i="34"/>
  <c r="AG30" i="34" s="1"/>
  <c r="AF23" i="34"/>
  <c r="AF30" i="34" s="1"/>
  <c r="AE23" i="34"/>
  <c r="AE30" i="34" s="1"/>
  <c r="AD23" i="34"/>
  <c r="AC23" i="34"/>
  <c r="AB23" i="34"/>
  <c r="AA23" i="34"/>
  <c r="AA30" i="34" s="1"/>
  <c r="Z23" i="34"/>
  <c r="Z30" i="34" s="1"/>
  <c r="Y23" i="34"/>
  <c r="Y30" i="34" s="1"/>
  <c r="X23" i="34"/>
  <c r="X30" i="34" s="1"/>
  <c r="W23" i="34"/>
  <c r="V23" i="34"/>
  <c r="U23" i="34"/>
  <c r="T23" i="34"/>
  <c r="T30" i="34" s="1"/>
  <c r="S23" i="34"/>
  <c r="S30" i="34" s="1"/>
  <c r="R23" i="34"/>
  <c r="R30" i="34" s="1"/>
  <c r="Q23" i="34"/>
  <c r="Q30" i="34" s="1"/>
  <c r="P23" i="34"/>
  <c r="P30" i="34" s="1"/>
  <c r="O23" i="34"/>
  <c r="N23" i="34"/>
  <c r="M23" i="34"/>
  <c r="L23" i="34"/>
  <c r="L30" i="34" s="1"/>
  <c r="K23" i="34"/>
  <c r="K30" i="34" s="1"/>
  <c r="J23" i="34"/>
  <c r="J30" i="34" s="1"/>
  <c r="I23" i="34"/>
  <c r="H23" i="34"/>
  <c r="G23" i="34"/>
  <c r="F23" i="34"/>
  <c r="E23" i="34"/>
  <c r="D23" i="34"/>
  <c r="C23" i="34"/>
  <c r="C30" i="34" s="1"/>
  <c r="AI2" i="34"/>
  <c r="AH2" i="34"/>
  <c r="AG2" i="34"/>
  <c r="AF2" i="34"/>
  <c r="AE2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H2" i="34"/>
  <c r="G2" i="34"/>
  <c r="F2" i="34"/>
  <c r="E2" i="34"/>
  <c r="D2" i="34"/>
  <c r="C2" i="34"/>
  <c r="AK24" i="26"/>
  <c r="AJ24" i="26"/>
  <c r="AI24" i="26"/>
  <c r="AH24" i="26"/>
  <c r="AG24" i="26"/>
  <c r="AF24" i="26"/>
  <c r="AE24" i="26"/>
  <c r="AD24" i="26"/>
  <c r="AC24" i="26"/>
  <c r="AB24" i="26"/>
  <c r="AA24" i="26"/>
  <c r="Z24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3" i="26"/>
  <c r="B22" i="26"/>
  <c r="B21" i="26"/>
  <c r="B20" i="26"/>
  <c r="AB19" i="25"/>
  <c r="AB20" i="25"/>
  <c r="AB21" i="25"/>
  <c r="AB22" i="25"/>
  <c r="B24" i="26"/>
  <c r="F1" i="26"/>
  <c r="E1" i="26"/>
  <c r="D1" i="26"/>
  <c r="C1" i="26"/>
  <c r="B1" i="26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AF22" i="25"/>
  <c r="AE22" i="25"/>
  <c r="AD22" i="25"/>
  <c r="AC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AF21" i="25"/>
  <c r="AE21" i="25"/>
  <c r="AD21" i="25"/>
  <c r="AC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AF20" i="25"/>
  <c r="AE20" i="25"/>
  <c r="AD20" i="25"/>
  <c r="AC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AF19" i="25"/>
  <c r="AE19" i="25"/>
  <c r="AD19" i="25"/>
  <c r="AC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22" i="25"/>
  <c r="B21" i="25"/>
  <c r="B20" i="25"/>
  <c r="B19" i="25"/>
  <c r="B23" i="25"/>
  <c r="AK1" i="26"/>
  <c r="AJ1" i="26"/>
  <c r="AI1" i="26"/>
  <c r="AH1" i="26"/>
  <c r="AG1" i="26"/>
  <c r="AF1" i="26"/>
  <c r="AE1" i="26"/>
  <c r="AD1" i="26"/>
  <c r="AC1" i="26"/>
  <c r="AB1" i="26"/>
  <c r="AA1" i="26"/>
  <c r="Z1" i="26"/>
  <c r="Y1" i="26"/>
  <c r="X1" i="26"/>
  <c r="W1" i="26"/>
  <c r="V1" i="26"/>
  <c r="U1" i="26"/>
  <c r="T1" i="26"/>
  <c r="S1" i="26"/>
  <c r="R1" i="26"/>
  <c r="Q1" i="26"/>
  <c r="P1" i="26"/>
  <c r="O1" i="26"/>
  <c r="N1" i="26"/>
  <c r="M1" i="26"/>
  <c r="L1" i="26"/>
  <c r="K1" i="26"/>
  <c r="J1" i="26"/>
  <c r="I1" i="26"/>
  <c r="H1" i="26"/>
  <c r="G1" i="26"/>
  <c r="AF1" i="25"/>
  <c r="AE1" i="25"/>
  <c r="AD1" i="25"/>
  <c r="AC1" i="25"/>
  <c r="AB1" i="25"/>
  <c r="AA1" i="25"/>
  <c r="Z1" i="25"/>
  <c r="Y1" i="25"/>
  <c r="X1" i="25"/>
  <c r="W1" i="25"/>
  <c r="V1" i="25"/>
  <c r="U1" i="25"/>
  <c r="T1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M1" i="22"/>
  <c r="AL1" i="22"/>
  <c r="AK1" i="22"/>
  <c r="AJ1" i="22"/>
  <c r="D1" i="22"/>
  <c r="C1" i="22"/>
  <c r="B1" i="22"/>
  <c r="AH1" i="18"/>
  <c r="AG1" i="18"/>
  <c r="AF1" i="18"/>
  <c r="B1" i="21"/>
  <c r="C1" i="21"/>
  <c r="D1" i="21"/>
  <c r="AG1" i="19"/>
  <c r="AF1" i="19"/>
  <c r="AE1" i="19"/>
  <c r="AI1" i="22"/>
  <c r="AH1" i="22"/>
  <c r="AG1" i="22"/>
  <c r="AF1" i="22"/>
  <c r="AE1" i="22"/>
  <c r="AD1" i="22"/>
  <c r="AC1" i="22"/>
  <c r="AB1" i="22"/>
  <c r="AA1" i="22"/>
  <c r="Z1" i="22"/>
  <c r="Y1" i="22"/>
  <c r="X1" i="22"/>
  <c r="W1" i="22"/>
  <c r="V1" i="22"/>
  <c r="U1" i="22"/>
  <c r="T1" i="22"/>
  <c r="S1" i="22"/>
  <c r="R1" i="22"/>
  <c r="Q1" i="22"/>
  <c r="P1" i="22"/>
  <c r="O1" i="22"/>
  <c r="N1" i="22"/>
  <c r="M1" i="22"/>
  <c r="L1" i="22"/>
  <c r="K1" i="22"/>
  <c r="J1" i="22"/>
  <c r="I1" i="22"/>
  <c r="H1" i="22"/>
  <c r="G1" i="22"/>
  <c r="F1" i="22"/>
  <c r="E1" i="22"/>
  <c r="AD1" i="19"/>
  <c r="AF1" i="21"/>
  <c r="AE1" i="21"/>
  <c r="AD1" i="21"/>
  <c r="AC1" i="21"/>
  <c r="AB1" i="21"/>
  <c r="AA1" i="21"/>
  <c r="Z1" i="21"/>
  <c r="Y1" i="21"/>
  <c r="X1" i="21"/>
  <c r="W1" i="21"/>
  <c r="V1" i="21"/>
  <c r="U1" i="21"/>
  <c r="T1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AC1" i="19"/>
  <c r="AB1" i="19"/>
  <c r="AA1" i="19"/>
  <c r="Z1" i="19"/>
  <c r="Y1" i="19"/>
  <c r="X1" i="19"/>
  <c r="W1" i="19"/>
  <c r="V1" i="19"/>
  <c r="U1" i="19"/>
  <c r="T1" i="19"/>
  <c r="S1" i="19"/>
  <c r="R1" i="19"/>
  <c r="Q1" i="19"/>
  <c r="P1" i="19"/>
  <c r="O1" i="19"/>
  <c r="N1" i="19"/>
  <c r="M1" i="19"/>
  <c r="L1" i="19"/>
  <c r="K1" i="19"/>
  <c r="J1" i="19"/>
  <c r="I1" i="19"/>
  <c r="H1" i="19"/>
  <c r="G1" i="19"/>
  <c r="F1" i="19"/>
  <c r="E1" i="19"/>
  <c r="D1" i="19"/>
  <c r="C1" i="19"/>
  <c r="B1" i="19"/>
  <c r="AF1" i="15"/>
  <c r="AE1" i="15"/>
  <c r="AE1" i="18"/>
  <c r="AD1" i="18"/>
  <c r="AC1" i="18"/>
  <c r="AB1" i="18"/>
  <c r="AA1" i="18"/>
  <c r="Z1" i="18"/>
  <c r="Y1" i="18"/>
  <c r="X1" i="18"/>
  <c r="W1" i="18"/>
  <c r="V1" i="18"/>
  <c r="U1" i="18"/>
  <c r="T1" i="18"/>
  <c r="S1" i="18"/>
  <c r="R1" i="18"/>
  <c r="Q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C1" i="18"/>
  <c r="B1" i="18"/>
  <c r="S1" i="15"/>
  <c r="R1" i="15"/>
  <c r="AG1" i="13"/>
  <c r="AF1" i="13"/>
  <c r="AE1" i="13"/>
  <c r="C1" i="17"/>
  <c r="B1" i="17"/>
  <c r="AG1" i="17"/>
  <c r="AF1" i="17"/>
  <c r="AE1" i="17"/>
  <c r="AD1" i="17"/>
  <c r="AC1" i="17"/>
  <c r="AB1" i="17"/>
  <c r="AA1" i="17"/>
  <c r="Z1" i="17"/>
  <c r="Y1" i="17"/>
  <c r="X1" i="17"/>
  <c r="W1" i="17"/>
  <c r="V1" i="17"/>
  <c r="U1" i="17"/>
  <c r="T1" i="17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AC1" i="13"/>
  <c r="AB1" i="13"/>
  <c r="AD1" i="15"/>
  <c r="AC1" i="15"/>
  <c r="AB1" i="15"/>
  <c r="AA1" i="15"/>
  <c r="Z1" i="15"/>
  <c r="Y1" i="15"/>
  <c r="X1" i="15"/>
  <c r="W1" i="15"/>
  <c r="V1" i="15"/>
  <c r="U1" i="15"/>
  <c r="T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I1" i="13"/>
  <c r="B1" i="13"/>
  <c r="B1" i="12"/>
  <c r="D1" i="13"/>
  <c r="E1" i="13"/>
  <c r="F1" i="13"/>
  <c r="G1" i="13"/>
  <c r="H1" i="13"/>
  <c r="J1" i="13"/>
  <c r="K1" i="13"/>
  <c r="L1" i="13"/>
  <c r="M1" i="13"/>
  <c r="N1" i="13"/>
  <c r="O1" i="13"/>
  <c r="P1" i="13"/>
  <c r="Q1" i="13"/>
  <c r="R1" i="13"/>
  <c r="S1" i="13"/>
  <c r="T1" i="13"/>
  <c r="U1" i="13"/>
  <c r="V1" i="13"/>
  <c r="W1" i="13"/>
  <c r="X1" i="13"/>
  <c r="Y1" i="13"/>
  <c r="Z1" i="13"/>
  <c r="AA1" i="13"/>
  <c r="C1" i="13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C1" i="11"/>
  <c r="B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AE1" i="2"/>
  <c r="AD1" i="2"/>
  <c r="AC1" i="2"/>
  <c r="AB1" i="2"/>
  <c r="AF1" i="9"/>
  <c r="AG1" i="9"/>
  <c r="AH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V30" i="34" l="1"/>
  <c r="G30" i="34"/>
  <c r="AC30" i="34"/>
  <c r="J30" i="35"/>
  <c r="I30" i="34"/>
  <c r="E30" i="34"/>
  <c r="N30" i="34"/>
  <c r="F30" i="34"/>
  <c r="R30" i="35"/>
  <c r="AG30" i="35"/>
  <c r="M30" i="34"/>
  <c r="AH30" i="35"/>
  <c r="U30" i="34"/>
  <c r="AD30" i="34"/>
  <c r="L30" i="35"/>
  <c r="T30" i="35"/>
  <c r="W30" i="34"/>
  <c r="Y30" i="35"/>
  <c r="AD30" i="35"/>
  <c r="S30" i="35"/>
  <c r="D30" i="35"/>
  <c r="O30" i="34"/>
  <c r="H30" i="35"/>
  <c r="Q30" i="35"/>
  <c r="H32" i="51"/>
  <c r="L30" i="50"/>
  <c r="Q31" i="53"/>
  <c r="G32" i="51"/>
  <c r="O30" i="46"/>
  <c r="AL30" i="48"/>
  <c r="D30" i="34"/>
  <c r="AB30" i="34"/>
  <c r="F32" i="51"/>
  <c r="I30" i="46"/>
  <c r="U30" i="46"/>
  <c r="AE30" i="46"/>
  <c r="AB32" i="51"/>
  <c r="H24" i="25"/>
  <c r="AJ30" i="48"/>
  <c r="J30" i="46"/>
  <c r="V30" i="46"/>
  <c r="AF30" i="46"/>
  <c r="O30" i="50"/>
  <c r="N30" i="46"/>
  <c r="X30" i="46"/>
  <c r="AF30" i="36"/>
  <c r="T31" i="54"/>
  <c r="E31" i="55"/>
  <c r="T31" i="55"/>
  <c r="J31" i="57"/>
  <c r="L31" i="57"/>
  <c r="N31" i="57"/>
  <c r="Q31" i="57"/>
  <c r="K30" i="46"/>
  <c r="W30" i="46"/>
  <c r="D32" i="51"/>
  <c r="I32" i="51"/>
  <c r="M30" i="50"/>
  <c r="P30" i="46"/>
  <c r="AB30" i="46"/>
  <c r="T31" i="53"/>
  <c r="I30" i="47"/>
  <c r="F30" i="47"/>
  <c r="AI30" i="42"/>
  <c r="C31" i="53"/>
  <c r="G31" i="53"/>
  <c r="E31" i="53"/>
  <c r="W31" i="53"/>
  <c r="AA31" i="53"/>
  <c r="G29" i="37"/>
  <c r="O29" i="37"/>
  <c r="AG29" i="37"/>
  <c r="S30" i="39"/>
  <c r="AC30" i="45"/>
  <c r="Y30" i="46"/>
  <c r="W30" i="48"/>
  <c r="AK30" i="48"/>
  <c r="E32" i="51"/>
  <c r="R25" i="26"/>
  <c r="L25" i="26"/>
  <c r="S30" i="44"/>
  <c r="AA30" i="44"/>
  <c r="T30" i="46"/>
  <c r="AF31" i="54"/>
  <c r="AC30" i="44"/>
  <c r="N30" i="50"/>
  <c r="S30" i="50"/>
  <c r="P30" i="50"/>
  <c r="AK30" i="49"/>
  <c r="J32" i="51"/>
  <c r="Q32" i="51"/>
  <c r="X32" i="51"/>
  <c r="AE32" i="51"/>
  <c r="Z32" i="51"/>
  <c r="P31" i="53"/>
  <c r="R31" i="53"/>
  <c r="U31" i="53"/>
  <c r="AF31" i="53"/>
  <c r="Z31" i="53"/>
  <c r="C24" i="25"/>
  <c r="K24" i="25"/>
  <c r="N30" i="35"/>
  <c r="K30" i="44"/>
  <c r="AC30" i="36"/>
  <c r="D30" i="42"/>
  <c r="Q30" i="42"/>
  <c r="Y30" i="42"/>
  <c r="T30" i="38"/>
  <c r="AE30" i="39"/>
  <c r="G30" i="39"/>
  <c r="X30" i="39"/>
  <c r="AE31" i="43"/>
  <c r="P31" i="43"/>
  <c r="AA24" i="25"/>
  <c r="Q30" i="36"/>
  <c r="K31" i="53"/>
  <c r="G30" i="46"/>
  <c r="Q30" i="46"/>
  <c r="AC30" i="46"/>
  <c r="G30" i="48"/>
  <c r="H30" i="48"/>
  <c r="I30" i="48"/>
  <c r="J30" i="48"/>
  <c r="N30" i="48"/>
  <c r="O30" i="48"/>
  <c r="P30" i="48"/>
  <c r="Q30" i="48"/>
  <c r="U30" i="48"/>
  <c r="V30" i="48"/>
  <c r="X30" i="48"/>
  <c r="Y30" i="48"/>
  <c r="T30" i="48"/>
  <c r="AB30" i="48"/>
  <c r="AC30" i="48"/>
  <c r="AD30" i="48"/>
  <c r="AE30" i="48"/>
  <c r="AF30" i="48"/>
  <c r="AI30" i="48"/>
  <c r="L30" i="49"/>
  <c r="M30" i="49"/>
  <c r="N30" i="49"/>
  <c r="O30" i="49"/>
  <c r="I30" i="49"/>
  <c r="K30" i="49"/>
  <c r="T30" i="49"/>
  <c r="V30" i="49"/>
  <c r="Z30" i="49"/>
  <c r="AA30" i="49"/>
  <c r="AB30" i="49"/>
  <c r="AC30" i="49"/>
  <c r="AG30" i="49"/>
  <c r="AH30" i="49"/>
  <c r="AI30" i="49"/>
  <c r="AJ30" i="49"/>
  <c r="B30" i="49"/>
  <c r="D30" i="49"/>
  <c r="C30" i="50"/>
  <c r="J30" i="50"/>
  <c r="X30" i="50"/>
  <c r="AE30" i="50"/>
  <c r="E30" i="50"/>
  <c r="H30" i="50"/>
  <c r="F30" i="50"/>
  <c r="D30" i="50"/>
  <c r="G30" i="50"/>
  <c r="K30" i="50"/>
  <c r="V30" i="50"/>
  <c r="T30" i="50"/>
  <c r="Z30" i="50"/>
  <c r="AC30" i="50"/>
  <c r="AA30" i="50"/>
  <c r="Y30" i="50"/>
  <c r="Q30" i="50"/>
  <c r="AL30" i="49"/>
  <c r="K32" i="51"/>
  <c r="L32" i="51"/>
  <c r="M32" i="51"/>
  <c r="O32" i="51"/>
  <c r="P32" i="51"/>
  <c r="R32" i="51"/>
  <c r="S32" i="51"/>
  <c r="U32" i="51"/>
  <c r="V32" i="51"/>
  <c r="W32" i="51"/>
  <c r="Y32" i="51"/>
  <c r="AA32" i="51"/>
  <c r="AC32" i="51"/>
  <c r="AF32" i="51"/>
  <c r="AI32" i="51"/>
  <c r="X24" i="25"/>
  <c r="G25" i="26"/>
  <c r="D25" i="26"/>
  <c r="T25" i="26"/>
  <c r="AJ25" i="26"/>
  <c r="Q25" i="26"/>
  <c r="V25" i="26"/>
  <c r="K25" i="26"/>
  <c r="S25" i="26"/>
  <c r="U30" i="47"/>
  <c r="AG30" i="47"/>
  <c r="B31" i="54"/>
  <c r="AJ29" i="37"/>
  <c r="AE30" i="38"/>
  <c r="V30" i="38"/>
  <c r="Q30" i="44"/>
  <c r="E30" i="44"/>
  <c r="M30" i="44"/>
  <c r="X30" i="44"/>
  <c r="B30" i="44"/>
  <c r="R30" i="44"/>
  <c r="AA30" i="45"/>
  <c r="R30" i="45"/>
  <c r="Z30" i="45"/>
  <c r="AB31" i="54"/>
  <c r="AD24" i="25"/>
  <c r="D31" i="53"/>
  <c r="J31" i="53"/>
  <c r="B24" i="25"/>
  <c r="P24" i="25"/>
  <c r="D30" i="36"/>
  <c r="L30" i="36"/>
  <c r="T30" i="36"/>
  <c r="AB30" i="36"/>
  <c r="AJ30" i="36"/>
  <c r="I30" i="38"/>
  <c r="Q30" i="38"/>
  <c r="Y30" i="38"/>
  <c r="AG30" i="38"/>
  <c r="Z30" i="44"/>
  <c r="G30" i="45"/>
  <c r="O30" i="45"/>
  <c r="W30" i="45"/>
  <c r="G30" i="47"/>
  <c r="B30" i="47"/>
  <c r="P30" i="47"/>
  <c r="W30" i="47"/>
  <c r="AD30" i="47"/>
  <c r="C31" i="55"/>
  <c r="B31" i="55"/>
  <c r="D31" i="55"/>
  <c r="F31" i="55"/>
  <c r="G31" i="55"/>
  <c r="H31" i="55"/>
  <c r="I31" i="55"/>
  <c r="J31" i="55"/>
  <c r="K31" i="55"/>
  <c r="L31" i="55"/>
  <c r="M31" i="55"/>
  <c r="N31" i="55"/>
  <c r="O31" i="55"/>
  <c r="P31" i="55"/>
  <c r="Q31" i="55"/>
  <c r="R31" i="55"/>
  <c r="S31" i="55"/>
  <c r="U31" i="55"/>
  <c r="V31" i="55"/>
  <c r="W31" i="55"/>
  <c r="X31" i="55"/>
  <c r="Y31" i="55"/>
  <c r="Z31" i="55"/>
  <c r="AA31" i="55"/>
  <c r="AB31" i="55"/>
  <c r="AC31" i="55"/>
  <c r="AD31" i="55"/>
  <c r="AE31" i="55"/>
  <c r="AF31" i="55"/>
  <c r="AG31" i="55"/>
  <c r="AH31" i="55"/>
  <c r="C31" i="57"/>
  <c r="B31" i="57"/>
  <c r="D31" i="57"/>
  <c r="F31" i="57"/>
  <c r="I31" i="57"/>
  <c r="G31" i="57"/>
  <c r="E31" i="57"/>
  <c r="H31" i="57"/>
  <c r="K31" i="57"/>
  <c r="M31" i="57"/>
  <c r="P31" i="57"/>
  <c r="R31" i="57"/>
  <c r="T31" i="57"/>
  <c r="U31" i="57"/>
  <c r="V31" i="57"/>
  <c r="W31" i="57"/>
  <c r="X31" i="57"/>
  <c r="Y31" i="57"/>
  <c r="AA31" i="57"/>
  <c r="AB31" i="57"/>
  <c r="AC31" i="57"/>
  <c r="I24" i="25"/>
  <c r="Y24" i="25"/>
  <c r="I25" i="26"/>
  <c r="Y25" i="26"/>
  <c r="AG25" i="26"/>
  <c r="E30" i="36"/>
  <c r="M30" i="36"/>
  <c r="U30" i="36"/>
  <c r="AK30" i="36"/>
  <c r="E29" i="37"/>
  <c r="M29" i="37"/>
  <c r="U29" i="37"/>
  <c r="AC29" i="37"/>
  <c r="AK29" i="37"/>
  <c r="C30" i="44"/>
  <c r="H30" i="45"/>
  <c r="P30" i="45"/>
  <c r="X30" i="45"/>
  <c r="AF30" i="45"/>
  <c r="R24" i="25"/>
  <c r="AI30" i="39"/>
  <c r="AA30" i="39"/>
  <c r="K30" i="39"/>
  <c r="L30" i="42"/>
  <c r="T30" i="42"/>
  <c r="AC30" i="42"/>
  <c r="Z30" i="39"/>
  <c r="D24" i="25"/>
  <c r="T24" i="25"/>
  <c r="H30" i="36"/>
  <c r="P30" i="36"/>
  <c r="X30" i="36"/>
  <c r="H31" i="43"/>
  <c r="X31" i="43"/>
  <c r="AF31" i="43"/>
  <c r="I31" i="43"/>
  <c r="Q31" i="43"/>
  <c r="Y31" i="43"/>
  <c r="F30" i="44"/>
  <c r="N30" i="44"/>
  <c r="V30" i="44"/>
  <c r="S30" i="45"/>
  <c r="E30" i="46"/>
  <c r="S30" i="46"/>
  <c r="Z30" i="46"/>
  <c r="AG30" i="46"/>
  <c r="P30" i="49"/>
  <c r="S30" i="49"/>
  <c r="E24" i="25"/>
  <c r="M24" i="25"/>
  <c r="U24" i="25"/>
  <c r="AC25" i="26"/>
  <c r="AK25" i="26"/>
  <c r="I29" i="37"/>
  <c r="Q29" i="37"/>
  <c r="F24" i="25"/>
  <c r="N24" i="25"/>
  <c r="V24" i="25"/>
  <c r="AE24" i="25"/>
  <c r="F25" i="26"/>
  <c r="N25" i="26"/>
  <c r="AD25" i="26"/>
  <c r="J29" i="37"/>
  <c r="R29" i="37"/>
  <c r="Z29" i="37"/>
  <c r="AH29" i="37"/>
  <c r="G30" i="38"/>
  <c r="AG30" i="42"/>
  <c r="I30" i="36"/>
  <c r="Y30" i="36"/>
  <c r="F30" i="36"/>
  <c r="N30" i="36"/>
  <c r="AD30" i="36"/>
  <c r="S30" i="36"/>
  <c r="AA30" i="36"/>
  <c r="AI30" i="36"/>
  <c r="O30" i="38"/>
  <c r="W30" i="38"/>
  <c r="F30" i="38"/>
  <c r="N30" i="38"/>
  <c r="E30" i="38"/>
  <c r="B30" i="38"/>
  <c r="AG32" i="51"/>
  <c r="AH32" i="51"/>
  <c r="AD32" i="51"/>
  <c r="B31" i="53"/>
  <c r="H31" i="53"/>
  <c r="F31" i="53"/>
  <c r="I31" i="53"/>
  <c r="L31" i="53"/>
  <c r="M31" i="53"/>
  <c r="N31" i="53"/>
  <c r="O31" i="53"/>
  <c r="X31" i="53"/>
  <c r="Y31" i="53"/>
  <c r="S31" i="53"/>
  <c r="AB31" i="53"/>
  <c r="AC31" i="53"/>
  <c r="AD31" i="53"/>
  <c r="AE31" i="53"/>
  <c r="V31" i="53"/>
  <c r="G24" i="25"/>
  <c r="W24" i="25"/>
  <c r="AF24" i="25"/>
  <c r="B25" i="26"/>
  <c r="J30" i="36"/>
  <c r="R30" i="36"/>
  <c r="Z30" i="36"/>
  <c r="AH30" i="36"/>
  <c r="G30" i="36"/>
  <c r="O30" i="36"/>
  <c r="W30" i="36"/>
  <c r="AE30" i="36"/>
  <c r="AG30" i="36"/>
  <c r="V30" i="36"/>
  <c r="C30" i="36"/>
  <c r="K30" i="36"/>
  <c r="W29" i="37"/>
  <c r="AE29" i="37"/>
  <c r="AM29" i="37"/>
  <c r="Y29" i="37"/>
  <c r="S29" i="37"/>
  <c r="Y30" i="44"/>
  <c r="U30" i="42"/>
  <c r="F30" i="45"/>
  <c r="N30" i="45"/>
  <c r="V30" i="45"/>
  <c r="AD30" i="45"/>
  <c r="E30" i="45"/>
  <c r="M30" i="45"/>
  <c r="U30" i="45"/>
  <c r="L30" i="45"/>
  <c r="T30" i="45"/>
  <c r="AB30" i="45"/>
  <c r="D30" i="46"/>
  <c r="M30" i="47"/>
  <c r="AF30" i="47"/>
  <c r="S31" i="54"/>
  <c r="S31" i="57"/>
  <c r="AD31" i="57"/>
  <c r="AE31" i="57"/>
  <c r="AF31" i="57"/>
  <c r="Z31" i="57"/>
  <c r="O31" i="57"/>
  <c r="C30" i="39"/>
  <c r="E30" i="39"/>
  <c r="T30" i="39"/>
  <c r="AL30" i="39"/>
  <c r="AF30" i="39"/>
  <c r="P30" i="39"/>
  <c r="H30" i="39"/>
  <c r="AG30" i="39"/>
  <c r="Y30" i="39"/>
  <c r="Q30" i="39"/>
  <c r="I30" i="39"/>
  <c r="AH30" i="39"/>
  <c r="R30" i="39"/>
  <c r="J30" i="39"/>
  <c r="G30" i="44"/>
  <c r="O30" i="44"/>
  <c r="W30" i="44"/>
  <c r="D30" i="44"/>
  <c r="P30" i="44"/>
  <c r="AB30" i="44"/>
  <c r="H30" i="44"/>
  <c r="L30" i="44"/>
  <c r="T30" i="44"/>
  <c r="AE30" i="45"/>
  <c r="D30" i="45"/>
  <c r="Y30" i="45"/>
  <c r="B30" i="46"/>
  <c r="C30" i="46"/>
  <c r="H30" i="46"/>
  <c r="R30" i="46"/>
  <c r="AD30" i="46"/>
  <c r="F30" i="46"/>
  <c r="L30" i="46"/>
  <c r="AA30" i="46"/>
  <c r="AH30" i="46"/>
  <c r="AH30" i="38"/>
  <c r="E30" i="42"/>
  <c r="H30" i="42"/>
  <c r="J30" i="42"/>
  <c r="R30" i="42"/>
  <c r="Z30" i="42"/>
  <c r="I30" i="42"/>
  <c r="S30" i="42"/>
  <c r="AF30" i="42"/>
  <c r="I31" i="54"/>
  <c r="C31" i="54"/>
  <c r="D31" i="54"/>
  <c r="E31" i="54"/>
  <c r="F31" i="54"/>
  <c r="G31" i="54"/>
  <c r="H31" i="54"/>
  <c r="P31" i="54"/>
  <c r="J31" i="54"/>
  <c r="K31" i="54"/>
  <c r="L31" i="54"/>
  <c r="M31" i="54"/>
  <c r="N31" i="54"/>
  <c r="O31" i="54"/>
  <c r="R31" i="54"/>
  <c r="W31" i="54"/>
  <c r="U31" i="54"/>
  <c r="Q31" i="54"/>
  <c r="V31" i="54"/>
  <c r="AD31" i="54"/>
  <c r="X31" i="54"/>
  <c r="Y31" i="54"/>
  <c r="Z31" i="54"/>
  <c r="AA31" i="54"/>
  <c r="AC31" i="54"/>
  <c r="AE31" i="54"/>
  <c r="J25" i="26"/>
  <c r="AH25" i="26"/>
  <c r="O25" i="26"/>
  <c r="W25" i="26"/>
  <c r="AE25" i="26"/>
  <c r="C29" i="37"/>
  <c r="K29" i="37"/>
  <c r="AA29" i="37"/>
  <c r="AI29" i="37"/>
  <c r="J31" i="43"/>
  <c r="R31" i="43"/>
  <c r="K31" i="43"/>
  <c r="D31" i="43"/>
  <c r="L31" i="43"/>
  <c r="AC31" i="43"/>
  <c r="F31" i="43"/>
  <c r="G31" i="43"/>
  <c r="J30" i="44"/>
  <c r="U30" i="44"/>
  <c r="I30" i="45"/>
  <c r="E30" i="47"/>
  <c r="O30" i="47"/>
  <c r="V30" i="47"/>
  <c r="T30" i="47"/>
  <c r="U30" i="49"/>
  <c r="Y30" i="49"/>
  <c r="F30" i="49"/>
  <c r="C30" i="49"/>
  <c r="E30" i="49"/>
  <c r="B30" i="50"/>
  <c r="I30" i="50"/>
  <c r="W30" i="50"/>
  <c r="AD30" i="50"/>
  <c r="L24" i="25"/>
  <c r="AC24" i="25"/>
  <c r="O24" i="25"/>
  <c r="J24" i="25"/>
  <c r="AB24" i="25"/>
  <c r="C25" i="26"/>
  <c r="AA25" i="26"/>
  <c r="AI25" i="26"/>
  <c r="H25" i="26"/>
  <c r="P25" i="26"/>
  <c r="X25" i="26"/>
  <c r="AF25" i="26"/>
  <c r="E25" i="26"/>
  <c r="M25" i="26"/>
  <c r="U25" i="26"/>
  <c r="Z25" i="26"/>
  <c r="D29" i="37"/>
  <c r="L29" i="37"/>
  <c r="T29" i="37"/>
  <c r="AB29" i="37"/>
  <c r="F29" i="37"/>
  <c r="N29" i="37"/>
  <c r="V29" i="37"/>
  <c r="AD29" i="37"/>
  <c r="AL29" i="37"/>
  <c r="H29" i="37"/>
  <c r="P29" i="37"/>
  <c r="X29" i="37"/>
  <c r="AF29" i="37"/>
  <c r="AN29" i="37"/>
  <c r="H30" i="47"/>
  <c r="C30" i="47"/>
  <c r="J30" i="47"/>
  <c r="Q30" i="47"/>
  <c r="X30" i="47"/>
  <c r="AE30" i="47"/>
  <c r="AC30" i="47"/>
  <c r="C30" i="42"/>
  <c r="M30" i="42"/>
  <c r="AJ32" i="51"/>
  <c r="AL32" i="51"/>
  <c r="AM30" i="48"/>
  <c r="S24" i="25"/>
  <c r="B29" i="37"/>
  <c r="H30" i="38"/>
  <c r="P30" i="38"/>
  <c r="X30" i="38"/>
  <c r="AF30" i="38"/>
  <c r="AD30" i="38"/>
  <c r="M30" i="38"/>
  <c r="U30" i="38"/>
  <c r="AC30" i="38"/>
  <c r="F30" i="42"/>
  <c r="B31" i="43"/>
  <c r="Z31" i="43"/>
  <c r="Z24" i="25"/>
  <c r="C31" i="43"/>
  <c r="S31" i="43"/>
  <c r="AA31" i="43"/>
  <c r="C30" i="45"/>
  <c r="K30" i="45"/>
  <c r="B30" i="45"/>
  <c r="J30" i="45"/>
  <c r="AH30" i="45"/>
  <c r="Q30" i="45"/>
  <c r="AG30" i="45"/>
  <c r="M30" i="46"/>
  <c r="D30" i="47"/>
  <c r="K30" i="47"/>
  <c r="N30" i="47"/>
  <c r="L30" i="47"/>
  <c r="R30" i="47"/>
  <c r="S30" i="47"/>
  <c r="Y30" i="47"/>
  <c r="AB30" i="47"/>
  <c r="Z30" i="47"/>
  <c r="AA30" i="47"/>
  <c r="K30" i="48"/>
  <c r="R30" i="48"/>
  <c r="Q30" i="49"/>
  <c r="G30" i="49"/>
  <c r="R30" i="50"/>
  <c r="U30" i="50"/>
  <c r="AB30" i="50"/>
  <c r="AF30" i="50"/>
  <c r="B32" i="51"/>
  <c r="C32" i="51"/>
  <c r="N32" i="51"/>
  <c r="T32" i="51"/>
  <c r="K30" i="38"/>
  <c r="B30" i="39"/>
  <c r="P30" i="42"/>
  <c r="N30" i="42"/>
  <c r="V30" i="42"/>
  <c r="AD30" i="42"/>
  <c r="K30" i="42"/>
  <c r="AA30" i="42"/>
  <c r="G30" i="42"/>
  <c r="T31" i="43"/>
  <c r="AB31" i="43"/>
  <c r="AG31" i="43"/>
  <c r="E30" i="48"/>
  <c r="F30" i="48"/>
  <c r="L30" i="48"/>
  <c r="M30" i="48"/>
  <c r="S30" i="48"/>
  <c r="Z30" i="48"/>
  <c r="AA30" i="48"/>
  <c r="AH30" i="48"/>
  <c r="AG30" i="48"/>
  <c r="J30" i="49"/>
  <c r="W30" i="49"/>
  <c r="X30" i="49"/>
  <c r="AD30" i="49"/>
  <c r="AE30" i="49"/>
  <c r="AF30" i="49"/>
  <c r="H30" i="49"/>
  <c r="R30" i="49"/>
  <c r="Q24" i="25"/>
  <c r="H30" i="34"/>
  <c r="AI30" i="34"/>
  <c r="AB25" i="26"/>
  <c r="D30" i="38"/>
  <c r="L30" i="38"/>
  <c r="AB30" i="38"/>
  <c r="C30" i="38"/>
  <c r="S30" i="38"/>
  <c r="AA30" i="38"/>
  <c r="J30" i="38"/>
  <c r="R30" i="38"/>
  <c r="Z30" i="38"/>
  <c r="W30" i="39"/>
  <c r="O30" i="39"/>
  <c r="B30" i="42"/>
  <c r="AH30" i="42"/>
  <c r="O30" i="42"/>
  <c r="AE30" i="42"/>
  <c r="AB30" i="42"/>
  <c r="X30" i="42"/>
  <c r="W30" i="42"/>
  <c r="E31" i="43"/>
  <c r="M31" i="43"/>
  <c r="U31" i="43"/>
  <c r="N31" i="43"/>
  <c r="V31" i="43"/>
  <c r="O31" i="43"/>
  <c r="W31" i="43"/>
  <c r="AK32" i="51"/>
  <c r="D30" i="39"/>
  <c r="AD30" i="39"/>
  <c r="V30" i="39"/>
  <c r="N30" i="39"/>
  <c r="F30" i="39"/>
  <c r="AJ30" i="39"/>
  <c r="AB30" i="39"/>
  <c r="L30" i="39"/>
  <c r="AK30" i="39"/>
  <c r="AC30" i="39"/>
  <c r="U30" i="39"/>
  <c r="M30" i="39"/>
  <c r="AD31" i="43"/>
  <c r="I30" i="44"/>
  <c r="E31" i="58"/>
  <c r="D31" i="58"/>
  <c r="W31" i="58"/>
  <c r="AF31" i="58"/>
  <c r="M31" i="58"/>
  <c r="Y31" i="58"/>
  <c r="C31" i="58"/>
  <c r="F31" i="58"/>
  <c r="B31" i="58"/>
  <c r="AA31" i="58"/>
  <c r="S31" i="58"/>
  <c r="AA31" i="59"/>
  <c r="AB31" i="59"/>
  <c r="AC31" i="59"/>
  <c r="V31" i="59"/>
  <c r="O31" i="59"/>
  <c r="H31" i="59"/>
  <c r="P31" i="59"/>
  <c r="K31" i="59"/>
  <c r="J31" i="59"/>
  <c r="AE31" i="59"/>
  <c r="AF31" i="59"/>
  <c r="AG31" i="59"/>
  <c r="AD31" i="59"/>
  <c r="S31" i="59"/>
  <c r="W31" i="59"/>
  <c r="X31" i="59"/>
  <c r="Y31" i="59"/>
  <c r="Z31" i="59"/>
  <c r="U31" i="59"/>
  <c r="T31" i="59"/>
  <c r="R31" i="59"/>
  <c r="Q31" i="59"/>
  <c r="N31" i="59"/>
  <c r="M31" i="59"/>
  <c r="L31" i="59"/>
  <c r="I31" i="59"/>
  <c r="G31" i="59"/>
  <c r="F31" i="59"/>
  <c r="E31" i="59"/>
  <c r="AE31" i="58"/>
  <c r="T31" i="58"/>
  <c r="Q31" i="58"/>
  <c r="I31" i="58"/>
  <c r="L31" i="58"/>
  <c r="K31" i="58"/>
  <c r="J31" i="58"/>
  <c r="R31" i="58"/>
  <c r="P31" i="58"/>
  <c r="X31" i="58"/>
  <c r="Z31" i="58"/>
  <c r="AD31" i="58"/>
  <c r="V31" i="58"/>
  <c r="U31" i="58"/>
  <c r="AB31" i="58"/>
  <c r="AC31" i="58"/>
  <c r="N31" i="58"/>
  <c r="O31" i="58"/>
  <c r="G31" i="58"/>
  <c r="H31" i="58"/>
</calcChain>
</file>

<file path=xl/sharedStrings.xml><?xml version="1.0" encoding="utf-8"?>
<sst xmlns="http://schemas.openxmlformats.org/spreadsheetml/2006/main" count="25885" uniqueCount="365">
  <si>
    <t>Associates Name</t>
  </si>
  <si>
    <t>Saifullah Shaikh</t>
  </si>
  <si>
    <t>C</t>
  </si>
  <si>
    <t>WMS</t>
  </si>
  <si>
    <t>WO</t>
  </si>
  <si>
    <t>PL</t>
  </si>
  <si>
    <t>MS</t>
  </si>
  <si>
    <t>Siva Swamy Nulu</t>
  </si>
  <si>
    <t>NST3</t>
  </si>
  <si>
    <t>Rakesh R</t>
  </si>
  <si>
    <t>NST7</t>
  </si>
  <si>
    <t>WNST7</t>
  </si>
  <si>
    <t>Somshekar Dixit</t>
  </si>
  <si>
    <t>Pranay Prakash</t>
  </si>
  <si>
    <t>Ashraf U Zama</t>
  </si>
  <si>
    <t>Avdhoot Potnis</t>
  </si>
  <si>
    <t>GS</t>
  </si>
  <si>
    <t>GS1</t>
  </si>
  <si>
    <t>Vinod Reddy</t>
  </si>
  <si>
    <t>Mamali Samantray</t>
  </si>
  <si>
    <t>Ganesh Kamble</t>
  </si>
  <si>
    <t>Venkata L</t>
  </si>
  <si>
    <t>Gayathri S</t>
  </si>
  <si>
    <t>Color Legends</t>
  </si>
  <si>
    <t>General Shift</t>
  </si>
  <si>
    <t>Morning shift (F3)</t>
  </si>
  <si>
    <t>Night Shift(T3)</t>
  </si>
  <si>
    <t>Night Shift(T7)</t>
  </si>
  <si>
    <t>Weekend Morning(F1)</t>
  </si>
  <si>
    <t>Weekend General(GS)</t>
  </si>
  <si>
    <t>WGS</t>
  </si>
  <si>
    <t>Weekend Night Shift(N7)</t>
  </si>
  <si>
    <t>Planned Leave</t>
  </si>
  <si>
    <t>Unplanned Leave</t>
  </si>
  <si>
    <t>UPL</t>
  </si>
  <si>
    <t>Comp-offs</t>
  </si>
  <si>
    <t>Company Holiday</t>
  </si>
  <si>
    <t>H</t>
  </si>
  <si>
    <t>Week Off</t>
  </si>
  <si>
    <t>ASS2</t>
  </si>
  <si>
    <t>WASS2</t>
  </si>
  <si>
    <t>ASS1</t>
  </si>
  <si>
    <t>WASS1</t>
  </si>
  <si>
    <t>Sreekanth Reddy</t>
  </si>
  <si>
    <t xml:space="preserve">Kanchan </t>
  </si>
  <si>
    <t>Ashutosh</t>
  </si>
  <si>
    <t>Bisal</t>
  </si>
  <si>
    <t>Afternoon Shift(S1)</t>
  </si>
  <si>
    <t>Afternoon Shift(S2)</t>
  </si>
  <si>
    <t>Weekend Afternoon(S1)</t>
  </si>
  <si>
    <t>Weekend Afternoon(S2)</t>
  </si>
  <si>
    <t>Email ID</t>
  </si>
  <si>
    <t>59001_FS</t>
  </si>
  <si>
    <t>71496_FS</t>
  </si>
  <si>
    <t>Rakesh</t>
  </si>
  <si>
    <t>rakesh.b.r@capgemini.com</t>
  </si>
  <si>
    <t>105096_FS</t>
  </si>
  <si>
    <t>Somshekhar</t>
  </si>
  <si>
    <t>somshekhar.dixit@capgemini.com</t>
  </si>
  <si>
    <t>avdhoot.potnis@capgemini.com</t>
  </si>
  <si>
    <t>Kanchan Pathare</t>
  </si>
  <si>
    <t>kanchan-sambhaji.pathare@capgemini.com</t>
  </si>
  <si>
    <t>Venkata Lakili</t>
  </si>
  <si>
    <t>venkata.lakili@capgemini.com</t>
  </si>
  <si>
    <t>sreekanth.reddy-mungala@capgemini.com</t>
  </si>
  <si>
    <t>gayathri.h.s@capgemini.com</t>
  </si>
  <si>
    <t>Sneha</t>
  </si>
  <si>
    <t>ashutosh.a.pattnaik@capgemini.com</t>
  </si>
  <si>
    <t>Munish Kumar</t>
  </si>
  <si>
    <t>Ashutosh P</t>
  </si>
  <si>
    <t>Sneha N</t>
  </si>
  <si>
    <t>Shubham Mahajan</t>
  </si>
  <si>
    <t>Aayushi C</t>
  </si>
  <si>
    <t>Designation</t>
  </si>
  <si>
    <t>OH</t>
  </si>
  <si>
    <t>CG ID</t>
  </si>
  <si>
    <t>Associate Name</t>
  </si>
  <si>
    <t>Current Location (City)</t>
  </si>
  <si>
    <t>State</t>
  </si>
  <si>
    <t>Ashutosh Pattnaik</t>
  </si>
  <si>
    <t>Bhubaneswar</t>
  </si>
  <si>
    <t>Odisha</t>
  </si>
  <si>
    <t>Kurnool</t>
  </si>
  <si>
    <t>Andhra Pradesh</t>
  </si>
  <si>
    <t>Pune</t>
  </si>
  <si>
    <t>Maharashtra</t>
  </si>
  <si>
    <t>Tiruppur</t>
  </si>
  <si>
    <t>Tamil Nadu</t>
  </si>
  <si>
    <t>Punjab</t>
  </si>
  <si>
    <t>Visakhapatnam</t>
  </si>
  <si>
    <t>Khargone</t>
  </si>
  <si>
    <t>Madhya Pradesh</t>
  </si>
  <si>
    <t>Mumbai</t>
  </si>
  <si>
    <t>Udupi</t>
  </si>
  <si>
    <t>Karnataka</t>
  </si>
  <si>
    <t>Somshekhar Dixit</t>
  </si>
  <si>
    <t>shajahapur </t>
  </si>
  <si>
    <t>UttarPradesh</t>
  </si>
  <si>
    <t>Sneha Navade</t>
  </si>
  <si>
    <t>Parbhani</t>
  </si>
  <si>
    <t>Mon</t>
  </si>
  <si>
    <t>sneha.santoshrao-navade@capgemini.com</t>
  </si>
  <si>
    <t>munish.kumar@capgemini.com</t>
  </si>
  <si>
    <t>shubham.a.mahajan@capgemini.com</t>
  </si>
  <si>
    <t>Employee Name</t>
  </si>
  <si>
    <t>Reporting achor/base location</t>
  </si>
  <si>
    <t>Hyderabad</t>
  </si>
  <si>
    <t>Vikroli</t>
  </si>
  <si>
    <t>AS</t>
  </si>
  <si>
    <t>WAS1</t>
  </si>
  <si>
    <t>Shift</t>
  </si>
  <si>
    <t>Shift 1</t>
  </si>
  <si>
    <t>Shift 2</t>
  </si>
  <si>
    <t>Shift 3</t>
  </si>
  <si>
    <t>Morning Shift (7.00 am to 4.30 pm)</t>
  </si>
  <si>
    <t>Afternoon Shift (2.00 pm to 11.30 pm)</t>
  </si>
  <si>
    <t>General shift/GS1/Monitoring Shift (9.00 am to 6.30 pm)</t>
  </si>
  <si>
    <t>Night Shift(10.00 pm to 7.30 pm)</t>
  </si>
  <si>
    <t>Monitoring Shift(10.00 pm to 7.30 pm)</t>
  </si>
  <si>
    <t>Total Strength</t>
  </si>
  <si>
    <t>Mahesh H</t>
  </si>
  <si>
    <t>Pool 1</t>
  </si>
  <si>
    <t>Pool 2</t>
  </si>
  <si>
    <t>Pool 3</t>
  </si>
  <si>
    <t>Mahesh Halkanche</t>
  </si>
  <si>
    <t>MS Shift</t>
  </si>
  <si>
    <t>AS Shift</t>
  </si>
  <si>
    <t>NS Shift</t>
  </si>
  <si>
    <t>GS Shift</t>
  </si>
  <si>
    <t>Week/Comp Off</t>
  </si>
  <si>
    <t>Plan Leave</t>
  </si>
  <si>
    <t>Total</t>
  </si>
  <si>
    <t>Consultant</t>
  </si>
  <si>
    <t>mahesh.halkanche@capgemini.com</t>
  </si>
  <si>
    <t>Color Legend</t>
  </si>
  <si>
    <t>Morning Shift</t>
  </si>
  <si>
    <t>Afternoon Shift</t>
  </si>
  <si>
    <t>Night Shift</t>
  </si>
  <si>
    <t>Work from Office Shift</t>
  </si>
  <si>
    <t>Holiday</t>
  </si>
  <si>
    <t>Sreekrishna Kota</t>
  </si>
  <si>
    <t>Co Holiday/Op Holiday</t>
  </si>
  <si>
    <t>Chennai</t>
  </si>
  <si>
    <t>Noida</t>
  </si>
  <si>
    <t>Ludhiana</t>
  </si>
  <si>
    <t>AS1</t>
  </si>
  <si>
    <t>Global Group ID</t>
  </si>
  <si>
    <t>Local Employee ID</t>
  </si>
  <si>
    <t>Naveen Goud</t>
  </si>
  <si>
    <t>Akhila V</t>
  </si>
  <si>
    <t>Gayathri</t>
  </si>
  <si>
    <t>Naveen Kumar Goud</t>
  </si>
  <si>
    <t>Tanzil Jamadhar</t>
  </si>
  <si>
    <t>Suraj Athargade</t>
  </si>
  <si>
    <t>GG ID</t>
  </si>
  <si>
    <t>KIN ID</t>
  </si>
  <si>
    <t>Associate's Name</t>
  </si>
  <si>
    <t>Work location</t>
  </si>
  <si>
    <t>Team Name</t>
  </si>
  <si>
    <t>DDX</t>
  </si>
  <si>
    <t>Name</t>
  </si>
  <si>
    <t>Email</t>
  </si>
  <si>
    <t>Emp ID</t>
  </si>
  <si>
    <t>Project Code</t>
  </si>
  <si>
    <t>Hrs Till Today</t>
  </si>
  <si>
    <t>Lead Name</t>
  </si>
  <si>
    <t>Leads Comment</t>
  </si>
  <si>
    <t>PRAGATI ACHARYA</t>
  </si>
  <si>
    <t>pragati.acharya@capgemini.com</t>
  </si>
  <si>
    <t>DFS AMS Payments 2023_TO-73</t>
  </si>
  <si>
    <t>Rohit/Sesh</t>
  </si>
  <si>
    <t>HARISH PRALHAD  RAM  JAT</t>
  </si>
  <si>
    <t>harish.pralhad-ram-jat@capgemini.com</t>
  </si>
  <si>
    <t>Basant/Ajay</t>
  </si>
  <si>
    <t>SURAJ  DIWAKAR ATHARGADE</t>
  </si>
  <si>
    <t>suraj-diwakar.athargade@capgemini.com</t>
  </si>
  <si>
    <t>Saif/Rakesh</t>
  </si>
  <si>
    <t>AKSHAY NEWASKAR</t>
  </si>
  <si>
    <t>akshay.newaskar@capgemini.com</t>
  </si>
  <si>
    <t>MALHAR  ANAND SADHU</t>
  </si>
  <si>
    <t>malhar-anand.sadhu@capgemini.com</t>
  </si>
  <si>
    <t>SHUBHAM A MAHAJAN</t>
  </si>
  <si>
    <t>GANESH  VENKATA  SRI  SAI  ANISH PALEPU</t>
  </si>
  <si>
    <t>ganesh-venkata-sri-sai-anish.palepu@capgemini.com</t>
  </si>
  <si>
    <t>Ganesh/Rishab</t>
  </si>
  <si>
    <t>AGNEL RAJA</t>
  </si>
  <si>
    <t>agnel.raja@capgemini.com</t>
  </si>
  <si>
    <t>SWAPNALATHA TARALA</t>
  </si>
  <si>
    <t>swapnalatha.tarala@capgemini.com</t>
  </si>
  <si>
    <t>DHARMESH  CHANDULAL PATIL</t>
  </si>
  <si>
    <t>dharmesh-chandulal.patil@capgemini.com</t>
  </si>
  <si>
    <t>MAHESH HALKANCHE</t>
  </si>
  <si>
    <t>MUNISH KUMAR</t>
  </si>
  <si>
    <t>TAPAN A SWAIN</t>
  </si>
  <si>
    <t>tapan.a.swain@capgemini.com</t>
  </si>
  <si>
    <t>Faraz/Tapan</t>
  </si>
  <si>
    <t>KOMAL PAWOOLKAR</t>
  </si>
  <si>
    <t>komal.pawoolkar@capgemini.com</t>
  </si>
  <si>
    <t>Gautam/Aakash</t>
  </si>
  <si>
    <t>GOWTHAM BATHULA</t>
  </si>
  <si>
    <t>gowtham.bathula@capgemini.com</t>
  </si>
  <si>
    <t>RAKESH B R</t>
  </si>
  <si>
    <t>SAIFULLAH SHAIKH</t>
  </si>
  <si>
    <t>saifullah.shaikh@capgemini.com</t>
  </si>
  <si>
    <t>MAGHAM BHAVANA</t>
  </si>
  <si>
    <t>magham.bhavana@capgemini.com</t>
  </si>
  <si>
    <t>AJAY  KUMAR ANNAM</t>
  </si>
  <si>
    <t>ajay-kumar.annam@capgemini.com</t>
  </si>
  <si>
    <t>AVDHOOT POTNIS</t>
  </si>
  <si>
    <t>SEERAM MEGHANA</t>
  </si>
  <si>
    <t>seeram.meghana@capgemini.com</t>
  </si>
  <si>
    <t>Gautam/Akash</t>
  </si>
  <si>
    <t>GAYATHRI H S</t>
  </si>
  <si>
    <t>RISHAB SRIVASTAVA</t>
  </si>
  <si>
    <t>rishab.srivastava@capgemini.com</t>
  </si>
  <si>
    <t>JYOTI GAWADE</t>
  </si>
  <si>
    <t>jyoti.gawade@capgemini.com</t>
  </si>
  <si>
    <t>SAKSHI A RAWAT</t>
  </si>
  <si>
    <t>sakshi.a.rawat@capgemini.com</t>
  </si>
  <si>
    <t>ASHUTOSH A PATTNAIK</t>
  </si>
  <si>
    <t>SOMSHEKHAR DIXIT</t>
  </si>
  <si>
    <t>VAISHNAVI A D</t>
  </si>
  <si>
    <t>vaishnavi.a.d@capgemini.com</t>
  </si>
  <si>
    <t>ROHIT B SHINDE</t>
  </si>
  <si>
    <t>rohit.b.shinde@capgemini.com</t>
  </si>
  <si>
    <t>SNEHA SANTOSHRAO  NAVADE</t>
  </si>
  <si>
    <t>SOWMYA J  S</t>
  </si>
  <si>
    <t>sowmya.j-s@capgemini.com</t>
  </si>
  <si>
    <t>SNEHA OVHAL</t>
  </si>
  <si>
    <t>sneha.ovhal@capgemini.com</t>
  </si>
  <si>
    <t>SESHADRI  BABU BALLIPAKULA</t>
  </si>
  <si>
    <t>seshadri-babu.ballipakula@capgemini.com</t>
  </si>
  <si>
    <t>KHUSHI SINGHANIA</t>
  </si>
  <si>
    <t>khushi.singhania@capgemini.com</t>
  </si>
  <si>
    <t>HARSHIKA GADEKAR</t>
  </si>
  <si>
    <t>harshika.gadekar@capgemini.com</t>
  </si>
  <si>
    <t>SRUTHI P</t>
  </si>
  <si>
    <t>sruthi.p@capgemini.com</t>
  </si>
  <si>
    <t>PAVAN GARLAPATI</t>
  </si>
  <si>
    <t>pavan.garlapati@capgemini.com</t>
  </si>
  <si>
    <t>NITEESH ARRA</t>
  </si>
  <si>
    <t>niteesh.arra@capgemini.com</t>
  </si>
  <si>
    <t>VENKATA LAKILI</t>
  </si>
  <si>
    <t>RUTH ANGELEENA  THOODI</t>
  </si>
  <si>
    <t>ruth.angeleena-thoodi@capgemini.com</t>
  </si>
  <si>
    <t>NAMRATA KHOT</t>
  </si>
  <si>
    <t>namrata.khot@capgemini.com</t>
  </si>
  <si>
    <t>HARSHADA GAIKWAD</t>
  </si>
  <si>
    <t>harshada.gaikwad@capgemini.com</t>
  </si>
  <si>
    <t>MOUSMI  JITENDRA DAVE</t>
  </si>
  <si>
    <t>mousmi-jitendra.dave@capgemini.com</t>
  </si>
  <si>
    <t>HARPREET G SINGH</t>
  </si>
  <si>
    <t>harpreet.g.singh@capgemini.com</t>
  </si>
  <si>
    <t>SYED  MOHD ALI  FARAZ</t>
  </si>
  <si>
    <t>syed-mohd.ali-faraz@capgemini.com</t>
  </si>
  <si>
    <t>SNEHA A KATTA</t>
  </si>
  <si>
    <t>sneha.a.katta@capgemini.com</t>
  </si>
  <si>
    <t>AKHILA B V</t>
  </si>
  <si>
    <t>akhila.b.v@capgemini.com</t>
  </si>
  <si>
    <t>SANIKA  SUNIL KHAWATE</t>
  </si>
  <si>
    <t>sanika-sunil.khawate@capgemini.com</t>
  </si>
  <si>
    <t>SREEKANTH REDDY  MUNAGALA</t>
  </si>
  <si>
    <t>sreekanth.reddy-munagala@capgemini.com</t>
  </si>
  <si>
    <t>SHOYEBSHAH ASHKAN</t>
  </si>
  <si>
    <t>shoyebshah.ashkan@capgemini.com</t>
  </si>
  <si>
    <t>NAVEEN  KUMAR  GOUD ANGOL</t>
  </si>
  <si>
    <t>naveen-kumar-goud.angol@capgemini.com</t>
  </si>
  <si>
    <t>ASHISH G YADAV</t>
  </si>
  <si>
    <t>ashish.g.yadav@capgemini.com</t>
  </si>
  <si>
    <t>PRANIT  CHANDRAKANT JANVADE</t>
  </si>
  <si>
    <t>pranit-chandrakant.janvade@capgemini.com</t>
  </si>
  <si>
    <t>SRI  SAI  AKHILESWAR VEJENDLA</t>
  </si>
  <si>
    <t>sri-sai-akhileswar.vejendla@capgemini.com</t>
  </si>
  <si>
    <t>SHRADDHA  SANTOSH GAVLI</t>
  </si>
  <si>
    <t>shraddha-santosh.gavli@capgemini.com</t>
  </si>
  <si>
    <t>SNEHAL  RAJENDRA KULKARNI</t>
  </si>
  <si>
    <t>snehal-rajendra.kulkarni@capgemini.com</t>
  </si>
  <si>
    <t>TANVI AGARWAL</t>
  </si>
  <si>
    <t>tanvi.agarwal@capgemini.com</t>
  </si>
  <si>
    <t>193 hours completed this year…INC6647389 raised for same with LND team</t>
  </si>
  <si>
    <t xml:space="preserve">SRE engineer (38 hours), Monitoring and Observability for Development and DevOps (16 horus), AWS developer associate (20 hours) and Docker for developer (20 hours) training completed </t>
  </si>
  <si>
    <t>Will be completing SRE engineer (38 hours), , AWS developer associate (20 hours)</t>
  </si>
  <si>
    <r>
      <t xml:space="preserve">will be completing [NEW] Ultimate AWS Certified Cloud Practitioner CLF-C02 -14 hrs, (CLD-PE) SRE Engineer - 38 hrs, and </t>
    </r>
    <r>
      <rPr>
        <sz val="11"/>
        <color theme="1"/>
        <rFont val="Calibri"/>
        <family val="2"/>
        <scheme val="minor"/>
      </rPr>
      <t>Crash Course on Python 26 hrs</t>
    </r>
  </si>
  <si>
    <t>Completed 63.5 hours of traning wrt to Python, Java and kubernets</t>
  </si>
  <si>
    <t>SRE Engineer - 38 hrs</t>
  </si>
  <si>
    <t>AWS Certified Developer Associate - 34 hr</t>
  </si>
  <si>
    <t>will be completing 
SRE Engineer - 38 hrs
AWS Certified Developer Associate - 34 hr</t>
  </si>
  <si>
    <t>Completed 30.8 Hrs of training includes below cources-
AWS Certified Developer - Associate (DVA-C02)
(8hr 24min)
AWS Certified Cloud Practitioner (CLF-C01)
(11hr 12min)
EN - Group mandatory Compliance trainings (8hr 55min)
Cybersecurity(51min)
(1to5)Ethics@Capgemini(75min)
SOCIAL MEDIA CODE OF CONDUCT(15min)
will be completing
Docker for Developers(20hr 22min)</t>
  </si>
  <si>
    <t>Completed -45 hrs mandatory courses in mylearning and azure  includes below cources 
Github -4hrs
Docker and Kubernetes -1hr 47min
Jenkins 2hrs 25min
OpenShift- 1hr 31min
Kibana/Elastic Stack Fundamentals-10hrs
will be completing- Aws Certified solutions Architect Associate- 5hr 55min
Python- 9hrs</t>
  </si>
  <si>
    <t>Completed 32Hrs of Training includes below courses
Docker and Kubernetes - 1Hr 40Min
AWS - 1Hr 30Min
Git - 2Hrs
Atlassian Jira - 12Hrs 33Min
Google Cloud Fundamentals - 8Hr 30Min
Will be completing SRE Engineer - 38Hrs 39Min</t>
  </si>
  <si>
    <t>Compelted 43 horus of training in AWS will be completing azure and docker for remaining 17 hours</t>
  </si>
  <si>
    <t>Will be completing google cloud engineering training</t>
  </si>
  <si>
    <t xml:space="preserve">Completed 46.5 Hrs for Devops, Ansilbe, kuberentes and GCP
will be completing Linux Automation and Kubernetes Helm Charts with step-by-step practical demo -21.5 hrs
</t>
  </si>
  <si>
    <t>tanzil.jamadar@capgemini.com</t>
  </si>
  <si>
    <t>Mobile #</t>
  </si>
  <si>
    <t>Alternate Contact No.</t>
  </si>
  <si>
    <t>Associate Consultant</t>
  </si>
  <si>
    <t>Rakesh N R</t>
  </si>
  <si>
    <t>Senior Consultant</t>
  </si>
  <si>
    <t>Dipak Sonawane</t>
  </si>
  <si>
    <t>Senior Software Engineer</t>
  </si>
  <si>
    <t>Software Engineer</t>
  </si>
  <si>
    <t>Work Location</t>
  </si>
  <si>
    <t>Reports to</t>
  </si>
  <si>
    <t>CO</t>
  </si>
  <si>
    <t>weekend</t>
  </si>
  <si>
    <t>Tanzil Jamadar</t>
  </si>
  <si>
    <t>sni</t>
  </si>
  <si>
    <t>Sneha Kattimani</t>
  </si>
  <si>
    <t>sneha.kattimani@capgemini.com</t>
  </si>
  <si>
    <t>MSF3</t>
  </si>
  <si>
    <t>MSF3 Shift</t>
  </si>
  <si>
    <t>Somshekar</t>
  </si>
  <si>
    <t>Hours</t>
  </si>
  <si>
    <t>Leave Balance</t>
  </si>
  <si>
    <t>Comp-off Balance</t>
  </si>
  <si>
    <t>Comp-off Pending In-liue off date</t>
  </si>
  <si>
    <t>V Akhila</t>
  </si>
  <si>
    <t>July -13,28,21</t>
  </si>
  <si>
    <t>Ashutosh pattnaik</t>
  </si>
  <si>
    <t>46207125_FS</t>
  </si>
  <si>
    <t>NA</t>
  </si>
  <si>
    <t>Jul 7,14, 20 ,27</t>
  </si>
  <si>
    <t>Jul 06th, 13th, 21st, 28th</t>
  </si>
  <si>
    <t>Jul -21 ,28</t>
  </si>
  <si>
    <t>Jul -06,27</t>
  </si>
  <si>
    <t>Mande, Vrushali</t>
  </si>
  <si>
    <t>Project Name</t>
  </si>
  <si>
    <t>Project Team</t>
  </si>
  <si>
    <t>Working location</t>
  </si>
  <si>
    <t>No# of working days</t>
  </si>
  <si>
    <t>Office Weekend Shift</t>
  </si>
  <si>
    <t>Office Weekdays Shift</t>
  </si>
  <si>
    <t>Privilege Leave</t>
  </si>
  <si>
    <t>Weekend WFH Count</t>
  </si>
  <si>
    <t>Weekdays WFH Count</t>
  </si>
  <si>
    <t>Comp-offs/Weekoff</t>
  </si>
  <si>
    <t>Non-Compliance Mail Received</t>
  </si>
  <si>
    <t>Total days</t>
  </si>
  <si>
    <t>(AS/MS)</t>
  </si>
  <si>
    <t>(MS/AS)</t>
  </si>
  <si>
    <t>(Yes/No)</t>
  </si>
  <si>
    <t>DFS AMS Payments 2024(101047595)</t>
  </si>
  <si>
    <t>Yes</t>
  </si>
  <si>
    <t>Mande,Vrushali</t>
  </si>
  <si>
    <t>vrushali-vilas.mande@capgemini.com</t>
  </si>
  <si>
    <t>NS count</t>
  </si>
  <si>
    <t>Chandabony Roy</t>
  </si>
  <si>
    <t>Soumya Satpathy</t>
  </si>
  <si>
    <t>Sai Priya</t>
  </si>
  <si>
    <t>RRT Managers</t>
  </si>
  <si>
    <t>Aniket Gaikwad</t>
  </si>
  <si>
    <t>Chhandabani Roy</t>
  </si>
  <si>
    <t>In the Oct month</t>
  </si>
  <si>
    <t>In the Nov month</t>
  </si>
  <si>
    <t>NS</t>
  </si>
  <si>
    <t>Kolkatta</t>
  </si>
  <si>
    <t>chhandabani.roy@capgemini.com</t>
  </si>
  <si>
    <t>Kolkata</t>
  </si>
  <si>
    <t>Shaik Saifullah</t>
  </si>
  <si>
    <t>soumya-ranjan.satpathy@capgemini.com</t>
  </si>
  <si>
    <t>Bhubaneshwar</t>
  </si>
  <si>
    <t>aniket.gaikwad@capgemini.com</t>
  </si>
  <si>
    <t>koyyana-sai.priya@capgemini.com</t>
  </si>
  <si>
    <t>Vrushali 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</si>
</sst>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61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4" tint="0.79998168889431442"/>
      <name val="Calibri"/>
      <family val="2"/>
    </font>
    <font>
      <sz val="11"/>
      <color theme="5" tint="0.79998168889431442"/>
      <name val="Calibri"/>
      <family val="2"/>
    </font>
    <font>
      <sz val="11"/>
      <color rgb="FF9C0006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Times New Roman"/>
      <family val="1"/>
    </font>
    <font>
      <sz val="11"/>
      <color rgb="FF1F497D"/>
      <name val="Times New Roman"/>
      <family val="1"/>
    </font>
    <font>
      <sz val="8"/>
      <name val="Calibri"/>
      <family val="2"/>
      <scheme val="minor"/>
    </font>
    <font>
      <b/>
      <sz val="11"/>
      <color rgb="FF006100"/>
      <name val="Calibri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u/>
      <sz val="11"/>
      <color rgb="FF1E53A3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46D0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C0C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81">
    <xf numFmtId="0" fontId="0" fillId="0" borderId="0" xfId="0"/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3" fillId="0" borderId="1" xfId="0" applyFont="1" applyBorder="1"/>
    <xf numFmtId="0" fontId="8" fillId="1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" fontId="5" fillId="2" borderId="1" xfId="0" applyNumberFormat="1" applyFont="1" applyFill="1" applyBorder="1" applyAlignment="1">
      <alignment horizontal="right"/>
    </xf>
    <xf numFmtId="0" fontId="6" fillId="3" borderId="1" xfId="0" applyFont="1" applyFill="1" applyBorder="1"/>
    <xf numFmtId="0" fontId="6" fillId="3" borderId="2" xfId="0" applyFont="1" applyFill="1" applyBorder="1"/>
    <xf numFmtId="0" fontId="6" fillId="3" borderId="6" xfId="0" applyFont="1" applyFill="1" applyBorder="1"/>
    <xf numFmtId="0" fontId="6" fillId="3" borderId="7" xfId="0" applyFont="1" applyFill="1" applyBorder="1"/>
    <xf numFmtId="0" fontId="6" fillId="3" borderId="5" xfId="0" applyFont="1" applyFill="1" applyBorder="1"/>
    <xf numFmtId="0" fontId="1" fillId="5" borderId="5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13" borderId="6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16" fontId="5" fillId="2" borderId="2" xfId="0" applyNumberFormat="1" applyFont="1" applyFill="1" applyBorder="1" applyAlignment="1">
      <alignment horizontal="right"/>
    </xf>
    <xf numFmtId="0" fontId="1" fillId="5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6" fontId="5" fillId="2" borderId="5" xfId="0" applyNumberFormat="1" applyFont="1" applyFill="1" applyBorder="1" applyAlignment="1">
      <alignment horizontal="right"/>
    </xf>
    <xf numFmtId="0" fontId="0" fillId="10" borderId="5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16" fontId="5" fillId="2" borderId="6" xfId="0" applyNumberFormat="1" applyFont="1" applyFill="1" applyBorder="1" applyAlignment="1">
      <alignment horizontal="right"/>
    </xf>
    <xf numFmtId="16" fontId="5" fillId="2" borderId="7" xfId="0" applyNumberFormat="1" applyFont="1" applyFill="1" applyBorder="1" applyAlignment="1">
      <alignment horizontal="right"/>
    </xf>
    <xf numFmtId="0" fontId="1" fillId="5" borderId="7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8" fillId="7" borderId="7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/>
    </xf>
    <xf numFmtId="0" fontId="7" fillId="4" borderId="2" xfId="0" applyFont="1" applyFill="1" applyBorder="1"/>
    <xf numFmtId="0" fontId="6" fillId="8" borderId="1" xfId="0" applyFont="1" applyFill="1" applyBorder="1" applyAlignment="1">
      <alignment horizontal="center"/>
    </xf>
    <xf numFmtId="0" fontId="7" fillId="4" borderId="10" xfId="0" applyFont="1" applyFill="1" applyBorder="1"/>
    <xf numFmtId="0" fontId="3" fillId="0" borderId="0" xfId="0" applyFont="1"/>
    <xf numFmtId="0" fontId="12" fillId="18" borderId="1" xfId="0" applyFont="1" applyFill="1" applyBorder="1" applyAlignment="1">
      <alignment vertical="center" wrapText="1"/>
    </xf>
    <xf numFmtId="0" fontId="13" fillId="18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/>
    <xf numFmtId="0" fontId="13" fillId="0" borderId="1" xfId="0" applyFont="1" applyBorder="1"/>
    <xf numFmtId="0" fontId="15" fillId="18" borderId="1" xfId="0" applyFont="1" applyFill="1" applyBorder="1" applyAlignment="1">
      <alignment vertical="center" wrapText="1"/>
    </xf>
    <xf numFmtId="0" fontId="8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16" fillId="19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0" fillId="20" borderId="2" xfId="0" applyFill="1" applyBorder="1" applyAlignment="1">
      <alignment horizontal="left" vertical="top"/>
    </xf>
    <xf numFmtId="0" fontId="0" fillId="13" borderId="1" xfId="0" applyFill="1" applyBorder="1" applyAlignment="1">
      <alignment horizontal="right" vertical="top"/>
    </xf>
    <xf numFmtId="0" fontId="18" fillId="5" borderId="2" xfId="0" applyFont="1" applyFill="1" applyBorder="1" applyAlignment="1">
      <alignment horizontal="left" vertical="top"/>
    </xf>
    <xf numFmtId="0" fontId="18" fillId="5" borderId="1" xfId="0" applyFont="1" applyFill="1" applyBorder="1" applyAlignment="1">
      <alignment horizontal="right" vertical="top"/>
    </xf>
    <xf numFmtId="0" fontId="0" fillId="21" borderId="2" xfId="0" applyFill="1" applyBorder="1" applyAlignment="1">
      <alignment horizontal="left" vertical="top"/>
    </xf>
    <xf numFmtId="0" fontId="0" fillId="21" borderId="1" xfId="0" applyFill="1" applyBorder="1" applyAlignment="1">
      <alignment horizontal="right" vertical="top"/>
    </xf>
    <xf numFmtId="0" fontId="6" fillId="22" borderId="11" xfId="0" applyFont="1" applyFill="1" applyBorder="1" applyAlignment="1">
      <alignment horizontal="left" vertical="top"/>
    </xf>
    <xf numFmtId="0" fontId="6" fillId="22" borderId="1" xfId="0" applyFont="1" applyFill="1" applyBorder="1" applyAlignment="1">
      <alignment horizontal="right" vertical="top"/>
    </xf>
    <xf numFmtId="0" fontId="6" fillId="23" borderId="1" xfId="0" applyFont="1" applyFill="1" applyBorder="1" applyAlignment="1">
      <alignment horizontal="left" vertical="top"/>
    </xf>
    <xf numFmtId="0" fontId="6" fillId="23" borderId="1" xfId="0" applyFont="1" applyFill="1" applyBorder="1" applyAlignment="1">
      <alignment horizontal="right" vertical="top"/>
    </xf>
    <xf numFmtId="0" fontId="0" fillId="24" borderId="1" xfId="0" applyFill="1" applyBorder="1" applyAlignment="1">
      <alignment horizontal="left" vertical="top"/>
    </xf>
    <xf numFmtId="0" fontId="0" fillId="24" borderId="1" xfId="0" applyFill="1" applyBorder="1" applyAlignment="1">
      <alignment horizontal="right" vertical="top"/>
    </xf>
    <xf numFmtId="0" fontId="7" fillId="4" borderId="0" xfId="0" applyFont="1" applyFill="1"/>
    <xf numFmtId="0" fontId="6" fillId="19" borderId="0" xfId="0" applyFont="1" applyFill="1" applyAlignment="1">
      <alignment horizontal="center"/>
    </xf>
    <xf numFmtId="0" fontId="8" fillId="1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4" xfId="0" applyFont="1" applyFill="1" applyBorder="1"/>
    <xf numFmtId="0" fontId="20" fillId="25" borderId="15" xfId="0" applyFont="1" applyFill="1" applyBorder="1"/>
    <xf numFmtId="0" fontId="6" fillId="26" borderId="16" xfId="0" applyFont="1" applyFill="1" applyBorder="1" applyAlignment="1">
      <alignment horizontal="center"/>
    </xf>
    <xf numFmtId="0" fontId="8" fillId="25" borderId="16" xfId="0" applyFont="1" applyFill="1" applyBorder="1" applyAlignment="1">
      <alignment horizontal="center" vertical="center"/>
    </xf>
    <xf numFmtId="0" fontId="6" fillId="26" borderId="13" xfId="0" applyFont="1" applyFill="1" applyBorder="1" applyAlignment="1">
      <alignment horizontal="center"/>
    </xf>
    <xf numFmtId="0" fontId="0" fillId="28" borderId="13" xfId="0" applyFill="1" applyBorder="1" applyAlignment="1">
      <alignment horizontal="center"/>
    </xf>
    <xf numFmtId="0" fontId="8" fillId="15" borderId="16" xfId="0" applyFont="1" applyFill="1" applyBorder="1" applyAlignment="1">
      <alignment horizontal="center" vertical="center"/>
    </xf>
    <xf numFmtId="0" fontId="0" fillId="28" borderId="16" xfId="0" applyFill="1" applyBorder="1" applyAlignment="1">
      <alignment horizontal="center"/>
    </xf>
    <xf numFmtId="0" fontId="8" fillId="15" borderId="13" xfId="0" applyFont="1" applyFill="1" applyBorder="1" applyAlignment="1">
      <alignment horizontal="center" vertical="center"/>
    </xf>
    <xf numFmtId="0" fontId="20" fillId="25" borderId="17" xfId="0" applyFont="1" applyFill="1" applyBorder="1"/>
    <xf numFmtId="0" fontId="8" fillId="25" borderId="1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center"/>
    </xf>
    <xf numFmtId="0" fontId="7" fillId="25" borderId="18" xfId="0" applyFont="1" applyFill="1" applyBorder="1"/>
    <xf numFmtId="0" fontId="6" fillId="26" borderId="12" xfId="0" applyFont="1" applyFill="1" applyBorder="1" applyAlignment="1">
      <alignment horizontal="center"/>
    </xf>
    <xf numFmtId="0" fontId="8" fillId="25" borderId="12" xfId="0" applyFont="1" applyFill="1" applyBorder="1" applyAlignment="1">
      <alignment horizontal="center" vertical="center"/>
    </xf>
    <xf numFmtId="0" fontId="8" fillId="15" borderId="12" xfId="0" applyFont="1" applyFill="1" applyBorder="1" applyAlignment="1">
      <alignment horizontal="center" vertical="center"/>
    </xf>
    <xf numFmtId="0" fontId="7" fillId="25" borderId="2" xfId="0" applyFont="1" applyFill="1" applyBorder="1"/>
    <xf numFmtId="0" fontId="6" fillId="26" borderId="1" xfId="0" applyFon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6" fillId="30" borderId="1" xfId="0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2" borderId="12" xfId="0" applyFont="1" applyFill="1" applyBorder="1" applyAlignment="1">
      <alignment horizontal="center"/>
    </xf>
    <xf numFmtId="0" fontId="8" fillId="25" borderId="1" xfId="0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6" fillId="13" borderId="16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20" fillId="25" borderId="0" xfId="0" applyFont="1" applyFill="1"/>
    <xf numFmtId="0" fontId="3" fillId="8" borderId="0" xfId="0" applyFont="1" applyFill="1"/>
    <xf numFmtId="0" fontId="8" fillId="19" borderId="16" xfId="0" applyFont="1" applyFill="1" applyBorder="1" applyAlignment="1">
      <alignment horizontal="center" vertical="center"/>
    </xf>
    <xf numFmtId="0" fontId="8" fillId="19" borderId="13" xfId="0" applyFont="1" applyFill="1" applyBorder="1" applyAlignment="1">
      <alignment horizontal="center" vertical="center"/>
    </xf>
    <xf numFmtId="0" fontId="8" fillId="19" borderId="12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/>
    </xf>
    <xf numFmtId="0" fontId="1" fillId="19" borderId="12" xfId="0" applyFont="1" applyFill="1" applyBorder="1" applyAlignment="1">
      <alignment horizontal="center"/>
    </xf>
    <xf numFmtId="0" fontId="1" fillId="19" borderId="13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20" fillId="25" borderId="3" xfId="0" applyFont="1" applyFill="1" applyBorder="1"/>
    <xf numFmtId="0" fontId="20" fillId="25" borderId="8" xfId="0" applyFont="1" applyFill="1" applyBorder="1"/>
    <xf numFmtId="0" fontId="6" fillId="13" borderId="13" xfId="0" applyFont="1" applyFill="1" applyBorder="1" applyAlignment="1">
      <alignment horizontal="center"/>
    </xf>
    <xf numFmtId="0" fontId="7" fillId="25" borderId="12" xfId="0" applyFont="1" applyFill="1" applyBorder="1"/>
    <xf numFmtId="0" fontId="7" fillId="25" borderId="1" xfId="0" applyFont="1" applyFill="1" applyBorder="1"/>
    <xf numFmtId="0" fontId="0" fillId="0" borderId="14" xfId="0" applyBorder="1"/>
    <xf numFmtId="0" fontId="1" fillId="19" borderId="16" xfId="0" applyFont="1" applyFill="1" applyBorder="1" applyAlignment="1">
      <alignment horizontal="center"/>
    </xf>
    <xf numFmtId="0" fontId="6" fillId="13" borderId="12" xfId="0" applyFont="1" applyFill="1" applyBorder="1" applyAlignment="1">
      <alignment horizontal="center"/>
    </xf>
    <xf numFmtId="0" fontId="8" fillId="27" borderId="16" xfId="0" applyFont="1" applyFill="1" applyBorder="1" applyAlignment="1">
      <alignment horizontal="center" vertical="center"/>
    </xf>
    <xf numFmtId="0" fontId="0" fillId="31" borderId="0" xfId="0" applyFill="1"/>
    <xf numFmtId="0" fontId="0" fillId="29" borderId="13" xfId="0" applyFill="1" applyBorder="1" applyAlignment="1">
      <alignment horizontal="center"/>
    </xf>
    <xf numFmtId="0" fontId="6" fillId="3" borderId="19" xfId="0" applyFont="1" applyFill="1" applyBorder="1"/>
    <xf numFmtId="0" fontId="6" fillId="30" borderId="16" xfId="0" applyFont="1" applyFill="1" applyBorder="1" applyAlignment="1">
      <alignment horizontal="center"/>
    </xf>
    <xf numFmtId="0" fontId="6" fillId="26" borderId="4" xfId="0" applyFont="1" applyFill="1" applyBorder="1" applyAlignment="1">
      <alignment horizontal="center"/>
    </xf>
    <xf numFmtId="0" fontId="8" fillId="15" borderId="21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/>
    </xf>
    <xf numFmtId="0" fontId="1" fillId="12" borderId="20" xfId="0" applyFont="1" applyFill="1" applyBorder="1" applyAlignment="1">
      <alignment horizontal="center"/>
    </xf>
    <xf numFmtId="0" fontId="8" fillId="15" borderId="9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6" fillId="26" borderId="9" xfId="0" applyFont="1" applyFill="1" applyBorder="1" applyAlignment="1">
      <alignment horizontal="center"/>
    </xf>
    <xf numFmtId="0" fontId="0" fillId="28" borderId="2" xfId="0" applyFill="1" applyBorder="1" applyAlignment="1">
      <alignment horizontal="center"/>
    </xf>
    <xf numFmtId="0" fontId="0" fillId="32" borderId="0" xfId="0" applyFill="1"/>
    <xf numFmtId="0" fontId="1" fillId="19" borderId="4" xfId="0" applyFont="1" applyFill="1" applyBorder="1" applyAlignment="1">
      <alignment horizontal="center"/>
    </xf>
    <xf numFmtId="0" fontId="0" fillId="28" borderId="4" xfId="0" applyFill="1" applyBorder="1" applyAlignment="1">
      <alignment horizontal="center"/>
    </xf>
    <xf numFmtId="0" fontId="1" fillId="12" borderId="9" xfId="0" applyFont="1" applyFill="1" applyBorder="1" applyAlignment="1">
      <alignment horizontal="center"/>
    </xf>
    <xf numFmtId="0" fontId="8" fillId="25" borderId="4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20" fillId="25" borderId="1" xfId="0" applyFont="1" applyFill="1" applyBorder="1"/>
    <xf numFmtId="0" fontId="0" fillId="0" borderId="2" xfId="0" applyBorder="1"/>
    <xf numFmtId="0" fontId="0" fillId="0" borderId="22" xfId="0" applyBorder="1"/>
    <xf numFmtId="0" fontId="0" fillId="0" borderId="5" xfId="0" applyBorder="1"/>
    <xf numFmtId="0" fontId="21" fillId="25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22" fillId="25" borderId="1" xfId="0" applyFont="1" applyFill="1" applyBorder="1" applyAlignment="1">
      <alignment horizontal="center" vertical="center"/>
    </xf>
    <xf numFmtId="0" fontId="7" fillId="25" borderId="0" xfId="0" applyFont="1" applyFill="1"/>
    <xf numFmtId="0" fontId="22" fillId="33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0" fontId="23" fillId="35" borderId="1" xfId="0" applyFont="1" applyFill="1" applyBorder="1" applyAlignment="1">
      <alignment horizontal="center" vertical="center"/>
    </xf>
    <xf numFmtId="0" fontId="23" fillId="18" borderId="23" xfId="0" applyFont="1" applyFill="1" applyBorder="1" applyAlignment="1">
      <alignment vertical="center"/>
    </xf>
    <xf numFmtId="0" fontId="11" fillId="18" borderId="24" xfId="1" applyFill="1" applyBorder="1" applyAlignment="1">
      <alignment vertical="center"/>
    </xf>
    <xf numFmtId="0" fontId="23" fillId="18" borderId="24" xfId="0" applyFont="1" applyFill="1" applyBorder="1" applyAlignment="1">
      <alignment horizontal="right" vertical="center"/>
    </xf>
    <xf numFmtId="0" fontId="23" fillId="18" borderId="24" xfId="0" applyFont="1" applyFill="1" applyBorder="1" applyAlignment="1">
      <alignment vertical="center"/>
    </xf>
    <xf numFmtId="0" fontId="23" fillId="18" borderId="25" xfId="0" applyFont="1" applyFill="1" applyBorder="1" applyAlignment="1">
      <alignment horizontal="center" vertical="center" wrapText="1"/>
    </xf>
    <xf numFmtId="0" fontId="23" fillId="18" borderId="24" xfId="0" applyFont="1" applyFill="1" applyBorder="1" applyAlignment="1">
      <alignment horizontal="right" vertical="center" wrapText="1"/>
    </xf>
    <xf numFmtId="0" fontId="24" fillId="0" borderId="0" xfId="0" applyFont="1" applyAlignment="1">
      <alignment vertical="center" wrapText="1"/>
    </xf>
    <xf numFmtId="0" fontId="23" fillId="18" borderId="26" xfId="0" applyFont="1" applyFill="1" applyBorder="1" applyAlignment="1">
      <alignment vertical="center"/>
    </xf>
    <xf numFmtId="0" fontId="11" fillId="18" borderId="27" xfId="1" applyFill="1" applyBorder="1" applyAlignment="1">
      <alignment vertical="center"/>
    </xf>
    <xf numFmtId="0" fontId="23" fillId="18" borderId="27" xfId="0" applyFont="1" applyFill="1" applyBorder="1" applyAlignment="1">
      <alignment horizontal="right" vertical="center"/>
    </xf>
    <xf numFmtId="0" fontId="23" fillId="18" borderId="27" xfId="0" applyFont="1" applyFill="1" applyBorder="1" applyAlignment="1">
      <alignment vertical="center"/>
    </xf>
    <xf numFmtId="0" fontId="23" fillId="18" borderId="0" xfId="0" applyFont="1" applyFill="1" applyAlignment="1">
      <alignment horizontal="center" vertical="center" wrapText="1"/>
    </xf>
    <xf numFmtId="0" fontId="23" fillId="18" borderId="27" xfId="0" applyFont="1" applyFill="1" applyBorder="1" applyAlignment="1">
      <alignment horizontal="right" vertical="center" wrapText="1"/>
    </xf>
    <xf numFmtId="0" fontId="10" fillId="35" borderId="1" xfId="0" applyFont="1" applyFill="1" applyBorder="1" applyAlignment="1">
      <alignment vertical="center"/>
    </xf>
    <xf numFmtId="0" fontId="10" fillId="35" borderId="1" xfId="0" applyFont="1" applyFill="1" applyBorder="1" applyAlignment="1">
      <alignment vertical="center" wrapText="1"/>
    </xf>
    <xf numFmtId="0" fontId="23" fillId="18" borderId="1" xfId="0" applyFont="1" applyFill="1" applyBorder="1" applyAlignment="1">
      <alignment vertical="center"/>
    </xf>
    <xf numFmtId="0" fontId="11" fillId="18" borderId="1" xfId="1" applyFill="1" applyBorder="1" applyAlignment="1">
      <alignment vertical="center"/>
    </xf>
    <xf numFmtId="0" fontId="23" fillId="18" borderId="1" xfId="0" applyFont="1" applyFill="1" applyBorder="1" applyAlignment="1">
      <alignment horizontal="right" vertical="center"/>
    </xf>
    <xf numFmtId="0" fontId="23" fillId="18" borderId="1" xfId="0" applyFont="1" applyFill="1" applyBorder="1" applyAlignment="1">
      <alignment horizontal="center" vertical="center" wrapText="1"/>
    </xf>
    <xf numFmtId="0" fontId="23" fillId="18" borderId="1" xfId="0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11" fillId="0" borderId="1" xfId="1" applyBorder="1" applyAlignment="1">
      <alignment horizontal="left" vertical="center"/>
    </xf>
    <xf numFmtId="0" fontId="3" fillId="34" borderId="1" xfId="0" applyFont="1" applyFill="1" applyBorder="1" applyAlignment="1">
      <alignment vertical="center"/>
    </xf>
    <xf numFmtId="0" fontId="0" fillId="8" borderId="0" xfId="0" applyFill="1"/>
    <xf numFmtId="0" fontId="0" fillId="17" borderId="0" xfId="0" applyFill="1"/>
    <xf numFmtId="0" fontId="6" fillId="31" borderId="1" xfId="0" applyFont="1" applyFill="1" applyBorder="1" applyAlignment="1">
      <alignment horizontal="center"/>
    </xf>
    <xf numFmtId="0" fontId="9" fillId="16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25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0" fillId="28" borderId="5" xfId="0" applyFill="1" applyBorder="1" applyAlignment="1">
      <alignment horizontal="center"/>
    </xf>
    <xf numFmtId="0" fontId="8" fillId="25" borderId="5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26" borderId="6" xfId="0" applyFont="1" applyFill="1" applyBorder="1" applyAlignment="1">
      <alignment horizontal="center"/>
    </xf>
    <xf numFmtId="0" fontId="8" fillId="15" borderId="6" xfId="0" applyFont="1" applyFill="1" applyBorder="1" applyAlignment="1">
      <alignment horizontal="center" vertical="center"/>
    </xf>
    <xf numFmtId="0" fontId="8" fillId="15" borderId="7" xfId="0" applyFont="1" applyFill="1" applyBorder="1" applyAlignment="1">
      <alignment horizontal="center" vertical="center"/>
    </xf>
    <xf numFmtId="0" fontId="6" fillId="26" borderId="7" xfId="0" applyFont="1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6" fillId="13" borderId="5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16" fontId="5" fillId="2" borderId="29" xfId="0" applyNumberFormat="1" applyFont="1" applyFill="1" applyBorder="1" applyAlignment="1">
      <alignment horizontal="right"/>
    </xf>
    <xf numFmtId="0" fontId="6" fillId="3" borderId="29" xfId="0" applyFont="1" applyFill="1" applyBorder="1" applyAlignment="1">
      <alignment horizontal="center"/>
    </xf>
    <xf numFmtId="0" fontId="1" fillId="12" borderId="29" xfId="0" applyFont="1" applyFill="1" applyBorder="1" applyAlignment="1">
      <alignment horizontal="center"/>
    </xf>
    <xf numFmtId="0" fontId="8" fillId="25" borderId="29" xfId="0" applyFont="1" applyFill="1" applyBorder="1" applyAlignment="1">
      <alignment horizontal="center" vertical="center"/>
    </xf>
    <xf numFmtId="0" fontId="6" fillId="13" borderId="29" xfId="0" applyFont="1" applyFill="1" applyBorder="1" applyAlignment="1">
      <alignment horizontal="center"/>
    </xf>
    <xf numFmtId="0" fontId="0" fillId="29" borderId="29" xfId="0" applyFill="1" applyBorder="1" applyAlignment="1">
      <alignment horizontal="center"/>
    </xf>
    <xf numFmtId="0" fontId="8" fillId="15" borderId="29" xfId="0" applyFont="1" applyFill="1" applyBorder="1" applyAlignment="1">
      <alignment horizontal="center" vertical="center"/>
    </xf>
    <xf numFmtId="0" fontId="0" fillId="10" borderId="29" xfId="0" applyFill="1" applyBorder="1" applyAlignment="1">
      <alignment horizontal="center"/>
    </xf>
    <xf numFmtId="0" fontId="0" fillId="29" borderId="30" xfId="0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16" fontId="5" fillId="2" borderId="22" xfId="0" applyNumberFormat="1" applyFont="1" applyFill="1" applyBorder="1" applyAlignment="1">
      <alignment horizontal="right"/>
    </xf>
    <xf numFmtId="0" fontId="6" fillId="3" borderId="22" xfId="0" applyFont="1" applyFill="1" applyBorder="1" applyAlignment="1">
      <alignment horizontal="center"/>
    </xf>
    <xf numFmtId="0" fontId="0" fillId="28" borderId="22" xfId="0" applyFill="1" applyBorder="1" applyAlignment="1">
      <alignment horizontal="center"/>
    </xf>
    <xf numFmtId="0" fontId="1" fillId="12" borderId="22" xfId="0" applyFont="1" applyFill="1" applyBorder="1" applyAlignment="1">
      <alignment horizontal="center"/>
    </xf>
    <xf numFmtId="0" fontId="8" fillId="15" borderId="22" xfId="0" applyFont="1" applyFill="1" applyBorder="1" applyAlignment="1">
      <alignment horizontal="center" vertical="center"/>
    </xf>
    <xf numFmtId="0" fontId="8" fillId="25" borderId="22" xfId="0" applyFont="1" applyFill="1" applyBorder="1" applyAlignment="1">
      <alignment horizontal="center" vertical="center"/>
    </xf>
    <xf numFmtId="0" fontId="0" fillId="10" borderId="22" xfId="0" applyFill="1" applyBorder="1" applyAlignment="1">
      <alignment horizontal="center"/>
    </xf>
    <xf numFmtId="0" fontId="6" fillId="26" borderId="8" xfId="0" applyFont="1" applyFill="1" applyBorder="1" applyAlignment="1">
      <alignment horizontal="center"/>
    </xf>
    <xf numFmtId="0" fontId="26" fillId="31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25" borderId="14" xfId="0" applyFont="1" applyFill="1" applyBorder="1"/>
    <xf numFmtId="0" fontId="6" fillId="26" borderId="14" xfId="0" applyFont="1" applyFill="1" applyBorder="1" applyAlignment="1">
      <alignment horizontal="center"/>
    </xf>
    <xf numFmtId="0" fontId="8" fillId="25" borderId="14" xfId="0" applyFont="1" applyFill="1" applyBorder="1" applyAlignment="1">
      <alignment horizontal="center" vertical="center"/>
    </xf>
    <xf numFmtId="0" fontId="20" fillId="25" borderId="12" xfId="0" applyFont="1" applyFill="1" applyBorder="1"/>
    <xf numFmtId="0" fontId="0" fillId="0" borderId="22" xfId="0" applyBorder="1" applyAlignment="1">
      <alignment horizontal="center"/>
    </xf>
    <xf numFmtId="0" fontId="7" fillId="25" borderId="22" xfId="0" applyFont="1" applyFill="1" applyBorder="1"/>
    <xf numFmtId="0" fontId="29" fillId="36" borderId="1" xfId="0" applyFont="1" applyFill="1" applyBorder="1" applyAlignment="1">
      <alignment vertical="center" wrapText="1"/>
    </xf>
    <xf numFmtId="0" fontId="27" fillId="18" borderId="1" xfId="0" applyFont="1" applyFill="1" applyBorder="1" applyAlignment="1">
      <alignment vertical="center"/>
    </xf>
    <xf numFmtId="0" fontId="11" fillId="0" borderId="1" xfId="1" applyBorder="1"/>
    <xf numFmtId="0" fontId="0" fillId="0" borderId="1" xfId="0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28" fillId="8" borderId="1" xfId="0" applyFont="1" applyFill="1" applyBorder="1" applyAlignment="1">
      <alignment horizontal="center" vertical="center"/>
    </xf>
    <xf numFmtId="0" fontId="28" fillId="36" borderId="1" xfId="0" applyFont="1" applyFill="1" applyBorder="1" applyAlignment="1">
      <alignment horizontal="center" vertical="center"/>
    </xf>
    <xf numFmtId="0" fontId="22" fillId="25" borderId="7" xfId="0" applyFont="1" applyFill="1" applyBorder="1" applyAlignment="1">
      <alignment horizontal="center" vertical="center"/>
    </xf>
    <xf numFmtId="0" fontId="22" fillId="25" borderId="12" xfId="0" applyFont="1" applyFill="1" applyBorder="1" applyAlignment="1">
      <alignment horizontal="center" vertical="center"/>
    </xf>
    <xf numFmtId="0" fontId="20" fillId="31" borderId="0" xfId="0" applyFont="1" applyFill="1"/>
    <xf numFmtId="0" fontId="0" fillId="0" borderId="0" xfId="0" applyAlignment="1">
      <alignment horizontal="center"/>
    </xf>
    <xf numFmtId="0" fontId="22" fillId="25" borderId="1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28" fillId="8" borderId="1" xfId="0" applyFont="1" applyFill="1" applyBorder="1" applyAlignment="1">
      <alignment horizontal="center" vertical="center"/>
    </xf>
    <xf numFmtId="0" fontId="28" fillId="36" borderId="1" xfId="0" applyFont="1" applyFill="1" applyBorder="1" applyAlignment="1">
      <alignment horizontal="center" vertical="center"/>
    </xf>
    <xf numFmtId="0" fontId="29" fillId="36" borderId="1" xfId="0" applyFont="1" applyFill="1" applyBorder="1" applyAlignment="1">
      <alignment horizontal="center" vertical="center" wrapText="1"/>
    </xf>
    <xf numFmtId="0" fontId="28" fillId="36" borderId="31" xfId="0" applyFont="1" applyFill="1" applyBorder="1" applyAlignment="1">
      <alignment horizontal="center" vertical="center"/>
    </xf>
    <xf numFmtId="0" fontId="28" fillId="36" borderId="3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870"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'Learning hours'!$D$1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'Learning hours'!$C$2:$C$16</c:f>
              <c:strCache>
                <c:ptCount val="15"/>
                <c:pt idx="0">
                  <c:v>Akhila V</c:v>
                </c:pt>
                <c:pt idx="1">
                  <c:v>Ashutosh Pattnaik</c:v>
                </c:pt>
                <c:pt idx="2">
                  <c:v>Gayathri S</c:v>
                </c:pt>
                <c:pt idx="3">
                  <c:v>Kanchan Pathare</c:v>
                </c:pt>
                <c:pt idx="4">
                  <c:v>Mahesh Halkanche</c:v>
                </c:pt>
                <c:pt idx="5">
                  <c:v>Munish Kumar</c:v>
                </c:pt>
                <c:pt idx="6">
                  <c:v>Rakesh R</c:v>
                </c:pt>
                <c:pt idx="7">
                  <c:v>Saifullah Shaikh</c:v>
                </c:pt>
                <c:pt idx="8">
                  <c:v>Shubham Mahajan</c:v>
                </c:pt>
                <c:pt idx="9">
                  <c:v>Sneha Navade</c:v>
                </c:pt>
                <c:pt idx="10">
                  <c:v>Somshekhar Dixit</c:v>
                </c:pt>
                <c:pt idx="11">
                  <c:v>Sreekanth Reddy</c:v>
                </c:pt>
                <c:pt idx="12">
                  <c:v>Tanzil Jamadhar</c:v>
                </c:pt>
                <c:pt idx="13">
                  <c:v>Venkata Lakili</c:v>
                </c:pt>
                <c:pt idx="14">
                  <c:v>Sneha Kattimani</c:v>
                </c:pt>
              </c:strCache>
            </c:strRef>
          </c:cat>
          <c:val>
            <c:numRef>
              <c:f>'Learning hours'!$D$2:$D$16</c:f>
              <c:numCache>
                <c:formatCode>General</c:formatCode>
                <c:ptCount val="15"/>
                <c:pt idx="0">
                  <c:v>43.3</c:v>
                </c:pt>
                <c:pt idx="1">
                  <c:v>9.0500000000000007</c:v>
                </c:pt>
                <c:pt idx="2">
                  <c:v>20.92</c:v>
                </c:pt>
                <c:pt idx="3">
                  <c:v>31.02</c:v>
                </c:pt>
                <c:pt idx="4">
                  <c:v>21.85</c:v>
                </c:pt>
                <c:pt idx="5">
                  <c:v>21.77</c:v>
                </c:pt>
                <c:pt idx="6">
                  <c:v>164.75</c:v>
                </c:pt>
                <c:pt idx="7">
                  <c:v>69</c:v>
                </c:pt>
                <c:pt idx="8">
                  <c:v>30.76</c:v>
                </c:pt>
                <c:pt idx="9">
                  <c:v>119.07</c:v>
                </c:pt>
                <c:pt idx="10">
                  <c:v>25.97</c:v>
                </c:pt>
                <c:pt idx="11">
                  <c:v>25.61</c:v>
                </c:pt>
                <c:pt idx="12">
                  <c:v>144.22</c:v>
                </c:pt>
                <c:pt idx="13">
                  <c:v>25.98</c:v>
                </c:pt>
                <c:pt idx="14">
                  <c:v>116.03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F-493D-9741-13B9E553F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370976"/>
        <c:axId val="562368456"/>
      </c:barChart>
      <c:catAx>
        <c:axId val="5623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68456"/>
        <c:crosses val="autoZero"/>
        <c:auto val="1"/>
        <c:lblAlgn val="ctr"/>
        <c:lblOffset val="100"/>
        <c:noMultiLvlLbl val="0"/>
      </c:catAx>
      <c:valAx>
        <c:axId val="56236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7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19</xdr:row>
      <xdr:rowOff>0</xdr:rowOff>
    </xdr:from>
    <xdr:ext cx="620183" cy="186266"/>
    <xdr:pic>
      <xdr:nvPicPr>
        <xdr:cNvPr id="4" name="Picture 3">
          <a:extLst>
            <a:ext uri="{FF2B5EF4-FFF2-40B4-BE49-F238E27FC236}">
              <a16:creationId xmlns:a16="http://schemas.microsoft.com/office/drawing/2014/main" id="{7421579C-B414-4AEA-9DBF-1CF782D07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667" y="3418417"/>
          <a:ext cx="620183" cy="1862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136525</xdr:colOff>
      <xdr:row>2</xdr:row>
      <xdr:rowOff>88900</xdr:rowOff>
    </xdr:from>
    <xdr:to>
      <xdr:col>15</xdr:col>
      <xdr:colOff>441325</xdr:colOff>
      <xdr:row>17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550CE-C88E-7E3C-3426-B0FF9120D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8.xml.rels><?xml version="1.0" encoding="UTF-8" standalone="yes"?>
<Relationships xmlns="http://schemas.openxmlformats.org/package/2006/relationships"><Relationship Id="rId13" Type="http://schemas.openxmlformats.org/officeDocument/2006/relationships/hyperlink" Target="mailto:tapan.a.swain@capgemini.com" TargetMode="External"/><Relationship Id="rId18" Type="http://schemas.openxmlformats.org/officeDocument/2006/relationships/hyperlink" Target="mailto:magham.bhavana@capgemini.com" TargetMode="External"/><Relationship Id="rId26" Type="http://schemas.openxmlformats.org/officeDocument/2006/relationships/hyperlink" Target="mailto:ashutosh.a.pattnaik@capgemini.com" TargetMode="External"/><Relationship Id="rId39" Type="http://schemas.openxmlformats.org/officeDocument/2006/relationships/hyperlink" Target="mailto:venkata.lakili@capgemini.com" TargetMode="External"/><Relationship Id="rId21" Type="http://schemas.openxmlformats.org/officeDocument/2006/relationships/hyperlink" Target="mailto:seeram.meghana@capgemini.com" TargetMode="External"/><Relationship Id="rId34" Type="http://schemas.openxmlformats.org/officeDocument/2006/relationships/hyperlink" Target="mailto:khushi.singhania@capgemini.com" TargetMode="External"/><Relationship Id="rId42" Type="http://schemas.openxmlformats.org/officeDocument/2006/relationships/hyperlink" Target="mailto:harshada.gaikwad@capgemini.com" TargetMode="External"/><Relationship Id="rId47" Type="http://schemas.openxmlformats.org/officeDocument/2006/relationships/hyperlink" Target="mailto:akhila.b.v@capgemini.com" TargetMode="External"/><Relationship Id="rId50" Type="http://schemas.openxmlformats.org/officeDocument/2006/relationships/hyperlink" Target="mailto:shoyebshah.ashkan@capgemini.com" TargetMode="External"/><Relationship Id="rId55" Type="http://schemas.openxmlformats.org/officeDocument/2006/relationships/hyperlink" Target="mailto:shraddha-santosh.gavli@capgemini.com" TargetMode="External"/><Relationship Id="rId7" Type="http://schemas.openxmlformats.org/officeDocument/2006/relationships/hyperlink" Target="mailto:ganesh-venkata-sri-sai-anish.palepu@capgemini.com" TargetMode="External"/><Relationship Id="rId12" Type="http://schemas.openxmlformats.org/officeDocument/2006/relationships/hyperlink" Target="mailto:munish.kumar@capgemini.com" TargetMode="External"/><Relationship Id="rId17" Type="http://schemas.openxmlformats.org/officeDocument/2006/relationships/hyperlink" Target="mailto:saifullah.shaikh@capgemini.com" TargetMode="External"/><Relationship Id="rId25" Type="http://schemas.openxmlformats.org/officeDocument/2006/relationships/hyperlink" Target="mailto:sakshi.a.rawat@capgemini.com" TargetMode="External"/><Relationship Id="rId33" Type="http://schemas.openxmlformats.org/officeDocument/2006/relationships/hyperlink" Target="mailto:seshadri-babu.ballipakula@capgemini.com" TargetMode="External"/><Relationship Id="rId38" Type="http://schemas.openxmlformats.org/officeDocument/2006/relationships/hyperlink" Target="mailto:niteesh.arra@capgemini.com" TargetMode="External"/><Relationship Id="rId46" Type="http://schemas.openxmlformats.org/officeDocument/2006/relationships/hyperlink" Target="mailto:sneha.a.katta@capgemini.com" TargetMode="External"/><Relationship Id="rId2" Type="http://schemas.openxmlformats.org/officeDocument/2006/relationships/hyperlink" Target="mailto:harish.pralhad-ram-jat@capgemini.com" TargetMode="External"/><Relationship Id="rId16" Type="http://schemas.openxmlformats.org/officeDocument/2006/relationships/hyperlink" Target="mailto:rakesh.b.r@capgemini.com" TargetMode="External"/><Relationship Id="rId20" Type="http://schemas.openxmlformats.org/officeDocument/2006/relationships/hyperlink" Target="mailto:avdhoot.potnis@capgemini.com" TargetMode="External"/><Relationship Id="rId29" Type="http://schemas.openxmlformats.org/officeDocument/2006/relationships/hyperlink" Target="mailto:rohit.b.shinde@capgemini.com" TargetMode="External"/><Relationship Id="rId41" Type="http://schemas.openxmlformats.org/officeDocument/2006/relationships/hyperlink" Target="mailto:namrata.khot@capgemini.com" TargetMode="External"/><Relationship Id="rId54" Type="http://schemas.openxmlformats.org/officeDocument/2006/relationships/hyperlink" Target="mailto:sri-sai-akhileswar.vejendla@capgemini.com" TargetMode="External"/><Relationship Id="rId1" Type="http://schemas.openxmlformats.org/officeDocument/2006/relationships/hyperlink" Target="mailto:pragati.acharya@capgemini.com" TargetMode="External"/><Relationship Id="rId6" Type="http://schemas.openxmlformats.org/officeDocument/2006/relationships/hyperlink" Target="mailto:shubham.a.mahajan@capgemini.com" TargetMode="External"/><Relationship Id="rId11" Type="http://schemas.openxmlformats.org/officeDocument/2006/relationships/hyperlink" Target="mailto:mahesh.halkanche@capgemini.com" TargetMode="External"/><Relationship Id="rId24" Type="http://schemas.openxmlformats.org/officeDocument/2006/relationships/hyperlink" Target="mailto:jyoti.gawade@capgemini.com" TargetMode="External"/><Relationship Id="rId32" Type="http://schemas.openxmlformats.org/officeDocument/2006/relationships/hyperlink" Target="mailto:sneha.ovhal@capgemini.com" TargetMode="External"/><Relationship Id="rId37" Type="http://schemas.openxmlformats.org/officeDocument/2006/relationships/hyperlink" Target="mailto:pavan.garlapati@capgemini.com" TargetMode="External"/><Relationship Id="rId40" Type="http://schemas.openxmlformats.org/officeDocument/2006/relationships/hyperlink" Target="mailto:ruth.angeleena-thoodi@capgemini.com" TargetMode="External"/><Relationship Id="rId45" Type="http://schemas.openxmlformats.org/officeDocument/2006/relationships/hyperlink" Target="mailto:syed-mohd.ali-faraz@capgemini.com" TargetMode="External"/><Relationship Id="rId53" Type="http://schemas.openxmlformats.org/officeDocument/2006/relationships/hyperlink" Target="mailto:pranit-chandrakant.janvade@capgemini.com" TargetMode="External"/><Relationship Id="rId58" Type="http://schemas.openxmlformats.org/officeDocument/2006/relationships/printerSettings" Target="../printerSettings/printerSettings34.bin"/><Relationship Id="rId5" Type="http://schemas.openxmlformats.org/officeDocument/2006/relationships/hyperlink" Target="mailto:malhar-anand.sadhu@capgemini.com" TargetMode="External"/><Relationship Id="rId15" Type="http://schemas.openxmlformats.org/officeDocument/2006/relationships/hyperlink" Target="mailto:gowtham.bathula@capgemini.com" TargetMode="External"/><Relationship Id="rId23" Type="http://schemas.openxmlformats.org/officeDocument/2006/relationships/hyperlink" Target="mailto:rishab.srivastava@capgemini.com" TargetMode="External"/><Relationship Id="rId28" Type="http://schemas.openxmlformats.org/officeDocument/2006/relationships/hyperlink" Target="mailto:vaishnavi.a.d@capgemini.com" TargetMode="External"/><Relationship Id="rId36" Type="http://schemas.openxmlformats.org/officeDocument/2006/relationships/hyperlink" Target="mailto:sruthi.p@capgemini.com" TargetMode="External"/><Relationship Id="rId49" Type="http://schemas.openxmlformats.org/officeDocument/2006/relationships/hyperlink" Target="mailto:sreekanth.reddy-munagala@capgemini.com" TargetMode="External"/><Relationship Id="rId57" Type="http://schemas.openxmlformats.org/officeDocument/2006/relationships/hyperlink" Target="mailto:tanvi.agarwal@capgemini.com" TargetMode="External"/><Relationship Id="rId10" Type="http://schemas.openxmlformats.org/officeDocument/2006/relationships/hyperlink" Target="mailto:dharmesh-chandulal.patil@capgemini.com" TargetMode="External"/><Relationship Id="rId19" Type="http://schemas.openxmlformats.org/officeDocument/2006/relationships/hyperlink" Target="mailto:ajay-kumar.annam@capgemini.com" TargetMode="External"/><Relationship Id="rId31" Type="http://schemas.openxmlformats.org/officeDocument/2006/relationships/hyperlink" Target="mailto:sowmya.j-s@capgemini.com" TargetMode="External"/><Relationship Id="rId44" Type="http://schemas.openxmlformats.org/officeDocument/2006/relationships/hyperlink" Target="mailto:harpreet.g.singh@capgemini.com" TargetMode="External"/><Relationship Id="rId52" Type="http://schemas.openxmlformats.org/officeDocument/2006/relationships/hyperlink" Target="mailto:ashish.g.yadav@capgemini.com" TargetMode="External"/><Relationship Id="rId4" Type="http://schemas.openxmlformats.org/officeDocument/2006/relationships/hyperlink" Target="mailto:akshay.newaskar@capgemini.com" TargetMode="External"/><Relationship Id="rId9" Type="http://schemas.openxmlformats.org/officeDocument/2006/relationships/hyperlink" Target="mailto:swapnalatha.tarala@capgemini.com" TargetMode="External"/><Relationship Id="rId14" Type="http://schemas.openxmlformats.org/officeDocument/2006/relationships/hyperlink" Target="mailto:komal.pawoolkar@capgemini.com" TargetMode="External"/><Relationship Id="rId22" Type="http://schemas.openxmlformats.org/officeDocument/2006/relationships/hyperlink" Target="mailto:gayathri.h.s@capgemini.com" TargetMode="External"/><Relationship Id="rId27" Type="http://schemas.openxmlformats.org/officeDocument/2006/relationships/hyperlink" Target="mailto:somshekhar.dixit@capgemini.com" TargetMode="External"/><Relationship Id="rId30" Type="http://schemas.openxmlformats.org/officeDocument/2006/relationships/hyperlink" Target="mailto:sneha.santoshrao-navade@capgemini.com" TargetMode="External"/><Relationship Id="rId35" Type="http://schemas.openxmlformats.org/officeDocument/2006/relationships/hyperlink" Target="mailto:harshika.gadekar@capgemini.com" TargetMode="External"/><Relationship Id="rId43" Type="http://schemas.openxmlformats.org/officeDocument/2006/relationships/hyperlink" Target="mailto:mousmi-jitendra.dave@capgemini.com" TargetMode="External"/><Relationship Id="rId48" Type="http://schemas.openxmlformats.org/officeDocument/2006/relationships/hyperlink" Target="mailto:sanika-sunil.khawate@capgemini.com" TargetMode="External"/><Relationship Id="rId56" Type="http://schemas.openxmlformats.org/officeDocument/2006/relationships/hyperlink" Target="mailto:snehal-rajendra.kulkarni@capgemini.com" TargetMode="External"/><Relationship Id="rId8" Type="http://schemas.openxmlformats.org/officeDocument/2006/relationships/hyperlink" Target="mailto:agnel.raja@capgemini.com" TargetMode="External"/><Relationship Id="rId51" Type="http://schemas.openxmlformats.org/officeDocument/2006/relationships/hyperlink" Target="mailto:naveen-kumar-goud.angol@capgemini.com" TargetMode="External"/><Relationship Id="rId3" Type="http://schemas.openxmlformats.org/officeDocument/2006/relationships/hyperlink" Target="mailto:suraj-diwakar.athargade@capgemini.com" TargetMode="Externa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0.xml.rels><?xml version="1.0" encoding="UTF-8" standalone="yes"?>
<Relationships xmlns="http://schemas.openxmlformats.org/package/2006/relationships"><Relationship Id="rId8" Type="http://schemas.openxmlformats.org/officeDocument/2006/relationships/hyperlink" Target="mailto:sneha.kattimani@capgemini.com" TargetMode="External"/><Relationship Id="rId3" Type="http://schemas.openxmlformats.org/officeDocument/2006/relationships/hyperlink" Target="mailto:gayathri.h.s@capgemini.com" TargetMode="External"/><Relationship Id="rId7" Type="http://schemas.openxmlformats.org/officeDocument/2006/relationships/hyperlink" Target="mailto:somshekhar.dixit@capgemini.com" TargetMode="External"/><Relationship Id="rId2" Type="http://schemas.openxmlformats.org/officeDocument/2006/relationships/hyperlink" Target="mailto:saifullah.shaikh@capgemini.com" TargetMode="External"/><Relationship Id="rId1" Type="http://schemas.openxmlformats.org/officeDocument/2006/relationships/hyperlink" Target="mailto:sreekanth.reddy-mungala@capgemini.com" TargetMode="External"/><Relationship Id="rId6" Type="http://schemas.openxmlformats.org/officeDocument/2006/relationships/hyperlink" Target="mailto:rakesh.b.r@capgemini.com" TargetMode="External"/><Relationship Id="rId5" Type="http://schemas.openxmlformats.org/officeDocument/2006/relationships/hyperlink" Target="mailto:kanchan-sambhaji.pathare@capgemini.com" TargetMode="External"/><Relationship Id="rId4" Type="http://schemas.openxmlformats.org/officeDocument/2006/relationships/hyperlink" Target="mailto:venkata.lakili@capgemini.com" TargetMode="External"/><Relationship Id="rId9" Type="http://schemas.openxmlformats.org/officeDocument/2006/relationships/printerSettings" Target="../printerSettings/printerSettings3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E37"/>
  <sheetViews>
    <sheetView topLeftCell="A16" zoomScale="75" zoomScaleNormal="75" workbookViewId="0">
      <pane xSplit="1" topLeftCell="B1" activePane="topRight" state="frozen"/>
      <selection pane="topRight" activeCell="A44" sqref="A44:B59"/>
    </sheetView>
  </sheetViews>
  <sheetFormatPr defaultColWidth="9.1796875" defaultRowHeight="14.5" x14ac:dyDescent="0.35"/>
  <cols>
    <col min="1" max="1" width="26.1796875" bestFit="1" customWidth="1"/>
    <col min="2" max="4" width="9.26953125" customWidth="1"/>
    <col min="5" max="9" width="7.54296875" customWidth="1"/>
    <col min="10" max="11" width="9.26953125" customWidth="1"/>
    <col min="12" max="16" width="7.26953125" customWidth="1"/>
    <col min="17" max="18" width="9.26953125" customWidth="1"/>
    <col min="19" max="20" width="7.26953125" customWidth="1"/>
    <col min="21" max="22" width="7.26953125" bestFit="1" customWidth="1"/>
    <col min="23" max="25" width="6.453125" bestFit="1" customWidth="1"/>
    <col min="26" max="26" width="7.54296875" customWidth="1"/>
    <col min="27" max="27" width="6.453125" bestFit="1" customWidth="1"/>
    <col min="28" max="28" width="7.26953125" bestFit="1" customWidth="1"/>
    <col min="29" max="30" width="7.54296875" customWidth="1"/>
    <col min="31" max="31" width="6.453125" bestFit="1" customWidth="1"/>
  </cols>
  <sheetData>
    <row r="1" spans="1:31" ht="15" customHeight="1" x14ac:dyDescent="0.35">
      <c r="A1" s="1"/>
      <c r="B1" s="2" t="str">
        <f t="shared" ref="B1:AE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3" t="str">
        <f t="shared" si="0"/>
        <v>Fri</v>
      </c>
      <c r="G1" s="4" t="str">
        <f t="shared" si="0"/>
        <v>Sat</v>
      </c>
      <c r="H1" s="5" t="str">
        <f t="shared" si="0"/>
        <v>Sun</v>
      </c>
      <c r="I1" s="6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3" t="str">
        <f t="shared" si="0"/>
        <v>Fri</v>
      </c>
      <c r="N1" s="4" t="str">
        <f t="shared" si="0"/>
        <v>Sat</v>
      </c>
      <c r="O1" s="5" t="str">
        <f t="shared" si="0"/>
        <v>Sun</v>
      </c>
      <c r="P1" s="6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3" t="str">
        <f t="shared" si="0"/>
        <v>Fri</v>
      </c>
      <c r="U1" s="4" t="str">
        <f t="shared" si="0"/>
        <v>Sat</v>
      </c>
      <c r="V1" s="5" t="str">
        <f t="shared" si="0"/>
        <v>Sun</v>
      </c>
      <c r="W1" s="6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3" t="str">
        <f t="shared" si="0"/>
        <v>Fri</v>
      </c>
      <c r="AB1" s="4" t="str">
        <f t="shared" si="0"/>
        <v>Sat</v>
      </c>
      <c r="AC1" s="5" t="str">
        <f t="shared" si="0"/>
        <v>Sun</v>
      </c>
      <c r="AD1" s="6" t="str">
        <f t="shared" si="0"/>
        <v>Mon</v>
      </c>
      <c r="AE1" s="2" t="str">
        <f t="shared" si="0"/>
        <v>Tue</v>
      </c>
    </row>
    <row r="2" spans="1:31" x14ac:dyDescent="0.35">
      <c r="A2" s="7" t="s">
        <v>0</v>
      </c>
      <c r="B2" s="29">
        <v>44501</v>
      </c>
      <c r="C2" s="29">
        <v>44502</v>
      </c>
      <c r="D2" s="29">
        <v>44503</v>
      </c>
      <c r="E2" s="29">
        <v>44504</v>
      </c>
      <c r="F2" s="29">
        <v>44505</v>
      </c>
      <c r="G2" s="29">
        <v>44506</v>
      </c>
      <c r="H2" s="29">
        <v>44507</v>
      </c>
      <c r="I2" s="29">
        <v>44508</v>
      </c>
      <c r="J2" s="29">
        <v>44509</v>
      </c>
      <c r="K2" s="29">
        <v>44510</v>
      </c>
      <c r="L2" s="29">
        <v>44511</v>
      </c>
      <c r="M2" s="29">
        <v>44512</v>
      </c>
      <c r="N2" s="29">
        <v>44513</v>
      </c>
      <c r="O2" s="29">
        <v>44514</v>
      </c>
      <c r="P2" s="29">
        <v>44515</v>
      </c>
      <c r="Q2" s="29">
        <v>44516</v>
      </c>
      <c r="R2" s="29">
        <v>44517</v>
      </c>
      <c r="S2" s="29">
        <v>44518</v>
      </c>
      <c r="T2" s="29">
        <v>44519</v>
      </c>
      <c r="U2" s="29">
        <v>44520</v>
      </c>
      <c r="V2" s="29">
        <v>44521</v>
      </c>
      <c r="W2" s="29">
        <v>44522</v>
      </c>
      <c r="X2" s="29">
        <v>44523</v>
      </c>
      <c r="Y2" s="29">
        <v>44524</v>
      </c>
      <c r="Z2" s="29">
        <v>44525</v>
      </c>
      <c r="AA2" s="29">
        <v>44526</v>
      </c>
      <c r="AB2" s="29">
        <v>44527</v>
      </c>
      <c r="AC2" s="29">
        <v>44528</v>
      </c>
      <c r="AD2" s="29">
        <v>44529</v>
      </c>
      <c r="AE2" s="29">
        <v>44530</v>
      </c>
    </row>
    <row r="3" spans="1:31" x14ac:dyDescent="0.35">
      <c r="A3" s="8"/>
      <c r="B3" s="30"/>
      <c r="C3" s="30"/>
      <c r="D3" s="30"/>
      <c r="E3" s="30"/>
      <c r="F3" s="31"/>
      <c r="G3" s="32"/>
      <c r="H3" s="33"/>
      <c r="I3" s="34"/>
      <c r="J3" s="30"/>
      <c r="K3" s="30"/>
      <c r="L3" s="30"/>
      <c r="M3" s="31"/>
      <c r="N3" s="32"/>
      <c r="O3" s="33"/>
      <c r="P3" s="34"/>
      <c r="Q3" s="30"/>
      <c r="R3" s="30"/>
      <c r="S3" s="30"/>
      <c r="T3" s="31"/>
      <c r="U3" s="31"/>
      <c r="V3" s="33"/>
      <c r="W3" s="34"/>
      <c r="X3" s="30"/>
      <c r="Y3" s="30"/>
      <c r="Z3" s="30"/>
      <c r="AA3" s="31"/>
      <c r="AB3" s="32"/>
      <c r="AC3" s="33"/>
      <c r="AD3" s="34"/>
      <c r="AE3" s="30"/>
    </row>
    <row r="4" spans="1:31" x14ac:dyDescent="0.35">
      <c r="A4" s="9" t="s">
        <v>1</v>
      </c>
      <c r="B4" s="11" t="s">
        <v>2</v>
      </c>
      <c r="C4" s="39" t="s">
        <v>6</v>
      </c>
      <c r="D4" s="11" t="s">
        <v>2</v>
      </c>
      <c r="E4" s="10" t="s">
        <v>40</v>
      </c>
      <c r="F4" s="11" t="s">
        <v>2</v>
      </c>
      <c r="G4" s="10" t="s">
        <v>40</v>
      </c>
      <c r="H4" s="10" t="s">
        <v>40</v>
      </c>
      <c r="I4" s="39" t="s">
        <v>6</v>
      </c>
      <c r="J4" s="11" t="s">
        <v>2</v>
      </c>
      <c r="K4" s="37" t="s">
        <v>8</v>
      </c>
      <c r="L4" s="37" t="s">
        <v>8</v>
      </c>
      <c r="M4" s="37" t="s">
        <v>8</v>
      </c>
      <c r="N4" s="15" t="s">
        <v>4</v>
      </c>
      <c r="O4" s="10" t="s">
        <v>40</v>
      </c>
      <c r="P4" s="37" t="s">
        <v>8</v>
      </c>
      <c r="Q4" s="37" t="s">
        <v>8</v>
      </c>
      <c r="R4" s="11" t="s">
        <v>2</v>
      </c>
      <c r="S4" s="35" t="s">
        <v>39</v>
      </c>
      <c r="T4" s="35" t="s">
        <v>39</v>
      </c>
      <c r="U4" s="44" t="s">
        <v>4</v>
      </c>
      <c r="V4" s="20" t="s">
        <v>42</v>
      </c>
      <c r="W4" s="13" t="s">
        <v>5</v>
      </c>
      <c r="X4" s="11" t="s">
        <v>2</v>
      </c>
      <c r="Y4" s="11" t="s">
        <v>2</v>
      </c>
      <c r="Z4" s="35" t="s">
        <v>39</v>
      </c>
      <c r="AA4" s="35" t="s">
        <v>39</v>
      </c>
      <c r="AB4" s="10" t="s">
        <v>40</v>
      </c>
      <c r="AC4" s="10" t="s">
        <v>40</v>
      </c>
      <c r="AD4" s="12" t="s">
        <v>2</v>
      </c>
      <c r="AE4" s="12" t="s">
        <v>2</v>
      </c>
    </row>
    <row r="5" spans="1:31" x14ac:dyDescent="0.35">
      <c r="A5" s="9" t="s">
        <v>7</v>
      </c>
      <c r="B5" s="35" t="s">
        <v>39</v>
      </c>
      <c r="C5" s="35" t="s">
        <v>39</v>
      </c>
      <c r="D5" s="35" t="s">
        <v>39</v>
      </c>
      <c r="E5" s="27" t="s">
        <v>37</v>
      </c>
      <c r="F5" s="35" t="s">
        <v>39</v>
      </c>
      <c r="G5" s="15" t="s">
        <v>4</v>
      </c>
      <c r="H5" s="15" t="s">
        <v>4</v>
      </c>
      <c r="I5" s="35" t="s">
        <v>39</v>
      </c>
      <c r="J5" s="35" t="s">
        <v>39</v>
      </c>
      <c r="K5" s="35" t="s">
        <v>39</v>
      </c>
      <c r="L5" s="35" t="s">
        <v>39</v>
      </c>
      <c r="M5" s="35" t="s">
        <v>39</v>
      </c>
      <c r="N5" s="10" t="s">
        <v>40</v>
      </c>
      <c r="O5" s="15" t="s">
        <v>4</v>
      </c>
      <c r="P5" s="11" t="s">
        <v>2</v>
      </c>
      <c r="Q5" s="35" t="s">
        <v>39</v>
      </c>
      <c r="R5" s="35" t="s">
        <v>39</v>
      </c>
      <c r="S5" s="37" t="s">
        <v>8</v>
      </c>
      <c r="T5" s="37" t="s">
        <v>8</v>
      </c>
      <c r="U5" s="15" t="s">
        <v>4</v>
      </c>
      <c r="V5" s="15" t="s">
        <v>4</v>
      </c>
      <c r="W5" s="35" t="s">
        <v>39</v>
      </c>
      <c r="X5" s="35" t="s">
        <v>39</v>
      </c>
      <c r="Y5" s="35" t="s">
        <v>39</v>
      </c>
      <c r="Z5" s="37" t="s">
        <v>8</v>
      </c>
      <c r="AA5" s="37" t="s">
        <v>8</v>
      </c>
      <c r="AB5" s="15" t="s">
        <v>4</v>
      </c>
      <c r="AC5" s="15" t="s">
        <v>4</v>
      </c>
      <c r="AD5" s="35" t="s">
        <v>39</v>
      </c>
      <c r="AE5" s="35" t="s">
        <v>39</v>
      </c>
    </row>
    <row r="6" spans="1:31" x14ac:dyDescent="0.35">
      <c r="A6" s="9" t="s">
        <v>9</v>
      </c>
      <c r="B6" s="39" t="s">
        <v>6</v>
      </c>
      <c r="C6" s="11" t="s">
        <v>2</v>
      </c>
      <c r="D6" s="39" t="s">
        <v>6</v>
      </c>
      <c r="E6" s="27" t="s">
        <v>37</v>
      </c>
      <c r="F6" s="11" t="s">
        <v>2</v>
      </c>
      <c r="G6" s="15" t="s">
        <v>4</v>
      </c>
      <c r="H6" s="17" t="s">
        <v>11</v>
      </c>
      <c r="I6" s="17" t="s">
        <v>10</v>
      </c>
      <c r="J6" s="17" t="s">
        <v>10</v>
      </c>
      <c r="K6" s="11" t="s">
        <v>2</v>
      </c>
      <c r="L6" s="39" t="s">
        <v>6</v>
      </c>
      <c r="M6" s="13" t="s">
        <v>5</v>
      </c>
      <c r="N6" s="44" t="s">
        <v>4</v>
      </c>
      <c r="O6" s="44" t="s">
        <v>4</v>
      </c>
      <c r="P6" s="39" t="s">
        <v>6</v>
      </c>
      <c r="Q6" s="39" t="s">
        <v>6</v>
      </c>
      <c r="R6" s="17" t="s">
        <v>10</v>
      </c>
      <c r="S6" s="17" t="s">
        <v>10</v>
      </c>
      <c r="T6" s="17" t="s">
        <v>10</v>
      </c>
      <c r="U6" s="17" t="s">
        <v>11</v>
      </c>
      <c r="V6" s="17" t="s">
        <v>11</v>
      </c>
      <c r="W6" s="17" t="s">
        <v>10</v>
      </c>
      <c r="X6" s="17" t="s">
        <v>10</v>
      </c>
      <c r="Y6" s="13" t="s">
        <v>5</v>
      </c>
      <c r="Z6" s="13" t="s">
        <v>5</v>
      </c>
      <c r="AA6" s="13" t="s">
        <v>5</v>
      </c>
      <c r="AB6" s="17" t="s">
        <v>11</v>
      </c>
      <c r="AC6" s="17" t="s">
        <v>11</v>
      </c>
      <c r="AD6" s="17" t="s">
        <v>10</v>
      </c>
      <c r="AE6" s="17" t="s">
        <v>10</v>
      </c>
    </row>
    <row r="7" spans="1:31" x14ac:dyDescent="0.35">
      <c r="A7" s="9" t="s">
        <v>12</v>
      </c>
      <c r="B7" s="11" t="s">
        <v>2</v>
      </c>
      <c r="C7" s="39" t="s">
        <v>6</v>
      </c>
      <c r="D7" s="19" t="s">
        <v>41</v>
      </c>
      <c r="E7" s="27" t="s">
        <v>37</v>
      </c>
      <c r="F7" s="39" t="s">
        <v>6</v>
      </c>
      <c r="G7" s="15" t="s">
        <v>4</v>
      </c>
      <c r="H7" s="15" t="s">
        <v>4</v>
      </c>
      <c r="I7" s="39" t="s">
        <v>6</v>
      </c>
      <c r="J7" s="17" t="s">
        <v>10</v>
      </c>
      <c r="K7" s="17" t="s">
        <v>10</v>
      </c>
      <c r="L7" s="17" t="s">
        <v>10</v>
      </c>
      <c r="M7" s="17" t="s">
        <v>10</v>
      </c>
      <c r="N7" s="15" t="s">
        <v>4</v>
      </c>
      <c r="O7" s="15" t="s">
        <v>4</v>
      </c>
      <c r="P7" s="35" t="s">
        <v>39</v>
      </c>
      <c r="Q7" s="39" t="s">
        <v>6</v>
      </c>
      <c r="R7" s="39" t="s">
        <v>6</v>
      </c>
      <c r="S7" s="11" t="s">
        <v>2</v>
      </c>
      <c r="T7" s="11" t="s">
        <v>2</v>
      </c>
      <c r="U7" s="20" t="s">
        <v>42</v>
      </c>
      <c r="V7" s="20" t="s">
        <v>42</v>
      </c>
      <c r="W7" s="11" t="s">
        <v>2</v>
      </c>
      <c r="X7" s="11" t="s">
        <v>2</v>
      </c>
      <c r="Y7" s="13" t="s">
        <v>5</v>
      </c>
      <c r="Z7" s="17" t="s">
        <v>10</v>
      </c>
      <c r="AA7" s="17" t="s">
        <v>10</v>
      </c>
      <c r="AB7" s="17" t="s">
        <v>11</v>
      </c>
      <c r="AC7" s="17" t="s">
        <v>11</v>
      </c>
      <c r="AD7" s="12" t="s">
        <v>2</v>
      </c>
      <c r="AE7" s="12" t="s">
        <v>2</v>
      </c>
    </row>
    <row r="8" spans="1:31" x14ac:dyDescent="0.35">
      <c r="A8" s="9" t="s">
        <v>13</v>
      </c>
      <c r="B8" s="38" t="s">
        <v>10</v>
      </c>
      <c r="C8" s="11" t="s">
        <v>2</v>
      </c>
      <c r="D8" s="11" t="s">
        <v>2</v>
      </c>
      <c r="E8" s="21" t="s">
        <v>42</v>
      </c>
      <c r="F8" s="19" t="s">
        <v>41</v>
      </c>
      <c r="G8" s="40" t="s">
        <v>3</v>
      </c>
      <c r="H8" s="40" t="s">
        <v>3</v>
      </c>
      <c r="I8" s="11" t="s">
        <v>2</v>
      </c>
      <c r="J8" s="39" t="s">
        <v>6</v>
      </c>
      <c r="K8" s="39" t="s">
        <v>6</v>
      </c>
      <c r="L8" s="11" t="s">
        <v>2</v>
      </c>
      <c r="M8" s="39" t="s">
        <v>6</v>
      </c>
      <c r="N8" s="18" t="s">
        <v>3</v>
      </c>
      <c r="O8" s="18" t="s">
        <v>3</v>
      </c>
      <c r="P8" s="17" t="s">
        <v>10</v>
      </c>
      <c r="Q8" s="17" t="s">
        <v>10</v>
      </c>
      <c r="R8" s="11" t="s">
        <v>2</v>
      </c>
      <c r="S8" s="19" t="s">
        <v>41</v>
      </c>
      <c r="T8" s="19" t="s">
        <v>41</v>
      </c>
      <c r="U8" s="15" t="s">
        <v>4</v>
      </c>
      <c r="V8" s="15" t="s">
        <v>4</v>
      </c>
      <c r="W8" s="18" t="s">
        <v>6</v>
      </c>
      <c r="X8" s="18" t="s">
        <v>6</v>
      </c>
      <c r="Y8" s="18" t="s">
        <v>6</v>
      </c>
      <c r="Z8" s="18" t="s">
        <v>6</v>
      </c>
      <c r="AA8" s="11" t="s">
        <v>2</v>
      </c>
      <c r="AB8" s="15" t="s">
        <v>4</v>
      </c>
      <c r="AC8" s="18" t="s">
        <v>3</v>
      </c>
      <c r="AD8" s="18" t="s">
        <v>6</v>
      </c>
      <c r="AE8" s="18" t="s">
        <v>6</v>
      </c>
    </row>
    <row r="9" spans="1:31" x14ac:dyDescent="0.35">
      <c r="A9" s="9" t="s">
        <v>14</v>
      </c>
      <c r="B9" s="11" t="s">
        <v>2</v>
      </c>
      <c r="C9" s="38" t="s">
        <v>10</v>
      </c>
      <c r="D9" s="38" t="s">
        <v>10</v>
      </c>
      <c r="E9" s="17" t="s">
        <v>11</v>
      </c>
      <c r="F9" s="38" t="s">
        <v>10</v>
      </c>
      <c r="G9" s="17" t="s">
        <v>11</v>
      </c>
      <c r="H9" s="15" t="s">
        <v>4</v>
      </c>
      <c r="I9" s="11" t="s">
        <v>2</v>
      </c>
      <c r="J9" s="39" t="s">
        <v>6</v>
      </c>
      <c r="K9" s="39" t="s">
        <v>6</v>
      </c>
      <c r="L9" s="13" t="s">
        <v>5</v>
      </c>
      <c r="M9" s="13" t="s">
        <v>5</v>
      </c>
      <c r="N9" s="44" t="s">
        <v>4</v>
      </c>
      <c r="O9" s="44" t="s">
        <v>4</v>
      </c>
      <c r="P9" s="13" t="s">
        <v>5</v>
      </c>
      <c r="Q9" s="13" t="s">
        <v>5</v>
      </c>
      <c r="R9" s="13" t="s">
        <v>5</v>
      </c>
      <c r="S9" s="39" t="s">
        <v>6</v>
      </c>
      <c r="T9" s="39" t="s">
        <v>6</v>
      </c>
      <c r="U9" s="18" t="s">
        <v>3</v>
      </c>
      <c r="V9" s="18" t="s">
        <v>3</v>
      </c>
      <c r="W9" s="18" t="s">
        <v>6</v>
      </c>
      <c r="X9" s="11" t="s">
        <v>2</v>
      </c>
      <c r="Y9" s="18" t="s">
        <v>6</v>
      </c>
      <c r="Z9" s="18" t="s">
        <v>6</v>
      </c>
      <c r="AA9" s="18" t="s">
        <v>6</v>
      </c>
      <c r="AB9" s="18" t="s">
        <v>3</v>
      </c>
      <c r="AC9" s="15" t="s">
        <v>4</v>
      </c>
      <c r="AD9" s="12" t="s">
        <v>2</v>
      </c>
      <c r="AE9" s="12" t="s">
        <v>2</v>
      </c>
    </row>
    <row r="10" spans="1:31" x14ac:dyDescent="0.35">
      <c r="A10" s="9" t="s">
        <v>15</v>
      </c>
      <c r="B10" s="38" t="s">
        <v>10</v>
      </c>
      <c r="C10" s="38" t="s">
        <v>10</v>
      </c>
      <c r="D10" s="11" t="s">
        <v>2</v>
      </c>
      <c r="E10" s="40" t="s">
        <v>3</v>
      </c>
      <c r="F10" s="13" t="s">
        <v>5</v>
      </c>
      <c r="G10" s="15" t="s">
        <v>4</v>
      </c>
      <c r="H10" s="21" t="s">
        <v>42</v>
      </c>
      <c r="I10" s="19" t="s">
        <v>41</v>
      </c>
      <c r="J10" s="19" t="s">
        <v>41</v>
      </c>
      <c r="K10" s="19" t="s">
        <v>41</v>
      </c>
      <c r="L10" s="11" t="s">
        <v>2</v>
      </c>
      <c r="M10" s="11" t="s">
        <v>2</v>
      </c>
      <c r="N10" s="17" t="s">
        <v>11</v>
      </c>
      <c r="O10" s="17" t="s">
        <v>11</v>
      </c>
      <c r="P10" s="17" t="s">
        <v>10</v>
      </c>
      <c r="Q10" s="17" t="s">
        <v>10</v>
      </c>
      <c r="R10" s="11" t="s">
        <v>2</v>
      </c>
      <c r="S10" s="11" t="s">
        <v>2</v>
      </c>
      <c r="T10" s="17" t="s">
        <v>10</v>
      </c>
      <c r="U10" s="17" t="s">
        <v>11</v>
      </c>
      <c r="V10" s="17" t="s">
        <v>11</v>
      </c>
      <c r="W10" s="17" t="s">
        <v>10</v>
      </c>
      <c r="X10" s="17" t="s">
        <v>10</v>
      </c>
      <c r="Y10" s="17" t="s">
        <v>10</v>
      </c>
      <c r="Z10" s="11" t="s">
        <v>2</v>
      </c>
      <c r="AA10" s="13" t="s">
        <v>5</v>
      </c>
      <c r="AB10" s="15" t="s">
        <v>4</v>
      </c>
      <c r="AC10" s="15" t="s">
        <v>4</v>
      </c>
      <c r="AD10" s="18" t="s">
        <v>6</v>
      </c>
      <c r="AE10" s="18" t="s">
        <v>6</v>
      </c>
    </row>
    <row r="11" spans="1:31" x14ac:dyDescent="0.35">
      <c r="A11" s="9" t="s">
        <v>18</v>
      </c>
      <c r="B11" s="11" t="s">
        <v>2</v>
      </c>
      <c r="C11" s="23" t="s">
        <v>17</v>
      </c>
      <c r="D11" s="18" t="s">
        <v>6</v>
      </c>
      <c r="E11" s="40" t="s">
        <v>3</v>
      </c>
      <c r="F11" s="39" t="s">
        <v>6</v>
      </c>
      <c r="G11" s="40" t="s">
        <v>3</v>
      </c>
      <c r="H11" s="40" t="s">
        <v>3</v>
      </c>
      <c r="I11" s="11" t="s">
        <v>2</v>
      </c>
      <c r="J11" s="11" t="s">
        <v>2</v>
      </c>
      <c r="K11" s="19" t="s">
        <v>41</v>
      </c>
      <c r="L11" s="19" t="s">
        <v>41</v>
      </c>
      <c r="M11" s="39" t="s">
        <v>6</v>
      </c>
      <c r="N11" s="21" t="s">
        <v>42</v>
      </c>
      <c r="O11" s="18" t="s">
        <v>3</v>
      </c>
      <c r="P11" s="11" t="s">
        <v>2</v>
      </c>
      <c r="Q11" s="11" t="s">
        <v>2</v>
      </c>
      <c r="R11" s="39" t="s">
        <v>6</v>
      </c>
      <c r="S11" s="39" t="s">
        <v>6</v>
      </c>
      <c r="T11" s="39" t="s">
        <v>6</v>
      </c>
      <c r="U11" s="44" t="s">
        <v>4</v>
      </c>
      <c r="V11" s="44" t="s">
        <v>4</v>
      </c>
      <c r="W11" s="12" t="s">
        <v>2</v>
      </c>
      <c r="X11" s="19" t="s">
        <v>41</v>
      </c>
      <c r="Y11" s="17" t="s">
        <v>10</v>
      </c>
      <c r="Z11" s="17" t="s">
        <v>10</v>
      </c>
      <c r="AA11" s="17" t="s">
        <v>10</v>
      </c>
      <c r="AB11" s="15" t="s">
        <v>4</v>
      </c>
      <c r="AC11" s="15" t="s">
        <v>4</v>
      </c>
      <c r="AD11" s="12" t="s">
        <v>2</v>
      </c>
      <c r="AE11" s="19" t="s">
        <v>41</v>
      </c>
    </row>
    <row r="12" spans="1:31" x14ac:dyDescent="0.35">
      <c r="A12" s="9" t="s">
        <v>19</v>
      </c>
      <c r="B12" s="18" t="s">
        <v>6</v>
      </c>
      <c r="C12" s="13" t="s">
        <v>5</v>
      </c>
      <c r="D12" s="13" t="s">
        <v>5</v>
      </c>
      <c r="E12" s="27" t="s">
        <v>37</v>
      </c>
      <c r="F12" s="13" t="s">
        <v>5</v>
      </c>
      <c r="G12" s="15" t="s">
        <v>4</v>
      </c>
      <c r="H12" s="15" t="s">
        <v>4</v>
      </c>
      <c r="I12" s="18" t="s">
        <v>6</v>
      </c>
      <c r="J12" s="18" t="s">
        <v>6</v>
      </c>
      <c r="K12" s="11" t="s">
        <v>2</v>
      </c>
      <c r="L12" s="18" t="s">
        <v>6</v>
      </c>
      <c r="M12" s="39" t="s">
        <v>6</v>
      </c>
      <c r="N12" s="18" t="s">
        <v>3</v>
      </c>
      <c r="O12" s="44" t="s">
        <v>4</v>
      </c>
      <c r="P12" s="13" t="s">
        <v>5</v>
      </c>
      <c r="Q12" s="13" t="s">
        <v>5</v>
      </c>
      <c r="R12" s="18" t="s">
        <v>6</v>
      </c>
      <c r="S12" s="13" t="s">
        <v>5</v>
      </c>
      <c r="T12" s="13" t="s">
        <v>5</v>
      </c>
      <c r="U12" s="44" t="s">
        <v>4</v>
      </c>
      <c r="V12" s="18" t="s">
        <v>3</v>
      </c>
      <c r="W12" s="18" t="s">
        <v>6</v>
      </c>
      <c r="X12" s="23" t="s">
        <v>17</v>
      </c>
      <c r="Y12" s="12" t="s">
        <v>2</v>
      </c>
      <c r="Z12" s="18" t="s">
        <v>6</v>
      </c>
      <c r="AA12" s="18" t="s">
        <v>6</v>
      </c>
      <c r="AB12" s="18" t="s">
        <v>3</v>
      </c>
      <c r="AC12" s="18" t="s">
        <v>3</v>
      </c>
      <c r="AD12" s="12" t="s">
        <v>2</v>
      </c>
      <c r="AE12" s="12" t="s">
        <v>2</v>
      </c>
    </row>
    <row r="13" spans="1:31" ht="14.15" customHeight="1" x14ac:dyDescent="0.35">
      <c r="A13" s="9" t="s">
        <v>20</v>
      </c>
      <c r="B13" s="19" t="s">
        <v>41</v>
      </c>
      <c r="C13" s="19" t="s">
        <v>41</v>
      </c>
      <c r="D13" s="23" t="s">
        <v>17</v>
      </c>
      <c r="E13" s="40" t="s">
        <v>3</v>
      </c>
      <c r="F13" s="39" t="s">
        <v>6</v>
      </c>
      <c r="G13" s="21" t="s">
        <v>42</v>
      </c>
      <c r="H13" s="15" t="s">
        <v>4</v>
      </c>
      <c r="I13" s="11" t="s">
        <v>2</v>
      </c>
      <c r="J13" s="18" t="s">
        <v>6</v>
      </c>
      <c r="K13" s="13" t="s">
        <v>5</v>
      </c>
      <c r="L13" s="19" t="s">
        <v>41</v>
      </c>
      <c r="M13" s="19" t="s">
        <v>41</v>
      </c>
      <c r="N13" s="17" t="s">
        <v>11</v>
      </c>
      <c r="O13" s="17" t="s">
        <v>11</v>
      </c>
      <c r="P13" s="13" t="s">
        <v>5</v>
      </c>
      <c r="Q13" s="13" t="s">
        <v>5</v>
      </c>
      <c r="R13" s="19" t="s">
        <v>41</v>
      </c>
      <c r="S13" s="19" t="s">
        <v>41</v>
      </c>
      <c r="T13" s="19" t="s">
        <v>41</v>
      </c>
      <c r="U13" s="43" t="s">
        <v>30</v>
      </c>
      <c r="V13" s="15" t="s">
        <v>4</v>
      </c>
      <c r="W13" s="19" t="s">
        <v>41</v>
      </c>
      <c r="X13" s="13" t="s">
        <v>5</v>
      </c>
      <c r="Y13" s="18" t="s">
        <v>6</v>
      </c>
      <c r="Z13" s="18" t="s">
        <v>6</v>
      </c>
      <c r="AA13" s="18" t="s">
        <v>6</v>
      </c>
      <c r="AB13" s="15" t="s">
        <v>4</v>
      </c>
      <c r="AC13" s="15" t="s">
        <v>4</v>
      </c>
      <c r="AD13" s="18" t="s">
        <v>6</v>
      </c>
      <c r="AE13" s="18" t="s">
        <v>6</v>
      </c>
    </row>
    <row r="14" spans="1:31" ht="14.15" customHeight="1" x14ac:dyDescent="0.35">
      <c r="A14" s="9" t="s">
        <v>21</v>
      </c>
      <c r="B14" s="19" t="s">
        <v>41</v>
      </c>
      <c r="C14" s="11" t="s">
        <v>2</v>
      </c>
      <c r="D14" s="18" t="s">
        <v>6</v>
      </c>
      <c r="E14" s="21" t="s">
        <v>42</v>
      </c>
      <c r="F14" s="11" t="s">
        <v>2</v>
      </c>
      <c r="G14" s="17" t="s">
        <v>11</v>
      </c>
      <c r="H14" s="17" t="s">
        <v>11</v>
      </c>
      <c r="I14" s="17" t="s">
        <v>10</v>
      </c>
      <c r="J14" s="13" t="s">
        <v>5</v>
      </c>
      <c r="K14" s="17" t="s">
        <v>10</v>
      </c>
      <c r="L14" s="17" t="s">
        <v>10</v>
      </c>
      <c r="M14" s="17" t="s">
        <v>10</v>
      </c>
      <c r="N14" s="15" t="s">
        <v>4</v>
      </c>
      <c r="O14" s="15" t="s">
        <v>4</v>
      </c>
      <c r="P14" s="19" t="s">
        <v>41</v>
      </c>
      <c r="Q14" s="19" t="s">
        <v>41</v>
      </c>
      <c r="R14" s="11" t="s">
        <v>2</v>
      </c>
      <c r="S14" s="11" t="s">
        <v>2</v>
      </c>
      <c r="T14" s="39" t="s">
        <v>6</v>
      </c>
      <c r="U14" s="18" t="s">
        <v>3</v>
      </c>
      <c r="V14" s="15" t="s">
        <v>4</v>
      </c>
      <c r="W14" s="11" t="s">
        <v>2</v>
      </c>
      <c r="X14" s="18" t="s">
        <v>6</v>
      </c>
      <c r="Y14" s="19" t="s">
        <v>41</v>
      </c>
      <c r="Z14" s="19" t="s">
        <v>41</v>
      </c>
      <c r="AA14" s="11" t="s">
        <v>2</v>
      </c>
      <c r="AB14" s="43" t="s">
        <v>30</v>
      </c>
      <c r="AC14" s="15" t="s">
        <v>4</v>
      </c>
      <c r="AD14" s="17" t="s">
        <v>10</v>
      </c>
      <c r="AE14" s="17" t="s">
        <v>10</v>
      </c>
    </row>
    <row r="15" spans="1:31" x14ac:dyDescent="0.35">
      <c r="A15" s="9" t="s">
        <v>22</v>
      </c>
      <c r="B15" s="13" t="s">
        <v>5</v>
      </c>
      <c r="C15" s="13" t="s">
        <v>5</v>
      </c>
      <c r="D15" s="13" t="s">
        <v>5</v>
      </c>
      <c r="E15" s="27" t="s">
        <v>37</v>
      </c>
      <c r="F15" s="13" t="s">
        <v>5</v>
      </c>
      <c r="G15" s="15" t="s">
        <v>4</v>
      </c>
      <c r="H15" s="15" t="s">
        <v>4</v>
      </c>
      <c r="I15" s="13" t="s">
        <v>5</v>
      </c>
      <c r="J15" s="13" t="s">
        <v>5</v>
      </c>
      <c r="K15" s="39" t="s">
        <v>6</v>
      </c>
      <c r="L15" s="39" t="s">
        <v>6</v>
      </c>
      <c r="M15" s="39" t="s">
        <v>6</v>
      </c>
      <c r="N15" s="43" t="s">
        <v>30</v>
      </c>
      <c r="O15" s="21" t="s">
        <v>42</v>
      </c>
      <c r="P15" s="11" t="s">
        <v>2</v>
      </c>
      <c r="Q15" s="11" t="s">
        <v>2</v>
      </c>
      <c r="R15" s="19" t="s">
        <v>41</v>
      </c>
      <c r="S15" s="19" t="s">
        <v>41</v>
      </c>
      <c r="T15" s="13" t="s">
        <v>5</v>
      </c>
      <c r="U15" s="15" t="s">
        <v>4</v>
      </c>
      <c r="V15" s="15" t="s">
        <v>4</v>
      </c>
      <c r="W15" s="18" t="s">
        <v>6</v>
      </c>
      <c r="X15" s="18" t="s">
        <v>6</v>
      </c>
      <c r="Y15" s="12" t="s">
        <v>2</v>
      </c>
      <c r="Z15" s="19" t="s">
        <v>41</v>
      </c>
      <c r="AA15" s="19" t="s">
        <v>41</v>
      </c>
      <c r="AB15" s="15" t="s">
        <v>4</v>
      </c>
      <c r="AC15" s="15" t="s">
        <v>4</v>
      </c>
      <c r="AD15" s="19" t="s">
        <v>41</v>
      </c>
      <c r="AE15" s="19" t="s">
        <v>41</v>
      </c>
    </row>
    <row r="16" spans="1:31" x14ac:dyDescent="0.35">
      <c r="A16" s="9" t="s">
        <v>43</v>
      </c>
      <c r="B16" s="37" t="s">
        <v>8</v>
      </c>
      <c r="C16" s="37" t="s">
        <v>8</v>
      </c>
      <c r="D16" s="38" t="s">
        <v>10</v>
      </c>
      <c r="E16" s="17" t="s">
        <v>11</v>
      </c>
      <c r="F16" s="38" t="s">
        <v>10</v>
      </c>
      <c r="G16" s="15" t="s">
        <v>4</v>
      </c>
      <c r="H16" s="15" t="s">
        <v>4</v>
      </c>
      <c r="I16" s="19" t="s">
        <v>41</v>
      </c>
      <c r="J16" s="19" t="s">
        <v>41</v>
      </c>
      <c r="K16" s="18" t="s">
        <v>6</v>
      </c>
      <c r="L16" s="18" t="s">
        <v>6</v>
      </c>
      <c r="M16" s="23" t="s">
        <v>17</v>
      </c>
      <c r="N16" s="15" t="s">
        <v>4</v>
      </c>
      <c r="O16" s="15" t="s">
        <v>4</v>
      </c>
      <c r="P16" s="18" t="s">
        <v>6</v>
      </c>
      <c r="Q16" s="19" t="s">
        <v>41</v>
      </c>
      <c r="R16" s="17" t="s">
        <v>10</v>
      </c>
      <c r="S16" s="17" t="s">
        <v>10</v>
      </c>
      <c r="T16" s="11" t="s">
        <v>2</v>
      </c>
      <c r="U16" s="20" t="s">
        <v>42</v>
      </c>
      <c r="V16" s="15" t="s">
        <v>4</v>
      </c>
      <c r="W16" s="11" t="s">
        <v>2</v>
      </c>
      <c r="X16" s="19" t="s">
        <v>41</v>
      </c>
      <c r="Y16" s="19" t="s">
        <v>41</v>
      </c>
      <c r="Z16" s="11" t="s">
        <v>2</v>
      </c>
      <c r="AA16" s="11" t="s">
        <v>2</v>
      </c>
      <c r="AB16" s="20" t="s">
        <v>42</v>
      </c>
      <c r="AC16" s="20" t="s">
        <v>42</v>
      </c>
      <c r="AD16" s="37" t="s">
        <v>8</v>
      </c>
      <c r="AE16" s="37" t="s">
        <v>8</v>
      </c>
    </row>
    <row r="17" spans="1:31" x14ac:dyDescent="0.35">
      <c r="A17" s="9" t="s">
        <v>44</v>
      </c>
      <c r="B17" s="18" t="s">
        <v>6</v>
      </c>
      <c r="C17" s="18" t="s">
        <v>6</v>
      </c>
      <c r="D17" s="19" t="s">
        <v>41</v>
      </c>
      <c r="E17" s="27" t="s">
        <v>37</v>
      </c>
      <c r="F17" s="19" t="s">
        <v>41</v>
      </c>
      <c r="G17" s="15" t="s">
        <v>4</v>
      </c>
      <c r="H17" s="15" t="s">
        <v>4</v>
      </c>
      <c r="I17" s="26" t="s">
        <v>34</v>
      </c>
      <c r="J17" s="23" t="s">
        <v>17</v>
      </c>
      <c r="K17" s="19" t="s">
        <v>41</v>
      </c>
      <c r="L17" s="19" t="s">
        <v>41</v>
      </c>
      <c r="M17" s="19" t="s">
        <v>41</v>
      </c>
      <c r="N17" s="15" t="s">
        <v>4</v>
      </c>
      <c r="O17" s="15" t="s">
        <v>4</v>
      </c>
      <c r="P17" s="18" t="s">
        <v>6</v>
      </c>
      <c r="Q17" s="18" t="s">
        <v>6</v>
      </c>
      <c r="R17" s="18" t="s">
        <v>6</v>
      </c>
      <c r="S17" s="18" t="s">
        <v>6</v>
      </c>
      <c r="T17" s="18" t="s">
        <v>6</v>
      </c>
      <c r="U17" s="15" t="s">
        <v>4</v>
      </c>
      <c r="V17" s="15" t="s">
        <v>4</v>
      </c>
      <c r="W17" s="19" t="s">
        <v>41</v>
      </c>
      <c r="X17" s="19" t="s">
        <v>41</v>
      </c>
      <c r="Y17" s="19" t="s">
        <v>41</v>
      </c>
      <c r="Z17" s="19" t="s">
        <v>41</v>
      </c>
      <c r="AA17" s="19" t="s">
        <v>41</v>
      </c>
      <c r="AB17" s="15" t="s">
        <v>4</v>
      </c>
      <c r="AC17" s="15" t="s">
        <v>4</v>
      </c>
      <c r="AD17" s="19" t="s">
        <v>41</v>
      </c>
      <c r="AE17" s="18" t="s">
        <v>6</v>
      </c>
    </row>
    <row r="18" spans="1:31" x14ac:dyDescent="0.35">
      <c r="A18" s="9" t="s">
        <v>45</v>
      </c>
      <c r="B18" s="18" t="s">
        <v>6</v>
      </c>
      <c r="C18" s="18" t="s">
        <v>6</v>
      </c>
      <c r="D18" s="18" t="s">
        <v>6</v>
      </c>
      <c r="E18" s="27" t="s">
        <v>37</v>
      </c>
      <c r="F18" s="39" t="s">
        <v>6</v>
      </c>
      <c r="G18" s="15" t="s">
        <v>4</v>
      </c>
      <c r="H18" s="36" t="s">
        <v>4</v>
      </c>
      <c r="I18" s="18" t="s">
        <v>6</v>
      </c>
      <c r="J18" s="19" t="s">
        <v>41</v>
      </c>
      <c r="K18" s="19" t="s">
        <v>41</v>
      </c>
      <c r="L18" s="23" t="s">
        <v>17</v>
      </c>
      <c r="M18" s="23" t="s">
        <v>17</v>
      </c>
      <c r="N18" s="15" t="s">
        <v>4</v>
      </c>
      <c r="O18" s="36" t="s">
        <v>4</v>
      </c>
      <c r="P18" s="18" t="s">
        <v>6</v>
      </c>
      <c r="Q18" s="18" t="s">
        <v>6</v>
      </c>
      <c r="R18" s="23" t="s">
        <v>17</v>
      </c>
      <c r="S18" s="18" t="s">
        <v>6</v>
      </c>
      <c r="T18" s="19" t="s">
        <v>41</v>
      </c>
      <c r="U18" s="15" t="s">
        <v>4</v>
      </c>
      <c r="V18" s="36" t="s">
        <v>4</v>
      </c>
      <c r="W18" s="18" t="s">
        <v>6</v>
      </c>
      <c r="X18" s="18" t="s">
        <v>6</v>
      </c>
      <c r="Y18" s="18" t="s">
        <v>6</v>
      </c>
      <c r="Z18" s="18" t="s">
        <v>6</v>
      </c>
      <c r="AA18" s="18" t="s">
        <v>6</v>
      </c>
      <c r="AB18" s="15" t="s">
        <v>4</v>
      </c>
      <c r="AC18" s="36" t="s">
        <v>4</v>
      </c>
      <c r="AD18" s="19" t="s">
        <v>41</v>
      </c>
      <c r="AE18" s="19" t="s">
        <v>41</v>
      </c>
    </row>
    <row r="19" spans="1:31" ht="15" thickBot="1" x14ac:dyDescent="0.4">
      <c r="A19" s="9" t="s">
        <v>46</v>
      </c>
      <c r="B19" s="19" t="s">
        <v>41</v>
      </c>
      <c r="C19" s="19" t="s">
        <v>41</v>
      </c>
      <c r="D19" s="19" t="s">
        <v>41</v>
      </c>
      <c r="E19" s="27" t="s">
        <v>37</v>
      </c>
      <c r="F19" s="19" t="s">
        <v>41</v>
      </c>
      <c r="G19" s="41" t="s">
        <v>4</v>
      </c>
      <c r="H19" s="42" t="s">
        <v>4</v>
      </c>
      <c r="I19" s="37" t="s">
        <v>8</v>
      </c>
      <c r="J19" s="37" t="s">
        <v>8</v>
      </c>
      <c r="K19" s="11" t="s">
        <v>2</v>
      </c>
      <c r="L19" s="23" t="s">
        <v>17</v>
      </c>
      <c r="M19" s="19" t="s">
        <v>41</v>
      </c>
      <c r="N19" s="41" t="s">
        <v>4</v>
      </c>
      <c r="O19" s="42" t="s">
        <v>4</v>
      </c>
      <c r="P19" s="19" t="s">
        <v>41</v>
      </c>
      <c r="Q19" s="19" t="s">
        <v>41</v>
      </c>
      <c r="R19" s="19" t="s">
        <v>41</v>
      </c>
      <c r="S19" s="23" t="s">
        <v>17</v>
      </c>
      <c r="T19" s="19" t="s">
        <v>41</v>
      </c>
      <c r="U19" s="41" t="s">
        <v>4</v>
      </c>
      <c r="V19" s="42" t="s">
        <v>4</v>
      </c>
      <c r="W19" s="37" t="s">
        <v>8</v>
      </c>
      <c r="X19" s="37" t="s">
        <v>8</v>
      </c>
      <c r="Y19" s="37" t="s">
        <v>8</v>
      </c>
      <c r="Z19" s="11" t="s">
        <v>2</v>
      </c>
      <c r="AA19" s="19" t="s">
        <v>41</v>
      </c>
      <c r="AB19" s="41" t="s">
        <v>4</v>
      </c>
      <c r="AC19" s="42" t="s">
        <v>4</v>
      </c>
      <c r="AD19" s="18" t="s">
        <v>6</v>
      </c>
      <c r="AE19" s="23" t="s">
        <v>17</v>
      </c>
    </row>
    <row r="21" spans="1:31" x14ac:dyDescent="0.35">
      <c r="A21" s="24" t="s">
        <v>23</v>
      </c>
      <c r="B21" s="1"/>
    </row>
    <row r="22" spans="1:31" x14ac:dyDescent="0.35">
      <c r="A22" s="1" t="s">
        <v>24</v>
      </c>
      <c r="B22" s="22" t="s">
        <v>16</v>
      </c>
    </row>
    <row r="23" spans="1:31" x14ac:dyDescent="0.35">
      <c r="A23" s="1" t="s">
        <v>25</v>
      </c>
      <c r="B23" s="25" t="s">
        <v>6</v>
      </c>
    </row>
    <row r="24" spans="1:31" x14ac:dyDescent="0.35">
      <c r="A24" s="1" t="s">
        <v>47</v>
      </c>
      <c r="B24" s="19" t="s">
        <v>41</v>
      </c>
    </row>
    <row r="25" spans="1:31" x14ac:dyDescent="0.35">
      <c r="A25" s="1" t="s">
        <v>48</v>
      </c>
      <c r="B25" s="10" t="s">
        <v>39</v>
      </c>
    </row>
    <row r="26" spans="1:31" x14ac:dyDescent="0.35">
      <c r="A26" s="1" t="s">
        <v>26</v>
      </c>
      <c r="B26" s="16" t="s">
        <v>8</v>
      </c>
    </row>
    <row r="27" spans="1:31" x14ac:dyDescent="0.35">
      <c r="A27" s="1" t="s">
        <v>27</v>
      </c>
      <c r="B27" s="17" t="s">
        <v>10</v>
      </c>
    </row>
    <row r="28" spans="1:31" x14ac:dyDescent="0.35">
      <c r="A28" s="1" t="s">
        <v>28</v>
      </c>
      <c r="B28" s="14" t="s">
        <v>3</v>
      </c>
    </row>
    <row r="29" spans="1:31" x14ac:dyDescent="0.35">
      <c r="A29" s="1" t="s">
        <v>29</v>
      </c>
      <c r="B29" s="22" t="s">
        <v>30</v>
      </c>
    </row>
    <row r="30" spans="1:31" x14ac:dyDescent="0.35">
      <c r="A30" s="1" t="s">
        <v>49</v>
      </c>
      <c r="B30" s="19" t="s">
        <v>42</v>
      </c>
    </row>
    <row r="31" spans="1:31" x14ac:dyDescent="0.35">
      <c r="A31" s="1" t="s">
        <v>50</v>
      </c>
      <c r="B31" s="10" t="s">
        <v>40</v>
      </c>
    </row>
    <row r="32" spans="1:31" x14ac:dyDescent="0.35">
      <c r="A32" s="1" t="s">
        <v>31</v>
      </c>
      <c r="B32" s="17" t="s">
        <v>11</v>
      </c>
    </row>
    <row r="33" spans="1:2" x14ac:dyDescent="0.35">
      <c r="A33" s="1" t="s">
        <v>32</v>
      </c>
      <c r="B33" s="13" t="s">
        <v>5</v>
      </c>
    </row>
    <row r="34" spans="1:2" x14ac:dyDescent="0.35">
      <c r="A34" s="1" t="s">
        <v>33</v>
      </c>
      <c r="B34" s="26" t="s">
        <v>34</v>
      </c>
    </row>
    <row r="35" spans="1:2" x14ac:dyDescent="0.35">
      <c r="A35" s="1" t="s">
        <v>35</v>
      </c>
      <c r="B35" s="12" t="s">
        <v>2</v>
      </c>
    </row>
    <row r="36" spans="1:2" x14ac:dyDescent="0.35">
      <c r="A36" s="1" t="s">
        <v>36</v>
      </c>
      <c r="B36" s="27" t="s">
        <v>37</v>
      </c>
    </row>
    <row r="37" spans="1:2" x14ac:dyDescent="0.35">
      <c r="A37" s="1" t="s">
        <v>38</v>
      </c>
      <c r="B37" s="28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H38"/>
  <sheetViews>
    <sheetView zoomScale="80" zoomScaleNormal="80" workbookViewId="0">
      <pane xSplit="1" topLeftCell="E1" activePane="topRight" state="frozen"/>
      <selection pane="topRight" activeCell="N4" sqref="N4"/>
    </sheetView>
  </sheetViews>
  <sheetFormatPr defaultColWidth="9.1796875" defaultRowHeight="14.5" x14ac:dyDescent="0.35"/>
  <cols>
    <col min="1" max="1" width="21.81640625" bestFit="1" customWidth="1"/>
    <col min="2" max="2" width="7.1796875" customWidth="1"/>
    <col min="3" max="4" width="6.90625" customWidth="1"/>
    <col min="5" max="6" width="7.1796875" customWidth="1"/>
    <col min="7" max="7" width="7.54296875" customWidth="1"/>
    <col min="8" max="11" width="6.90625" customWidth="1"/>
    <col min="12" max="13" width="7.1796875" customWidth="1"/>
    <col min="14" max="14" width="7.26953125" customWidth="1"/>
    <col min="15" max="16" width="9.26953125" customWidth="1"/>
    <col min="17" max="17" width="7.26953125" customWidth="1"/>
    <col min="18" max="18" width="6.90625" customWidth="1"/>
    <col min="19" max="19" width="7.54296875" customWidth="1"/>
    <col min="20" max="20" width="7.26953125" customWidth="1"/>
    <col min="21" max="21" width="7.54296875" customWidth="1"/>
    <col min="22" max="23" width="9.26953125" customWidth="1"/>
    <col min="24" max="24" width="7.54296875" customWidth="1"/>
    <col min="25" max="25" width="9.26953125" customWidth="1"/>
    <col min="26" max="26" width="7.54296875" customWidth="1"/>
    <col min="27" max="27" width="7.1796875" bestFit="1" customWidth="1"/>
    <col min="28" max="28" width="7.54296875" customWidth="1"/>
    <col min="29" max="29" width="9.26953125" customWidth="1"/>
    <col min="30" max="33" width="9.1796875" customWidth="1"/>
    <col min="34" max="34" width="7.1796875" customWidth="1"/>
    <col min="35" max="35" width="9.1796875" customWidth="1"/>
  </cols>
  <sheetData>
    <row r="1" spans="1:34" ht="15" customHeight="1" x14ac:dyDescent="0.35">
      <c r="A1" s="1"/>
      <c r="B1" s="2" t="str">
        <f t="shared" ref="B1:AH1" si="0">TEXT(B2,"ddd")</f>
        <v>Wed</v>
      </c>
      <c r="C1" s="2" t="str">
        <f t="shared" si="0"/>
        <v>Thu</v>
      </c>
      <c r="D1" s="3" t="str">
        <f t="shared" si="0"/>
        <v>Fri</v>
      </c>
      <c r="E1" s="4" t="str">
        <f t="shared" si="0"/>
        <v>Sat</v>
      </c>
      <c r="F1" s="5" t="str">
        <f t="shared" si="0"/>
        <v>Sun</v>
      </c>
      <c r="G1" s="6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3" t="str">
        <f t="shared" si="0"/>
        <v>Fri</v>
      </c>
      <c r="L1" s="4" t="str">
        <f t="shared" si="0"/>
        <v>Sat</v>
      </c>
      <c r="M1" s="5" t="str">
        <f t="shared" si="0"/>
        <v>Sun</v>
      </c>
      <c r="N1" s="6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3" t="str">
        <f t="shared" si="0"/>
        <v>Fri</v>
      </c>
      <c r="S1" s="4" t="str">
        <f t="shared" si="0"/>
        <v>Sat</v>
      </c>
      <c r="T1" s="5" t="str">
        <f t="shared" si="0"/>
        <v>Sun</v>
      </c>
      <c r="U1" s="6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3" t="str">
        <f t="shared" si="0"/>
        <v>Fri</v>
      </c>
      <c r="Z1" s="4" t="str">
        <f t="shared" si="0"/>
        <v>Sat</v>
      </c>
      <c r="AA1" s="5" t="str">
        <f t="shared" si="0"/>
        <v>Sun</v>
      </c>
      <c r="AB1" s="6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3" t="str">
        <f t="shared" si="0"/>
        <v>Fri</v>
      </c>
      <c r="AG1" s="4" t="str">
        <f t="shared" si="0"/>
        <v>Sat</v>
      </c>
      <c r="AH1" s="5" t="str">
        <f t="shared" si="0"/>
        <v>Sun</v>
      </c>
    </row>
    <row r="2" spans="1:34" x14ac:dyDescent="0.35">
      <c r="A2" s="7" t="s">
        <v>0</v>
      </c>
      <c r="B2" s="29">
        <v>44531</v>
      </c>
      <c r="C2" s="29">
        <v>44532</v>
      </c>
      <c r="D2" s="47">
        <v>44533</v>
      </c>
      <c r="E2" s="55">
        <v>44534</v>
      </c>
      <c r="F2" s="56">
        <v>44535</v>
      </c>
      <c r="G2" s="50">
        <v>44536</v>
      </c>
      <c r="H2" s="29">
        <v>44537</v>
      </c>
      <c r="I2" s="29">
        <v>44538</v>
      </c>
      <c r="J2" s="29">
        <v>44539</v>
      </c>
      <c r="K2" s="47">
        <v>44540</v>
      </c>
      <c r="L2" s="55">
        <v>44541</v>
      </c>
      <c r="M2" s="56">
        <v>44542</v>
      </c>
      <c r="N2" s="50">
        <v>44543</v>
      </c>
      <c r="O2" s="29">
        <v>44544</v>
      </c>
      <c r="P2" s="29">
        <v>44545</v>
      </c>
      <c r="Q2" s="29">
        <v>44546</v>
      </c>
      <c r="R2" s="47">
        <v>44547</v>
      </c>
      <c r="S2" s="55">
        <v>44548</v>
      </c>
      <c r="T2" s="56">
        <v>44549</v>
      </c>
      <c r="U2" s="50">
        <v>44550</v>
      </c>
      <c r="V2" s="29">
        <v>44551</v>
      </c>
      <c r="W2" s="29">
        <v>44552</v>
      </c>
      <c r="X2" s="29">
        <v>44553</v>
      </c>
      <c r="Y2" s="47">
        <v>44554</v>
      </c>
      <c r="Z2" s="55">
        <v>44555</v>
      </c>
      <c r="AA2" s="56">
        <v>44556</v>
      </c>
      <c r="AB2" s="50">
        <v>44557</v>
      </c>
      <c r="AC2" s="29">
        <v>44558</v>
      </c>
      <c r="AD2" s="29">
        <v>44559</v>
      </c>
      <c r="AE2" s="29">
        <v>44560</v>
      </c>
      <c r="AF2" s="47">
        <v>44561</v>
      </c>
      <c r="AG2" s="55">
        <v>44562</v>
      </c>
      <c r="AH2" s="56">
        <v>44563</v>
      </c>
    </row>
    <row r="3" spans="1:34" x14ac:dyDescent="0.35">
      <c r="A3" s="8"/>
      <c r="B3" s="30"/>
      <c r="C3" s="30"/>
      <c r="D3" s="31"/>
      <c r="E3" s="32"/>
      <c r="F3" s="33"/>
      <c r="G3" s="34"/>
      <c r="H3" s="30"/>
      <c r="I3" s="30"/>
      <c r="J3" s="30"/>
      <c r="K3" s="31"/>
      <c r="L3" s="32"/>
      <c r="M3" s="33"/>
      <c r="N3" s="34"/>
      <c r="O3" s="30"/>
      <c r="P3" s="30"/>
      <c r="Q3" s="30"/>
      <c r="R3" s="31"/>
      <c r="S3" s="32"/>
      <c r="T3" s="33"/>
      <c r="U3" s="34"/>
      <c r="V3" s="30"/>
      <c r="W3" s="30"/>
      <c r="X3" s="30"/>
      <c r="Y3" s="31"/>
      <c r="Z3" s="32"/>
      <c r="AA3" s="33"/>
      <c r="AB3" s="34"/>
      <c r="AC3" s="30"/>
      <c r="AD3" s="30"/>
      <c r="AE3" s="30"/>
      <c r="AF3" s="31"/>
      <c r="AG3" s="32"/>
      <c r="AH3" s="33"/>
    </row>
    <row r="4" spans="1:34" x14ac:dyDescent="0.35">
      <c r="A4" s="9" t="s">
        <v>1</v>
      </c>
      <c r="B4" s="10" t="s">
        <v>39</v>
      </c>
      <c r="C4" s="11" t="s">
        <v>2</v>
      </c>
      <c r="D4" s="18" t="s">
        <v>6</v>
      </c>
      <c r="E4" s="15" t="s">
        <v>4</v>
      </c>
      <c r="F4" s="57" t="s">
        <v>40</v>
      </c>
      <c r="G4" s="13" t="s">
        <v>5</v>
      </c>
      <c r="H4" s="13" t="s">
        <v>5</v>
      </c>
      <c r="I4" s="13" t="s">
        <v>5</v>
      </c>
      <c r="J4" s="13" t="s">
        <v>5</v>
      </c>
      <c r="K4" s="49" t="s">
        <v>5</v>
      </c>
      <c r="L4" s="36" t="s">
        <v>4</v>
      </c>
      <c r="M4" s="36" t="s">
        <v>4</v>
      </c>
      <c r="N4" s="51" t="s">
        <v>8</v>
      </c>
      <c r="O4" s="16" t="s">
        <v>8</v>
      </c>
      <c r="P4" s="16" t="s">
        <v>8</v>
      </c>
      <c r="Q4" s="16" t="s">
        <v>8</v>
      </c>
      <c r="R4" s="53" t="s">
        <v>2</v>
      </c>
      <c r="S4" s="58" t="s">
        <v>40</v>
      </c>
      <c r="T4" s="57" t="s">
        <v>40</v>
      </c>
      <c r="U4" s="11" t="s">
        <v>2</v>
      </c>
      <c r="V4" s="10" t="s">
        <v>39</v>
      </c>
      <c r="W4" s="10" t="s">
        <v>39</v>
      </c>
      <c r="X4" s="10" t="s">
        <v>39</v>
      </c>
      <c r="Y4" s="11" t="s">
        <v>2</v>
      </c>
      <c r="Z4" s="58" t="s">
        <v>40</v>
      </c>
      <c r="AA4" s="57" t="s">
        <v>40</v>
      </c>
      <c r="AB4" s="39" t="s">
        <v>6</v>
      </c>
      <c r="AC4" s="16" t="s">
        <v>8</v>
      </c>
      <c r="AD4" s="16" t="s">
        <v>8</v>
      </c>
      <c r="AE4" s="12" t="s">
        <v>2</v>
      </c>
      <c r="AF4" s="48" t="s">
        <v>39</v>
      </c>
      <c r="AG4" s="10" t="s">
        <v>40</v>
      </c>
      <c r="AH4" s="10" t="s">
        <v>40</v>
      </c>
    </row>
    <row r="5" spans="1:34" x14ac:dyDescent="0.35">
      <c r="A5" s="9" t="s">
        <v>7</v>
      </c>
      <c r="B5" s="11" t="s">
        <v>2</v>
      </c>
      <c r="C5" s="10" t="s">
        <v>39</v>
      </c>
      <c r="D5" s="48" t="s">
        <v>39</v>
      </c>
      <c r="E5" s="58" t="s">
        <v>40</v>
      </c>
      <c r="F5" s="36" t="s">
        <v>4</v>
      </c>
      <c r="G5" s="35" t="s">
        <v>39</v>
      </c>
      <c r="H5" s="10" t="s">
        <v>39</v>
      </c>
      <c r="I5" s="10" t="s">
        <v>39</v>
      </c>
      <c r="J5" s="10" t="s">
        <v>39</v>
      </c>
      <c r="K5" s="48" t="s">
        <v>39</v>
      </c>
      <c r="L5" s="58" t="s">
        <v>40</v>
      </c>
      <c r="M5" s="36" t="s">
        <v>4</v>
      </c>
      <c r="N5" s="10" t="s">
        <v>39</v>
      </c>
      <c r="O5" s="53" t="s">
        <v>2</v>
      </c>
      <c r="P5" s="13" t="s">
        <v>5</v>
      </c>
      <c r="Q5" s="13" t="s">
        <v>5</v>
      </c>
      <c r="R5" s="13" t="s">
        <v>5</v>
      </c>
      <c r="S5" s="15" t="s">
        <v>4</v>
      </c>
      <c r="T5" s="15" t="s">
        <v>4</v>
      </c>
      <c r="U5" s="52" t="s">
        <v>5</v>
      </c>
      <c r="V5" s="13" t="s">
        <v>5</v>
      </c>
      <c r="W5" s="13" t="s">
        <v>5</v>
      </c>
      <c r="X5" s="13" t="s">
        <v>5</v>
      </c>
      <c r="Y5" s="49" t="s">
        <v>5</v>
      </c>
      <c r="Z5" s="15" t="s">
        <v>4</v>
      </c>
      <c r="AA5" s="15" t="s">
        <v>4</v>
      </c>
      <c r="AB5" s="48" t="s">
        <v>39</v>
      </c>
      <c r="AC5" s="23" t="s">
        <v>17</v>
      </c>
      <c r="AD5" s="23" t="s">
        <v>17</v>
      </c>
      <c r="AE5" s="49" t="s">
        <v>5</v>
      </c>
      <c r="AF5" s="49" t="s">
        <v>5</v>
      </c>
      <c r="AG5" s="28" t="s">
        <v>4</v>
      </c>
      <c r="AH5" s="28" t="s">
        <v>4</v>
      </c>
    </row>
    <row r="6" spans="1:34" x14ac:dyDescent="0.35">
      <c r="A6" s="9" t="s">
        <v>9</v>
      </c>
      <c r="B6" s="17" t="s">
        <v>10</v>
      </c>
      <c r="C6" s="17" t="s">
        <v>10</v>
      </c>
      <c r="D6" s="49" t="s">
        <v>5</v>
      </c>
      <c r="E6" s="36" t="s">
        <v>4</v>
      </c>
      <c r="F6" s="36" t="s">
        <v>4</v>
      </c>
      <c r="G6" s="52" t="s">
        <v>5</v>
      </c>
      <c r="H6" s="13" t="s">
        <v>5</v>
      </c>
      <c r="I6" s="13" t="s">
        <v>5</v>
      </c>
      <c r="J6" s="17" t="s">
        <v>10</v>
      </c>
      <c r="K6" s="38" t="s">
        <v>10</v>
      </c>
      <c r="L6" s="60" t="s">
        <v>11</v>
      </c>
      <c r="M6" s="36" t="s">
        <v>4</v>
      </c>
      <c r="N6" s="46" t="s">
        <v>10</v>
      </c>
      <c r="O6" s="53" t="s">
        <v>2</v>
      </c>
      <c r="P6" s="53" t="s">
        <v>2</v>
      </c>
      <c r="Q6" s="17" t="s">
        <v>10</v>
      </c>
      <c r="R6" s="17" t="s">
        <v>10</v>
      </c>
      <c r="S6" s="60" t="s">
        <v>11</v>
      </c>
      <c r="T6" s="61" t="s">
        <v>11</v>
      </c>
      <c r="U6" s="17" t="s">
        <v>10</v>
      </c>
      <c r="V6" s="12" t="s">
        <v>2</v>
      </c>
      <c r="W6" s="12" t="s">
        <v>2</v>
      </c>
      <c r="X6" s="14" t="s">
        <v>6</v>
      </c>
      <c r="Y6" s="18" t="s">
        <v>6</v>
      </c>
      <c r="Z6" s="40" t="s">
        <v>3</v>
      </c>
      <c r="AA6" s="62" t="s">
        <v>3</v>
      </c>
      <c r="AB6" s="53" t="s">
        <v>2</v>
      </c>
      <c r="AC6" s="14" t="s">
        <v>6</v>
      </c>
      <c r="AD6" s="14" t="s">
        <v>6</v>
      </c>
      <c r="AE6" s="14" t="s">
        <v>6</v>
      </c>
      <c r="AF6" s="18" t="s">
        <v>6</v>
      </c>
      <c r="AG6" s="25" t="s">
        <v>3</v>
      </c>
      <c r="AH6" s="65" t="s">
        <v>4</v>
      </c>
    </row>
    <row r="7" spans="1:34" x14ac:dyDescent="0.35">
      <c r="A7" s="9" t="s">
        <v>12</v>
      </c>
      <c r="B7" s="14" t="s">
        <v>6</v>
      </c>
      <c r="C7" s="14" t="s">
        <v>6</v>
      </c>
      <c r="D7" s="12" t="s">
        <v>2</v>
      </c>
      <c r="E7" s="14" t="s">
        <v>3</v>
      </c>
      <c r="F7" s="14" t="s">
        <v>3</v>
      </c>
      <c r="G7" s="39" t="s">
        <v>6</v>
      </c>
      <c r="H7" s="12" t="s">
        <v>2</v>
      </c>
      <c r="I7" s="14" t="s">
        <v>6</v>
      </c>
      <c r="J7" s="14" t="s">
        <v>6</v>
      </c>
      <c r="K7" s="18" t="s">
        <v>6</v>
      </c>
      <c r="L7" s="15" t="s">
        <v>4</v>
      </c>
      <c r="M7" s="36" t="s">
        <v>4</v>
      </c>
      <c r="N7" s="39" t="s">
        <v>6</v>
      </c>
      <c r="O7" s="17" t="s">
        <v>10</v>
      </c>
      <c r="P7" s="17" t="s">
        <v>10</v>
      </c>
      <c r="Q7" s="53" t="s">
        <v>2</v>
      </c>
      <c r="R7" s="38" t="s">
        <v>10</v>
      </c>
      <c r="S7" s="15" t="s">
        <v>4</v>
      </c>
      <c r="T7" s="61" t="s">
        <v>11</v>
      </c>
      <c r="U7" s="46" t="s">
        <v>10</v>
      </c>
      <c r="V7" s="17" t="s">
        <v>10</v>
      </c>
      <c r="W7" s="12" t="s">
        <v>2</v>
      </c>
      <c r="X7" s="19" t="s">
        <v>41</v>
      </c>
      <c r="Y7" s="45" t="s">
        <v>41</v>
      </c>
      <c r="Z7" s="40" t="s">
        <v>3</v>
      </c>
      <c r="AA7" s="62" t="s">
        <v>3</v>
      </c>
      <c r="AB7" s="12" t="s">
        <v>2</v>
      </c>
      <c r="AC7" s="12" t="s">
        <v>2</v>
      </c>
      <c r="AD7" s="17" t="s">
        <v>10</v>
      </c>
      <c r="AE7" s="17" t="s">
        <v>10</v>
      </c>
      <c r="AF7" s="38" t="s">
        <v>10</v>
      </c>
      <c r="AG7" s="17" t="s">
        <v>11</v>
      </c>
      <c r="AH7" s="17" t="s">
        <v>11</v>
      </c>
    </row>
    <row r="8" spans="1:34" x14ac:dyDescent="0.35">
      <c r="A8" s="9" t="s">
        <v>13</v>
      </c>
      <c r="B8" s="12" t="s">
        <v>2</v>
      </c>
      <c r="C8" s="12" t="s">
        <v>2</v>
      </c>
      <c r="D8" s="38" t="s">
        <v>10</v>
      </c>
      <c r="E8" s="60" t="s">
        <v>11</v>
      </c>
      <c r="F8" s="61" t="s">
        <v>11</v>
      </c>
      <c r="G8" s="46" t="s">
        <v>10</v>
      </c>
      <c r="H8" s="17" t="s">
        <v>10</v>
      </c>
      <c r="I8" s="12" t="s">
        <v>2</v>
      </c>
      <c r="J8" s="12" t="s">
        <v>2</v>
      </c>
      <c r="K8" s="19" t="s">
        <v>41</v>
      </c>
      <c r="L8" s="40" t="s">
        <v>3</v>
      </c>
      <c r="M8" s="58" t="s">
        <v>40</v>
      </c>
      <c r="N8" s="53" t="s">
        <v>2</v>
      </c>
      <c r="O8" s="54" t="s">
        <v>41</v>
      </c>
      <c r="P8" s="54" t="s">
        <v>41</v>
      </c>
      <c r="Q8" s="54" t="s">
        <v>41</v>
      </c>
      <c r="R8" s="54" t="s">
        <v>41</v>
      </c>
      <c r="S8" s="15" t="s">
        <v>4</v>
      </c>
      <c r="T8" s="36" t="s">
        <v>4</v>
      </c>
      <c r="U8" s="14" t="s">
        <v>6</v>
      </c>
      <c r="V8" s="14" t="s">
        <v>6</v>
      </c>
      <c r="W8" s="14" t="s">
        <v>6</v>
      </c>
      <c r="X8" s="19" t="s">
        <v>41</v>
      </c>
      <c r="Y8" s="45" t="s">
        <v>41</v>
      </c>
      <c r="Z8" s="15" t="s">
        <v>4</v>
      </c>
      <c r="AA8" s="36" t="s">
        <v>4</v>
      </c>
      <c r="AB8" s="46" t="s">
        <v>10</v>
      </c>
      <c r="AC8" s="17" t="s">
        <v>10</v>
      </c>
      <c r="AD8" s="12" t="s">
        <v>2</v>
      </c>
      <c r="AE8" s="19" t="s">
        <v>41</v>
      </c>
      <c r="AF8" s="12" t="s">
        <v>2</v>
      </c>
      <c r="AG8" s="25" t="s">
        <v>3</v>
      </c>
      <c r="AH8" s="28" t="s">
        <v>4</v>
      </c>
    </row>
    <row r="9" spans="1:34" x14ac:dyDescent="0.35">
      <c r="A9" s="9" t="s">
        <v>14</v>
      </c>
      <c r="B9" s="18" t="s">
        <v>6</v>
      </c>
      <c r="C9" s="18" t="s">
        <v>6</v>
      </c>
      <c r="D9" s="13" t="s">
        <v>5</v>
      </c>
      <c r="E9" s="36" t="s">
        <v>4</v>
      </c>
      <c r="F9" s="36" t="s">
        <v>4</v>
      </c>
      <c r="G9" s="13" t="s">
        <v>5</v>
      </c>
      <c r="H9" s="14" t="s">
        <v>6</v>
      </c>
      <c r="I9" s="14" t="s">
        <v>6</v>
      </c>
      <c r="J9" s="14" t="s">
        <v>6</v>
      </c>
      <c r="K9" s="18" t="s">
        <v>6</v>
      </c>
      <c r="L9" s="36" t="s">
        <v>4</v>
      </c>
      <c r="M9" s="40" t="s">
        <v>3</v>
      </c>
      <c r="N9" s="52" t="s">
        <v>5</v>
      </c>
      <c r="O9" s="14" t="s">
        <v>6</v>
      </c>
      <c r="P9" s="14" t="s">
        <v>6</v>
      </c>
      <c r="Q9" s="14" t="s">
        <v>6</v>
      </c>
      <c r="R9" s="18" t="s">
        <v>6</v>
      </c>
      <c r="S9" s="40" t="s">
        <v>3</v>
      </c>
      <c r="T9" s="62" t="s">
        <v>3</v>
      </c>
      <c r="U9" s="54" t="s">
        <v>41</v>
      </c>
      <c r="V9" s="12" t="s">
        <v>2</v>
      </c>
      <c r="W9" s="17" t="s">
        <v>10</v>
      </c>
      <c r="X9" s="17" t="s">
        <v>10</v>
      </c>
      <c r="Y9" s="38" t="s">
        <v>10</v>
      </c>
      <c r="Z9" s="60" t="s">
        <v>11</v>
      </c>
      <c r="AA9" s="61" t="s">
        <v>11</v>
      </c>
      <c r="AB9" s="52" t="s">
        <v>5</v>
      </c>
      <c r="AC9" s="13" t="s">
        <v>5</v>
      </c>
      <c r="AD9" s="13" t="s">
        <v>5</v>
      </c>
      <c r="AE9" s="13" t="s">
        <v>5</v>
      </c>
      <c r="AF9" s="49" t="s">
        <v>5</v>
      </c>
      <c r="AG9" s="65" t="s">
        <v>4</v>
      </c>
      <c r="AH9" s="65" t="s">
        <v>4</v>
      </c>
    </row>
    <row r="10" spans="1:34" x14ac:dyDescent="0.35">
      <c r="A10" s="9" t="s">
        <v>15</v>
      </c>
      <c r="B10" s="19" t="s">
        <v>41</v>
      </c>
      <c r="C10" s="12" t="s">
        <v>2</v>
      </c>
      <c r="D10" s="11" t="s">
        <v>2</v>
      </c>
      <c r="E10" s="60" t="s">
        <v>11</v>
      </c>
      <c r="F10" s="61" t="s">
        <v>11</v>
      </c>
      <c r="G10" s="46" t="s">
        <v>10</v>
      </c>
      <c r="H10" s="17" t="s">
        <v>10</v>
      </c>
      <c r="I10" s="17" t="s">
        <v>10</v>
      </c>
      <c r="J10" s="12" t="s">
        <v>2</v>
      </c>
      <c r="K10" s="11" t="s">
        <v>2</v>
      </c>
      <c r="L10" s="43" t="s">
        <v>30</v>
      </c>
      <c r="M10" s="61" t="s">
        <v>11</v>
      </c>
      <c r="N10" s="53" t="s">
        <v>2</v>
      </c>
      <c r="O10" s="19" t="s">
        <v>41</v>
      </c>
      <c r="P10" s="19" t="s">
        <v>41</v>
      </c>
      <c r="Q10" s="19" t="s">
        <v>41</v>
      </c>
      <c r="R10" s="45" t="s">
        <v>41</v>
      </c>
      <c r="S10" s="15" t="s">
        <v>4</v>
      </c>
      <c r="T10" s="15" t="s">
        <v>4</v>
      </c>
      <c r="U10" s="14" t="s">
        <v>6</v>
      </c>
      <c r="V10" s="14" t="s">
        <v>6</v>
      </c>
      <c r="W10" s="14" t="s">
        <v>6</v>
      </c>
      <c r="X10" s="12" t="s">
        <v>2</v>
      </c>
      <c r="Y10" s="38" t="s">
        <v>10</v>
      </c>
      <c r="Z10" s="60" t="s">
        <v>11</v>
      </c>
      <c r="AA10" s="61" t="s">
        <v>11</v>
      </c>
      <c r="AB10" s="46" t="s">
        <v>10</v>
      </c>
      <c r="AC10" s="17" t="s">
        <v>10</v>
      </c>
      <c r="AD10" s="12" t="s">
        <v>2</v>
      </c>
      <c r="AE10" s="19" t="s">
        <v>41</v>
      </c>
      <c r="AF10" s="14" t="s">
        <v>6</v>
      </c>
      <c r="AG10" s="65" t="s">
        <v>4</v>
      </c>
      <c r="AH10" s="25" t="s">
        <v>3</v>
      </c>
    </row>
    <row r="11" spans="1:34" x14ac:dyDescent="0.35">
      <c r="A11" s="9" t="s">
        <v>18</v>
      </c>
      <c r="B11" s="12" t="s">
        <v>2</v>
      </c>
      <c r="C11" s="19" t="s">
        <v>41</v>
      </c>
      <c r="D11" s="45" t="s">
        <v>41</v>
      </c>
      <c r="E11" s="20" t="s">
        <v>42</v>
      </c>
      <c r="F11" s="21" t="s">
        <v>42</v>
      </c>
      <c r="G11" s="54" t="s">
        <v>41</v>
      </c>
      <c r="H11" s="19" t="s">
        <v>41</v>
      </c>
      <c r="I11" s="12" t="s">
        <v>2</v>
      </c>
      <c r="J11" s="19" t="s">
        <v>41</v>
      </c>
      <c r="K11" s="19" t="s">
        <v>41</v>
      </c>
      <c r="L11" s="15" t="s">
        <v>4</v>
      </c>
      <c r="M11" s="36" t="s">
        <v>4</v>
      </c>
      <c r="N11" s="39" t="s">
        <v>6</v>
      </c>
      <c r="O11" s="14" t="s">
        <v>6</v>
      </c>
      <c r="P11" s="14" t="s">
        <v>6</v>
      </c>
      <c r="Q11" s="14" t="s">
        <v>6</v>
      </c>
      <c r="R11" s="18" t="s">
        <v>6</v>
      </c>
      <c r="S11" s="15" t="s">
        <v>4</v>
      </c>
      <c r="T11" s="36" t="s">
        <v>4</v>
      </c>
      <c r="U11" s="23" t="s">
        <v>17</v>
      </c>
      <c r="V11" s="17" t="s">
        <v>10</v>
      </c>
      <c r="W11" s="17" t="s">
        <v>10</v>
      </c>
      <c r="X11" s="17" t="s">
        <v>10</v>
      </c>
      <c r="Y11" s="11" t="s">
        <v>2</v>
      </c>
      <c r="Z11" s="20" t="s">
        <v>42</v>
      </c>
      <c r="AA11" s="21" t="s">
        <v>42</v>
      </c>
      <c r="AB11" s="53" t="s">
        <v>2</v>
      </c>
      <c r="AC11" s="19" t="s">
        <v>41</v>
      </c>
      <c r="AD11" s="19" t="s">
        <v>41</v>
      </c>
      <c r="AE11" s="14" t="s">
        <v>6</v>
      </c>
      <c r="AF11" s="14" t="s">
        <v>6</v>
      </c>
      <c r="AG11" s="28" t="s">
        <v>4</v>
      </c>
      <c r="AH11" s="25" t="s">
        <v>3</v>
      </c>
    </row>
    <row r="12" spans="1:34" ht="14.15" customHeight="1" x14ac:dyDescent="0.35">
      <c r="A12" s="9" t="s">
        <v>21</v>
      </c>
      <c r="B12" s="12" t="s">
        <v>2</v>
      </c>
      <c r="C12" s="12" t="s">
        <v>2</v>
      </c>
      <c r="D12" s="18" t="s">
        <v>6</v>
      </c>
      <c r="E12" s="40" t="s">
        <v>3</v>
      </c>
      <c r="F12" s="62" t="s">
        <v>3</v>
      </c>
      <c r="G12" s="54" t="s">
        <v>41</v>
      </c>
      <c r="H12" s="12" t="s">
        <v>2</v>
      </c>
      <c r="I12" s="17" t="s">
        <v>10</v>
      </c>
      <c r="J12" s="17" t="s">
        <v>10</v>
      </c>
      <c r="K12" s="38" t="s">
        <v>10</v>
      </c>
      <c r="L12" s="15" t="s">
        <v>4</v>
      </c>
      <c r="M12" s="36" t="s">
        <v>4</v>
      </c>
      <c r="N12" s="52" t="s">
        <v>5</v>
      </c>
      <c r="O12" s="52" t="s">
        <v>5</v>
      </c>
      <c r="P12" s="17" t="s">
        <v>10</v>
      </c>
      <c r="Q12" s="17" t="s">
        <v>10</v>
      </c>
      <c r="R12" s="16" t="s">
        <v>8</v>
      </c>
      <c r="S12" s="60" t="s">
        <v>11</v>
      </c>
      <c r="T12" s="59" t="s">
        <v>4</v>
      </c>
      <c r="U12" s="19" t="s">
        <v>41</v>
      </c>
      <c r="V12" s="19" t="s">
        <v>41</v>
      </c>
      <c r="W12" s="19" t="s">
        <v>41</v>
      </c>
      <c r="X12" s="14" t="s">
        <v>6</v>
      </c>
      <c r="Y12" s="18" t="s">
        <v>6</v>
      </c>
      <c r="Z12" s="15" t="s">
        <v>4</v>
      </c>
      <c r="AA12" s="36" t="s">
        <v>4</v>
      </c>
      <c r="AB12" s="19" t="s">
        <v>41</v>
      </c>
      <c r="AC12" s="12" t="s">
        <v>2</v>
      </c>
      <c r="AD12" s="17" t="s">
        <v>10</v>
      </c>
      <c r="AE12" s="17" t="s">
        <v>10</v>
      </c>
      <c r="AF12" s="38" t="s">
        <v>10</v>
      </c>
      <c r="AG12" s="17" t="s">
        <v>11</v>
      </c>
      <c r="AH12" s="17" t="s">
        <v>11</v>
      </c>
    </row>
    <row r="13" spans="1:34" x14ac:dyDescent="0.35">
      <c r="A13" s="9" t="s">
        <v>43</v>
      </c>
      <c r="B13" s="17" t="s">
        <v>10</v>
      </c>
      <c r="C13" s="17" t="s">
        <v>10</v>
      </c>
      <c r="D13" s="38" t="s">
        <v>10</v>
      </c>
      <c r="E13" s="15" t="s">
        <v>4</v>
      </c>
      <c r="F13" s="36" t="s">
        <v>4</v>
      </c>
      <c r="G13" s="39" t="s">
        <v>6</v>
      </c>
      <c r="H13" s="11" t="s">
        <v>2</v>
      </c>
      <c r="I13" s="19" t="s">
        <v>41</v>
      </c>
      <c r="J13" s="16" t="s">
        <v>8</v>
      </c>
      <c r="K13" s="16" t="s">
        <v>8</v>
      </c>
      <c r="L13" s="60" t="s">
        <v>11</v>
      </c>
      <c r="M13" s="61" t="s">
        <v>11</v>
      </c>
      <c r="N13" s="46" t="s">
        <v>10</v>
      </c>
      <c r="O13" s="17" t="s">
        <v>10</v>
      </c>
      <c r="P13" s="12" t="s">
        <v>2</v>
      </c>
      <c r="Q13" s="12" t="s">
        <v>2</v>
      </c>
      <c r="R13" s="18" t="s">
        <v>6</v>
      </c>
      <c r="S13" s="20" t="s">
        <v>42</v>
      </c>
      <c r="T13" s="21" t="s">
        <v>42</v>
      </c>
      <c r="U13" s="19" t="s">
        <v>41</v>
      </c>
      <c r="V13" s="19" t="s">
        <v>41</v>
      </c>
      <c r="W13" s="12" t="s">
        <v>2</v>
      </c>
      <c r="X13" s="19" t="s">
        <v>41</v>
      </c>
      <c r="Y13" s="23" t="s">
        <v>17</v>
      </c>
      <c r="Z13" s="15" t="s">
        <v>4</v>
      </c>
      <c r="AA13" s="36" t="s">
        <v>4</v>
      </c>
      <c r="AB13" s="39" t="s">
        <v>6</v>
      </c>
      <c r="AC13" s="19" t="s">
        <v>41</v>
      </c>
      <c r="AD13" s="12" t="s">
        <v>2</v>
      </c>
      <c r="AE13" s="39" t="s">
        <v>6</v>
      </c>
      <c r="AF13" s="19" t="s">
        <v>41</v>
      </c>
      <c r="AG13" s="21" t="s">
        <v>42</v>
      </c>
      <c r="AH13" s="28" t="s">
        <v>4</v>
      </c>
    </row>
    <row r="14" spans="1:34" x14ac:dyDescent="0.35">
      <c r="A14" s="9" t="s">
        <v>45</v>
      </c>
      <c r="B14" s="19" t="s">
        <v>41</v>
      </c>
      <c r="C14" s="19" t="s">
        <v>41</v>
      </c>
      <c r="D14" s="45" t="s">
        <v>41</v>
      </c>
      <c r="E14" s="36" t="s">
        <v>4</v>
      </c>
      <c r="F14" s="36" t="s">
        <v>4</v>
      </c>
      <c r="G14" s="52" t="s">
        <v>5</v>
      </c>
      <c r="H14" s="13" t="s">
        <v>5</v>
      </c>
      <c r="I14" s="13" t="s">
        <v>5</v>
      </c>
      <c r="J14" s="13" t="s">
        <v>5</v>
      </c>
      <c r="K14" s="49" t="s">
        <v>5</v>
      </c>
      <c r="L14" s="36" t="s">
        <v>4</v>
      </c>
      <c r="M14" s="36" t="s">
        <v>4</v>
      </c>
      <c r="N14" s="19" t="s">
        <v>41</v>
      </c>
      <c r="O14" s="19" t="s">
        <v>41</v>
      </c>
      <c r="P14" s="19" t="s">
        <v>41</v>
      </c>
      <c r="Q14" s="19" t="s">
        <v>41</v>
      </c>
      <c r="R14" s="19" t="s">
        <v>41</v>
      </c>
      <c r="S14" s="15" t="s">
        <v>4</v>
      </c>
      <c r="T14" s="36" t="s">
        <v>4</v>
      </c>
      <c r="U14" s="14" t="s">
        <v>6</v>
      </c>
      <c r="V14" s="14" t="s">
        <v>6</v>
      </c>
      <c r="W14" s="13" t="s">
        <v>5</v>
      </c>
      <c r="X14" s="13" t="s">
        <v>5</v>
      </c>
      <c r="Y14" s="49" t="s">
        <v>5</v>
      </c>
      <c r="Z14" s="15" t="s">
        <v>4</v>
      </c>
      <c r="AA14" s="15" t="s">
        <v>4</v>
      </c>
      <c r="AB14" s="13" t="s">
        <v>5</v>
      </c>
      <c r="AC14" s="13" t="s">
        <v>5</v>
      </c>
      <c r="AD14" s="19" t="s">
        <v>41</v>
      </c>
      <c r="AE14" s="19" t="s">
        <v>41</v>
      </c>
      <c r="AF14" s="45" t="s">
        <v>41</v>
      </c>
      <c r="AG14" s="28" t="s">
        <v>4</v>
      </c>
      <c r="AH14" s="28" t="s">
        <v>4</v>
      </c>
    </row>
    <row r="15" spans="1:34" x14ac:dyDescent="0.35">
      <c r="A15" s="9" t="s">
        <v>46</v>
      </c>
      <c r="B15" s="16" t="s">
        <v>8</v>
      </c>
      <c r="C15" s="16" t="s">
        <v>8</v>
      </c>
      <c r="D15" s="16" t="s">
        <v>8</v>
      </c>
      <c r="E15" s="15" t="s">
        <v>4</v>
      </c>
      <c r="F15" s="36" t="s">
        <v>4</v>
      </c>
      <c r="G15" s="54" t="s">
        <v>41</v>
      </c>
      <c r="H15" s="23" t="s">
        <v>17</v>
      </c>
      <c r="I15" s="14" t="s">
        <v>6</v>
      </c>
      <c r="J15" s="14" t="s">
        <v>6</v>
      </c>
      <c r="K15" s="18" t="s">
        <v>6</v>
      </c>
      <c r="L15" s="15" t="s">
        <v>4</v>
      </c>
      <c r="M15" s="36" t="s">
        <v>4</v>
      </c>
      <c r="N15" s="54" t="s">
        <v>41</v>
      </c>
      <c r="O15" s="52" t="s">
        <v>5</v>
      </c>
      <c r="P15" s="54" t="s">
        <v>41</v>
      </c>
      <c r="Q15" s="13" t="s">
        <v>5</v>
      </c>
      <c r="R15" s="49" t="s">
        <v>5</v>
      </c>
      <c r="S15" s="36" t="s">
        <v>4</v>
      </c>
      <c r="T15" s="36" t="s">
        <v>4</v>
      </c>
      <c r="U15" s="52" t="s">
        <v>5</v>
      </c>
      <c r="V15" s="13" t="s">
        <v>5</v>
      </c>
      <c r="W15" s="19" t="s">
        <v>41</v>
      </c>
      <c r="X15" s="16" t="s">
        <v>8</v>
      </c>
      <c r="Y15" s="16" t="s">
        <v>8</v>
      </c>
      <c r="Z15" s="15" t="s">
        <v>4</v>
      </c>
      <c r="AA15" s="15" t="s">
        <v>4</v>
      </c>
      <c r="AB15" s="52" t="s">
        <v>5</v>
      </c>
      <c r="AC15" s="13" t="s">
        <v>5</v>
      </c>
      <c r="AD15" s="13" t="s">
        <v>5</v>
      </c>
      <c r="AE15" s="13" t="s">
        <v>5</v>
      </c>
      <c r="AF15" s="49" t="s">
        <v>5</v>
      </c>
      <c r="AG15" s="28" t="s">
        <v>4</v>
      </c>
      <c r="AH15" s="28" t="s">
        <v>4</v>
      </c>
    </row>
    <row r="16" spans="1:34" x14ac:dyDescent="0.35">
      <c r="A16" s="9" t="s">
        <v>22</v>
      </c>
      <c r="B16" s="12" t="s">
        <v>2</v>
      </c>
      <c r="C16" s="19" t="s">
        <v>41</v>
      </c>
      <c r="D16" s="45" t="s">
        <v>41</v>
      </c>
      <c r="E16" s="15" t="s">
        <v>4</v>
      </c>
      <c r="F16" s="36" t="s">
        <v>4</v>
      </c>
      <c r="G16" s="39" t="s">
        <v>6</v>
      </c>
      <c r="H16" s="14" t="s">
        <v>6</v>
      </c>
      <c r="I16" s="19" t="s">
        <v>41</v>
      </c>
      <c r="J16" s="23" t="s">
        <v>17</v>
      </c>
      <c r="K16" s="12" t="s">
        <v>2</v>
      </c>
      <c r="L16" s="20" t="s">
        <v>42</v>
      </c>
      <c r="M16" s="21" t="s">
        <v>42</v>
      </c>
      <c r="N16" s="53" t="s">
        <v>2</v>
      </c>
      <c r="O16" s="14" t="s">
        <v>6</v>
      </c>
      <c r="P16" s="14" t="s">
        <v>6</v>
      </c>
      <c r="Q16" s="19" t="s">
        <v>41</v>
      </c>
      <c r="R16" s="45" t="s">
        <v>41</v>
      </c>
      <c r="S16" s="15" t="s">
        <v>4</v>
      </c>
      <c r="T16" s="36" t="s">
        <v>4</v>
      </c>
      <c r="U16" s="13" t="s">
        <v>5</v>
      </c>
      <c r="V16" s="13" t="s">
        <v>5</v>
      </c>
      <c r="W16" s="13" t="s">
        <v>5</v>
      </c>
      <c r="X16" s="13" t="s">
        <v>5</v>
      </c>
      <c r="Y16" s="13" t="s">
        <v>5</v>
      </c>
      <c r="Z16" s="15" t="s">
        <v>4</v>
      </c>
      <c r="AA16" s="36" t="s">
        <v>4</v>
      </c>
      <c r="AB16" s="39" t="s">
        <v>6</v>
      </c>
      <c r="AC16" s="19" t="s">
        <v>41</v>
      </c>
      <c r="AD16" s="19" t="s">
        <v>41</v>
      </c>
      <c r="AE16" s="19" t="s">
        <v>41</v>
      </c>
      <c r="AF16" s="19" t="s">
        <v>41</v>
      </c>
      <c r="AG16" s="28" t="s">
        <v>4</v>
      </c>
      <c r="AH16" s="19" t="s">
        <v>42</v>
      </c>
    </row>
    <row r="17" spans="1:34" x14ac:dyDescent="0.35">
      <c r="A17" s="9" t="s">
        <v>19</v>
      </c>
      <c r="B17" s="14" t="s">
        <v>6</v>
      </c>
      <c r="C17" s="18" t="s">
        <v>6</v>
      </c>
      <c r="D17" s="18" t="s">
        <v>6</v>
      </c>
      <c r="E17" s="15" t="s">
        <v>4</v>
      </c>
      <c r="F17" s="36" t="s">
        <v>4</v>
      </c>
      <c r="G17" s="39" t="s">
        <v>6</v>
      </c>
      <c r="H17" s="14" t="s">
        <v>6</v>
      </c>
      <c r="I17" s="12" t="s">
        <v>2</v>
      </c>
      <c r="J17" s="14" t="s">
        <v>6</v>
      </c>
      <c r="K17" s="18" t="s">
        <v>6</v>
      </c>
      <c r="L17" s="40" t="s">
        <v>3</v>
      </c>
      <c r="M17" s="62" t="s">
        <v>3</v>
      </c>
      <c r="N17" s="39" t="s">
        <v>6</v>
      </c>
      <c r="O17" s="12" t="s">
        <v>2</v>
      </c>
      <c r="P17" s="12" t="s">
        <v>2</v>
      </c>
      <c r="Q17" s="14" t="s">
        <v>6</v>
      </c>
      <c r="R17" s="18" t="s">
        <v>6</v>
      </c>
      <c r="S17" s="40" t="s">
        <v>3</v>
      </c>
      <c r="T17" s="62" t="s">
        <v>3</v>
      </c>
      <c r="U17" s="53" t="s">
        <v>2</v>
      </c>
      <c r="V17" s="14" t="s">
        <v>6</v>
      </c>
      <c r="W17" s="14" t="s">
        <v>6</v>
      </c>
      <c r="X17" s="14" t="s">
        <v>6</v>
      </c>
      <c r="Y17" s="18" t="s">
        <v>6</v>
      </c>
      <c r="Z17" s="15" t="s">
        <v>4</v>
      </c>
      <c r="AA17" s="15" t="s">
        <v>4</v>
      </c>
      <c r="AB17" s="14" t="s">
        <v>6</v>
      </c>
      <c r="AC17" s="14" t="s">
        <v>6</v>
      </c>
      <c r="AD17" s="14" t="s">
        <v>6</v>
      </c>
      <c r="AE17" s="13" t="s">
        <v>5</v>
      </c>
      <c r="AF17" s="49" t="s">
        <v>5</v>
      </c>
      <c r="AG17" s="28" t="s">
        <v>4</v>
      </c>
      <c r="AH17" s="28" t="s">
        <v>4</v>
      </c>
    </row>
    <row r="18" spans="1:34" ht="15" thickBot="1" x14ac:dyDescent="0.4">
      <c r="A18" s="9" t="s">
        <v>44</v>
      </c>
      <c r="B18" s="14" t="s">
        <v>6</v>
      </c>
      <c r="C18" s="14" t="s">
        <v>6</v>
      </c>
      <c r="D18" s="18" t="s">
        <v>6</v>
      </c>
      <c r="E18" s="63" t="s">
        <v>30</v>
      </c>
      <c r="F18" s="42" t="s">
        <v>4</v>
      </c>
      <c r="G18" s="53" t="s">
        <v>2</v>
      </c>
      <c r="H18" s="19" t="s">
        <v>41</v>
      </c>
      <c r="I18" s="19" t="s">
        <v>41</v>
      </c>
      <c r="J18" s="45" t="s">
        <v>41</v>
      </c>
      <c r="K18" s="45" t="s">
        <v>41</v>
      </c>
      <c r="L18" s="41" t="s">
        <v>4</v>
      </c>
      <c r="M18" s="42" t="s">
        <v>4</v>
      </c>
      <c r="N18" s="39" t="s">
        <v>6</v>
      </c>
      <c r="O18" s="14" t="s">
        <v>6</v>
      </c>
      <c r="P18" s="14" t="s">
        <v>6</v>
      </c>
      <c r="Q18" s="14" t="s">
        <v>6</v>
      </c>
      <c r="R18" s="12" t="s">
        <v>2</v>
      </c>
      <c r="S18" s="63" t="s">
        <v>30</v>
      </c>
      <c r="T18" s="42" t="s">
        <v>4</v>
      </c>
      <c r="U18" s="19" t="s">
        <v>41</v>
      </c>
      <c r="V18" s="19" t="s">
        <v>41</v>
      </c>
      <c r="W18" s="19" t="s">
        <v>41</v>
      </c>
      <c r="X18" s="12" t="s">
        <v>2</v>
      </c>
      <c r="Y18" s="45" t="s">
        <v>41</v>
      </c>
      <c r="Z18" s="63" t="s">
        <v>30</v>
      </c>
      <c r="AA18" s="42" t="s">
        <v>4</v>
      </c>
      <c r="AB18" s="19" t="s">
        <v>41</v>
      </c>
      <c r="AC18" s="14" t="s">
        <v>6</v>
      </c>
      <c r="AD18" s="14" t="s">
        <v>6</v>
      </c>
      <c r="AE18" s="14" t="s">
        <v>6</v>
      </c>
      <c r="AF18" s="18" t="s">
        <v>6</v>
      </c>
      <c r="AG18" s="28" t="s">
        <v>4</v>
      </c>
      <c r="AH18" s="28" t="s">
        <v>4</v>
      </c>
    </row>
    <row r="20" spans="1:34" x14ac:dyDescent="0.35">
      <c r="A20" s="24" t="s">
        <v>23</v>
      </c>
    </row>
    <row r="21" spans="1:34" x14ac:dyDescent="0.35">
      <c r="A21" s="1" t="s">
        <v>24</v>
      </c>
      <c r="B21" s="22" t="s">
        <v>16</v>
      </c>
    </row>
    <row r="22" spans="1:34" x14ac:dyDescent="0.35">
      <c r="A22" s="1" t="s">
        <v>25</v>
      </c>
      <c r="B22" s="25" t="s">
        <v>6</v>
      </c>
    </row>
    <row r="23" spans="1:34" x14ac:dyDescent="0.35">
      <c r="A23" s="1" t="s">
        <v>47</v>
      </c>
      <c r="B23" s="19" t="s">
        <v>41</v>
      </c>
    </row>
    <row r="24" spans="1:34" x14ac:dyDescent="0.35">
      <c r="A24" s="1" t="s">
        <v>48</v>
      </c>
      <c r="B24" s="10" t="s">
        <v>39</v>
      </c>
    </row>
    <row r="25" spans="1:34" x14ac:dyDescent="0.35">
      <c r="A25" s="1" t="s">
        <v>26</v>
      </c>
      <c r="B25" s="16" t="s">
        <v>8</v>
      </c>
    </row>
    <row r="26" spans="1:34" x14ac:dyDescent="0.35">
      <c r="A26" s="1" t="s">
        <v>27</v>
      </c>
      <c r="B26" s="17" t="s">
        <v>10</v>
      </c>
    </row>
    <row r="27" spans="1:34" x14ac:dyDescent="0.35">
      <c r="A27" s="1" t="s">
        <v>28</v>
      </c>
      <c r="B27" s="14" t="s">
        <v>3</v>
      </c>
    </row>
    <row r="28" spans="1:34" x14ac:dyDescent="0.35">
      <c r="A28" s="1" t="s">
        <v>29</v>
      </c>
      <c r="B28" s="22" t="s">
        <v>30</v>
      </c>
    </row>
    <row r="29" spans="1:34" x14ac:dyDescent="0.35">
      <c r="A29" s="1" t="s">
        <v>49</v>
      </c>
      <c r="B29" s="19" t="s">
        <v>42</v>
      </c>
    </row>
    <row r="30" spans="1:34" x14ac:dyDescent="0.35">
      <c r="A30" s="1" t="s">
        <v>50</v>
      </c>
      <c r="B30" s="10" t="s">
        <v>40</v>
      </c>
    </row>
    <row r="31" spans="1:34" x14ac:dyDescent="0.35">
      <c r="A31" s="1" t="s">
        <v>31</v>
      </c>
      <c r="B31" s="17" t="s">
        <v>11</v>
      </c>
    </row>
    <row r="32" spans="1:34" x14ac:dyDescent="0.35">
      <c r="A32" s="1" t="s">
        <v>32</v>
      </c>
      <c r="B32" s="13" t="s">
        <v>5</v>
      </c>
    </row>
    <row r="33" spans="1:2" x14ac:dyDescent="0.35">
      <c r="A33" s="1" t="s">
        <v>33</v>
      </c>
      <c r="B33" s="26" t="s">
        <v>34</v>
      </c>
    </row>
    <row r="34" spans="1:2" x14ac:dyDescent="0.35">
      <c r="A34" s="1" t="s">
        <v>35</v>
      </c>
      <c r="B34" s="12" t="s">
        <v>2</v>
      </c>
    </row>
    <row r="35" spans="1:2" x14ac:dyDescent="0.35">
      <c r="A35" s="1" t="s">
        <v>36</v>
      </c>
      <c r="B35" s="27" t="s">
        <v>37</v>
      </c>
    </row>
    <row r="36" spans="1:2" x14ac:dyDescent="0.35">
      <c r="A36" s="1" t="s">
        <v>38</v>
      </c>
      <c r="B36" s="28" t="s">
        <v>4</v>
      </c>
    </row>
    <row r="37" spans="1:2" x14ac:dyDescent="0.35">
      <c r="A37" s="1" t="s">
        <v>36</v>
      </c>
      <c r="B37" s="27" t="s">
        <v>37</v>
      </c>
    </row>
    <row r="38" spans="1:2" x14ac:dyDescent="0.35">
      <c r="A38" s="1" t="s">
        <v>38</v>
      </c>
      <c r="B38" s="28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F37"/>
  <sheetViews>
    <sheetView zoomScale="80" zoomScaleNormal="80" workbookViewId="0">
      <pane xSplit="1" topLeftCell="I1" activePane="topRight" state="frozen"/>
      <selection pane="topRight" activeCell="U15" sqref="U15"/>
    </sheetView>
  </sheetViews>
  <sheetFormatPr defaultColWidth="9.1796875" defaultRowHeight="14.5" x14ac:dyDescent="0.35"/>
  <cols>
    <col min="1" max="1" width="26.1796875" bestFit="1" customWidth="1"/>
    <col min="2" max="4" width="7.1796875" customWidth="1"/>
    <col min="5" max="8" width="6.453125" customWidth="1"/>
    <col min="9" max="10" width="7.1796875" customWidth="1"/>
    <col min="11" max="15" width="6.453125" customWidth="1"/>
    <col min="16" max="17" width="7.1796875" customWidth="1"/>
    <col min="18" max="22" width="6.453125" customWidth="1"/>
    <col min="23" max="23" width="7.1796875" customWidth="1"/>
    <col min="24" max="24" width="7.54296875" customWidth="1"/>
    <col min="25" max="25" width="6.453125" bestFit="1" customWidth="1"/>
    <col min="26" max="27" width="7.54296875" customWidth="1"/>
    <col min="28" max="29" width="6.453125" bestFit="1" customWidth="1"/>
    <col min="30" max="31" width="7.1796875" bestFit="1" customWidth="1"/>
    <col min="32" max="32" width="6.453125" bestFit="1" customWidth="1"/>
    <col min="33" max="33" width="9.1796875" customWidth="1"/>
  </cols>
  <sheetData>
    <row r="1" spans="1:32" ht="15" customHeight="1" x14ac:dyDescent="0.35">
      <c r="A1" s="1"/>
      <c r="B1" s="4" t="str">
        <f t="shared" ref="B1:C1" si="0">TEXT(B2,"ddd")</f>
        <v>Sat</v>
      </c>
      <c r="C1" s="5" t="str">
        <f t="shared" si="0"/>
        <v>Sun</v>
      </c>
      <c r="D1" s="3" t="str">
        <f t="shared" ref="D1:AF1" si="1">TEXT(D2,"ddd")</f>
        <v>Mon</v>
      </c>
      <c r="E1" s="4" t="str">
        <f t="shared" si="1"/>
        <v>Tue</v>
      </c>
      <c r="F1" s="5" t="str">
        <f t="shared" si="1"/>
        <v>Wed</v>
      </c>
      <c r="G1" s="6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3" t="str">
        <f t="shared" si="1"/>
        <v>Mon</v>
      </c>
      <c r="L1" s="4" t="str">
        <f t="shared" si="1"/>
        <v>Tue</v>
      </c>
      <c r="M1" s="5" t="str">
        <f t="shared" si="1"/>
        <v>Wed</v>
      </c>
      <c r="N1" s="6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3" t="str">
        <f t="shared" si="1"/>
        <v>Mon</v>
      </c>
      <c r="S1" s="4" t="str">
        <f t="shared" si="1"/>
        <v>Tue</v>
      </c>
      <c r="T1" s="5" t="str">
        <f t="shared" si="1"/>
        <v>Wed</v>
      </c>
      <c r="U1" s="6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3" t="str">
        <f t="shared" si="1"/>
        <v>Mon</v>
      </c>
      <c r="Z1" s="4" t="str">
        <f t="shared" si="1"/>
        <v>Tue</v>
      </c>
      <c r="AA1" s="5" t="str">
        <f t="shared" si="1"/>
        <v>Wed</v>
      </c>
      <c r="AB1" s="6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3" t="str">
        <f t="shared" si="1"/>
        <v>Mon</v>
      </c>
    </row>
    <row r="2" spans="1:32" x14ac:dyDescent="0.35">
      <c r="A2" s="7" t="s">
        <v>0</v>
      </c>
      <c r="B2" s="55">
        <v>44562</v>
      </c>
      <c r="C2" s="56">
        <v>44563</v>
      </c>
      <c r="D2" s="56">
        <v>44564</v>
      </c>
      <c r="E2" s="56">
        <v>44565</v>
      </c>
      <c r="F2" s="56">
        <v>44566</v>
      </c>
      <c r="G2" s="56">
        <v>44567</v>
      </c>
      <c r="H2" s="56">
        <v>44568</v>
      </c>
      <c r="I2" s="56">
        <v>44569</v>
      </c>
      <c r="J2" s="56">
        <v>44570</v>
      </c>
      <c r="K2" s="56">
        <v>44571</v>
      </c>
      <c r="L2" s="56">
        <v>44572</v>
      </c>
      <c r="M2" s="56">
        <v>44573</v>
      </c>
      <c r="N2" s="56">
        <v>44574</v>
      </c>
      <c r="O2" s="56">
        <v>44575</v>
      </c>
      <c r="P2" s="56">
        <v>44576</v>
      </c>
      <c r="Q2" s="56">
        <v>44577</v>
      </c>
      <c r="R2" s="56">
        <v>44578</v>
      </c>
      <c r="S2" s="56">
        <v>44579</v>
      </c>
      <c r="T2" s="56">
        <v>44580</v>
      </c>
      <c r="U2" s="56">
        <v>44581</v>
      </c>
      <c r="V2" s="56">
        <v>44582</v>
      </c>
      <c r="W2" s="56">
        <v>44583</v>
      </c>
      <c r="X2" s="56">
        <v>44584</v>
      </c>
      <c r="Y2" s="56">
        <v>44585</v>
      </c>
      <c r="Z2" s="56">
        <v>44586</v>
      </c>
      <c r="AA2" s="56">
        <v>44587</v>
      </c>
      <c r="AB2" s="56">
        <v>44588</v>
      </c>
      <c r="AC2" s="56">
        <v>44589</v>
      </c>
      <c r="AD2" s="56">
        <v>44590</v>
      </c>
      <c r="AE2" s="56">
        <v>44591</v>
      </c>
      <c r="AF2" s="56">
        <v>44592</v>
      </c>
    </row>
    <row r="3" spans="1:32" x14ac:dyDescent="0.35">
      <c r="A3" s="8"/>
      <c r="B3" s="32"/>
      <c r="C3" s="33"/>
      <c r="D3" s="31"/>
      <c r="E3" s="32"/>
      <c r="F3" s="33"/>
      <c r="G3" s="34"/>
      <c r="H3" s="30"/>
      <c r="I3" s="30"/>
      <c r="J3" s="30"/>
      <c r="K3" s="31"/>
      <c r="L3" s="32"/>
      <c r="M3" s="33"/>
      <c r="N3" s="34"/>
      <c r="O3" s="30"/>
      <c r="P3" s="30"/>
      <c r="Q3" s="30"/>
      <c r="R3" s="31"/>
      <c r="S3" s="32"/>
      <c r="T3" s="33"/>
      <c r="U3" s="34"/>
      <c r="V3" s="30"/>
      <c r="W3" s="30"/>
      <c r="X3" s="30"/>
      <c r="Y3" s="31"/>
      <c r="Z3" s="32"/>
      <c r="AA3" s="33"/>
      <c r="AB3" s="34"/>
      <c r="AC3" s="30"/>
      <c r="AD3" s="30"/>
      <c r="AE3" s="30"/>
      <c r="AF3" s="31"/>
    </row>
    <row r="4" spans="1:32" x14ac:dyDescent="0.35">
      <c r="A4" s="64" t="s">
        <v>1</v>
      </c>
      <c r="B4" s="10" t="s">
        <v>40</v>
      </c>
      <c r="C4" s="10" t="s">
        <v>40</v>
      </c>
      <c r="D4" s="11" t="s">
        <v>2</v>
      </c>
      <c r="E4" s="10" t="s">
        <v>39</v>
      </c>
      <c r="F4" s="10" t="s">
        <v>39</v>
      </c>
      <c r="G4" s="10" t="s">
        <v>39</v>
      </c>
      <c r="H4" s="11" t="s">
        <v>2</v>
      </c>
      <c r="I4" s="57" t="s">
        <v>40</v>
      </c>
      <c r="J4" s="57" t="s">
        <v>40</v>
      </c>
      <c r="K4" s="11" t="s">
        <v>2</v>
      </c>
      <c r="L4" s="25" t="s">
        <v>6</v>
      </c>
      <c r="M4" s="10" t="s">
        <v>39</v>
      </c>
      <c r="N4" s="10" t="s">
        <v>39</v>
      </c>
      <c r="O4" s="10" t="s">
        <v>39</v>
      </c>
      <c r="P4" s="57" t="s">
        <v>40</v>
      </c>
      <c r="Q4" s="28" t="s">
        <v>4</v>
      </c>
      <c r="R4" s="16" t="s">
        <v>8</v>
      </c>
      <c r="S4" s="16" t="s">
        <v>8</v>
      </c>
      <c r="T4" s="16" t="s">
        <v>8</v>
      </c>
      <c r="U4" s="16" t="s">
        <v>8</v>
      </c>
      <c r="V4" s="11" t="s">
        <v>2</v>
      </c>
      <c r="W4" s="57" t="s">
        <v>40</v>
      </c>
      <c r="X4" s="28" t="s">
        <v>4</v>
      </c>
      <c r="Y4" s="10" t="s">
        <v>39</v>
      </c>
      <c r="Z4" s="11" t="s">
        <v>2</v>
      </c>
      <c r="AA4" s="57" t="s">
        <v>40</v>
      </c>
      <c r="AB4" s="16" t="s">
        <v>8</v>
      </c>
      <c r="AC4" s="11" t="s">
        <v>2</v>
      </c>
      <c r="AD4" s="57" t="s">
        <v>40</v>
      </c>
      <c r="AE4" s="25" t="s">
        <v>3</v>
      </c>
      <c r="AF4" s="11" t="s">
        <v>2</v>
      </c>
    </row>
    <row r="5" spans="1:32" x14ac:dyDescent="0.35">
      <c r="A5" s="64" t="s">
        <v>9</v>
      </c>
      <c r="B5" s="25" t="s">
        <v>3</v>
      </c>
      <c r="C5" s="65" t="s">
        <v>4</v>
      </c>
      <c r="D5" s="52" t="s">
        <v>5</v>
      </c>
      <c r="E5" s="52" t="s">
        <v>5</v>
      </c>
      <c r="F5" s="52" t="s">
        <v>5</v>
      </c>
      <c r="G5" s="38" t="s">
        <v>10</v>
      </c>
      <c r="H5" s="38" t="s">
        <v>10</v>
      </c>
      <c r="I5" s="17" t="s">
        <v>11</v>
      </c>
      <c r="J5" s="17" t="s">
        <v>11</v>
      </c>
      <c r="K5" s="51" t="s">
        <v>8</v>
      </c>
      <c r="L5" s="17" t="s">
        <v>10</v>
      </c>
      <c r="M5" s="17" t="s">
        <v>10</v>
      </c>
      <c r="N5" s="17" t="s">
        <v>10</v>
      </c>
      <c r="O5" s="17" t="s">
        <v>10</v>
      </c>
      <c r="P5" s="17" t="s">
        <v>11</v>
      </c>
      <c r="Q5" s="17" t="s">
        <v>11</v>
      </c>
      <c r="R5" s="12" t="s">
        <v>2</v>
      </c>
      <c r="S5" s="12" t="s">
        <v>2</v>
      </c>
      <c r="T5" s="25" t="s">
        <v>6</v>
      </c>
      <c r="U5" s="19" t="s">
        <v>41</v>
      </c>
      <c r="V5" s="25" t="s">
        <v>6</v>
      </c>
      <c r="W5" s="28" t="s">
        <v>4</v>
      </c>
      <c r="X5" s="17" t="s">
        <v>11</v>
      </c>
      <c r="Y5" s="38" t="s">
        <v>10</v>
      </c>
      <c r="Z5" s="38" t="s">
        <v>10</v>
      </c>
      <c r="AA5" s="38" t="s">
        <v>10</v>
      </c>
      <c r="AB5" s="11" t="s">
        <v>2</v>
      </c>
      <c r="AC5" s="11" t="s">
        <v>2</v>
      </c>
      <c r="AD5" s="17" t="s">
        <v>11</v>
      </c>
      <c r="AE5" s="17" t="s">
        <v>11</v>
      </c>
      <c r="AF5" s="17" t="s">
        <v>10</v>
      </c>
    </row>
    <row r="6" spans="1:32" x14ac:dyDescent="0.35">
      <c r="A6" s="64" t="s">
        <v>12</v>
      </c>
      <c r="B6" s="17" t="s">
        <v>11</v>
      </c>
      <c r="C6" s="17" t="s">
        <v>11</v>
      </c>
      <c r="D6" s="11" t="s">
        <v>2</v>
      </c>
      <c r="E6" s="11" t="s">
        <v>2</v>
      </c>
      <c r="F6" s="25" t="s">
        <v>6</v>
      </c>
      <c r="G6" s="25" t="s">
        <v>6</v>
      </c>
      <c r="H6" s="25" t="s">
        <v>6</v>
      </c>
      <c r="I6" s="28" t="s">
        <v>4</v>
      </c>
      <c r="J6" s="28" t="s">
        <v>4</v>
      </c>
      <c r="K6" s="26" t="s">
        <v>34</v>
      </c>
      <c r="L6" s="26" t="s">
        <v>34</v>
      </c>
      <c r="M6" s="26" t="s">
        <v>34</v>
      </c>
      <c r="N6" s="26" t="s">
        <v>34</v>
      </c>
      <c r="O6" s="26" t="s">
        <v>34</v>
      </c>
      <c r="P6" s="28" t="s">
        <v>4</v>
      </c>
      <c r="Q6" s="28" t="s">
        <v>4</v>
      </c>
      <c r="R6" s="38" t="s">
        <v>10</v>
      </c>
      <c r="S6" s="38" t="s">
        <v>10</v>
      </c>
      <c r="T6" s="38" t="s">
        <v>10</v>
      </c>
      <c r="U6" s="12" t="s">
        <v>2</v>
      </c>
      <c r="V6" s="38" t="s">
        <v>10</v>
      </c>
      <c r="W6" s="17" t="s">
        <v>11</v>
      </c>
      <c r="X6" s="17" t="s">
        <v>11</v>
      </c>
      <c r="Y6" s="12" t="s">
        <v>2</v>
      </c>
      <c r="Z6" s="12" t="s">
        <v>2</v>
      </c>
      <c r="AA6" s="25" t="s">
        <v>3</v>
      </c>
      <c r="AB6" s="25" t="s">
        <v>6</v>
      </c>
      <c r="AC6" s="25" t="s">
        <v>6</v>
      </c>
      <c r="AD6" s="28" t="s">
        <v>4</v>
      </c>
      <c r="AE6" s="28" t="s">
        <v>4</v>
      </c>
      <c r="AF6" s="25" t="s">
        <v>6</v>
      </c>
    </row>
    <row r="7" spans="1:32" x14ac:dyDescent="0.35">
      <c r="A7" s="64" t="s">
        <v>13</v>
      </c>
      <c r="B7" s="25" t="s">
        <v>3</v>
      </c>
      <c r="C7" s="28" t="s">
        <v>4</v>
      </c>
      <c r="D7" s="25" t="s">
        <v>6</v>
      </c>
      <c r="E7" s="25" t="s">
        <v>6</v>
      </c>
      <c r="F7" s="11" t="s">
        <v>2</v>
      </c>
      <c r="G7" s="11" t="s">
        <v>2</v>
      </c>
      <c r="H7" s="38" t="s">
        <v>10</v>
      </c>
      <c r="I7" s="17" t="s">
        <v>11</v>
      </c>
      <c r="J7" s="17" t="s">
        <v>11</v>
      </c>
      <c r="K7" s="38" t="s">
        <v>10</v>
      </c>
      <c r="L7" s="11" t="s">
        <v>2</v>
      </c>
      <c r="M7" s="19" t="s">
        <v>41</v>
      </c>
      <c r="N7" s="19" t="s">
        <v>41</v>
      </c>
      <c r="O7" s="19" t="s">
        <v>41</v>
      </c>
      <c r="P7" s="25" t="s">
        <v>3</v>
      </c>
      <c r="Q7" s="25" t="s">
        <v>3</v>
      </c>
      <c r="R7" s="12" t="s">
        <v>2</v>
      </c>
      <c r="S7" s="25" t="s">
        <v>6</v>
      </c>
      <c r="T7" s="19" t="s">
        <v>41</v>
      </c>
      <c r="U7" s="25" t="s">
        <v>6</v>
      </c>
      <c r="V7" s="19" t="s">
        <v>41</v>
      </c>
      <c r="W7" s="25" t="s">
        <v>3</v>
      </c>
      <c r="X7" s="28" t="s">
        <v>4</v>
      </c>
      <c r="Y7" s="25" t="s">
        <v>6</v>
      </c>
      <c r="Z7" s="25" t="s">
        <v>6</v>
      </c>
      <c r="AA7" s="25" t="s">
        <v>3</v>
      </c>
      <c r="AB7" s="38" t="s">
        <v>10</v>
      </c>
      <c r="AC7" s="38" t="s">
        <v>10</v>
      </c>
      <c r="AD7" s="28" t="s">
        <v>4</v>
      </c>
      <c r="AE7" s="28" t="s">
        <v>4</v>
      </c>
      <c r="AF7" s="25" t="s">
        <v>6</v>
      </c>
    </row>
    <row r="8" spans="1:32" x14ac:dyDescent="0.35">
      <c r="A8" s="64" t="s">
        <v>14</v>
      </c>
      <c r="B8" s="65" t="s">
        <v>4</v>
      </c>
      <c r="C8" s="65" t="s">
        <v>4</v>
      </c>
      <c r="D8" s="19" t="s">
        <v>41</v>
      </c>
      <c r="E8" s="38" t="s">
        <v>10</v>
      </c>
      <c r="F8" s="38" t="s">
        <v>10</v>
      </c>
      <c r="G8" s="11" t="s">
        <v>2</v>
      </c>
      <c r="H8" s="11" t="s">
        <v>2</v>
      </c>
      <c r="I8" s="25" t="s">
        <v>3</v>
      </c>
      <c r="J8" s="25" t="s">
        <v>3</v>
      </c>
      <c r="K8" s="25" t="s">
        <v>6</v>
      </c>
      <c r="L8" s="11" t="s">
        <v>2</v>
      </c>
      <c r="M8" s="25" t="s">
        <v>6</v>
      </c>
      <c r="N8" s="25" t="s">
        <v>6</v>
      </c>
      <c r="O8" s="25" t="s">
        <v>6</v>
      </c>
      <c r="P8" s="21" t="s">
        <v>42</v>
      </c>
      <c r="Q8" s="21" t="s">
        <v>42</v>
      </c>
      <c r="R8" s="25" t="s">
        <v>6</v>
      </c>
      <c r="S8" s="52" t="s">
        <v>5</v>
      </c>
      <c r="T8" s="52" t="s">
        <v>5</v>
      </c>
      <c r="U8" s="52" t="s">
        <v>5</v>
      </c>
      <c r="V8" s="52" t="s">
        <v>5</v>
      </c>
      <c r="W8" s="65" t="s">
        <v>4</v>
      </c>
      <c r="X8" s="65" t="s">
        <v>4</v>
      </c>
      <c r="Y8" s="52" t="s">
        <v>5</v>
      </c>
      <c r="Z8" s="19" t="s">
        <v>41</v>
      </c>
      <c r="AA8" s="21" t="s">
        <v>42</v>
      </c>
      <c r="AB8" s="19" t="s">
        <v>41</v>
      </c>
      <c r="AC8" s="19" t="s">
        <v>41</v>
      </c>
      <c r="AD8" s="25" t="s">
        <v>3</v>
      </c>
      <c r="AE8" s="28" t="s">
        <v>4</v>
      </c>
      <c r="AF8" s="19" t="s">
        <v>41</v>
      </c>
    </row>
    <row r="9" spans="1:32" x14ac:dyDescent="0.35">
      <c r="A9" s="64" t="s">
        <v>15</v>
      </c>
      <c r="B9" s="65" t="s">
        <v>4</v>
      </c>
      <c r="C9" s="25" t="s">
        <v>3</v>
      </c>
      <c r="D9" s="38" t="s">
        <v>10</v>
      </c>
      <c r="E9" s="38" t="s">
        <v>10</v>
      </c>
      <c r="F9" s="38" t="s">
        <v>10</v>
      </c>
      <c r="G9" s="38" t="s">
        <v>10</v>
      </c>
      <c r="H9" s="16" t="s">
        <v>8</v>
      </c>
      <c r="I9" s="65" t="s">
        <v>4</v>
      </c>
      <c r="J9" s="65" t="s">
        <v>4</v>
      </c>
      <c r="K9" s="52" t="s">
        <v>5</v>
      </c>
      <c r="L9" s="52" t="s">
        <v>5</v>
      </c>
      <c r="M9" s="52" t="s">
        <v>5</v>
      </c>
      <c r="N9" s="52" t="s">
        <v>5</v>
      </c>
      <c r="O9" s="52" t="s">
        <v>5</v>
      </c>
      <c r="P9" s="65" t="s">
        <v>4</v>
      </c>
      <c r="Q9" s="65" t="s">
        <v>4</v>
      </c>
      <c r="R9" s="38" t="s">
        <v>10</v>
      </c>
      <c r="S9" s="38" t="s">
        <v>10</v>
      </c>
      <c r="T9" s="38" t="s">
        <v>10</v>
      </c>
      <c r="U9" s="38" t="s">
        <v>10</v>
      </c>
      <c r="V9" s="12" t="s">
        <v>2</v>
      </c>
      <c r="W9" s="28" t="s">
        <v>4</v>
      </c>
      <c r="X9" s="25" t="s">
        <v>3</v>
      </c>
      <c r="Y9" s="19" t="s">
        <v>41</v>
      </c>
      <c r="Z9" s="19" t="s">
        <v>41</v>
      </c>
      <c r="AA9" s="13" t="s">
        <v>37</v>
      </c>
      <c r="AB9" s="25" t="s">
        <v>6</v>
      </c>
      <c r="AC9" s="25" t="s">
        <v>6</v>
      </c>
      <c r="AD9" s="21" t="s">
        <v>42</v>
      </c>
      <c r="AE9" s="21" t="s">
        <v>42</v>
      </c>
      <c r="AF9" s="11" t="s">
        <v>2</v>
      </c>
    </row>
    <row r="10" spans="1:32" x14ac:dyDescent="0.35">
      <c r="A10" s="64" t="s">
        <v>18</v>
      </c>
      <c r="B10" s="28" t="s">
        <v>4</v>
      </c>
      <c r="C10" s="25" t="s">
        <v>3</v>
      </c>
      <c r="D10" s="19" t="s">
        <v>41</v>
      </c>
      <c r="E10" s="19" t="s">
        <v>41</v>
      </c>
      <c r="F10" s="19" t="s">
        <v>41</v>
      </c>
      <c r="G10" s="19" t="s">
        <v>41</v>
      </c>
      <c r="H10" s="19" t="s">
        <v>41</v>
      </c>
      <c r="I10" s="65" t="s">
        <v>4</v>
      </c>
      <c r="J10" s="65" t="s">
        <v>4</v>
      </c>
      <c r="K10" s="52" t="s">
        <v>5</v>
      </c>
      <c r="L10" s="52" t="s">
        <v>5</v>
      </c>
      <c r="M10" s="52" t="s">
        <v>5</v>
      </c>
      <c r="N10" s="52" t="s">
        <v>5</v>
      </c>
      <c r="O10" s="13" t="s">
        <v>37</v>
      </c>
      <c r="P10" s="65" t="s">
        <v>4</v>
      </c>
      <c r="Q10" s="65" t="s">
        <v>4</v>
      </c>
      <c r="R10" s="19" t="s">
        <v>41</v>
      </c>
      <c r="S10" s="19" t="s">
        <v>41</v>
      </c>
      <c r="T10" s="26" t="s">
        <v>34</v>
      </c>
      <c r="U10" s="26" t="s">
        <v>34</v>
      </c>
      <c r="V10" s="19" t="s">
        <v>41</v>
      </c>
      <c r="W10" s="28" t="s">
        <v>4</v>
      </c>
      <c r="X10" s="21" t="s">
        <v>42</v>
      </c>
      <c r="Y10" s="12" t="s">
        <v>2</v>
      </c>
      <c r="Z10" s="25" t="s">
        <v>6</v>
      </c>
      <c r="AA10" s="13" t="s">
        <v>37</v>
      </c>
      <c r="AB10" s="19" t="s">
        <v>41</v>
      </c>
      <c r="AC10" s="19" t="s">
        <v>41</v>
      </c>
      <c r="AD10" s="25" t="s">
        <v>3</v>
      </c>
      <c r="AE10" s="28" t="s">
        <v>4</v>
      </c>
      <c r="AF10" s="11" t="s">
        <v>2</v>
      </c>
    </row>
    <row r="11" spans="1:32" ht="14.15" customHeight="1" x14ac:dyDescent="0.35">
      <c r="A11" s="64" t="s">
        <v>21</v>
      </c>
      <c r="B11" s="17" t="s">
        <v>11</v>
      </c>
      <c r="C11" s="17" t="s">
        <v>11</v>
      </c>
      <c r="D11" s="38" t="s">
        <v>10</v>
      </c>
      <c r="E11" s="11" t="s">
        <v>2</v>
      </c>
      <c r="F11" s="11" t="s">
        <v>2</v>
      </c>
      <c r="G11" s="25" t="s">
        <v>6</v>
      </c>
      <c r="H11" s="25" t="s">
        <v>6</v>
      </c>
      <c r="I11" s="25" t="s">
        <v>3</v>
      </c>
      <c r="J11" s="25" t="s">
        <v>3</v>
      </c>
      <c r="K11" s="19" t="s">
        <v>41</v>
      </c>
      <c r="L11" s="19" t="s">
        <v>41</v>
      </c>
      <c r="M11" s="52" t="s">
        <v>5</v>
      </c>
      <c r="N11" s="52" t="s">
        <v>5</v>
      </c>
      <c r="O11" s="52" t="s">
        <v>5</v>
      </c>
      <c r="P11" s="65" t="s">
        <v>4</v>
      </c>
      <c r="Q11" s="65" t="s">
        <v>4</v>
      </c>
      <c r="R11" s="19" t="s">
        <v>41</v>
      </c>
      <c r="S11" s="19" t="s">
        <v>41</v>
      </c>
      <c r="T11" s="11" t="s">
        <v>2</v>
      </c>
      <c r="U11" s="38" t="s">
        <v>10</v>
      </c>
      <c r="V11" s="38" t="s">
        <v>10</v>
      </c>
      <c r="W11" s="17" t="s">
        <v>11</v>
      </c>
      <c r="X11" s="28" t="s">
        <v>4</v>
      </c>
      <c r="Y11" s="25" t="s">
        <v>6</v>
      </c>
      <c r="Z11" s="25" t="s">
        <v>6</v>
      </c>
      <c r="AA11" s="13" t="s">
        <v>37</v>
      </c>
      <c r="AB11" s="12" t="s">
        <v>2</v>
      </c>
      <c r="AC11" s="17" t="s">
        <v>10</v>
      </c>
      <c r="AD11" s="17" t="s">
        <v>11</v>
      </c>
      <c r="AE11" s="17" t="s">
        <v>11</v>
      </c>
      <c r="AF11" s="17" t="s">
        <v>10</v>
      </c>
    </row>
    <row r="12" spans="1:32" x14ac:dyDescent="0.35">
      <c r="A12" s="64" t="s">
        <v>43</v>
      </c>
      <c r="B12" s="21" t="s">
        <v>42</v>
      </c>
      <c r="C12" s="28" t="s">
        <v>4</v>
      </c>
      <c r="D12" s="25" t="s">
        <v>6</v>
      </c>
      <c r="E12" s="25" t="s">
        <v>6</v>
      </c>
      <c r="F12" s="23" t="s">
        <v>17</v>
      </c>
      <c r="G12" s="19" t="s">
        <v>41</v>
      </c>
      <c r="H12" s="19" t="s">
        <v>41</v>
      </c>
      <c r="I12" s="28" t="s">
        <v>4</v>
      </c>
      <c r="J12" s="28" t="s">
        <v>4</v>
      </c>
      <c r="K12" s="17" t="s">
        <v>10</v>
      </c>
      <c r="L12" s="17" t="s">
        <v>10</v>
      </c>
      <c r="M12" s="17" t="s">
        <v>10</v>
      </c>
      <c r="N12" s="17" t="s">
        <v>10</v>
      </c>
      <c r="O12" s="17" t="s">
        <v>10</v>
      </c>
      <c r="P12" s="28" t="s">
        <v>4</v>
      </c>
      <c r="Q12" s="21" t="s">
        <v>42</v>
      </c>
      <c r="R12" s="25" t="s">
        <v>6</v>
      </c>
      <c r="S12" s="25" t="s">
        <v>6</v>
      </c>
      <c r="T12" s="25" t="s">
        <v>6</v>
      </c>
      <c r="U12" s="25" t="s">
        <v>6</v>
      </c>
      <c r="V12" s="11" t="s">
        <v>2</v>
      </c>
      <c r="W12" s="21" t="s">
        <v>42</v>
      </c>
      <c r="X12" s="21" t="s">
        <v>42</v>
      </c>
      <c r="Y12" s="38" t="s">
        <v>10</v>
      </c>
      <c r="Z12" s="38" t="s">
        <v>10</v>
      </c>
      <c r="AA12" s="17" t="s">
        <v>11</v>
      </c>
      <c r="AB12" s="38" t="s">
        <v>10</v>
      </c>
      <c r="AC12" s="12" t="s">
        <v>2</v>
      </c>
      <c r="AD12" s="28" t="s">
        <v>4</v>
      </c>
      <c r="AE12" s="21" t="s">
        <v>42</v>
      </c>
      <c r="AF12" s="19" t="s">
        <v>41</v>
      </c>
    </row>
    <row r="13" spans="1:32" ht="15" thickBot="1" x14ac:dyDescent="0.4">
      <c r="A13" s="64" t="s">
        <v>45</v>
      </c>
      <c r="B13" s="28" t="s">
        <v>4</v>
      </c>
      <c r="C13" s="28" t="s">
        <v>4</v>
      </c>
      <c r="D13" s="23" t="s">
        <v>17</v>
      </c>
      <c r="E13" s="25" t="s">
        <v>6</v>
      </c>
      <c r="F13" s="25" t="s">
        <v>6</v>
      </c>
      <c r="G13" s="25" t="s">
        <v>6</v>
      </c>
      <c r="H13" s="25" t="s">
        <v>6</v>
      </c>
      <c r="I13" s="28" t="s">
        <v>4</v>
      </c>
      <c r="J13" s="28" t="s">
        <v>4</v>
      </c>
      <c r="K13" s="25" t="s">
        <v>6</v>
      </c>
      <c r="L13" s="25" t="s">
        <v>6</v>
      </c>
      <c r="M13" s="25" t="s">
        <v>6</v>
      </c>
      <c r="N13" s="11" t="s">
        <v>2</v>
      </c>
      <c r="O13" s="11" t="s">
        <v>2</v>
      </c>
      <c r="P13" s="17" t="s">
        <v>11</v>
      </c>
      <c r="Q13" s="17" t="s">
        <v>11</v>
      </c>
      <c r="R13" s="11" t="s">
        <v>2</v>
      </c>
      <c r="S13" s="19" t="s">
        <v>41</v>
      </c>
      <c r="T13" s="19" t="s">
        <v>41</v>
      </c>
      <c r="U13" s="19" t="s">
        <v>41</v>
      </c>
      <c r="V13" s="25" t="s">
        <v>6</v>
      </c>
      <c r="W13" s="63" t="s">
        <v>30</v>
      </c>
      <c r="X13" s="28" t="s">
        <v>4</v>
      </c>
      <c r="Y13" s="25" t="s">
        <v>6</v>
      </c>
      <c r="Z13" s="25" t="s">
        <v>6</v>
      </c>
      <c r="AA13" s="27" t="s">
        <v>37</v>
      </c>
      <c r="AB13" s="19" t="s">
        <v>41</v>
      </c>
      <c r="AC13" s="19" t="s">
        <v>41</v>
      </c>
      <c r="AD13" s="63" t="s">
        <v>30</v>
      </c>
      <c r="AE13" s="28" t="s">
        <v>4</v>
      </c>
      <c r="AF13" s="11" t="s">
        <v>2</v>
      </c>
    </row>
    <row r="14" spans="1:32" x14ac:dyDescent="0.35">
      <c r="A14" s="64" t="s">
        <v>22</v>
      </c>
      <c r="B14" s="28" t="s">
        <v>4</v>
      </c>
      <c r="C14" s="19" t="s">
        <v>42</v>
      </c>
      <c r="D14" s="11" t="s">
        <v>2</v>
      </c>
      <c r="E14" s="23" t="s">
        <v>17</v>
      </c>
      <c r="F14" s="25" t="s">
        <v>6</v>
      </c>
      <c r="G14" s="11" t="s">
        <v>2</v>
      </c>
      <c r="H14" s="19" t="s">
        <v>41</v>
      </c>
      <c r="I14" s="19" t="s">
        <v>42</v>
      </c>
      <c r="J14" s="19" t="s">
        <v>42</v>
      </c>
      <c r="K14" s="19" t="s">
        <v>41</v>
      </c>
      <c r="L14" s="19" t="s">
        <v>41</v>
      </c>
      <c r="M14" s="11" t="s">
        <v>2</v>
      </c>
      <c r="N14" s="25" t="s">
        <v>6</v>
      </c>
      <c r="O14" s="25" t="s">
        <v>6</v>
      </c>
      <c r="P14" s="25" t="s">
        <v>3</v>
      </c>
      <c r="Q14" s="25" t="s">
        <v>3</v>
      </c>
      <c r="R14" s="23" t="s">
        <v>17</v>
      </c>
      <c r="S14" s="12" t="s">
        <v>2</v>
      </c>
      <c r="T14" s="12" t="s">
        <v>2</v>
      </c>
      <c r="U14" s="25" t="s">
        <v>6</v>
      </c>
      <c r="V14" s="25" t="s">
        <v>6</v>
      </c>
      <c r="W14" s="28" t="s">
        <v>4</v>
      </c>
      <c r="X14" s="28" t="s">
        <v>4</v>
      </c>
      <c r="Y14" s="19" t="s">
        <v>41</v>
      </c>
      <c r="Z14" s="19" t="s">
        <v>41</v>
      </c>
      <c r="AA14" s="13" t="s">
        <v>37</v>
      </c>
      <c r="AB14" s="25" t="s">
        <v>6</v>
      </c>
      <c r="AC14" s="25" t="s">
        <v>6</v>
      </c>
      <c r="AD14" s="28" t="s">
        <v>4</v>
      </c>
      <c r="AE14" s="25" t="s">
        <v>3</v>
      </c>
      <c r="AF14" s="25" t="s">
        <v>6</v>
      </c>
    </row>
    <row r="15" spans="1:32" ht="15" thickBot="1" x14ac:dyDescent="0.4">
      <c r="A15" s="64" t="s">
        <v>19</v>
      </c>
      <c r="B15" s="28" t="s">
        <v>4</v>
      </c>
      <c r="C15" s="28" t="s">
        <v>4</v>
      </c>
      <c r="D15" s="25" t="s">
        <v>6</v>
      </c>
      <c r="E15" s="52" t="s">
        <v>5</v>
      </c>
      <c r="F15" s="52" t="s">
        <v>5</v>
      </c>
      <c r="G15" s="25" t="s">
        <v>6</v>
      </c>
      <c r="H15" s="25" t="s">
        <v>6</v>
      </c>
      <c r="I15" s="63" t="s">
        <v>30</v>
      </c>
      <c r="J15" s="28" t="s">
        <v>4</v>
      </c>
      <c r="K15" s="25" t="s">
        <v>6</v>
      </c>
      <c r="L15" s="25" t="s">
        <v>6</v>
      </c>
      <c r="M15" s="25" t="s">
        <v>6</v>
      </c>
      <c r="N15" s="25" t="s">
        <v>6</v>
      </c>
      <c r="O15" s="25" t="s">
        <v>6</v>
      </c>
      <c r="P15" s="28" t="s">
        <v>4</v>
      </c>
      <c r="Q15" s="28" t="s">
        <v>4</v>
      </c>
      <c r="R15" s="25" t="s">
        <v>6</v>
      </c>
      <c r="S15" s="25" t="s">
        <v>6</v>
      </c>
      <c r="T15" s="25" t="s">
        <v>6</v>
      </c>
      <c r="U15" s="26" t="s">
        <v>34</v>
      </c>
      <c r="V15" s="12" t="s">
        <v>2</v>
      </c>
      <c r="W15" s="25" t="s">
        <v>3</v>
      </c>
      <c r="X15" s="25" t="s">
        <v>3</v>
      </c>
      <c r="Y15" s="25" t="s">
        <v>6</v>
      </c>
      <c r="Z15" s="12" t="s">
        <v>2</v>
      </c>
      <c r="AA15" s="27" t="s">
        <v>37</v>
      </c>
      <c r="AB15" s="25" t="s">
        <v>6</v>
      </c>
      <c r="AC15" s="25" t="s">
        <v>6</v>
      </c>
      <c r="AD15" s="28" t="s">
        <v>4</v>
      </c>
      <c r="AE15" s="28" t="s">
        <v>4</v>
      </c>
      <c r="AF15" s="19" t="s">
        <v>41</v>
      </c>
    </row>
    <row r="16" spans="1:32" ht="15" thickBot="1" x14ac:dyDescent="0.4">
      <c r="A16" s="64" t="s">
        <v>44</v>
      </c>
      <c r="B16" s="28" t="s">
        <v>4</v>
      </c>
      <c r="C16" s="28" t="s">
        <v>4</v>
      </c>
      <c r="D16" s="19" t="s">
        <v>41</v>
      </c>
      <c r="E16" s="19" t="s">
        <v>41</v>
      </c>
      <c r="F16" s="19" t="s">
        <v>41</v>
      </c>
      <c r="G16" s="19" t="s">
        <v>41</v>
      </c>
      <c r="H16" s="19" t="s">
        <v>41</v>
      </c>
      <c r="I16" s="28" t="s">
        <v>4</v>
      </c>
      <c r="J16" s="28" t="s">
        <v>4</v>
      </c>
      <c r="K16" s="19" t="s">
        <v>41</v>
      </c>
      <c r="L16" s="19" t="s">
        <v>41</v>
      </c>
      <c r="M16" s="19" t="s">
        <v>41</v>
      </c>
      <c r="N16" s="19" t="s">
        <v>41</v>
      </c>
      <c r="O16" s="19" t="s">
        <v>41</v>
      </c>
      <c r="P16" s="63" t="s">
        <v>30</v>
      </c>
      <c r="Q16" s="28" t="s">
        <v>4</v>
      </c>
      <c r="R16" s="19" t="s">
        <v>41</v>
      </c>
      <c r="S16" s="23" t="s">
        <v>17</v>
      </c>
      <c r="T16" s="19" t="s">
        <v>41</v>
      </c>
      <c r="U16" s="19" t="s">
        <v>41</v>
      </c>
      <c r="V16" s="19" t="s">
        <v>41</v>
      </c>
      <c r="W16" s="28" t="s">
        <v>4</v>
      </c>
      <c r="X16" s="28" t="s">
        <v>4</v>
      </c>
      <c r="Y16" s="19" t="s">
        <v>41</v>
      </c>
      <c r="Z16" s="19" t="s">
        <v>41</v>
      </c>
      <c r="AA16" s="63" t="s">
        <v>30</v>
      </c>
      <c r="AB16" s="19" t="s">
        <v>41</v>
      </c>
      <c r="AC16" s="19" t="s">
        <v>41</v>
      </c>
      <c r="AD16" s="28" t="s">
        <v>4</v>
      </c>
      <c r="AE16" s="28" t="s">
        <v>4</v>
      </c>
      <c r="AF16" s="19" t="s">
        <v>41</v>
      </c>
    </row>
    <row r="17" spans="1:32" x14ac:dyDescent="0.35">
      <c r="A17" s="66" t="s">
        <v>66</v>
      </c>
      <c r="B17" s="28" t="s">
        <v>4</v>
      </c>
      <c r="C17" s="28" t="s">
        <v>4</v>
      </c>
      <c r="D17" s="22" t="s">
        <v>16</v>
      </c>
      <c r="E17" s="22" t="s">
        <v>16</v>
      </c>
      <c r="F17" s="22" t="s">
        <v>16</v>
      </c>
      <c r="G17" s="22" t="s">
        <v>16</v>
      </c>
      <c r="H17" s="22" t="s">
        <v>16</v>
      </c>
      <c r="I17" s="28" t="s">
        <v>4</v>
      </c>
      <c r="J17" s="28" t="s">
        <v>4</v>
      </c>
      <c r="K17" s="22" t="s">
        <v>16</v>
      </c>
      <c r="L17" s="22" t="s">
        <v>16</v>
      </c>
      <c r="M17" s="22" t="s">
        <v>16</v>
      </c>
      <c r="N17" s="22" t="s">
        <v>16</v>
      </c>
      <c r="O17" s="22" t="s">
        <v>16</v>
      </c>
      <c r="P17" s="28" t="s">
        <v>4</v>
      </c>
      <c r="Q17" s="28" t="s">
        <v>4</v>
      </c>
      <c r="R17" s="22" t="s">
        <v>16</v>
      </c>
      <c r="S17" s="22" t="s">
        <v>16</v>
      </c>
      <c r="T17" s="22" t="s">
        <v>16</v>
      </c>
      <c r="U17" s="22" t="s">
        <v>16</v>
      </c>
      <c r="V17" s="22" t="s">
        <v>16</v>
      </c>
      <c r="W17" s="28" t="s">
        <v>4</v>
      </c>
      <c r="X17" s="28" t="s">
        <v>4</v>
      </c>
      <c r="Y17" s="22" t="s">
        <v>16</v>
      </c>
      <c r="Z17" s="22" t="s">
        <v>16</v>
      </c>
      <c r="AA17" s="27" t="s">
        <v>37</v>
      </c>
      <c r="AB17" s="22" t="s">
        <v>16</v>
      </c>
      <c r="AC17" s="22" t="s">
        <v>16</v>
      </c>
      <c r="AD17" s="28" t="s">
        <v>4</v>
      </c>
      <c r="AE17" s="28" t="s">
        <v>4</v>
      </c>
      <c r="AF17" s="22" t="s">
        <v>16</v>
      </c>
    </row>
    <row r="19" spans="1:32" x14ac:dyDescent="0.35">
      <c r="A19" s="24" t="s">
        <v>23</v>
      </c>
    </row>
    <row r="20" spans="1:32" x14ac:dyDescent="0.35">
      <c r="A20" s="1" t="s">
        <v>24</v>
      </c>
      <c r="B20" s="22" t="s">
        <v>16</v>
      </c>
      <c r="D20" s="22" t="s">
        <v>16</v>
      </c>
    </row>
    <row r="21" spans="1:32" x14ac:dyDescent="0.35">
      <c r="A21" s="1" t="s">
        <v>25</v>
      </c>
      <c r="B21" s="25" t="s">
        <v>6</v>
      </c>
      <c r="D21" s="25" t="s">
        <v>6</v>
      </c>
    </row>
    <row r="22" spans="1:32" x14ac:dyDescent="0.35">
      <c r="A22" s="1" t="s">
        <v>47</v>
      </c>
      <c r="B22" s="19" t="s">
        <v>41</v>
      </c>
      <c r="D22" s="19" t="s">
        <v>41</v>
      </c>
    </row>
    <row r="23" spans="1:32" x14ac:dyDescent="0.35">
      <c r="A23" s="1" t="s">
        <v>48</v>
      </c>
      <c r="B23" s="10" t="s">
        <v>39</v>
      </c>
      <c r="D23" s="10" t="s">
        <v>39</v>
      </c>
    </row>
    <row r="24" spans="1:32" x14ac:dyDescent="0.35">
      <c r="A24" s="1" t="s">
        <v>26</v>
      </c>
      <c r="B24" s="16" t="s">
        <v>8</v>
      </c>
      <c r="D24" s="16" t="s">
        <v>8</v>
      </c>
    </row>
    <row r="25" spans="1:32" x14ac:dyDescent="0.35">
      <c r="A25" s="1" t="s">
        <v>27</v>
      </c>
      <c r="B25" s="17" t="s">
        <v>10</v>
      </c>
      <c r="D25" s="17" t="s">
        <v>10</v>
      </c>
    </row>
    <row r="26" spans="1:32" x14ac:dyDescent="0.35">
      <c r="A26" s="1" t="s">
        <v>28</v>
      </c>
      <c r="B26" s="14" t="s">
        <v>3</v>
      </c>
      <c r="D26" s="14" t="s">
        <v>3</v>
      </c>
    </row>
    <row r="27" spans="1:32" x14ac:dyDescent="0.35">
      <c r="A27" s="1" t="s">
        <v>29</v>
      </c>
      <c r="B27" s="22" t="s">
        <v>30</v>
      </c>
      <c r="D27" s="22" t="s">
        <v>30</v>
      </c>
    </row>
    <row r="28" spans="1:32" x14ac:dyDescent="0.35">
      <c r="A28" s="1" t="s">
        <v>49</v>
      </c>
      <c r="B28" s="19" t="s">
        <v>42</v>
      </c>
      <c r="D28" s="19" t="s">
        <v>42</v>
      </c>
    </row>
    <row r="29" spans="1:32" x14ac:dyDescent="0.35">
      <c r="A29" s="1" t="s">
        <v>50</v>
      </c>
      <c r="B29" s="10" t="s">
        <v>40</v>
      </c>
      <c r="D29" s="10" t="s">
        <v>40</v>
      </c>
    </row>
    <row r="30" spans="1:32" x14ac:dyDescent="0.35">
      <c r="A30" s="1" t="s">
        <v>31</v>
      </c>
      <c r="B30" s="17" t="s">
        <v>11</v>
      </c>
      <c r="D30" s="17" t="s">
        <v>11</v>
      </c>
    </row>
    <row r="31" spans="1:32" x14ac:dyDescent="0.35">
      <c r="A31" s="1" t="s">
        <v>32</v>
      </c>
      <c r="B31" s="13" t="s">
        <v>5</v>
      </c>
      <c r="D31" s="13" t="s">
        <v>5</v>
      </c>
    </row>
    <row r="32" spans="1:32" x14ac:dyDescent="0.35">
      <c r="A32" s="1" t="s">
        <v>33</v>
      </c>
      <c r="B32" s="26" t="s">
        <v>34</v>
      </c>
      <c r="D32" s="26" t="s">
        <v>34</v>
      </c>
    </row>
    <row r="33" spans="1:4" x14ac:dyDescent="0.35">
      <c r="A33" s="1" t="s">
        <v>35</v>
      </c>
      <c r="B33" s="12" t="s">
        <v>2</v>
      </c>
      <c r="D33" s="12" t="s">
        <v>2</v>
      </c>
    </row>
    <row r="34" spans="1:4" x14ac:dyDescent="0.35">
      <c r="A34" s="1" t="s">
        <v>36</v>
      </c>
      <c r="B34" s="27" t="s">
        <v>37</v>
      </c>
      <c r="D34" s="27" t="s">
        <v>37</v>
      </c>
    </row>
    <row r="35" spans="1:4" x14ac:dyDescent="0.35">
      <c r="A35" s="1" t="s">
        <v>38</v>
      </c>
      <c r="B35" s="28" t="s">
        <v>4</v>
      </c>
      <c r="D35" s="28" t="s">
        <v>4</v>
      </c>
    </row>
    <row r="36" spans="1:4" x14ac:dyDescent="0.35">
      <c r="A36" s="1" t="s">
        <v>36</v>
      </c>
      <c r="B36" s="27" t="s">
        <v>37</v>
      </c>
      <c r="D36" s="27" t="s">
        <v>37</v>
      </c>
    </row>
    <row r="37" spans="1:4" x14ac:dyDescent="0.35">
      <c r="A37" s="1" t="s">
        <v>38</v>
      </c>
      <c r="B37" s="28" t="s">
        <v>4</v>
      </c>
      <c r="D37" s="28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9"/>
  <sheetViews>
    <sheetView zoomScale="80" zoomScaleNormal="80" workbookViewId="0">
      <pane xSplit="1" topLeftCell="C1" activePane="topRight" state="frozen"/>
      <selection pane="topRight" activeCell="D10" sqref="D10"/>
    </sheetView>
  </sheetViews>
  <sheetFormatPr defaultColWidth="9.1796875" defaultRowHeight="14.5" x14ac:dyDescent="0.35"/>
  <cols>
    <col min="1" max="1" width="26.1796875" bestFit="1" customWidth="1"/>
    <col min="2" max="2" width="6.453125" hidden="1" customWidth="1"/>
    <col min="3" max="3" width="7.1796875" customWidth="1"/>
    <col min="4" max="6" width="6.81640625" customWidth="1"/>
    <col min="7" max="8" width="7.1796875" customWidth="1"/>
    <col min="9" max="13" width="6.81640625" customWidth="1"/>
    <col min="14" max="15" width="7.1796875" customWidth="1"/>
    <col min="16" max="17" width="9.26953125" customWidth="1"/>
    <col min="18" max="19" width="7.26953125" customWidth="1"/>
    <col min="20" max="20" width="7.54296875" customWidth="1"/>
    <col min="21" max="21" width="7.26953125" customWidth="1"/>
    <col min="22" max="22" width="7.54296875" customWidth="1"/>
    <col min="23" max="24" width="9.26953125" customWidth="1"/>
    <col min="25" max="25" width="7.54296875" customWidth="1"/>
    <col min="26" max="26" width="9.26953125" customWidth="1"/>
    <col min="27" max="29" width="7.54296875" customWidth="1"/>
    <col min="30" max="30" width="9.26953125" customWidth="1"/>
    <col min="31" max="34" width="9.1796875" customWidth="1"/>
  </cols>
  <sheetData>
    <row r="1" spans="1:30" ht="15" customHeight="1" x14ac:dyDescent="0.35">
      <c r="A1" s="1"/>
      <c r="B1" s="3" t="str">
        <f t="shared" ref="B1" si="0">TEXT(B2,"ddd")</f>
        <v>Mon</v>
      </c>
      <c r="C1" s="4" t="str">
        <f t="shared" ref="C1:AD1" si="1">TEXT(C2,"ddd")</f>
        <v>Tue</v>
      </c>
      <c r="D1" s="5" t="str">
        <f t="shared" si="1"/>
        <v>Wed</v>
      </c>
      <c r="E1" s="3" t="str">
        <f t="shared" si="1"/>
        <v>Thu</v>
      </c>
      <c r="F1" s="4" t="str">
        <f t="shared" si="1"/>
        <v>Fri</v>
      </c>
      <c r="G1" s="5" t="str">
        <f t="shared" si="1"/>
        <v>Sat</v>
      </c>
      <c r="H1" s="6" t="str">
        <f t="shared" si="1"/>
        <v>Sun</v>
      </c>
      <c r="I1" s="2" t="str">
        <f t="shared" si="1"/>
        <v>Mon</v>
      </c>
      <c r="J1" s="2" t="str">
        <f t="shared" si="1"/>
        <v>Tue</v>
      </c>
      <c r="K1" s="2" t="str">
        <f t="shared" si="1"/>
        <v>Wed</v>
      </c>
      <c r="L1" s="3" t="str">
        <f t="shared" si="1"/>
        <v>Thu</v>
      </c>
      <c r="M1" s="4" t="str">
        <f t="shared" si="1"/>
        <v>Fri</v>
      </c>
      <c r="N1" s="5" t="str">
        <f t="shared" si="1"/>
        <v>Sat</v>
      </c>
      <c r="O1" s="6" t="str">
        <f t="shared" si="1"/>
        <v>Sun</v>
      </c>
      <c r="P1" s="2" t="str">
        <f t="shared" si="1"/>
        <v>Mon</v>
      </c>
      <c r="Q1" s="2" t="str">
        <f t="shared" si="1"/>
        <v>Tue</v>
      </c>
      <c r="R1" s="2" t="str">
        <f t="shared" si="1"/>
        <v>Wed</v>
      </c>
      <c r="S1" s="3" t="str">
        <f t="shared" si="1"/>
        <v>Thu</v>
      </c>
      <c r="T1" s="4" t="str">
        <f t="shared" si="1"/>
        <v>Fri</v>
      </c>
      <c r="U1" s="5" t="str">
        <f t="shared" si="1"/>
        <v>Sat</v>
      </c>
      <c r="V1" s="6" t="str">
        <f t="shared" si="1"/>
        <v>Sun</v>
      </c>
      <c r="W1" s="2" t="str">
        <f t="shared" si="1"/>
        <v>Mon</v>
      </c>
      <c r="X1" s="2" t="str">
        <f t="shared" si="1"/>
        <v>Tue</v>
      </c>
      <c r="Y1" s="2" t="str">
        <f t="shared" si="1"/>
        <v>Wed</v>
      </c>
      <c r="Z1" s="3" t="str">
        <f t="shared" si="1"/>
        <v>Thu</v>
      </c>
      <c r="AA1" s="4" t="str">
        <f t="shared" si="1"/>
        <v>Fri</v>
      </c>
      <c r="AB1" s="5" t="str">
        <f t="shared" si="1"/>
        <v>Sat</v>
      </c>
      <c r="AC1" s="6" t="str">
        <f t="shared" si="1"/>
        <v>Sun</v>
      </c>
      <c r="AD1" s="2" t="str">
        <f t="shared" si="1"/>
        <v>Mon</v>
      </c>
    </row>
    <row r="2" spans="1:30" x14ac:dyDescent="0.35">
      <c r="A2" s="7" t="s">
        <v>0</v>
      </c>
      <c r="B2" s="56">
        <v>44592</v>
      </c>
      <c r="C2" s="55">
        <v>44593</v>
      </c>
      <c r="D2" s="55">
        <v>44594</v>
      </c>
      <c r="E2" s="55">
        <v>44595</v>
      </c>
      <c r="F2" s="55">
        <v>44596</v>
      </c>
      <c r="G2" s="55">
        <v>44597</v>
      </c>
      <c r="H2" s="55">
        <v>44598</v>
      </c>
      <c r="I2" s="55">
        <v>44599</v>
      </c>
      <c r="J2" s="55">
        <v>44600</v>
      </c>
      <c r="K2" s="55">
        <v>44601</v>
      </c>
      <c r="L2" s="55">
        <v>44602</v>
      </c>
      <c r="M2" s="55">
        <v>44603</v>
      </c>
      <c r="N2" s="55">
        <v>44604</v>
      </c>
      <c r="O2" s="55">
        <v>44605</v>
      </c>
      <c r="P2" s="55">
        <v>44606</v>
      </c>
      <c r="Q2" s="55">
        <v>44607</v>
      </c>
      <c r="R2" s="55">
        <v>44608</v>
      </c>
      <c r="S2" s="55">
        <v>44609</v>
      </c>
      <c r="T2" s="55">
        <v>44610</v>
      </c>
      <c r="U2" s="55">
        <v>44611</v>
      </c>
      <c r="V2" s="55">
        <v>44612</v>
      </c>
      <c r="W2" s="55">
        <v>44613</v>
      </c>
      <c r="X2" s="55">
        <v>44614</v>
      </c>
      <c r="Y2" s="55">
        <v>44615</v>
      </c>
      <c r="Z2" s="55">
        <v>44616</v>
      </c>
      <c r="AA2" s="55">
        <v>44617</v>
      </c>
      <c r="AB2" s="55">
        <v>44618</v>
      </c>
      <c r="AC2" s="55">
        <v>44619</v>
      </c>
      <c r="AD2" s="55">
        <v>44620</v>
      </c>
    </row>
    <row r="3" spans="1:30" x14ac:dyDescent="0.35">
      <c r="A3" s="8"/>
      <c r="B3" s="31"/>
      <c r="C3" s="32"/>
      <c r="D3" s="33"/>
      <c r="E3" s="31"/>
      <c r="F3" s="32"/>
      <c r="G3" s="33"/>
      <c r="H3" s="34"/>
      <c r="I3" s="30"/>
      <c r="J3" s="30"/>
      <c r="K3" s="30"/>
      <c r="L3" s="31"/>
      <c r="M3" s="32"/>
      <c r="N3" s="33"/>
      <c r="O3" s="34"/>
      <c r="P3" s="30"/>
      <c r="Q3" s="30"/>
      <c r="R3" s="30"/>
      <c r="S3" s="31"/>
      <c r="T3" s="32"/>
      <c r="U3" s="33"/>
      <c r="V3" s="34"/>
      <c r="W3" s="30"/>
      <c r="X3" s="30"/>
      <c r="Y3" s="30"/>
      <c r="Z3" s="31"/>
      <c r="AA3" s="32"/>
      <c r="AB3" s="33"/>
      <c r="AC3" s="34"/>
      <c r="AD3" s="30"/>
    </row>
    <row r="4" spans="1:30" x14ac:dyDescent="0.35">
      <c r="A4" s="9" t="s">
        <v>1</v>
      </c>
      <c r="B4" s="11" t="s">
        <v>2</v>
      </c>
      <c r="C4" s="13" t="s">
        <v>5</v>
      </c>
      <c r="D4" s="13" t="s">
        <v>5</v>
      </c>
      <c r="E4" s="13" t="s">
        <v>5</v>
      </c>
      <c r="F4" s="13" t="s">
        <v>5</v>
      </c>
      <c r="G4" s="28" t="s">
        <v>4</v>
      </c>
      <c r="H4" s="28" t="s">
        <v>4</v>
      </c>
      <c r="I4" s="10" t="s">
        <v>39</v>
      </c>
      <c r="J4" s="16" t="s">
        <v>8</v>
      </c>
      <c r="K4" s="16" t="s">
        <v>8</v>
      </c>
      <c r="L4" s="16" t="s">
        <v>8</v>
      </c>
      <c r="M4" s="12" t="s">
        <v>2</v>
      </c>
      <c r="N4" s="57" t="s">
        <v>40</v>
      </c>
      <c r="O4" s="25" t="s">
        <v>3</v>
      </c>
      <c r="P4" s="10" t="s">
        <v>39</v>
      </c>
      <c r="Q4" s="10" t="s">
        <v>39</v>
      </c>
      <c r="R4" s="16" t="s">
        <v>8</v>
      </c>
      <c r="S4" s="16" t="s">
        <v>8</v>
      </c>
      <c r="T4" s="12" t="s">
        <v>2</v>
      </c>
      <c r="U4" s="57" t="s">
        <v>40</v>
      </c>
      <c r="V4" s="57" t="s">
        <v>40</v>
      </c>
      <c r="W4" s="25" t="s">
        <v>6</v>
      </c>
      <c r="X4" s="12" t="s">
        <v>2</v>
      </c>
      <c r="Y4" s="19" t="s">
        <v>41</v>
      </c>
      <c r="Z4" s="19" t="s">
        <v>41</v>
      </c>
      <c r="AA4" s="12" t="s">
        <v>2</v>
      </c>
      <c r="AB4" s="57" t="s">
        <v>40</v>
      </c>
      <c r="AC4" s="57" t="s">
        <v>40</v>
      </c>
      <c r="AD4" s="12" t="s">
        <v>2</v>
      </c>
    </row>
    <row r="5" spans="1:30" x14ac:dyDescent="0.35">
      <c r="A5" s="9" t="s">
        <v>9</v>
      </c>
      <c r="B5" s="17" t="s">
        <v>10</v>
      </c>
      <c r="C5" s="17" t="s">
        <v>10</v>
      </c>
      <c r="D5" s="11" t="s">
        <v>2</v>
      </c>
      <c r="E5" s="25" t="s">
        <v>6</v>
      </c>
      <c r="F5" s="25" t="s">
        <v>6</v>
      </c>
      <c r="G5" s="17" t="s">
        <v>11</v>
      </c>
      <c r="H5" s="17" t="s">
        <v>11</v>
      </c>
      <c r="I5" s="17" t="s">
        <v>10</v>
      </c>
      <c r="J5" s="12" t="s">
        <v>2</v>
      </c>
      <c r="K5" s="25" t="s">
        <v>6</v>
      </c>
      <c r="L5" s="25" t="s">
        <v>6</v>
      </c>
      <c r="M5" s="25" t="s">
        <v>6</v>
      </c>
      <c r="N5" s="65" t="s">
        <v>4</v>
      </c>
      <c r="O5" s="17" t="s">
        <v>11</v>
      </c>
      <c r="P5" s="17" t="s">
        <v>10</v>
      </c>
      <c r="Q5" s="17" t="s">
        <v>10</v>
      </c>
      <c r="R5" s="13" t="s">
        <v>5</v>
      </c>
      <c r="S5" s="13" t="s">
        <v>5</v>
      </c>
      <c r="T5" s="13" t="s">
        <v>5</v>
      </c>
      <c r="U5" s="65" t="s">
        <v>4</v>
      </c>
      <c r="V5" s="65" t="s">
        <v>4</v>
      </c>
      <c r="W5" s="13" t="s">
        <v>5</v>
      </c>
      <c r="X5" s="17" t="s">
        <v>10</v>
      </c>
      <c r="Y5" s="17" t="s">
        <v>10</v>
      </c>
      <c r="Z5" s="17" t="s">
        <v>10</v>
      </c>
      <c r="AA5" s="17" t="s">
        <v>10</v>
      </c>
      <c r="AB5" s="65" t="s">
        <v>4</v>
      </c>
      <c r="AC5" s="17" t="s">
        <v>11</v>
      </c>
      <c r="AD5" s="17" t="s">
        <v>10</v>
      </c>
    </row>
    <row r="6" spans="1:30" x14ac:dyDescent="0.35">
      <c r="A6" s="9" t="s">
        <v>12</v>
      </c>
      <c r="B6" s="25" t="s">
        <v>6</v>
      </c>
      <c r="C6" s="25" t="s">
        <v>6</v>
      </c>
      <c r="D6" s="19" t="s">
        <v>41</v>
      </c>
      <c r="E6" s="13" t="s">
        <v>5</v>
      </c>
      <c r="F6" s="13" t="s">
        <v>5</v>
      </c>
      <c r="G6" s="28" t="s">
        <v>4</v>
      </c>
      <c r="H6" s="28" t="s">
        <v>4</v>
      </c>
      <c r="I6" s="13" t="s">
        <v>5</v>
      </c>
      <c r="J6" s="13" t="s">
        <v>5</v>
      </c>
      <c r="K6" s="13" t="s">
        <v>5</v>
      </c>
      <c r="L6" s="17" t="s">
        <v>10</v>
      </c>
      <c r="M6" s="17" t="s">
        <v>10</v>
      </c>
      <c r="N6" s="17" t="s">
        <v>11</v>
      </c>
      <c r="O6" s="17" t="s">
        <v>11</v>
      </c>
      <c r="P6" s="12" t="s">
        <v>2</v>
      </c>
      <c r="Q6" s="12" t="s">
        <v>2</v>
      </c>
      <c r="R6" s="25" t="s">
        <v>6</v>
      </c>
      <c r="S6" s="25" t="s">
        <v>6</v>
      </c>
      <c r="T6" s="25" t="s">
        <v>6</v>
      </c>
      <c r="U6" s="25" t="s">
        <v>3</v>
      </c>
      <c r="V6" s="25" t="s">
        <v>3</v>
      </c>
      <c r="W6" s="12" t="s">
        <v>2</v>
      </c>
      <c r="X6" s="25" t="s">
        <v>6</v>
      </c>
      <c r="Y6" s="25" t="s">
        <v>6</v>
      </c>
      <c r="Z6" s="25" t="s">
        <v>6</v>
      </c>
      <c r="AA6" s="25" t="s">
        <v>6</v>
      </c>
      <c r="AB6" s="17" t="s">
        <v>11</v>
      </c>
      <c r="AC6" s="28" t="s">
        <v>4</v>
      </c>
      <c r="AD6" s="25" t="s">
        <v>6</v>
      </c>
    </row>
    <row r="7" spans="1:30" x14ac:dyDescent="0.35">
      <c r="A7" s="9" t="s">
        <v>13</v>
      </c>
      <c r="B7" s="25" t="s">
        <v>6</v>
      </c>
      <c r="C7" s="25" t="s">
        <v>6</v>
      </c>
      <c r="D7" s="17" t="s">
        <v>10</v>
      </c>
      <c r="E7" s="17" t="s">
        <v>10</v>
      </c>
      <c r="F7" s="17" t="s">
        <v>10</v>
      </c>
      <c r="G7" s="28" t="s">
        <v>4</v>
      </c>
      <c r="H7" s="28" t="s">
        <v>4</v>
      </c>
      <c r="I7" s="25" t="s">
        <v>6</v>
      </c>
      <c r="J7" s="25" t="s">
        <v>6</v>
      </c>
      <c r="K7" s="19" t="s">
        <v>41</v>
      </c>
      <c r="L7" s="12" t="s">
        <v>2</v>
      </c>
      <c r="M7" s="19" t="s">
        <v>41</v>
      </c>
      <c r="N7" s="21" t="s">
        <v>42</v>
      </c>
      <c r="O7" s="21" t="s">
        <v>42</v>
      </c>
      <c r="P7" s="12" t="s">
        <v>2</v>
      </c>
      <c r="Q7" s="10" t="s">
        <v>39</v>
      </c>
      <c r="R7" s="17" t="s">
        <v>10</v>
      </c>
      <c r="S7" s="17" t="s">
        <v>10</v>
      </c>
      <c r="T7" s="17" t="s">
        <v>10</v>
      </c>
      <c r="U7" s="28" t="s">
        <v>4</v>
      </c>
      <c r="V7" s="28" t="s">
        <v>4</v>
      </c>
      <c r="W7" s="19" t="s">
        <v>41</v>
      </c>
      <c r="X7" s="19" t="s">
        <v>41</v>
      </c>
      <c r="Y7" s="19" t="s">
        <v>41</v>
      </c>
      <c r="Z7" s="12" t="s">
        <v>2</v>
      </c>
      <c r="AA7" s="25" t="s">
        <v>6</v>
      </c>
      <c r="AB7" s="25" t="s">
        <v>3</v>
      </c>
      <c r="AC7" s="25" t="s">
        <v>3</v>
      </c>
      <c r="AD7" s="12" t="s">
        <v>2</v>
      </c>
    </row>
    <row r="8" spans="1:30" x14ac:dyDescent="0.35">
      <c r="A8" s="9" t="s">
        <v>14</v>
      </c>
      <c r="B8" s="19" t="s">
        <v>41</v>
      </c>
      <c r="C8" s="19" t="s">
        <v>41</v>
      </c>
      <c r="D8" s="25" t="s">
        <v>6</v>
      </c>
      <c r="E8" s="11" t="s">
        <v>2</v>
      </c>
      <c r="F8" s="19" t="s">
        <v>41</v>
      </c>
      <c r="G8" s="25" t="s">
        <v>3</v>
      </c>
      <c r="H8" s="25" t="s">
        <v>3</v>
      </c>
      <c r="I8" s="25" t="s">
        <v>6</v>
      </c>
      <c r="J8" s="17" t="s">
        <v>10</v>
      </c>
      <c r="K8" s="17" t="s">
        <v>10</v>
      </c>
      <c r="L8" s="12" t="s">
        <v>2</v>
      </c>
      <c r="M8" s="19" t="s">
        <v>41</v>
      </c>
      <c r="N8" s="21" t="s">
        <v>42</v>
      </c>
      <c r="O8" s="25" t="s">
        <v>3</v>
      </c>
      <c r="P8" s="12" t="s">
        <v>2</v>
      </c>
      <c r="Q8" s="25" t="s">
        <v>6</v>
      </c>
      <c r="R8" s="25" t="s">
        <v>6</v>
      </c>
      <c r="S8" s="19" t="s">
        <v>41</v>
      </c>
      <c r="T8" s="19" t="s">
        <v>41</v>
      </c>
      <c r="U8" s="65" t="s">
        <v>4</v>
      </c>
      <c r="V8" s="65" t="s">
        <v>4</v>
      </c>
      <c r="W8" s="13" t="s">
        <v>5</v>
      </c>
      <c r="X8" s="19" t="s">
        <v>41</v>
      </c>
      <c r="Y8" s="25" t="s">
        <v>6</v>
      </c>
      <c r="Z8" s="25" t="s">
        <v>6</v>
      </c>
      <c r="AA8" s="13" t="s">
        <v>5</v>
      </c>
      <c r="AB8" s="65" t="s">
        <v>4</v>
      </c>
      <c r="AC8" s="65" t="s">
        <v>4</v>
      </c>
      <c r="AD8" s="13" t="s">
        <v>5</v>
      </c>
    </row>
    <row r="9" spans="1:30" x14ac:dyDescent="0.35">
      <c r="A9" s="9" t="s">
        <v>15</v>
      </c>
      <c r="B9" s="11" t="s">
        <v>2</v>
      </c>
      <c r="C9" s="11" t="s">
        <v>2</v>
      </c>
      <c r="D9" s="25" t="s">
        <v>6</v>
      </c>
      <c r="E9" s="19" t="s">
        <v>41</v>
      </c>
      <c r="F9" s="19" t="s">
        <v>41</v>
      </c>
      <c r="G9" s="21" t="s">
        <v>42</v>
      </c>
      <c r="H9" s="21" t="s">
        <v>42</v>
      </c>
      <c r="I9" s="12" t="s">
        <v>2</v>
      </c>
      <c r="J9" s="19" t="s">
        <v>41</v>
      </c>
      <c r="K9" s="19" t="s">
        <v>41</v>
      </c>
      <c r="L9" s="19" t="s">
        <v>41</v>
      </c>
      <c r="M9" s="19" t="s">
        <v>41</v>
      </c>
      <c r="N9" s="28" t="s">
        <v>4</v>
      </c>
      <c r="O9" s="28" t="s">
        <v>4</v>
      </c>
      <c r="P9" s="25" t="s">
        <v>6</v>
      </c>
      <c r="Q9" s="25" t="s">
        <v>6</v>
      </c>
      <c r="R9" s="19" t="s">
        <v>41</v>
      </c>
      <c r="S9" s="12" t="s">
        <v>2</v>
      </c>
      <c r="T9" s="25" t="s">
        <v>6</v>
      </c>
      <c r="U9" s="17" t="s">
        <v>11</v>
      </c>
      <c r="V9" s="17" t="s">
        <v>11</v>
      </c>
      <c r="W9" s="17" t="s">
        <v>10</v>
      </c>
      <c r="X9" s="17" t="s">
        <v>10</v>
      </c>
      <c r="Y9" s="17" t="s">
        <v>10</v>
      </c>
      <c r="Z9" s="12" t="s">
        <v>2</v>
      </c>
      <c r="AA9" s="19" t="s">
        <v>41</v>
      </c>
      <c r="AB9" s="28" t="s">
        <v>4</v>
      </c>
      <c r="AC9" s="28" t="s">
        <v>4</v>
      </c>
      <c r="AD9" s="19" t="s">
        <v>41</v>
      </c>
    </row>
    <row r="10" spans="1:30" x14ac:dyDescent="0.35">
      <c r="A10" s="9" t="s">
        <v>18</v>
      </c>
      <c r="B10" s="11" t="s">
        <v>2</v>
      </c>
      <c r="C10" s="19" t="s">
        <v>41</v>
      </c>
      <c r="D10" s="22" t="s">
        <v>16</v>
      </c>
      <c r="E10" s="25" t="s">
        <v>6</v>
      </c>
      <c r="F10" s="25" t="s">
        <v>6</v>
      </c>
      <c r="G10" s="21" t="s">
        <v>42</v>
      </c>
      <c r="H10" s="21" t="s">
        <v>42</v>
      </c>
      <c r="I10" s="11" t="s">
        <v>2</v>
      </c>
      <c r="J10" s="25" t="s">
        <v>6</v>
      </c>
      <c r="K10" s="25" t="s">
        <v>6</v>
      </c>
      <c r="L10" s="25" t="s">
        <v>6</v>
      </c>
      <c r="M10" s="25" t="s">
        <v>6</v>
      </c>
      <c r="N10" s="28" t="s">
        <v>4</v>
      </c>
      <c r="O10" s="21" t="s">
        <v>42</v>
      </c>
      <c r="P10" s="25" t="s">
        <v>6</v>
      </c>
      <c r="Q10" s="17" t="s">
        <v>10</v>
      </c>
      <c r="R10" s="17" t="s">
        <v>10</v>
      </c>
      <c r="S10" s="17" t="s">
        <v>10</v>
      </c>
      <c r="T10" s="17" t="s">
        <v>10</v>
      </c>
      <c r="U10" s="28" t="s">
        <v>4</v>
      </c>
      <c r="V10" s="28" t="s">
        <v>4</v>
      </c>
      <c r="W10" s="19" t="s">
        <v>41</v>
      </c>
      <c r="X10" s="19" t="s">
        <v>41</v>
      </c>
      <c r="Y10" s="12" t="s">
        <v>2</v>
      </c>
      <c r="Z10" s="12" t="s">
        <v>2</v>
      </c>
      <c r="AA10" s="19" t="s">
        <v>41</v>
      </c>
      <c r="AB10" s="21" t="s">
        <v>42</v>
      </c>
      <c r="AC10" s="21" t="s">
        <v>42</v>
      </c>
      <c r="AD10" s="25" t="s">
        <v>6</v>
      </c>
    </row>
    <row r="11" spans="1:30" ht="14.15" customHeight="1" thickBot="1" x14ac:dyDescent="0.4">
      <c r="A11" s="9" t="s">
        <v>21</v>
      </c>
      <c r="B11" s="17" t="s">
        <v>10</v>
      </c>
      <c r="C11" s="11" t="s">
        <v>2</v>
      </c>
      <c r="D11" s="19" t="s">
        <v>41</v>
      </c>
      <c r="E11" s="19" t="s">
        <v>41</v>
      </c>
      <c r="F11" s="17" t="s">
        <v>10</v>
      </c>
      <c r="G11" s="17" t="s">
        <v>11</v>
      </c>
      <c r="H11" s="17" t="s">
        <v>11</v>
      </c>
      <c r="I11" s="17" t="s">
        <v>10</v>
      </c>
      <c r="J11" s="11" t="s">
        <v>2</v>
      </c>
      <c r="K11" s="19" t="s">
        <v>41</v>
      </c>
      <c r="L11" s="19" t="s">
        <v>41</v>
      </c>
      <c r="M11" s="19" t="s">
        <v>41</v>
      </c>
      <c r="N11" s="25" t="s">
        <v>3</v>
      </c>
      <c r="O11" s="28" t="s">
        <v>4</v>
      </c>
      <c r="P11" s="13" t="s">
        <v>5</v>
      </c>
      <c r="Q11" s="19" t="s">
        <v>41</v>
      </c>
      <c r="R11" s="19" t="s">
        <v>41</v>
      </c>
      <c r="S11" s="19" t="s">
        <v>41</v>
      </c>
      <c r="T11" s="19" t="s">
        <v>41</v>
      </c>
      <c r="U11" s="63" t="s">
        <v>30</v>
      </c>
      <c r="V11" s="28" t="s">
        <v>4</v>
      </c>
      <c r="W11" s="25" t="s">
        <v>6</v>
      </c>
      <c r="X11" s="25" t="s">
        <v>6</v>
      </c>
      <c r="Y11" s="12" t="s">
        <v>2</v>
      </c>
      <c r="Z11" s="17" t="s">
        <v>10</v>
      </c>
      <c r="AA11" s="17" t="s">
        <v>10</v>
      </c>
      <c r="AB11" s="17" t="s">
        <v>11</v>
      </c>
      <c r="AC11" s="17" t="s">
        <v>11</v>
      </c>
      <c r="AD11" s="17" t="s">
        <v>10</v>
      </c>
    </row>
    <row r="12" spans="1:30" x14ac:dyDescent="0.35">
      <c r="A12" s="9" t="s">
        <v>43</v>
      </c>
      <c r="B12" s="19" t="s">
        <v>41</v>
      </c>
      <c r="C12" s="19" t="s">
        <v>41</v>
      </c>
      <c r="D12" s="19" t="s">
        <v>41</v>
      </c>
      <c r="E12" s="11" t="s">
        <v>2</v>
      </c>
      <c r="F12" s="25" t="s">
        <v>6</v>
      </c>
      <c r="G12" s="25" t="s">
        <v>3</v>
      </c>
      <c r="H12" s="28" t="s">
        <v>4</v>
      </c>
      <c r="I12" s="19" t="s">
        <v>41</v>
      </c>
      <c r="J12" s="17" t="s">
        <v>10</v>
      </c>
      <c r="K12" s="17" t="s">
        <v>10</v>
      </c>
      <c r="L12" s="17" t="s">
        <v>10</v>
      </c>
      <c r="M12" s="13" t="s">
        <v>5</v>
      </c>
      <c r="N12" s="65" t="s">
        <v>4</v>
      </c>
      <c r="O12" s="65" t="s">
        <v>4</v>
      </c>
      <c r="P12" s="19" t="s">
        <v>41</v>
      </c>
      <c r="Q12" s="25" t="s">
        <v>6</v>
      </c>
      <c r="R12" s="25" t="s">
        <v>6</v>
      </c>
      <c r="S12" s="12" t="s">
        <v>2</v>
      </c>
      <c r="T12" s="12" t="s">
        <v>2</v>
      </c>
      <c r="U12" s="17" t="s">
        <v>11</v>
      </c>
      <c r="V12" s="17" t="s">
        <v>11</v>
      </c>
      <c r="W12" s="17" t="s">
        <v>10</v>
      </c>
      <c r="X12" s="12" t="s">
        <v>2</v>
      </c>
      <c r="Y12" s="19" t="s">
        <v>41</v>
      </c>
      <c r="Z12" s="19" t="s">
        <v>41</v>
      </c>
      <c r="AA12" s="12" t="s">
        <v>2</v>
      </c>
      <c r="AB12" s="25" t="s">
        <v>3</v>
      </c>
      <c r="AC12" s="25" t="s">
        <v>3</v>
      </c>
      <c r="AD12" s="23" t="s">
        <v>17</v>
      </c>
    </row>
    <row r="13" spans="1:30" x14ac:dyDescent="0.35">
      <c r="A13" s="9" t="s">
        <v>69</v>
      </c>
      <c r="B13" s="11" t="s">
        <v>2</v>
      </c>
      <c r="C13" s="17" t="s">
        <v>10</v>
      </c>
      <c r="D13" s="17" t="s">
        <v>10</v>
      </c>
      <c r="E13" s="17" t="s">
        <v>10</v>
      </c>
      <c r="F13" s="13" t="s">
        <v>5</v>
      </c>
      <c r="G13" s="28" t="s">
        <v>4</v>
      </c>
      <c r="H13" s="28" t="s">
        <v>4</v>
      </c>
      <c r="I13" s="13" t="s">
        <v>5</v>
      </c>
      <c r="J13" s="13" t="s">
        <v>5</v>
      </c>
      <c r="K13" s="13" t="s">
        <v>5</v>
      </c>
      <c r="L13" s="19" t="s">
        <v>41</v>
      </c>
      <c r="M13" s="17" t="s">
        <v>10</v>
      </c>
      <c r="N13" s="17" t="s">
        <v>11</v>
      </c>
      <c r="O13" s="28" t="s">
        <v>4</v>
      </c>
      <c r="P13" s="17" t="s">
        <v>10</v>
      </c>
      <c r="Q13" s="12" t="s">
        <v>2</v>
      </c>
      <c r="R13" s="19" t="s">
        <v>41</v>
      </c>
      <c r="S13" s="19" t="s">
        <v>41</v>
      </c>
      <c r="T13" s="19" t="s">
        <v>41</v>
      </c>
      <c r="U13" s="21" t="s">
        <v>42</v>
      </c>
      <c r="V13" s="21" t="s">
        <v>42</v>
      </c>
      <c r="W13" s="12" t="s">
        <v>2</v>
      </c>
      <c r="X13" s="25" t="s">
        <v>6</v>
      </c>
      <c r="Y13" s="25" t="s">
        <v>6</v>
      </c>
      <c r="Z13" s="25" t="s">
        <v>6</v>
      </c>
      <c r="AA13" s="25" t="s">
        <v>6</v>
      </c>
      <c r="AB13" s="28" t="s">
        <v>4</v>
      </c>
      <c r="AC13" s="28" t="s">
        <v>4</v>
      </c>
      <c r="AD13" s="19" t="s">
        <v>41</v>
      </c>
    </row>
    <row r="14" spans="1:30" x14ac:dyDescent="0.35">
      <c r="A14" s="9" t="s">
        <v>22</v>
      </c>
      <c r="B14" s="25" t="s">
        <v>6</v>
      </c>
      <c r="C14" s="25" t="s">
        <v>6</v>
      </c>
      <c r="D14" s="11" t="s">
        <v>2</v>
      </c>
      <c r="E14" s="25" t="s">
        <v>6</v>
      </c>
      <c r="F14" s="11" t="s">
        <v>2</v>
      </c>
      <c r="G14" s="28" t="s">
        <v>4</v>
      </c>
      <c r="H14" s="25" t="s">
        <v>3</v>
      </c>
      <c r="I14" s="25" t="s">
        <v>6</v>
      </c>
      <c r="J14" s="25" t="s">
        <v>6</v>
      </c>
      <c r="K14" s="11" t="s">
        <v>2</v>
      </c>
      <c r="L14" s="25" t="s">
        <v>6</v>
      </c>
      <c r="M14" s="25" t="s">
        <v>6</v>
      </c>
      <c r="N14" s="28" t="s">
        <v>4</v>
      </c>
      <c r="O14" s="28" t="s">
        <v>4</v>
      </c>
      <c r="P14" s="19" t="s">
        <v>41</v>
      </c>
      <c r="Q14" s="19" t="s">
        <v>41</v>
      </c>
      <c r="R14" s="19" t="s">
        <v>41</v>
      </c>
      <c r="S14" s="25" t="s">
        <v>6</v>
      </c>
      <c r="T14" s="12" t="s">
        <v>2</v>
      </c>
      <c r="U14" s="25" t="s">
        <v>3</v>
      </c>
      <c r="V14" s="25" t="s">
        <v>3</v>
      </c>
      <c r="W14" s="25" t="s">
        <v>6</v>
      </c>
      <c r="X14" s="12" t="s">
        <v>2</v>
      </c>
      <c r="Y14" s="12" t="s">
        <v>2</v>
      </c>
      <c r="Z14" s="19" t="s">
        <v>41</v>
      </c>
      <c r="AA14" s="19" t="s">
        <v>41</v>
      </c>
      <c r="AB14" s="28" t="s">
        <v>4</v>
      </c>
      <c r="AC14" s="28" t="s">
        <v>4</v>
      </c>
      <c r="AD14" s="19" t="s">
        <v>41</v>
      </c>
    </row>
    <row r="15" spans="1:30" ht="15" thickBot="1" x14ac:dyDescent="0.4">
      <c r="A15" s="9" t="s">
        <v>60</v>
      </c>
      <c r="B15" s="19" t="s">
        <v>41</v>
      </c>
      <c r="C15" s="19" t="s">
        <v>41</v>
      </c>
      <c r="D15" s="25" t="s">
        <v>6</v>
      </c>
      <c r="E15" s="19" t="s">
        <v>41</v>
      </c>
      <c r="F15" s="19" t="s">
        <v>41</v>
      </c>
      <c r="G15" s="63" t="s">
        <v>30</v>
      </c>
      <c r="H15" s="28" t="s">
        <v>4</v>
      </c>
      <c r="I15" s="19" t="s">
        <v>41</v>
      </c>
      <c r="J15" s="19" t="s">
        <v>41</v>
      </c>
      <c r="K15" s="25" t="s">
        <v>6</v>
      </c>
      <c r="L15" s="19" t="s">
        <v>41</v>
      </c>
      <c r="M15" s="11" t="s">
        <v>2</v>
      </c>
      <c r="N15" s="63" t="s">
        <v>30</v>
      </c>
      <c r="O15" s="28" t="s">
        <v>4</v>
      </c>
      <c r="P15" s="25" t="s">
        <v>6</v>
      </c>
      <c r="Q15" s="13" t="s">
        <v>5</v>
      </c>
      <c r="R15" s="13" t="s">
        <v>5</v>
      </c>
      <c r="S15" s="13" t="s">
        <v>5</v>
      </c>
      <c r="T15" s="13" t="s">
        <v>5</v>
      </c>
      <c r="U15" s="65" t="s">
        <v>4</v>
      </c>
      <c r="V15" s="65" t="s">
        <v>4</v>
      </c>
      <c r="W15" s="19" t="s">
        <v>41</v>
      </c>
      <c r="X15" s="19" t="s">
        <v>41</v>
      </c>
      <c r="Y15" s="19" t="s">
        <v>41</v>
      </c>
      <c r="Z15" s="19" t="s">
        <v>41</v>
      </c>
      <c r="AA15" s="19" t="s">
        <v>41</v>
      </c>
      <c r="AB15" s="63" t="s">
        <v>30</v>
      </c>
      <c r="AC15" s="28" t="s">
        <v>4</v>
      </c>
      <c r="AD15" s="12" t="s">
        <v>2</v>
      </c>
    </row>
    <row r="16" spans="1:30" x14ac:dyDescent="0.35">
      <c r="A16" s="9" t="s">
        <v>70</v>
      </c>
      <c r="B16" s="22" t="s">
        <v>16</v>
      </c>
      <c r="C16" s="22" t="s">
        <v>16</v>
      </c>
      <c r="D16" s="26" t="s">
        <v>34</v>
      </c>
      <c r="E16" s="22" t="s">
        <v>16</v>
      </c>
      <c r="F16" s="22" t="s">
        <v>16</v>
      </c>
      <c r="G16" s="28" t="s">
        <v>4</v>
      </c>
      <c r="H16" s="28" t="s">
        <v>4</v>
      </c>
      <c r="I16" s="22" t="s">
        <v>16</v>
      </c>
      <c r="J16" s="22" t="s">
        <v>16</v>
      </c>
      <c r="K16" s="22" t="s">
        <v>16</v>
      </c>
      <c r="L16" s="22" t="s">
        <v>16</v>
      </c>
      <c r="M16" s="22" t="s">
        <v>16</v>
      </c>
      <c r="N16" s="28" t="s">
        <v>4</v>
      </c>
      <c r="O16" s="28" t="s">
        <v>4</v>
      </c>
      <c r="P16" s="25" t="s">
        <v>6</v>
      </c>
      <c r="Q16" s="25" t="s">
        <v>6</v>
      </c>
      <c r="R16" s="25" t="s">
        <v>6</v>
      </c>
      <c r="S16" s="25" t="s">
        <v>6</v>
      </c>
      <c r="T16" s="25" t="s">
        <v>6</v>
      </c>
      <c r="U16" s="28" t="s">
        <v>4</v>
      </c>
      <c r="V16" s="28" t="s">
        <v>4</v>
      </c>
      <c r="W16" s="19" t="s">
        <v>41</v>
      </c>
      <c r="X16" s="25" t="s">
        <v>6</v>
      </c>
      <c r="Y16" s="25" t="s">
        <v>6</v>
      </c>
      <c r="Z16" s="25" t="s">
        <v>6</v>
      </c>
      <c r="AA16" s="25" t="s">
        <v>6</v>
      </c>
      <c r="AB16" s="28" t="s">
        <v>4</v>
      </c>
      <c r="AC16" s="28" t="s">
        <v>4</v>
      </c>
      <c r="AD16" s="25" t="s">
        <v>6</v>
      </c>
    </row>
    <row r="17" spans="1:30" x14ac:dyDescent="0.35">
      <c r="A17" s="9" t="s">
        <v>68</v>
      </c>
      <c r="B17" s="22" t="s">
        <v>16</v>
      </c>
      <c r="C17" s="22" t="s">
        <v>16</v>
      </c>
      <c r="D17" s="22" t="s">
        <v>16</v>
      </c>
      <c r="E17" s="22" t="s">
        <v>16</v>
      </c>
      <c r="F17" s="22" t="s">
        <v>16</v>
      </c>
      <c r="G17" s="28" t="s">
        <v>4</v>
      </c>
      <c r="H17" s="28" t="s">
        <v>4</v>
      </c>
      <c r="I17" s="22" t="s">
        <v>16</v>
      </c>
      <c r="J17" s="22" t="s">
        <v>16</v>
      </c>
      <c r="K17" s="22" t="s">
        <v>16</v>
      </c>
      <c r="L17" s="22" t="s">
        <v>16</v>
      </c>
      <c r="M17" s="22" t="s">
        <v>16</v>
      </c>
      <c r="N17" s="28" t="s">
        <v>4</v>
      </c>
      <c r="O17" s="28" t="s">
        <v>4</v>
      </c>
      <c r="P17" s="22" t="s">
        <v>16</v>
      </c>
      <c r="Q17" s="22" t="s">
        <v>16</v>
      </c>
      <c r="R17" s="22" t="s">
        <v>16</v>
      </c>
      <c r="S17" s="22" t="s">
        <v>16</v>
      </c>
      <c r="T17" s="22" t="s">
        <v>16</v>
      </c>
      <c r="U17" s="28" t="s">
        <v>4</v>
      </c>
      <c r="V17" s="28" t="s">
        <v>4</v>
      </c>
      <c r="W17" s="22" t="s">
        <v>16</v>
      </c>
      <c r="X17" s="22" t="s">
        <v>16</v>
      </c>
      <c r="Y17" s="22" t="s">
        <v>16</v>
      </c>
      <c r="Z17" s="22" t="s">
        <v>16</v>
      </c>
      <c r="AA17" s="22" t="s">
        <v>16</v>
      </c>
      <c r="AB17" s="28" t="s">
        <v>4</v>
      </c>
      <c r="AC17" s="28" t="s">
        <v>4</v>
      </c>
      <c r="AD17" s="22" t="s">
        <v>16</v>
      </c>
    </row>
    <row r="18" spans="1:30" x14ac:dyDescent="0.35">
      <c r="A18" s="9" t="s">
        <v>71</v>
      </c>
      <c r="B18" s="22" t="s">
        <v>16</v>
      </c>
      <c r="C18" s="22" t="s">
        <v>16</v>
      </c>
      <c r="D18" s="22" t="s">
        <v>16</v>
      </c>
      <c r="E18" s="22" t="s">
        <v>16</v>
      </c>
      <c r="F18" s="22" t="s">
        <v>16</v>
      </c>
      <c r="G18" s="28" t="s">
        <v>4</v>
      </c>
      <c r="H18" s="28" t="s">
        <v>4</v>
      </c>
      <c r="I18" s="22" t="s">
        <v>16</v>
      </c>
      <c r="J18" s="22" t="s">
        <v>16</v>
      </c>
      <c r="K18" s="22" t="s">
        <v>16</v>
      </c>
      <c r="L18" s="22" t="s">
        <v>16</v>
      </c>
      <c r="M18" s="22" t="s">
        <v>16</v>
      </c>
      <c r="N18" s="28" t="s">
        <v>4</v>
      </c>
      <c r="O18" s="28" t="s">
        <v>4</v>
      </c>
      <c r="P18" s="22" t="s">
        <v>16</v>
      </c>
      <c r="Q18" s="22" t="s">
        <v>16</v>
      </c>
      <c r="R18" s="22" t="s">
        <v>16</v>
      </c>
      <c r="S18" s="22" t="s">
        <v>16</v>
      </c>
      <c r="T18" s="22" t="s">
        <v>16</v>
      </c>
      <c r="U18" s="28" t="s">
        <v>4</v>
      </c>
      <c r="V18" s="28" t="s">
        <v>4</v>
      </c>
      <c r="W18" s="22" t="s">
        <v>16</v>
      </c>
      <c r="X18" s="22" t="s">
        <v>16</v>
      </c>
      <c r="Y18" s="22" t="s">
        <v>16</v>
      </c>
      <c r="Z18" s="22" t="s">
        <v>16</v>
      </c>
      <c r="AA18" s="22" t="s">
        <v>16</v>
      </c>
      <c r="AB18" s="28" t="s">
        <v>4</v>
      </c>
      <c r="AC18" s="28" t="s">
        <v>4</v>
      </c>
      <c r="AD18" s="22" t="s">
        <v>16</v>
      </c>
    </row>
    <row r="19" spans="1:30" x14ac:dyDescent="0.35">
      <c r="A19" s="9" t="s">
        <v>72</v>
      </c>
      <c r="B19" s="22" t="s">
        <v>16</v>
      </c>
      <c r="C19" s="22" t="s">
        <v>16</v>
      </c>
      <c r="D19" s="22" t="s">
        <v>16</v>
      </c>
      <c r="E19" s="22" t="s">
        <v>16</v>
      </c>
      <c r="F19" s="22" t="s">
        <v>16</v>
      </c>
      <c r="G19" s="28" t="s">
        <v>4</v>
      </c>
      <c r="H19" s="28" t="s">
        <v>4</v>
      </c>
      <c r="I19" s="22" t="s">
        <v>16</v>
      </c>
      <c r="J19" s="22" t="s">
        <v>16</v>
      </c>
      <c r="K19" s="22" t="s">
        <v>16</v>
      </c>
      <c r="L19" s="22" t="s">
        <v>16</v>
      </c>
      <c r="M19" s="22" t="s">
        <v>16</v>
      </c>
      <c r="N19" s="28" t="s">
        <v>4</v>
      </c>
      <c r="O19" s="28" t="s">
        <v>4</v>
      </c>
      <c r="P19" s="22" t="s">
        <v>16</v>
      </c>
      <c r="Q19" s="22" t="s">
        <v>16</v>
      </c>
      <c r="R19" s="22" t="s">
        <v>16</v>
      </c>
      <c r="S19" s="22" t="s">
        <v>16</v>
      </c>
      <c r="T19" s="22" t="s">
        <v>16</v>
      </c>
      <c r="U19" s="28" t="s">
        <v>4</v>
      </c>
      <c r="V19" s="28" t="s">
        <v>4</v>
      </c>
      <c r="W19" s="22" t="s">
        <v>16</v>
      </c>
      <c r="X19" s="22" t="s">
        <v>16</v>
      </c>
      <c r="Y19" s="22" t="s">
        <v>16</v>
      </c>
      <c r="Z19" s="22" t="s">
        <v>16</v>
      </c>
      <c r="AA19" s="22" t="s">
        <v>16</v>
      </c>
      <c r="AB19" s="28" t="s">
        <v>4</v>
      </c>
      <c r="AC19" s="28" t="s">
        <v>4</v>
      </c>
      <c r="AD19" s="22" t="s">
        <v>16</v>
      </c>
    </row>
    <row r="21" spans="1:30" x14ac:dyDescent="0.35">
      <c r="A21" s="24" t="s">
        <v>23</v>
      </c>
      <c r="B21" s="67"/>
    </row>
    <row r="22" spans="1:30" x14ac:dyDescent="0.35">
      <c r="A22" s="1" t="s">
        <v>24</v>
      </c>
      <c r="B22" s="1"/>
      <c r="C22" s="22" t="s">
        <v>16</v>
      </c>
    </row>
    <row r="23" spans="1:30" x14ac:dyDescent="0.35">
      <c r="A23" s="1" t="s">
        <v>25</v>
      </c>
      <c r="B23" s="1"/>
      <c r="C23" s="25" t="s">
        <v>6</v>
      </c>
    </row>
    <row r="24" spans="1:30" x14ac:dyDescent="0.35">
      <c r="A24" s="1" t="s">
        <v>47</v>
      </c>
      <c r="B24" s="1"/>
      <c r="C24" s="19" t="s">
        <v>41</v>
      </c>
    </row>
    <row r="25" spans="1:30" x14ac:dyDescent="0.35">
      <c r="A25" s="1" t="s">
        <v>48</v>
      </c>
      <c r="B25" s="1"/>
      <c r="C25" s="10" t="s">
        <v>39</v>
      </c>
    </row>
    <row r="26" spans="1:30" x14ac:dyDescent="0.35">
      <c r="A26" s="1" t="s">
        <v>26</v>
      </c>
      <c r="B26" s="1"/>
      <c r="C26" s="16" t="s">
        <v>8</v>
      </c>
    </row>
    <row r="27" spans="1:30" x14ac:dyDescent="0.35">
      <c r="A27" s="1" t="s">
        <v>27</v>
      </c>
      <c r="B27" s="1"/>
      <c r="C27" s="17" t="s">
        <v>10</v>
      </c>
    </row>
    <row r="28" spans="1:30" x14ac:dyDescent="0.35">
      <c r="A28" s="1" t="s">
        <v>28</v>
      </c>
      <c r="B28" s="1"/>
      <c r="C28" s="14" t="s">
        <v>3</v>
      </c>
    </row>
    <row r="29" spans="1:30" x14ac:dyDescent="0.35">
      <c r="A29" s="1" t="s">
        <v>29</v>
      </c>
      <c r="B29" s="1"/>
      <c r="C29" s="22" t="s">
        <v>30</v>
      </c>
    </row>
    <row r="30" spans="1:30" x14ac:dyDescent="0.35">
      <c r="A30" s="1" t="s">
        <v>49</v>
      </c>
      <c r="B30" s="1"/>
      <c r="C30" s="19" t="s">
        <v>42</v>
      </c>
    </row>
    <row r="31" spans="1:30" x14ac:dyDescent="0.35">
      <c r="A31" s="1" t="s">
        <v>50</v>
      </c>
      <c r="B31" s="1"/>
      <c r="C31" s="10" t="s">
        <v>40</v>
      </c>
    </row>
    <row r="32" spans="1:30" x14ac:dyDescent="0.35">
      <c r="A32" s="1" t="s">
        <v>31</v>
      </c>
      <c r="B32" s="1"/>
      <c r="C32" s="17" t="s">
        <v>11</v>
      </c>
    </row>
    <row r="33" spans="1:3" x14ac:dyDescent="0.35">
      <c r="A33" s="1" t="s">
        <v>32</v>
      </c>
      <c r="B33" s="1"/>
      <c r="C33" s="13" t="s">
        <v>5</v>
      </c>
    </row>
    <row r="34" spans="1:3" x14ac:dyDescent="0.35">
      <c r="A34" s="1" t="s">
        <v>33</v>
      </c>
      <c r="B34" s="1"/>
      <c r="C34" s="26" t="s">
        <v>34</v>
      </c>
    </row>
    <row r="35" spans="1:3" x14ac:dyDescent="0.35">
      <c r="A35" s="1" t="s">
        <v>35</v>
      </c>
      <c r="B35" s="1"/>
      <c r="C35" s="12" t="s">
        <v>2</v>
      </c>
    </row>
    <row r="36" spans="1:3" x14ac:dyDescent="0.35">
      <c r="A36" s="1" t="s">
        <v>36</v>
      </c>
      <c r="B36" s="1"/>
      <c r="C36" s="27" t="s">
        <v>37</v>
      </c>
    </row>
    <row r="37" spans="1:3" x14ac:dyDescent="0.35">
      <c r="A37" s="1" t="s">
        <v>38</v>
      </c>
      <c r="B37" s="1"/>
      <c r="C37" s="28" t="s">
        <v>4</v>
      </c>
    </row>
    <row r="38" spans="1:3" x14ac:dyDescent="0.35">
      <c r="A38" s="1" t="s">
        <v>36</v>
      </c>
      <c r="B38" s="1"/>
      <c r="C38" s="27" t="s">
        <v>37</v>
      </c>
    </row>
    <row r="39" spans="1:3" x14ac:dyDescent="0.35">
      <c r="A39" s="1" t="s">
        <v>38</v>
      </c>
      <c r="B39" s="1"/>
      <c r="C39" s="28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G39"/>
  <sheetViews>
    <sheetView zoomScale="80" zoomScaleNormal="80" workbookViewId="0">
      <pane xSplit="1" topLeftCell="M1" activePane="topRight" state="frozen"/>
      <selection pane="topRight" activeCell="AF17" sqref="AF17"/>
    </sheetView>
  </sheetViews>
  <sheetFormatPr defaultColWidth="9.1796875" defaultRowHeight="14.5" x14ac:dyDescent="0.35"/>
  <cols>
    <col min="1" max="1" width="26.1796875" bestFit="1" customWidth="1"/>
    <col min="2" max="2" width="6.81640625" customWidth="1"/>
    <col min="3" max="4" width="7.1796875" customWidth="1"/>
    <col min="5" max="5" width="7.54296875" customWidth="1"/>
    <col min="6" max="7" width="9.26953125" customWidth="1"/>
    <col min="8" max="12" width="7.26953125" customWidth="1"/>
    <col min="13" max="14" width="9.26953125" customWidth="1"/>
    <col min="15" max="16" width="7.26953125" customWidth="1"/>
    <col min="17" max="17" width="7.54296875" customWidth="1"/>
    <col min="18" max="18" width="7.26953125" customWidth="1"/>
    <col min="19" max="19" width="7.54296875" customWidth="1"/>
    <col min="20" max="21" width="9.26953125" customWidth="1"/>
    <col min="22" max="22" width="7.54296875" customWidth="1"/>
    <col min="23" max="23" width="9.26953125" customWidth="1"/>
    <col min="24" max="26" width="7.54296875" customWidth="1"/>
    <col min="27" max="27" width="9.26953125" customWidth="1"/>
    <col min="28" max="30" width="6.7265625" customWidth="1"/>
    <col min="31" max="33" width="9.1796875" customWidth="1"/>
  </cols>
  <sheetData>
    <row r="1" spans="1:33" ht="15" customHeight="1" x14ac:dyDescent="0.35">
      <c r="A1" s="1"/>
      <c r="B1" s="2" t="str">
        <f t="shared" ref="B1" si="0">TEXT(B2,"ddd")</f>
        <v>Mon</v>
      </c>
      <c r="C1" s="4" t="str">
        <f t="shared" ref="C1:AC1" si="1">TEXT(C2,"ddd")</f>
        <v>Tue</v>
      </c>
      <c r="D1" s="4" t="str">
        <f t="shared" si="1"/>
        <v>Wed</v>
      </c>
      <c r="E1" s="4" t="str">
        <f t="shared" si="1"/>
        <v>Thu</v>
      </c>
      <c r="F1" s="4" t="str">
        <f t="shared" si="1"/>
        <v>Fri</v>
      </c>
      <c r="G1" s="4" t="str">
        <f t="shared" si="1"/>
        <v>Sat</v>
      </c>
      <c r="H1" s="4" t="str">
        <f t="shared" si="1"/>
        <v>Sun</v>
      </c>
      <c r="I1" s="4" t="str">
        <f t="shared" si="1"/>
        <v>Mon</v>
      </c>
      <c r="J1" s="4" t="str">
        <f t="shared" si="1"/>
        <v>Tue</v>
      </c>
      <c r="K1" s="4" t="str">
        <f t="shared" si="1"/>
        <v>Wed</v>
      </c>
      <c r="L1" s="4" t="str">
        <f t="shared" si="1"/>
        <v>Thu</v>
      </c>
      <c r="M1" s="4" t="str">
        <f t="shared" si="1"/>
        <v>Fri</v>
      </c>
      <c r="N1" s="4" t="str">
        <f t="shared" si="1"/>
        <v>Sat</v>
      </c>
      <c r="O1" s="4" t="str">
        <f t="shared" si="1"/>
        <v>Sun</v>
      </c>
      <c r="P1" s="4" t="str">
        <f t="shared" si="1"/>
        <v>Mon</v>
      </c>
      <c r="Q1" s="4" t="str">
        <f t="shared" si="1"/>
        <v>Tue</v>
      </c>
      <c r="R1" s="4" t="str">
        <f t="shared" si="1"/>
        <v>Wed</v>
      </c>
      <c r="S1" s="4" t="str">
        <f t="shared" si="1"/>
        <v>Thu</v>
      </c>
      <c r="T1" s="4" t="str">
        <f t="shared" si="1"/>
        <v>Fri</v>
      </c>
      <c r="U1" s="4" t="str">
        <f t="shared" si="1"/>
        <v>Sat</v>
      </c>
      <c r="V1" s="4" t="str">
        <f t="shared" si="1"/>
        <v>Sun</v>
      </c>
      <c r="W1" s="4" t="str">
        <f t="shared" si="1"/>
        <v>Mon</v>
      </c>
      <c r="X1" s="4" t="str">
        <f t="shared" si="1"/>
        <v>Tue</v>
      </c>
      <c r="Y1" s="4" t="str">
        <f t="shared" si="1"/>
        <v>Wed</v>
      </c>
      <c r="Z1" s="4" t="str">
        <f t="shared" si="1"/>
        <v>Thu</v>
      </c>
      <c r="AA1" s="4" t="str">
        <f t="shared" si="1"/>
        <v>Fri</v>
      </c>
      <c r="AB1" s="4" t="str">
        <f t="shared" si="1"/>
        <v>Sat</v>
      </c>
      <c r="AC1" s="4" t="str">
        <f t="shared" si="1"/>
        <v>Sun</v>
      </c>
      <c r="AD1" s="4" t="s">
        <v>100</v>
      </c>
      <c r="AE1" s="4" t="str">
        <f t="shared" ref="AE1:AG1" si="2">TEXT(AE2,"ddd")</f>
        <v>Tue</v>
      </c>
      <c r="AF1" s="4" t="str">
        <f t="shared" si="2"/>
        <v>Wed</v>
      </c>
      <c r="AG1" s="4" t="str">
        <f t="shared" si="2"/>
        <v>Thu</v>
      </c>
    </row>
    <row r="2" spans="1:33" x14ac:dyDescent="0.35">
      <c r="A2" s="7" t="s">
        <v>0</v>
      </c>
      <c r="B2" s="55">
        <v>44620</v>
      </c>
      <c r="C2" s="55">
        <v>44621</v>
      </c>
      <c r="D2" s="55">
        <v>44622</v>
      </c>
      <c r="E2" s="55">
        <v>44623</v>
      </c>
      <c r="F2" s="55">
        <v>44624</v>
      </c>
      <c r="G2" s="55">
        <v>44625</v>
      </c>
      <c r="H2" s="55">
        <v>44626</v>
      </c>
      <c r="I2" s="55">
        <v>44627</v>
      </c>
      <c r="J2" s="55">
        <v>44628</v>
      </c>
      <c r="K2" s="55">
        <v>44629</v>
      </c>
      <c r="L2" s="55">
        <v>44630</v>
      </c>
      <c r="M2" s="55">
        <v>44631</v>
      </c>
      <c r="N2" s="55">
        <v>44632</v>
      </c>
      <c r="O2" s="55">
        <v>44633</v>
      </c>
      <c r="P2" s="55">
        <v>44634</v>
      </c>
      <c r="Q2" s="55">
        <v>44635</v>
      </c>
      <c r="R2" s="55">
        <v>44636</v>
      </c>
      <c r="S2" s="55">
        <v>44637</v>
      </c>
      <c r="T2" s="55">
        <v>44638</v>
      </c>
      <c r="U2" s="55">
        <v>44639</v>
      </c>
      <c r="V2" s="55">
        <v>44640</v>
      </c>
      <c r="W2" s="55">
        <v>44641</v>
      </c>
      <c r="X2" s="55">
        <v>44642</v>
      </c>
      <c r="Y2" s="55">
        <v>44643</v>
      </c>
      <c r="Z2" s="55">
        <v>44644</v>
      </c>
      <c r="AA2" s="55">
        <v>44645</v>
      </c>
      <c r="AB2" s="55">
        <v>44646</v>
      </c>
      <c r="AC2" s="55">
        <v>44647</v>
      </c>
      <c r="AD2" s="55">
        <v>44648</v>
      </c>
      <c r="AE2" s="55">
        <v>44649</v>
      </c>
      <c r="AF2" s="55">
        <v>44650</v>
      </c>
      <c r="AG2" s="55">
        <v>44651</v>
      </c>
    </row>
    <row r="3" spans="1:33" x14ac:dyDescent="0.35">
      <c r="A3" s="8"/>
      <c r="B3" s="30"/>
      <c r="C3" s="32"/>
      <c r="D3" s="33"/>
      <c r="E3" s="31"/>
      <c r="F3" s="32"/>
      <c r="G3" s="33"/>
      <c r="H3" s="34"/>
      <c r="I3" s="30"/>
      <c r="J3" s="30"/>
      <c r="K3" s="30"/>
      <c r="L3" s="31"/>
      <c r="M3" s="32"/>
      <c r="N3" s="33"/>
      <c r="O3" s="34"/>
      <c r="P3" s="30"/>
      <c r="Q3" s="30"/>
      <c r="R3" s="30"/>
      <c r="S3" s="31"/>
      <c r="T3" s="32"/>
      <c r="U3" s="33"/>
      <c r="V3" s="34"/>
      <c r="W3" s="30"/>
      <c r="X3" s="30"/>
      <c r="Y3" s="30"/>
      <c r="Z3" s="31"/>
      <c r="AA3" s="32"/>
      <c r="AB3" s="33"/>
      <c r="AC3" s="34"/>
      <c r="AD3" s="30"/>
      <c r="AE3" s="30"/>
      <c r="AF3" s="30"/>
      <c r="AG3" s="30"/>
    </row>
    <row r="4" spans="1:33" x14ac:dyDescent="0.35">
      <c r="A4" s="9" t="s">
        <v>1</v>
      </c>
      <c r="B4" s="12" t="s">
        <v>2</v>
      </c>
      <c r="C4" s="57" t="s">
        <v>40</v>
      </c>
      <c r="D4" s="16" t="s">
        <v>8</v>
      </c>
      <c r="E4" s="16" t="s">
        <v>8</v>
      </c>
      <c r="F4" s="16" t="s">
        <v>8</v>
      </c>
      <c r="G4" s="28" t="s">
        <v>4</v>
      </c>
      <c r="H4" s="57" t="s">
        <v>40</v>
      </c>
      <c r="I4" s="12" t="s">
        <v>2</v>
      </c>
      <c r="J4" s="10" t="s">
        <v>39</v>
      </c>
      <c r="K4" s="10" t="s">
        <v>39</v>
      </c>
      <c r="L4" s="10" t="s">
        <v>39</v>
      </c>
      <c r="M4" s="12" t="s">
        <v>2</v>
      </c>
      <c r="N4" s="57" t="s">
        <v>40</v>
      </c>
      <c r="O4" s="25" t="s">
        <v>3</v>
      </c>
      <c r="P4" s="16" t="s">
        <v>8</v>
      </c>
      <c r="Q4" s="16" t="s">
        <v>8</v>
      </c>
      <c r="R4" s="12" t="s">
        <v>2</v>
      </c>
      <c r="S4" s="10" t="s">
        <v>39</v>
      </c>
      <c r="T4" s="25" t="s">
        <v>3</v>
      </c>
      <c r="U4" s="57" t="s">
        <v>40</v>
      </c>
      <c r="V4" s="57" t="s">
        <v>40</v>
      </c>
      <c r="W4" s="12" t="s">
        <v>2</v>
      </c>
      <c r="X4" s="10" t="s">
        <v>39</v>
      </c>
      <c r="Y4" s="25" t="s">
        <v>6</v>
      </c>
      <c r="Z4" s="10" t="s">
        <v>39</v>
      </c>
      <c r="AA4" s="13" t="s">
        <v>5</v>
      </c>
      <c r="AB4" s="65" t="s">
        <v>4</v>
      </c>
      <c r="AC4" s="65" t="s">
        <v>4</v>
      </c>
      <c r="AD4" s="13" t="s">
        <v>5</v>
      </c>
      <c r="AE4" s="10" t="s">
        <v>39</v>
      </c>
      <c r="AF4" s="10" t="s">
        <v>39</v>
      </c>
      <c r="AG4" s="22" t="s">
        <v>16</v>
      </c>
    </row>
    <row r="5" spans="1:33" x14ac:dyDescent="0.35">
      <c r="A5" s="9" t="s">
        <v>9</v>
      </c>
      <c r="B5" s="17" t="s">
        <v>10</v>
      </c>
      <c r="C5" s="17" t="s">
        <v>11</v>
      </c>
      <c r="D5" s="12" t="s">
        <v>2</v>
      </c>
      <c r="E5" s="25" t="s">
        <v>6</v>
      </c>
      <c r="F5" s="25" t="s">
        <v>6</v>
      </c>
      <c r="G5" s="25" t="s">
        <v>3</v>
      </c>
      <c r="H5" s="17" t="s">
        <v>11</v>
      </c>
      <c r="I5" s="17" t="s">
        <v>10</v>
      </c>
      <c r="J5" s="17" t="s">
        <v>10</v>
      </c>
      <c r="K5" s="17" t="s">
        <v>10</v>
      </c>
      <c r="L5" s="12" t="s">
        <v>2</v>
      </c>
      <c r="M5" s="13" t="s">
        <v>5</v>
      </c>
      <c r="N5" s="65" t="s">
        <v>4</v>
      </c>
      <c r="O5" s="65" t="s">
        <v>4</v>
      </c>
      <c r="P5" s="13" t="s">
        <v>5</v>
      </c>
      <c r="Q5" s="13" t="s">
        <v>5</v>
      </c>
      <c r="R5" s="17" t="s">
        <v>10</v>
      </c>
      <c r="S5" s="13" t="s">
        <v>5</v>
      </c>
      <c r="T5" s="25" t="s">
        <v>3</v>
      </c>
      <c r="U5" s="25" t="s">
        <v>3</v>
      </c>
      <c r="V5" s="17" t="s">
        <v>11</v>
      </c>
      <c r="W5" s="17" t="s">
        <v>10</v>
      </c>
      <c r="X5" s="17" t="s">
        <v>10</v>
      </c>
      <c r="Y5" s="17" t="s">
        <v>10</v>
      </c>
      <c r="Z5" s="17" t="s">
        <v>10</v>
      </c>
      <c r="AA5" s="12" t="s">
        <v>2</v>
      </c>
      <c r="AB5" s="25" t="s">
        <v>3</v>
      </c>
      <c r="AC5" s="25" t="s">
        <v>3</v>
      </c>
      <c r="AD5" s="25" t="s">
        <v>6</v>
      </c>
      <c r="AE5" s="12" t="s">
        <v>2</v>
      </c>
      <c r="AF5" s="25" t="s">
        <v>6</v>
      </c>
      <c r="AG5" s="25" t="s">
        <v>6</v>
      </c>
    </row>
    <row r="6" spans="1:33" x14ac:dyDescent="0.35">
      <c r="A6" s="9" t="s">
        <v>12</v>
      </c>
      <c r="B6" s="25" t="s">
        <v>6</v>
      </c>
      <c r="C6" s="25" t="s">
        <v>3</v>
      </c>
      <c r="D6" s="25" t="s">
        <v>6</v>
      </c>
      <c r="E6" s="12" t="s">
        <v>2</v>
      </c>
      <c r="F6" s="12" t="s">
        <v>2</v>
      </c>
      <c r="G6" s="28" t="s">
        <v>4</v>
      </c>
      <c r="H6" s="28" t="s">
        <v>4</v>
      </c>
      <c r="I6" s="25" t="s">
        <v>6</v>
      </c>
      <c r="J6" s="13" t="s">
        <v>74</v>
      </c>
      <c r="K6" s="10" t="s">
        <v>41</v>
      </c>
      <c r="L6" s="17" t="s">
        <v>10</v>
      </c>
      <c r="M6" s="17" t="s">
        <v>10</v>
      </c>
      <c r="N6" s="28" t="s">
        <v>4</v>
      </c>
      <c r="O6" s="57" t="s">
        <v>42</v>
      </c>
      <c r="P6" s="25" t="s">
        <v>6</v>
      </c>
      <c r="Q6" s="25" t="s">
        <v>6</v>
      </c>
      <c r="R6" s="25" t="s">
        <v>6</v>
      </c>
      <c r="S6" s="13" t="s">
        <v>5</v>
      </c>
      <c r="T6" s="27" t="s">
        <v>37</v>
      </c>
      <c r="U6" s="65" t="s">
        <v>4</v>
      </c>
      <c r="V6" s="65" t="s">
        <v>4</v>
      </c>
      <c r="W6" s="25" t="s">
        <v>6</v>
      </c>
      <c r="X6" s="25" t="s">
        <v>6</v>
      </c>
      <c r="Y6" s="12" t="s">
        <v>2</v>
      </c>
      <c r="Z6" s="25" t="s">
        <v>6</v>
      </c>
      <c r="AA6" s="25" t="s">
        <v>6</v>
      </c>
      <c r="AB6" s="57" t="s">
        <v>42</v>
      </c>
      <c r="AC6" s="57" t="s">
        <v>42</v>
      </c>
      <c r="AD6" s="12" t="s">
        <v>2</v>
      </c>
      <c r="AE6" s="17" t="s">
        <v>10</v>
      </c>
      <c r="AF6" s="17" t="s">
        <v>10</v>
      </c>
      <c r="AG6" s="17" t="s">
        <v>10</v>
      </c>
    </row>
    <row r="7" spans="1:33" x14ac:dyDescent="0.35">
      <c r="A7" s="9" t="s">
        <v>13</v>
      </c>
      <c r="B7" s="12" t="s">
        <v>2</v>
      </c>
      <c r="C7" s="57" t="s">
        <v>42</v>
      </c>
      <c r="D7" s="17" t="s">
        <v>10</v>
      </c>
      <c r="E7" s="17" t="s">
        <v>10</v>
      </c>
      <c r="F7" s="17" t="s">
        <v>10</v>
      </c>
      <c r="G7" s="17" t="s">
        <v>11</v>
      </c>
      <c r="H7" s="28" t="s">
        <v>4</v>
      </c>
      <c r="I7" s="12" t="s">
        <v>2</v>
      </c>
      <c r="J7" s="25" t="s">
        <v>6</v>
      </c>
      <c r="K7" s="25" t="s">
        <v>6</v>
      </c>
      <c r="L7" s="25" t="s">
        <v>6</v>
      </c>
      <c r="M7" s="25" t="s">
        <v>6</v>
      </c>
      <c r="N7" s="65" t="s">
        <v>4</v>
      </c>
      <c r="O7" s="65" t="s">
        <v>4</v>
      </c>
      <c r="P7" s="10" t="s">
        <v>41</v>
      </c>
      <c r="Q7" s="10" t="s">
        <v>41</v>
      </c>
      <c r="R7" s="12" t="s">
        <v>2</v>
      </c>
      <c r="S7" s="25" t="s">
        <v>3</v>
      </c>
      <c r="T7" s="57" t="s">
        <v>42</v>
      </c>
      <c r="U7" s="25" t="s">
        <v>3</v>
      </c>
      <c r="V7" s="25" t="s">
        <v>3</v>
      </c>
      <c r="W7" s="12" t="s">
        <v>2</v>
      </c>
      <c r="X7" s="12" t="s">
        <v>2</v>
      </c>
      <c r="Y7" s="13" t="s">
        <v>5</v>
      </c>
      <c r="Z7" s="25" t="s">
        <v>6</v>
      </c>
      <c r="AA7" s="10" t="s">
        <v>41</v>
      </c>
      <c r="AB7" s="28" t="s">
        <v>4</v>
      </c>
      <c r="AC7" s="28" t="s">
        <v>4</v>
      </c>
      <c r="AD7" s="25" t="s">
        <v>6</v>
      </c>
      <c r="AE7" s="25" t="s">
        <v>6</v>
      </c>
      <c r="AF7" s="12" t="s">
        <v>2</v>
      </c>
      <c r="AG7" s="10" t="s">
        <v>41</v>
      </c>
    </row>
    <row r="8" spans="1:33" x14ac:dyDescent="0.35">
      <c r="A8" s="9" t="s">
        <v>14</v>
      </c>
      <c r="B8" s="13" t="s">
        <v>5</v>
      </c>
      <c r="C8" s="13" t="s">
        <v>37</v>
      </c>
      <c r="D8" s="10" t="s">
        <v>41</v>
      </c>
      <c r="E8" s="10" t="s">
        <v>41</v>
      </c>
      <c r="F8" s="10" t="s">
        <v>41</v>
      </c>
      <c r="G8" s="57" t="s">
        <v>42</v>
      </c>
      <c r="H8" s="65" t="s">
        <v>4</v>
      </c>
      <c r="I8" s="13" t="s">
        <v>5</v>
      </c>
      <c r="J8" s="13" t="s">
        <v>5</v>
      </c>
      <c r="K8" s="25" t="s">
        <v>6</v>
      </c>
      <c r="L8" s="25" t="s">
        <v>6</v>
      </c>
      <c r="M8" s="10" t="s">
        <v>41</v>
      </c>
      <c r="N8" s="25" t="s">
        <v>3</v>
      </c>
      <c r="O8" s="57" t="s">
        <v>42</v>
      </c>
      <c r="P8" s="12" t="s">
        <v>2</v>
      </c>
      <c r="Q8" s="10" t="s">
        <v>41</v>
      </c>
      <c r="R8" s="10" t="s">
        <v>41</v>
      </c>
      <c r="S8" s="17" t="s">
        <v>10</v>
      </c>
      <c r="T8" s="17" t="s">
        <v>11</v>
      </c>
      <c r="U8" s="17" t="s">
        <v>11</v>
      </c>
      <c r="V8" s="17" t="s">
        <v>11</v>
      </c>
      <c r="W8" s="13" t="s">
        <v>5</v>
      </c>
      <c r="X8" s="13" t="s">
        <v>5</v>
      </c>
      <c r="Y8" s="13" t="s">
        <v>5</v>
      </c>
      <c r="Z8" s="13" t="s">
        <v>5</v>
      </c>
      <c r="AA8" s="13" t="s">
        <v>5</v>
      </c>
      <c r="AB8" s="28" t="s">
        <v>4</v>
      </c>
      <c r="AC8" s="28" t="s">
        <v>4</v>
      </c>
      <c r="AD8" s="10" t="s">
        <v>41</v>
      </c>
      <c r="AE8" s="10" t="s">
        <v>41</v>
      </c>
      <c r="AF8" s="10" t="s">
        <v>41</v>
      </c>
      <c r="AG8" s="12" t="s">
        <v>2</v>
      </c>
    </row>
    <row r="9" spans="1:33" ht="15" thickBot="1" x14ac:dyDescent="0.4">
      <c r="A9" s="9" t="s">
        <v>15</v>
      </c>
      <c r="B9" s="19" t="s">
        <v>41</v>
      </c>
      <c r="C9" s="17" t="s">
        <v>11</v>
      </c>
      <c r="D9" s="17" t="s">
        <v>10</v>
      </c>
      <c r="E9" s="17" t="s">
        <v>10</v>
      </c>
      <c r="F9" s="17" t="s">
        <v>10</v>
      </c>
      <c r="G9" s="28" t="s">
        <v>4</v>
      </c>
      <c r="H9" s="25" t="s">
        <v>3</v>
      </c>
      <c r="I9" s="10" t="s">
        <v>41</v>
      </c>
      <c r="J9" s="10" t="s">
        <v>41</v>
      </c>
      <c r="K9" s="10" t="s">
        <v>41</v>
      </c>
      <c r="L9" s="12" t="s">
        <v>2</v>
      </c>
      <c r="M9" s="12" t="s">
        <v>2</v>
      </c>
      <c r="N9" s="17" t="s">
        <v>11</v>
      </c>
      <c r="O9" s="17" t="s">
        <v>11</v>
      </c>
      <c r="P9" s="17" t="s">
        <v>10</v>
      </c>
      <c r="Q9" s="17" t="s">
        <v>10</v>
      </c>
      <c r="R9" s="17" t="s">
        <v>10</v>
      </c>
      <c r="S9" s="12" t="s">
        <v>2</v>
      </c>
      <c r="T9" s="27" t="s">
        <v>37</v>
      </c>
      <c r="U9" s="28" t="s">
        <v>4</v>
      </c>
      <c r="V9" s="25" t="s">
        <v>3</v>
      </c>
      <c r="W9" s="25" t="s">
        <v>6</v>
      </c>
      <c r="X9" s="12" t="s">
        <v>2</v>
      </c>
      <c r="Y9" s="25" t="s">
        <v>6</v>
      </c>
      <c r="Z9" s="10" t="s">
        <v>41</v>
      </c>
      <c r="AA9" s="10" t="s">
        <v>41</v>
      </c>
      <c r="AB9" s="63" t="s">
        <v>30</v>
      </c>
      <c r="AC9" s="57" t="s">
        <v>42</v>
      </c>
      <c r="AD9" s="12" t="s">
        <v>2</v>
      </c>
      <c r="AE9" s="12" t="s">
        <v>2</v>
      </c>
      <c r="AF9" s="10" t="s">
        <v>41</v>
      </c>
      <c r="AG9" s="10" t="s">
        <v>41</v>
      </c>
    </row>
    <row r="10" spans="1:33" x14ac:dyDescent="0.35">
      <c r="A10" s="9" t="s">
        <v>18</v>
      </c>
      <c r="B10" s="25" t="s">
        <v>6</v>
      </c>
      <c r="C10" s="13" t="s">
        <v>37</v>
      </c>
      <c r="D10" s="10" t="s">
        <v>41</v>
      </c>
      <c r="E10" s="10" t="s">
        <v>41</v>
      </c>
      <c r="F10" s="10" t="s">
        <v>41</v>
      </c>
      <c r="G10" s="25" t="s">
        <v>3</v>
      </c>
      <c r="H10" s="28" t="s">
        <v>4</v>
      </c>
      <c r="I10" s="25" t="s">
        <v>6</v>
      </c>
      <c r="J10" s="25" t="s">
        <v>6</v>
      </c>
      <c r="K10" s="25" t="s">
        <v>6</v>
      </c>
      <c r="L10" s="12" t="s">
        <v>2</v>
      </c>
      <c r="M10" s="25" t="s">
        <v>6</v>
      </c>
      <c r="N10" s="57" t="s">
        <v>42</v>
      </c>
      <c r="O10" s="28" t="s">
        <v>4</v>
      </c>
      <c r="P10" s="10" t="s">
        <v>41</v>
      </c>
      <c r="Q10" s="12" t="s">
        <v>2</v>
      </c>
      <c r="R10" s="25" t="s">
        <v>6</v>
      </c>
      <c r="S10" s="25" t="s">
        <v>6</v>
      </c>
      <c r="T10" s="25" t="s">
        <v>3</v>
      </c>
      <c r="U10" s="28" t="s">
        <v>4</v>
      </c>
      <c r="V10" s="28" t="s">
        <v>4</v>
      </c>
      <c r="W10" s="10" t="s">
        <v>41</v>
      </c>
      <c r="X10" s="10" t="s">
        <v>41</v>
      </c>
      <c r="Y10" s="10" t="s">
        <v>41</v>
      </c>
      <c r="Z10" s="12" t="s">
        <v>2</v>
      </c>
      <c r="AA10" s="17" t="s">
        <v>10</v>
      </c>
      <c r="AB10" s="17" t="s">
        <v>11</v>
      </c>
      <c r="AC10" s="17" t="s">
        <v>11</v>
      </c>
      <c r="AD10" s="17" t="s">
        <v>10</v>
      </c>
      <c r="AE10" s="12" t="s">
        <v>2</v>
      </c>
      <c r="AF10" s="12" t="s">
        <v>2</v>
      </c>
      <c r="AG10" s="10" t="s">
        <v>41</v>
      </c>
    </row>
    <row r="11" spans="1:33" ht="14.15" customHeight="1" x14ac:dyDescent="0.35">
      <c r="A11" s="9" t="s">
        <v>21</v>
      </c>
      <c r="B11" s="17" t="s">
        <v>10</v>
      </c>
      <c r="C11" s="13" t="s">
        <v>37</v>
      </c>
      <c r="D11" s="12" t="s">
        <v>2</v>
      </c>
      <c r="E11" s="25" t="s">
        <v>6</v>
      </c>
      <c r="F11" s="25" t="s">
        <v>6</v>
      </c>
      <c r="G11" s="57" t="s">
        <v>42</v>
      </c>
      <c r="H11" s="57" t="s">
        <v>42</v>
      </c>
      <c r="I11" s="10" t="s">
        <v>41</v>
      </c>
      <c r="J11" s="12" t="s">
        <v>2</v>
      </c>
      <c r="K11" s="10" t="s">
        <v>41</v>
      </c>
      <c r="L11" s="10" t="s">
        <v>41</v>
      </c>
      <c r="M11" s="10" t="s">
        <v>41</v>
      </c>
      <c r="N11" s="28" t="s">
        <v>4</v>
      </c>
      <c r="O11" s="28" t="s">
        <v>4</v>
      </c>
      <c r="P11" s="25" t="s">
        <v>6</v>
      </c>
      <c r="Q11" s="25" t="s">
        <v>6</v>
      </c>
      <c r="R11" s="25" t="s">
        <v>6</v>
      </c>
      <c r="S11" s="25" t="s">
        <v>6</v>
      </c>
      <c r="T11" s="27" t="s">
        <v>37</v>
      </c>
      <c r="U11" s="57" t="s">
        <v>42</v>
      </c>
      <c r="V11" s="57" t="s">
        <v>42</v>
      </c>
      <c r="W11" s="12" t="s">
        <v>2</v>
      </c>
      <c r="X11" s="17" t="s">
        <v>10</v>
      </c>
      <c r="Y11" s="17" t="s">
        <v>10</v>
      </c>
      <c r="Z11" s="17" t="s">
        <v>10</v>
      </c>
      <c r="AA11" s="17" t="s">
        <v>10</v>
      </c>
      <c r="AB11" s="28" t="s">
        <v>4</v>
      </c>
      <c r="AC11" s="28" t="s">
        <v>4</v>
      </c>
      <c r="AD11" s="17" t="s">
        <v>10</v>
      </c>
      <c r="AE11" s="17" t="s">
        <v>10</v>
      </c>
      <c r="AF11" s="17" t="s">
        <v>10</v>
      </c>
      <c r="AG11" s="17" t="s">
        <v>10</v>
      </c>
    </row>
    <row r="12" spans="1:33" x14ac:dyDescent="0.35">
      <c r="A12" s="9" t="s">
        <v>43</v>
      </c>
      <c r="B12" s="23" t="s">
        <v>17</v>
      </c>
      <c r="C12" s="13" t="s">
        <v>37</v>
      </c>
      <c r="D12" s="25" t="s">
        <v>6</v>
      </c>
      <c r="E12" s="25" t="s">
        <v>6</v>
      </c>
      <c r="F12" s="12" t="s">
        <v>2</v>
      </c>
      <c r="G12" s="17" t="s">
        <v>11</v>
      </c>
      <c r="H12" s="17" t="s">
        <v>11</v>
      </c>
      <c r="I12" s="17" t="s">
        <v>10</v>
      </c>
      <c r="J12" s="17" t="s">
        <v>10</v>
      </c>
      <c r="K12" s="17" t="s">
        <v>10</v>
      </c>
      <c r="L12" s="12" t="s">
        <v>2</v>
      </c>
      <c r="M12" s="10" t="s">
        <v>41</v>
      </c>
      <c r="N12" s="28" t="s">
        <v>4</v>
      </c>
      <c r="O12" s="28" t="s">
        <v>4</v>
      </c>
      <c r="P12" s="10" t="s">
        <v>41</v>
      </c>
      <c r="Q12" s="10" t="s">
        <v>41</v>
      </c>
      <c r="R12" s="10" t="s">
        <v>41</v>
      </c>
      <c r="S12" s="10" t="s">
        <v>41</v>
      </c>
      <c r="T12" s="57" t="s">
        <v>42</v>
      </c>
      <c r="U12" s="28" t="s">
        <v>4</v>
      </c>
      <c r="V12" s="28" t="s">
        <v>4</v>
      </c>
      <c r="W12" s="10" t="s">
        <v>41</v>
      </c>
      <c r="X12" s="25" t="s">
        <v>6</v>
      </c>
      <c r="Y12" s="25" t="s">
        <v>6</v>
      </c>
      <c r="Z12" s="12" t="s">
        <v>2</v>
      </c>
      <c r="AA12" s="12" t="s">
        <v>2</v>
      </c>
      <c r="AB12" s="17" t="s">
        <v>11</v>
      </c>
      <c r="AC12" s="17" t="s">
        <v>11</v>
      </c>
      <c r="AD12" s="12" t="s">
        <v>2</v>
      </c>
      <c r="AE12" s="10" t="s">
        <v>41</v>
      </c>
      <c r="AF12" s="25" t="s">
        <v>6</v>
      </c>
      <c r="AG12" s="25" t="s">
        <v>6</v>
      </c>
    </row>
    <row r="13" spans="1:33" x14ac:dyDescent="0.35">
      <c r="A13" s="9" t="s">
        <v>69</v>
      </c>
      <c r="B13" s="19" t="s">
        <v>41</v>
      </c>
      <c r="C13" s="25" t="s">
        <v>3</v>
      </c>
      <c r="D13" s="25" t="s">
        <v>6</v>
      </c>
      <c r="E13" s="25" t="s">
        <v>6</v>
      </c>
      <c r="F13" s="25" t="s">
        <v>6</v>
      </c>
      <c r="G13" s="28" t="s">
        <v>4</v>
      </c>
      <c r="H13" s="25" t="s">
        <v>3</v>
      </c>
      <c r="I13" s="25" t="s">
        <v>6</v>
      </c>
      <c r="J13" s="25" t="s">
        <v>6</v>
      </c>
      <c r="K13" s="12" t="s">
        <v>2</v>
      </c>
      <c r="L13" s="17" t="s">
        <v>10</v>
      </c>
      <c r="M13" s="17" t="s">
        <v>10</v>
      </c>
      <c r="N13" s="17" t="s">
        <v>11</v>
      </c>
      <c r="O13" s="17" t="s">
        <v>11</v>
      </c>
      <c r="P13" s="17" t="s">
        <v>10</v>
      </c>
      <c r="Q13" s="17" t="s">
        <v>10</v>
      </c>
      <c r="R13" s="12" t="s">
        <v>2</v>
      </c>
      <c r="S13" s="17" t="s">
        <v>10</v>
      </c>
      <c r="T13" s="17" t="s">
        <v>11</v>
      </c>
      <c r="U13" s="17" t="s">
        <v>11</v>
      </c>
      <c r="V13" s="28" t="s">
        <v>4</v>
      </c>
      <c r="W13" s="17" t="s">
        <v>10</v>
      </c>
      <c r="X13" s="12" t="s">
        <v>2</v>
      </c>
      <c r="Y13" s="10" t="s">
        <v>41</v>
      </c>
      <c r="Z13" s="10" t="s">
        <v>41</v>
      </c>
      <c r="AA13" s="10" t="s">
        <v>41</v>
      </c>
      <c r="AB13" s="28" t="s">
        <v>4</v>
      </c>
      <c r="AC13" s="28" t="s">
        <v>4</v>
      </c>
      <c r="AD13" s="10" t="s">
        <v>41</v>
      </c>
      <c r="AE13" s="25" t="s">
        <v>6</v>
      </c>
      <c r="AF13" s="12" t="s">
        <v>2</v>
      </c>
      <c r="AG13" s="25" t="s">
        <v>6</v>
      </c>
    </row>
    <row r="14" spans="1:33" x14ac:dyDescent="0.35">
      <c r="A14" s="9" t="s">
        <v>22</v>
      </c>
      <c r="B14" s="19" t="s">
        <v>41</v>
      </c>
      <c r="C14" s="13" t="s">
        <v>5</v>
      </c>
      <c r="D14" s="10" t="s">
        <v>41</v>
      </c>
      <c r="E14" s="10" t="s">
        <v>41</v>
      </c>
      <c r="F14" s="10" t="s">
        <v>41</v>
      </c>
      <c r="G14" s="28" t="s">
        <v>4</v>
      </c>
      <c r="H14" s="28" t="s">
        <v>4</v>
      </c>
      <c r="I14" s="10" t="s">
        <v>41</v>
      </c>
      <c r="J14" s="10" t="s">
        <v>41</v>
      </c>
      <c r="K14" s="12" t="s">
        <v>2</v>
      </c>
      <c r="L14" s="25" t="s">
        <v>6</v>
      </c>
      <c r="M14" s="25" t="s">
        <v>6</v>
      </c>
      <c r="N14" s="25" t="s">
        <v>3</v>
      </c>
      <c r="O14" s="25" t="s">
        <v>3</v>
      </c>
      <c r="P14" s="12" t="s">
        <v>2</v>
      </c>
      <c r="Q14" s="25" t="s">
        <v>6</v>
      </c>
      <c r="R14" s="10" t="s">
        <v>41</v>
      </c>
      <c r="S14" s="10" t="s">
        <v>41</v>
      </c>
      <c r="T14" s="57" t="s">
        <v>42</v>
      </c>
      <c r="U14" s="28" t="s">
        <v>4</v>
      </c>
      <c r="V14" s="28" t="s">
        <v>4</v>
      </c>
      <c r="W14" s="25" t="s">
        <v>6</v>
      </c>
      <c r="X14" s="25" t="s">
        <v>6</v>
      </c>
      <c r="Y14" s="12" t="s">
        <v>2</v>
      </c>
      <c r="Z14" s="25" t="s">
        <v>6</v>
      </c>
      <c r="AA14" s="25" t="s">
        <v>6</v>
      </c>
      <c r="AB14" s="25" t="s">
        <v>3</v>
      </c>
      <c r="AC14" s="25" t="s">
        <v>3</v>
      </c>
      <c r="AD14" s="12" t="s">
        <v>2</v>
      </c>
      <c r="AE14" s="25" t="s">
        <v>6</v>
      </c>
      <c r="AF14" s="10" t="s">
        <v>41</v>
      </c>
      <c r="AG14" s="25" t="s">
        <v>6</v>
      </c>
    </row>
    <row r="15" spans="1:33" ht="15" thickBot="1" x14ac:dyDescent="0.4">
      <c r="A15" s="9" t="s">
        <v>60</v>
      </c>
      <c r="B15" s="12" t="s">
        <v>2</v>
      </c>
      <c r="C15" s="57" t="s">
        <v>42</v>
      </c>
      <c r="D15" s="10" t="s">
        <v>41</v>
      </c>
      <c r="E15" s="10" t="s">
        <v>41</v>
      </c>
      <c r="F15" s="10" t="s">
        <v>41</v>
      </c>
      <c r="G15" s="63" t="s">
        <v>30</v>
      </c>
      <c r="H15" s="28" t="s">
        <v>4</v>
      </c>
      <c r="I15" s="12" t="s">
        <v>2</v>
      </c>
      <c r="J15" s="10" t="s">
        <v>41</v>
      </c>
      <c r="K15" s="10" t="s">
        <v>41</v>
      </c>
      <c r="L15" s="10" t="s">
        <v>41</v>
      </c>
      <c r="M15" s="10" t="s">
        <v>41</v>
      </c>
      <c r="N15" s="63" t="s">
        <v>30</v>
      </c>
      <c r="O15" s="28" t="s">
        <v>4</v>
      </c>
      <c r="P15" s="13" t="s">
        <v>5</v>
      </c>
      <c r="Q15" s="13" t="s">
        <v>5</v>
      </c>
      <c r="R15" s="13" t="s">
        <v>5</v>
      </c>
      <c r="S15" s="13" t="s">
        <v>5</v>
      </c>
      <c r="T15" s="13" t="s">
        <v>37</v>
      </c>
      <c r="U15" s="65" t="s">
        <v>4</v>
      </c>
      <c r="V15" s="65" t="s">
        <v>4</v>
      </c>
      <c r="W15" s="10" t="s">
        <v>41</v>
      </c>
      <c r="X15" s="10" t="s">
        <v>41</v>
      </c>
      <c r="Y15" s="10" t="s">
        <v>41</v>
      </c>
      <c r="Z15" s="10" t="s">
        <v>41</v>
      </c>
      <c r="AA15" s="10" t="s">
        <v>41</v>
      </c>
      <c r="AB15" s="57" t="s">
        <v>42</v>
      </c>
      <c r="AC15" s="28" t="s">
        <v>4</v>
      </c>
      <c r="AD15" s="10" t="s">
        <v>41</v>
      </c>
      <c r="AE15" s="10" t="s">
        <v>41</v>
      </c>
      <c r="AF15" s="12" t="s">
        <v>2</v>
      </c>
      <c r="AG15" s="10" t="s">
        <v>41</v>
      </c>
    </row>
    <row r="16" spans="1:33" ht="15" thickBot="1" x14ac:dyDescent="0.4">
      <c r="A16" s="9" t="s">
        <v>70</v>
      </c>
      <c r="B16" s="25" t="s">
        <v>6</v>
      </c>
      <c r="C16" s="63" t="s">
        <v>30</v>
      </c>
      <c r="D16" s="25" t="s">
        <v>6</v>
      </c>
      <c r="E16" s="25" t="s">
        <v>6</v>
      </c>
      <c r="F16" s="13" t="s">
        <v>5</v>
      </c>
      <c r="G16" s="28" t="s">
        <v>4</v>
      </c>
      <c r="H16" s="28" t="s">
        <v>4</v>
      </c>
      <c r="I16" s="25" t="s">
        <v>6</v>
      </c>
      <c r="J16" s="25" t="s">
        <v>6</v>
      </c>
      <c r="K16" s="25" t="s">
        <v>6</v>
      </c>
      <c r="L16" s="25" t="s">
        <v>6</v>
      </c>
      <c r="M16" s="25" t="s">
        <v>6</v>
      </c>
      <c r="N16" s="28" t="s">
        <v>4</v>
      </c>
      <c r="O16" s="28" t="s">
        <v>4</v>
      </c>
      <c r="P16" s="25" t="s">
        <v>6</v>
      </c>
      <c r="Q16" s="25" t="s">
        <v>6</v>
      </c>
      <c r="R16" s="25" t="s">
        <v>6</v>
      </c>
      <c r="S16" s="13" t="s">
        <v>5</v>
      </c>
      <c r="T16" s="27" t="s">
        <v>37</v>
      </c>
      <c r="U16" s="63" t="s">
        <v>30</v>
      </c>
      <c r="V16" s="28" t="s">
        <v>4</v>
      </c>
      <c r="W16" s="25" t="s">
        <v>6</v>
      </c>
      <c r="X16" s="25" t="s">
        <v>6</v>
      </c>
      <c r="Y16" s="25" t="s">
        <v>6</v>
      </c>
      <c r="Z16" s="25" t="s">
        <v>6</v>
      </c>
      <c r="AA16" s="25" t="s">
        <v>6</v>
      </c>
      <c r="AB16" s="28" t="s">
        <v>4</v>
      </c>
      <c r="AC16" s="28" t="s">
        <v>4</v>
      </c>
      <c r="AD16" s="26" t="s">
        <v>34</v>
      </c>
      <c r="AE16" s="26" t="s">
        <v>34</v>
      </c>
      <c r="AF16" s="25" t="s">
        <v>6</v>
      </c>
      <c r="AG16" s="25" t="s">
        <v>6</v>
      </c>
    </row>
    <row r="17" spans="1:33" x14ac:dyDescent="0.35">
      <c r="A17" s="9" t="s">
        <v>68</v>
      </c>
      <c r="B17" s="22" t="s">
        <v>16</v>
      </c>
      <c r="C17" s="27" t="s">
        <v>37</v>
      </c>
      <c r="D17" s="22" t="s">
        <v>16</v>
      </c>
      <c r="E17" s="22" t="s">
        <v>16</v>
      </c>
      <c r="F17" s="22" t="s">
        <v>16</v>
      </c>
      <c r="G17" s="28" t="s">
        <v>4</v>
      </c>
      <c r="H17" s="28" t="s">
        <v>4</v>
      </c>
      <c r="I17" s="22" t="s">
        <v>16</v>
      </c>
      <c r="J17" s="22" t="s">
        <v>16</v>
      </c>
      <c r="K17" s="22" t="s">
        <v>16</v>
      </c>
      <c r="L17" s="22" t="s">
        <v>16</v>
      </c>
      <c r="M17" s="22" t="s">
        <v>16</v>
      </c>
      <c r="N17" s="28" t="s">
        <v>4</v>
      </c>
      <c r="O17" s="28" t="s">
        <v>4</v>
      </c>
      <c r="P17" s="25" t="s">
        <v>6</v>
      </c>
      <c r="Q17" s="22" t="s">
        <v>16</v>
      </c>
      <c r="R17" s="10" t="s">
        <v>41</v>
      </c>
      <c r="S17" s="25" t="s">
        <v>6</v>
      </c>
      <c r="T17" s="27" t="s">
        <v>37</v>
      </c>
      <c r="U17" s="28" t="s">
        <v>4</v>
      </c>
      <c r="V17" s="28" t="s">
        <v>4</v>
      </c>
      <c r="W17" s="10" t="s">
        <v>41</v>
      </c>
      <c r="X17" s="10" t="s">
        <v>41</v>
      </c>
      <c r="Y17" s="22" t="s">
        <v>16</v>
      </c>
      <c r="Z17" s="22" t="s">
        <v>16</v>
      </c>
      <c r="AA17" s="22" t="s">
        <v>16</v>
      </c>
      <c r="AB17" s="28" t="s">
        <v>4</v>
      </c>
      <c r="AC17" s="28" t="s">
        <v>4</v>
      </c>
      <c r="AD17" s="10" t="s">
        <v>41</v>
      </c>
      <c r="AE17" s="10" t="s">
        <v>41</v>
      </c>
      <c r="AF17" s="16" t="s">
        <v>8</v>
      </c>
      <c r="AG17" s="16" t="s">
        <v>8</v>
      </c>
    </row>
    <row r="18" spans="1:33" x14ac:dyDescent="0.35">
      <c r="A18" s="9" t="s">
        <v>71</v>
      </c>
      <c r="B18" s="22" t="s">
        <v>16</v>
      </c>
      <c r="C18" s="27" t="s">
        <v>37</v>
      </c>
      <c r="D18" s="22" t="s">
        <v>16</v>
      </c>
      <c r="E18" s="22" t="s">
        <v>16</v>
      </c>
      <c r="F18" s="22" t="s">
        <v>16</v>
      </c>
      <c r="G18" s="28" t="s">
        <v>4</v>
      </c>
      <c r="H18" s="28" t="s">
        <v>4</v>
      </c>
      <c r="I18" s="22" t="s">
        <v>16</v>
      </c>
      <c r="J18" s="22" t="s">
        <v>16</v>
      </c>
      <c r="K18" s="22" t="s">
        <v>16</v>
      </c>
      <c r="L18" s="10" t="s">
        <v>41</v>
      </c>
      <c r="M18" s="22" t="s">
        <v>16</v>
      </c>
      <c r="N18" s="28" t="s">
        <v>4</v>
      </c>
      <c r="O18" s="28" t="s">
        <v>4</v>
      </c>
      <c r="P18" s="10" t="s">
        <v>41</v>
      </c>
      <c r="Q18" s="10" t="s">
        <v>41</v>
      </c>
      <c r="R18" s="16" t="s">
        <v>8</v>
      </c>
      <c r="S18" s="16" t="s">
        <v>8</v>
      </c>
      <c r="T18" s="27" t="s">
        <v>37</v>
      </c>
      <c r="U18" s="28" t="s">
        <v>4</v>
      </c>
      <c r="V18" s="28" t="s">
        <v>4</v>
      </c>
      <c r="W18" s="16" t="s">
        <v>8</v>
      </c>
      <c r="X18" s="16" t="s">
        <v>8</v>
      </c>
      <c r="Y18" s="16" t="s">
        <v>8</v>
      </c>
      <c r="Z18" s="16" t="s">
        <v>8</v>
      </c>
      <c r="AA18" s="16" t="s">
        <v>8</v>
      </c>
      <c r="AB18" s="28" t="s">
        <v>4</v>
      </c>
      <c r="AC18" s="28" t="s">
        <v>4</v>
      </c>
      <c r="AD18" s="25" t="s">
        <v>6</v>
      </c>
      <c r="AE18" s="25" t="s">
        <v>6</v>
      </c>
      <c r="AF18" s="25" t="s">
        <v>6</v>
      </c>
      <c r="AG18" s="22" t="s">
        <v>16</v>
      </c>
    </row>
    <row r="19" spans="1:33" x14ac:dyDescent="0.35">
      <c r="A19" s="9" t="s">
        <v>72</v>
      </c>
      <c r="B19" s="22" t="s">
        <v>16</v>
      </c>
      <c r="C19" s="27" t="s">
        <v>37</v>
      </c>
      <c r="D19" s="22" t="s">
        <v>16</v>
      </c>
      <c r="E19" s="22" t="s">
        <v>16</v>
      </c>
      <c r="F19" s="22" t="s">
        <v>16</v>
      </c>
      <c r="G19" s="28" t="s">
        <v>4</v>
      </c>
      <c r="H19" s="28" t="s">
        <v>4</v>
      </c>
      <c r="I19" s="22" t="s">
        <v>16</v>
      </c>
      <c r="J19" s="13" t="s">
        <v>74</v>
      </c>
      <c r="K19" s="22" t="s">
        <v>16</v>
      </c>
      <c r="L19" s="22" t="s">
        <v>16</v>
      </c>
      <c r="M19" s="22" t="s">
        <v>16</v>
      </c>
      <c r="N19" s="28" t="s">
        <v>4</v>
      </c>
      <c r="O19" s="28" t="s">
        <v>4</v>
      </c>
      <c r="P19" s="22" t="s">
        <v>16</v>
      </c>
      <c r="Q19" s="22" t="s">
        <v>16</v>
      </c>
      <c r="R19" s="22" t="s">
        <v>16</v>
      </c>
      <c r="S19" s="22" t="s">
        <v>16</v>
      </c>
      <c r="T19" s="27" t="s">
        <v>37</v>
      </c>
      <c r="U19" s="28" t="s">
        <v>4</v>
      </c>
      <c r="V19" s="28" t="s">
        <v>4</v>
      </c>
      <c r="W19" s="22" t="s">
        <v>16</v>
      </c>
      <c r="X19" s="22" t="s">
        <v>16</v>
      </c>
      <c r="Y19" s="22" t="s">
        <v>16</v>
      </c>
      <c r="Z19" s="22" t="s">
        <v>16</v>
      </c>
      <c r="AA19" s="25" t="s">
        <v>6</v>
      </c>
      <c r="AB19" s="28" t="s">
        <v>4</v>
      </c>
      <c r="AC19" s="28" t="s">
        <v>4</v>
      </c>
      <c r="AD19" s="25" t="s">
        <v>6</v>
      </c>
      <c r="AE19" s="22" t="s">
        <v>16</v>
      </c>
      <c r="AF19" s="22" t="s">
        <v>16</v>
      </c>
      <c r="AG19" s="22" t="s">
        <v>16</v>
      </c>
    </row>
    <row r="21" spans="1:33" x14ac:dyDescent="0.35">
      <c r="A21" s="24" t="s">
        <v>23</v>
      </c>
    </row>
    <row r="22" spans="1:33" x14ac:dyDescent="0.35">
      <c r="A22" s="1" t="s">
        <v>24</v>
      </c>
    </row>
    <row r="23" spans="1:33" x14ac:dyDescent="0.35">
      <c r="A23" s="1" t="s">
        <v>25</v>
      </c>
    </row>
    <row r="24" spans="1:33" x14ac:dyDescent="0.35">
      <c r="A24" s="1" t="s">
        <v>47</v>
      </c>
    </row>
    <row r="25" spans="1:33" x14ac:dyDescent="0.35">
      <c r="A25" s="1" t="s">
        <v>48</v>
      </c>
    </row>
    <row r="26" spans="1:33" x14ac:dyDescent="0.35">
      <c r="A26" s="1" t="s">
        <v>26</v>
      </c>
    </row>
    <row r="27" spans="1:33" x14ac:dyDescent="0.35">
      <c r="A27" s="1" t="s">
        <v>27</v>
      </c>
    </row>
    <row r="28" spans="1:33" x14ac:dyDescent="0.35">
      <c r="A28" s="1" t="s">
        <v>28</v>
      </c>
    </row>
    <row r="29" spans="1:33" x14ac:dyDescent="0.35">
      <c r="A29" s="1" t="s">
        <v>29</v>
      </c>
    </row>
    <row r="30" spans="1:33" x14ac:dyDescent="0.35">
      <c r="A30" s="1" t="s">
        <v>49</v>
      </c>
    </row>
    <row r="31" spans="1:33" x14ac:dyDescent="0.35">
      <c r="A31" s="1" t="s">
        <v>50</v>
      </c>
    </row>
    <row r="32" spans="1:33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35</v>
      </c>
    </row>
    <row r="36" spans="1:1" x14ac:dyDescent="0.35">
      <c r="A36" s="1" t="s">
        <v>36</v>
      </c>
    </row>
    <row r="37" spans="1:1" x14ac:dyDescent="0.35">
      <c r="A37" s="1" t="s">
        <v>38</v>
      </c>
    </row>
    <row r="38" spans="1:1" x14ac:dyDescent="0.35">
      <c r="A38" s="1" t="s">
        <v>36</v>
      </c>
    </row>
    <row r="39" spans="1:1" x14ac:dyDescent="0.35">
      <c r="A39" s="1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F39"/>
  <sheetViews>
    <sheetView zoomScale="80" zoomScaleNormal="80" workbookViewId="0">
      <pane xSplit="1" topLeftCell="B1" activePane="topRight" state="frozen"/>
      <selection pane="topRight" activeCell="I18" sqref="I18"/>
    </sheetView>
  </sheetViews>
  <sheetFormatPr defaultColWidth="9.1796875" defaultRowHeight="14.5" x14ac:dyDescent="0.35"/>
  <cols>
    <col min="1" max="1" width="26.1796875" bestFit="1" customWidth="1"/>
    <col min="2" max="2" width="9.26953125" customWidth="1"/>
    <col min="3" max="4" width="7.1796875" customWidth="1"/>
    <col min="5" max="5" width="7.26953125" customWidth="1"/>
    <col min="6" max="6" width="7.54296875" customWidth="1"/>
    <col min="7" max="7" width="7.26953125" customWidth="1"/>
    <col min="8" max="8" width="7.54296875" customWidth="1"/>
    <col min="9" max="10" width="9.26953125" customWidth="1"/>
    <col min="11" max="11" width="7.54296875" customWidth="1"/>
    <col min="12" max="12" width="9.26953125" customWidth="1"/>
    <col min="13" max="15" width="7.54296875" customWidth="1"/>
    <col min="16" max="16" width="9.26953125" customWidth="1"/>
    <col min="17" max="19" width="6.7265625" customWidth="1"/>
    <col min="20" max="32" width="9.1796875" customWidth="1"/>
  </cols>
  <sheetData>
    <row r="1" spans="1:32" ht="15" customHeight="1" x14ac:dyDescent="0.35">
      <c r="A1" s="1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 x14ac:dyDescent="0.35">
      <c r="A2" s="7" t="s">
        <v>0</v>
      </c>
      <c r="B2" s="29">
        <v>44652</v>
      </c>
      <c r="C2" s="29">
        <v>44653</v>
      </c>
      <c r="D2" s="29">
        <v>44654</v>
      </c>
      <c r="E2" s="29">
        <v>44655</v>
      </c>
      <c r="F2" s="29">
        <v>44656</v>
      </c>
      <c r="G2" s="29">
        <v>44657</v>
      </c>
      <c r="H2" s="29">
        <v>44658</v>
      </c>
      <c r="I2" s="29">
        <v>44659</v>
      </c>
      <c r="J2" s="29">
        <v>44660</v>
      </c>
      <c r="K2" s="29">
        <v>44661</v>
      </c>
      <c r="L2" s="29">
        <v>44662</v>
      </c>
      <c r="M2" s="29">
        <v>44663</v>
      </c>
      <c r="N2" s="29">
        <v>44664</v>
      </c>
      <c r="O2" s="29">
        <v>44665</v>
      </c>
      <c r="P2" s="29">
        <v>44666</v>
      </c>
      <c r="Q2" s="29">
        <v>44667</v>
      </c>
      <c r="R2" s="29">
        <v>44668</v>
      </c>
      <c r="S2" s="29">
        <v>44669</v>
      </c>
      <c r="T2" s="29">
        <v>44670</v>
      </c>
      <c r="U2" s="29">
        <v>44671</v>
      </c>
      <c r="V2" s="29">
        <v>44672</v>
      </c>
      <c r="W2" s="29">
        <v>44673</v>
      </c>
      <c r="X2" s="29">
        <v>44674</v>
      </c>
      <c r="Y2" s="29">
        <v>44675</v>
      </c>
      <c r="Z2" s="29">
        <v>44676</v>
      </c>
      <c r="AA2" s="29">
        <v>44677</v>
      </c>
      <c r="AB2" s="29">
        <v>44678</v>
      </c>
      <c r="AC2" s="29">
        <v>44679</v>
      </c>
      <c r="AD2" s="29">
        <v>44680</v>
      </c>
      <c r="AE2" s="29">
        <v>44681</v>
      </c>
      <c r="AF2" s="29">
        <v>44682</v>
      </c>
    </row>
    <row r="3" spans="1:32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x14ac:dyDescent="0.35">
      <c r="A4" s="9" t="s">
        <v>1</v>
      </c>
      <c r="B4" s="12" t="s">
        <v>2</v>
      </c>
      <c r="C4" s="25" t="s">
        <v>3</v>
      </c>
      <c r="D4" s="25" t="s">
        <v>3</v>
      </c>
      <c r="E4" s="12" t="s">
        <v>2</v>
      </c>
      <c r="F4" s="25" t="s">
        <v>6</v>
      </c>
      <c r="G4" s="25" t="s">
        <v>6</v>
      </c>
      <c r="H4" s="25" t="s">
        <v>6</v>
      </c>
      <c r="I4" s="12" t="s">
        <v>2</v>
      </c>
      <c r="J4" s="25" t="s">
        <v>3</v>
      </c>
      <c r="K4" s="25" t="s">
        <v>3</v>
      </c>
      <c r="L4" s="25" t="s">
        <v>6</v>
      </c>
      <c r="M4" s="12" t="s">
        <v>2</v>
      </c>
      <c r="N4" s="25" t="s">
        <v>6</v>
      </c>
      <c r="O4" s="25" t="s">
        <v>6</v>
      </c>
      <c r="P4" s="13" t="s">
        <v>74</v>
      </c>
      <c r="Q4" s="25" t="s">
        <v>3</v>
      </c>
      <c r="R4" s="25" t="s">
        <v>3</v>
      </c>
      <c r="S4" s="25" t="s">
        <v>6</v>
      </c>
      <c r="T4" s="25" t="s">
        <v>6</v>
      </c>
      <c r="U4" s="17" t="s">
        <v>10</v>
      </c>
      <c r="V4" s="17" t="s">
        <v>10</v>
      </c>
      <c r="W4" s="12" t="s">
        <v>2</v>
      </c>
      <c r="X4" s="25" t="s">
        <v>3</v>
      </c>
      <c r="Y4" s="25" t="s">
        <v>3</v>
      </c>
      <c r="Z4" s="25" t="s">
        <v>6</v>
      </c>
      <c r="AA4" s="17" t="s">
        <v>10</v>
      </c>
      <c r="AB4" s="17" t="s">
        <v>10</v>
      </c>
      <c r="AC4" s="65" t="s">
        <v>2</v>
      </c>
      <c r="AD4" s="65" t="s">
        <v>2</v>
      </c>
      <c r="AE4" s="57" t="s">
        <v>40</v>
      </c>
      <c r="AF4" s="25" t="s">
        <v>3</v>
      </c>
    </row>
    <row r="5" spans="1:32" x14ac:dyDescent="0.35">
      <c r="A5" s="9" t="s">
        <v>9</v>
      </c>
      <c r="B5" s="25" t="s">
        <v>6</v>
      </c>
      <c r="C5" s="19" t="s">
        <v>42</v>
      </c>
      <c r="D5" s="28" t="s">
        <v>4</v>
      </c>
      <c r="E5" s="25" t="s">
        <v>6</v>
      </c>
      <c r="F5" s="12" t="s">
        <v>2</v>
      </c>
      <c r="G5" s="12" t="s">
        <v>2</v>
      </c>
      <c r="H5" s="13" t="s">
        <v>5</v>
      </c>
      <c r="I5" s="13" t="s">
        <v>5</v>
      </c>
      <c r="J5" s="17" t="s">
        <v>11</v>
      </c>
      <c r="K5" s="17" t="s">
        <v>11</v>
      </c>
      <c r="L5" s="17" t="s">
        <v>10</v>
      </c>
      <c r="M5" s="17" t="s">
        <v>10</v>
      </c>
      <c r="N5" s="17" t="s">
        <v>10</v>
      </c>
      <c r="O5" s="17" t="s">
        <v>10</v>
      </c>
      <c r="P5" s="13" t="s">
        <v>5</v>
      </c>
      <c r="Q5" s="65" t="s">
        <v>4</v>
      </c>
      <c r="R5" s="17" t="s">
        <v>11</v>
      </c>
      <c r="S5" s="17" t="s">
        <v>10</v>
      </c>
      <c r="T5" s="17" t="s">
        <v>10</v>
      </c>
      <c r="U5" s="12" t="s">
        <v>2</v>
      </c>
      <c r="V5" s="25" t="s">
        <v>6</v>
      </c>
      <c r="W5" s="25" t="s">
        <v>6</v>
      </c>
      <c r="X5" s="17" t="s">
        <v>11</v>
      </c>
      <c r="Y5" s="17" t="s">
        <v>11</v>
      </c>
      <c r="Z5" s="17" t="s">
        <v>10</v>
      </c>
      <c r="AA5" s="12" t="s">
        <v>2</v>
      </c>
      <c r="AB5" s="25" t="s">
        <v>6</v>
      </c>
      <c r="AC5" s="25" t="s">
        <v>6</v>
      </c>
      <c r="AD5" s="25" t="s">
        <v>6</v>
      </c>
      <c r="AE5" s="25" t="s">
        <v>3</v>
      </c>
      <c r="AF5" s="19" t="s">
        <v>42</v>
      </c>
    </row>
    <row r="6" spans="1:32" x14ac:dyDescent="0.35">
      <c r="A6" s="9" t="s">
        <v>12</v>
      </c>
      <c r="B6" s="17" t="s">
        <v>10</v>
      </c>
      <c r="C6" s="28" t="s">
        <v>4</v>
      </c>
      <c r="D6" s="28" t="s">
        <v>4</v>
      </c>
      <c r="E6" s="10" t="s">
        <v>41</v>
      </c>
      <c r="F6" s="10" t="s">
        <v>41</v>
      </c>
      <c r="G6" s="10" t="s">
        <v>41</v>
      </c>
      <c r="H6" s="12" t="s">
        <v>2</v>
      </c>
      <c r="I6" s="25" t="s">
        <v>6</v>
      </c>
      <c r="J6" s="19" t="s">
        <v>42</v>
      </c>
      <c r="K6" s="19" t="s">
        <v>42</v>
      </c>
      <c r="L6" s="10" t="s">
        <v>41</v>
      </c>
      <c r="M6" s="12" t="s">
        <v>2</v>
      </c>
      <c r="N6" s="10" t="s">
        <v>41</v>
      </c>
      <c r="O6" s="10" t="s">
        <v>41</v>
      </c>
      <c r="P6" s="25" t="s">
        <v>6</v>
      </c>
      <c r="Q6" s="19" t="s">
        <v>42</v>
      </c>
      <c r="R6" s="28" t="s">
        <v>4</v>
      </c>
      <c r="S6" s="17" t="s">
        <v>10</v>
      </c>
      <c r="T6" s="17" t="s">
        <v>10</v>
      </c>
      <c r="U6" s="17" t="s">
        <v>10</v>
      </c>
      <c r="V6" s="17" t="s">
        <v>10</v>
      </c>
      <c r="W6" s="17" t="s">
        <v>10</v>
      </c>
      <c r="X6" s="28" t="s">
        <v>4</v>
      </c>
      <c r="Y6" s="28" t="s">
        <v>4</v>
      </c>
      <c r="Z6" s="16" t="s">
        <v>8</v>
      </c>
      <c r="AA6" s="16" t="s">
        <v>8</v>
      </c>
      <c r="AB6" s="16" t="s">
        <v>8</v>
      </c>
      <c r="AC6" s="17" t="s">
        <v>10</v>
      </c>
      <c r="AD6" s="17" t="s">
        <v>10</v>
      </c>
      <c r="AE6" s="28" t="s">
        <v>4</v>
      </c>
      <c r="AF6" s="28" t="s">
        <v>4</v>
      </c>
    </row>
    <row r="7" spans="1:32" x14ac:dyDescent="0.35">
      <c r="A7" s="9" t="s">
        <v>13</v>
      </c>
      <c r="B7" s="10" t="s">
        <v>41</v>
      </c>
      <c r="C7" s="28" t="s">
        <v>4</v>
      </c>
      <c r="D7" s="19" t="s">
        <v>42</v>
      </c>
      <c r="E7" s="12" t="s">
        <v>2</v>
      </c>
      <c r="F7" s="10" t="s">
        <v>41</v>
      </c>
      <c r="G7" s="10" t="s">
        <v>41</v>
      </c>
      <c r="H7" s="10" t="s">
        <v>41</v>
      </c>
      <c r="I7" s="10" t="s">
        <v>41</v>
      </c>
      <c r="J7" s="28" t="s">
        <v>4</v>
      </c>
      <c r="K7" s="28" t="s">
        <v>4</v>
      </c>
      <c r="L7" s="10" t="s">
        <v>41</v>
      </c>
      <c r="M7" s="10" t="s">
        <v>41</v>
      </c>
      <c r="N7" s="17" t="s">
        <v>10</v>
      </c>
      <c r="O7" s="17" t="s">
        <v>10</v>
      </c>
      <c r="P7" s="17" t="s">
        <v>10</v>
      </c>
      <c r="Q7" s="17" t="s">
        <v>11</v>
      </c>
      <c r="R7" s="28" t="s">
        <v>4</v>
      </c>
      <c r="S7" s="10" t="s">
        <v>41</v>
      </c>
      <c r="T7" s="10" t="s">
        <v>41</v>
      </c>
      <c r="U7" s="10" t="s">
        <v>41</v>
      </c>
      <c r="V7" s="10" t="s">
        <v>41</v>
      </c>
      <c r="W7" s="12" t="s">
        <v>2</v>
      </c>
      <c r="X7" s="28" t="s">
        <v>4</v>
      </c>
      <c r="Y7" s="19" t="s">
        <v>42</v>
      </c>
      <c r="Z7" s="10" t="s">
        <v>41</v>
      </c>
      <c r="AA7" s="10" t="s">
        <v>41</v>
      </c>
      <c r="AB7" s="12" t="s">
        <v>2</v>
      </c>
      <c r="AC7" s="10" t="s">
        <v>41</v>
      </c>
      <c r="AD7" s="10" t="s">
        <v>41</v>
      </c>
      <c r="AE7" s="28" t="s">
        <v>4</v>
      </c>
      <c r="AF7" s="28" t="s">
        <v>4</v>
      </c>
    </row>
    <row r="8" spans="1:32" x14ac:dyDescent="0.35">
      <c r="A8" s="9" t="s">
        <v>14</v>
      </c>
      <c r="B8" s="10" t="s">
        <v>41</v>
      </c>
      <c r="C8" s="17" t="s">
        <v>11</v>
      </c>
      <c r="D8" s="17" t="s">
        <v>11</v>
      </c>
      <c r="E8" s="17" t="s">
        <v>10</v>
      </c>
      <c r="F8" s="17" t="s">
        <v>10</v>
      </c>
      <c r="G8" s="12" t="s">
        <v>2</v>
      </c>
      <c r="H8" s="17" t="s">
        <v>10</v>
      </c>
      <c r="I8" s="17" t="s">
        <v>10</v>
      </c>
      <c r="J8" s="65" t="s">
        <v>4</v>
      </c>
      <c r="K8" s="65" t="s">
        <v>4</v>
      </c>
      <c r="L8" s="25" t="s">
        <v>6</v>
      </c>
      <c r="M8" s="25" t="s">
        <v>6</v>
      </c>
      <c r="N8" s="25" t="s">
        <v>6</v>
      </c>
      <c r="O8" s="25" t="s">
        <v>6</v>
      </c>
      <c r="P8" s="13" t="s">
        <v>74</v>
      </c>
      <c r="Q8" s="65" t="s">
        <v>4</v>
      </c>
      <c r="R8" s="65" t="s">
        <v>4</v>
      </c>
      <c r="S8" s="13" t="s">
        <v>5</v>
      </c>
      <c r="T8" s="13" t="s">
        <v>5</v>
      </c>
      <c r="U8" s="13" t="s">
        <v>5</v>
      </c>
      <c r="V8" s="10" t="s">
        <v>41</v>
      </c>
      <c r="W8" s="10" t="s">
        <v>41</v>
      </c>
      <c r="X8" s="19" t="s">
        <v>42</v>
      </c>
      <c r="Y8" s="28" t="s">
        <v>4</v>
      </c>
      <c r="Z8" s="25" t="s">
        <v>6</v>
      </c>
      <c r="AA8" s="25" t="s">
        <v>6</v>
      </c>
      <c r="AB8" s="25" t="s">
        <v>6</v>
      </c>
      <c r="AC8" s="10" t="s">
        <v>41</v>
      </c>
      <c r="AD8" s="13" t="s">
        <v>5</v>
      </c>
      <c r="AE8" s="65" t="s">
        <v>4</v>
      </c>
      <c r="AF8" s="65" t="s">
        <v>4</v>
      </c>
    </row>
    <row r="9" spans="1:32" x14ac:dyDescent="0.35">
      <c r="A9" s="9" t="s">
        <v>15</v>
      </c>
      <c r="B9" s="12" t="s">
        <v>2</v>
      </c>
      <c r="C9" s="17" t="s">
        <v>11</v>
      </c>
      <c r="D9" s="17" t="s">
        <v>11</v>
      </c>
      <c r="E9" s="17" t="s">
        <v>10</v>
      </c>
      <c r="F9" s="17" t="s">
        <v>10</v>
      </c>
      <c r="G9" s="17" t="s">
        <v>10</v>
      </c>
      <c r="H9" s="12" t="s">
        <v>2</v>
      </c>
      <c r="I9" s="12" t="s">
        <v>2</v>
      </c>
      <c r="J9" s="19" t="s">
        <v>42</v>
      </c>
      <c r="K9" s="19" t="s">
        <v>42</v>
      </c>
      <c r="L9" s="12" t="s">
        <v>2</v>
      </c>
      <c r="M9" s="10" t="s">
        <v>41</v>
      </c>
      <c r="N9" s="10" t="s">
        <v>41</v>
      </c>
      <c r="O9" s="10" t="s">
        <v>41</v>
      </c>
      <c r="P9" s="19" t="s">
        <v>42</v>
      </c>
      <c r="Q9" s="28" t="s">
        <v>4</v>
      </c>
      <c r="R9" s="28" t="s">
        <v>4</v>
      </c>
      <c r="S9" s="25" t="s">
        <v>6</v>
      </c>
      <c r="T9" s="25" t="s">
        <v>6</v>
      </c>
      <c r="U9" s="25" t="s">
        <v>6</v>
      </c>
      <c r="V9" s="12" t="s">
        <v>2</v>
      </c>
      <c r="W9" s="25" t="s">
        <v>6</v>
      </c>
      <c r="X9" s="25" t="s">
        <v>3</v>
      </c>
      <c r="Y9" s="28" t="s">
        <v>4</v>
      </c>
      <c r="Z9" s="10" t="s">
        <v>41</v>
      </c>
      <c r="AA9" s="10" t="s">
        <v>41</v>
      </c>
      <c r="AB9" s="10" t="s">
        <v>41</v>
      </c>
      <c r="AC9" s="10" t="s">
        <v>41</v>
      </c>
      <c r="AD9" s="10" t="s">
        <v>41</v>
      </c>
      <c r="AE9" s="28" t="s">
        <v>4</v>
      </c>
      <c r="AF9" s="28" t="s">
        <v>4</v>
      </c>
    </row>
    <row r="10" spans="1:32" x14ac:dyDescent="0.35">
      <c r="A10" s="9" t="s">
        <v>18</v>
      </c>
      <c r="B10" s="10" t="s">
        <v>41</v>
      </c>
      <c r="C10" s="65" t="s">
        <v>4</v>
      </c>
      <c r="D10" s="65" t="s">
        <v>4</v>
      </c>
      <c r="E10" s="13" t="s">
        <v>5</v>
      </c>
      <c r="F10" s="10" t="s">
        <v>41</v>
      </c>
      <c r="G10" s="10" t="s">
        <v>41</v>
      </c>
      <c r="H10" s="10" t="s">
        <v>41</v>
      </c>
      <c r="I10" s="10" t="s">
        <v>41</v>
      </c>
      <c r="J10" s="28" t="s">
        <v>4</v>
      </c>
      <c r="K10" s="28" t="s">
        <v>4</v>
      </c>
      <c r="L10" s="10" t="s">
        <v>41</v>
      </c>
      <c r="M10" s="10" t="s">
        <v>41</v>
      </c>
      <c r="N10" s="12" t="s">
        <v>2</v>
      </c>
      <c r="O10" s="12" t="s">
        <v>2</v>
      </c>
      <c r="P10" s="10" t="s">
        <v>41</v>
      </c>
      <c r="Q10" s="28" t="s">
        <v>4</v>
      </c>
      <c r="R10" s="19" t="s">
        <v>42</v>
      </c>
      <c r="S10" s="10" t="s">
        <v>41</v>
      </c>
      <c r="T10" s="10" t="s">
        <v>41</v>
      </c>
      <c r="U10" s="12" t="s">
        <v>2</v>
      </c>
      <c r="V10" s="25" t="s">
        <v>6</v>
      </c>
      <c r="W10" s="19" t="s">
        <v>41</v>
      </c>
      <c r="X10" s="19" t="s">
        <v>42</v>
      </c>
      <c r="Y10" s="28" t="s">
        <v>4</v>
      </c>
      <c r="Z10" s="25" t="s">
        <v>6</v>
      </c>
      <c r="AA10" s="25" t="s">
        <v>6</v>
      </c>
      <c r="AB10" s="12" t="s">
        <v>2</v>
      </c>
      <c r="AC10" s="25" t="s">
        <v>6</v>
      </c>
      <c r="AD10" s="25" t="s">
        <v>6</v>
      </c>
      <c r="AE10" s="17" t="s">
        <v>11</v>
      </c>
      <c r="AF10" s="17" t="s">
        <v>11</v>
      </c>
    </row>
    <row r="11" spans="1:32" ht="14.15" customHeight="1" x14ac:dyDescent="0.35">
      <c r="A11" s="9" t="s">
        <v>21</v>
      </c>
      <c r="B11" s="17" t="s">
        <v>10</v>
      </c>
      <c r="C11" s="28" t="s">
        <v>4</v>
      </c>
      <c r="D11" s="19" t="s">
        <v>42</v>
      </c>
      <c r="E11" s="10" t="s">
        <v>41</v>
      </c>
      <c r="F11" s="10" t="s">
        <v>41</v>
      </c>
      <c r="G11" s="12" t="s">
        <v>2</v>
      </c>
      <c r="H11" s="25" t="s">
        <v>6</v>
      </c>
      <c r="I11" s="25" t="s">
        <v>6</v>
      </c>
      <c r="J11" s="28" t="s">
        <v>4</v>
      </c>
      <c r="K11" s="25" t="s">
        <v>3</v>
      </c>
      <c r="L11" s="12" t="s">
        <v>2</v>
      </c>
      <c r="M11" s="25" t="s">
        <v>6</v>
      </c>
      <c r="N11" s="13" t="s">
        <v>5</v>
      </c>
      <c r="O11" s="13" t="s">
        <v>37</v>
      </c>
      <c r="P11" s="25" t="s">
        <v>6</v>
      </c>
      <c r="Q11" s="19" t="s">
        <v>42</v>
      </c>
      <c r="R11" s="19" t="s">
        <v>42</v>
      </c>
      <c r="S11" s="12" t="s">
        <v>2</v>
      </c>
      <c r="T11" s="10" t="s">
        <v>41</v>
      </c>
      <c r="U11" s="10" t="s">
        <v>41</v>
      </c>
      <c r="V11" s="12" t="s">
        <v>2</v>
      </c>
      <c r="W11" s="17" t="s">
        <v>10</v>
      </c>
      <c r="X11" s="17" t="s">
        <v>11</v>
      </c>
      <c r="Y11" s="17" t="s">
        <v>11</v>
      </c>
      <c r="Z11" s="12" t="s">
        <v>2</v>
      </c>
      <c r="AA11" s="12" t="s">
        <v>2</v>
      </c>
      <c r="AB11" s="10" t="s">
        <v>41</v>
      </c>
      <c r="AC11" s="17" t="s">
        <v>10</v>
      </c>
      <c r="AD11" s="17" t="s">
        <v>10</v>
      </c>
      <c r="AE11" s="17" t="s">
        <v>11</v>
      </c>
      <c r="AF11" s="17" t="s">
        <v>11</v>
      </c>
    </row>
    <row r="12" spans="1:32" x14ac:dyDescent="0.35">
      <c r="A12" s="9" t="s">
        <v>43</v>
      </c>
      <c r="B12" s="25" t="s">
        <v>6</v>
      </c>
      <c r="C12" s="25" t="s">
        <v>3</v>
      </c>
      <c r="D12" s="28" t="s">
        <v>4</v>
      </c>
      <c r="E12" s="10" t="s">
        <v>41</v>
      </c>
      <c r="F12" s="12" t="s">
        <v>2</v>
      </c>
      <c r="G12" s="17" t="s">
        <v>10</v>
      </c>
      <c r="H12" s="17" t="s">
        <v>10</v>
      </c>
      <c r="I12" s="17" t="s">
        <v>10</v>
      </c>
      <c r="J12" s="17" t="s">
        <v>11</v>
      </c>
      <c r="K12" s="17" t="s">
        <v>11</v>
      </c>
      <c r="L12" s="17" t="s">
        <v>10</v>
      </c>
      <c r="M12" s="17" t="s">
        <v>10</v>
      </c>
      <c r="N12" s="12" t="s">
        <v>2</v>
      </c>
      <c r="O12" s="13" t="s">
        <v>74</v>
      </c>
      <c r="P12" s="17" t="s">
        <v>10</v>
      </c>
      <c r="Q12" s="17" t="s">
        <v>11</v>
      </c>
      <c r="R12" s="17" t="s">
        <v>11</v>
      </c>
      <c r="S12" s="12" t="s">
        <v>2</v>
      </c>
      <c r="T12" s="12" t="s">
        <v>2</v>
      </c>
      <c r="U12" s="10" t="s">
        <v>41</v>
      </c>
      <c r="V12" s="10" t="s">
        <v>41</v>
      </c>
      <c r="W12" s="10" t="s">
        <v>41</v>
      </c>
      <c r="X12" s="28" t="s">
        <v>4</v>
      </c>
      <c r="Y12" s="28" t="s">
        <v>4</v>
      </c>
      <c r="Z12" s="10" t="s">
        <v>41</v>
      </c>
      <c r="AA12" s="10" t="s">
        <v>41</v>
      </c>
      <c r="AB12" s="10" t="s">
        <v>41</v>
      </c>
      <c r="AC12" s="25" t="s">
        <v>6</v>
      </c>
      <c r="AD12" s="25" t="s">
        <v>6</v>
      </c>
      <c r="AE12" s="28" t="s">
        <v>4</v>
      </c>
      <c r="AF12" s="28" t="s">
        <v>4</v>
      </c>
    </row>
    <row r="13" spans="1:32" ht="15" thickBot="1" x14ac:dyDescent="0.4">
      <c r="A13" s="9" t="s">
        <v>69</v>
      </c>
      <c r="B13" s="25" t="s">
        <v>6</v>
      </c>
      <c r="C13" s="19" t="s">
        <v>42</v>
      </c>
      <c r="D13" s="25" t="s">
        <v>3</v>
      </c>
      <c r="E13" s="25" t="s">
        <v>6</v>
      </c>
      <c r="F13" s="12" t="s">
        <v>2</v>
      </c>
      <c r="G13" s="25" t="s">
        <v>6</v>
      </c>
      <c r="H13" s="10" t="s">
        <v>41</v>
      </c>
      <c r="I13" s="10" t="s">
        <v>41</v>
      </c>
      <c r="J13" s="28" t="s">
        <v>4</v>
      </c>
      <c r="K13" s="28" t="s">
        <v>4</v>
      </c>
      <c r="L13" s="10" t="s">
        <v>41</v>
      </c>
      <c r="M13" s="10" t="s">
        <v>41</v>
      </c>
      <c r="N13" s="10" t="s">
        <v>41</v>
      </c>
      <c r="O13" s="10" t="s">
        <v>41</v>
      </c>
      <c r="P13" s="13" t="s">
        <v>74</v>
      </c>
      <c r="Q13" s="28" t="s">
        <v>4</v>
      </c>
      <c r="R13" s="28" t="s">
        <v>4</v>
      </c>
      <c r="S13" s="25" t="s">
        <v>6</v>
      </c>
      <c r="T13" s="25" t="s">
        <v>6</v>
      </c>
      <c r="U13" s="25" t="s">
        <v>6</v>
      </c>
      <c r="V13" s="12" t="s">
        <v>2</v>
      </c>
      <c r="W13" s="25" t="s">
        <v>6</v>
      </c>
      <c r="X13" s="63" t="s">
        <v>30</v>
      </c>
      <c r="Y13" s="28" t="s">
        <v>4</v>
      </c>
      <c r="Z13" s="17" t="s">
        <v>10</v>
      </c>
      <c r="AA13" s="17" t="s">
        <v>10</v>
      </c>
      <c r="AB13" s="17" t="s">
        <v>10</v>
      </c>
      <c r="AC13" s="12" t="s">
        <v>2</v>
      </c>
      <c r="AD13" s="12" t="s">
        <v>2</v>
      </c>
      <c r="AE13" s="19" t="s">
        <v>42</v>
      </c>
      <c r="AF13" s="19" t="s">
        <v>42</v>
      </c>
    </row>
    <row r="14" spans="1:32" x14ac:dyDescent="0.35">
      <c r="A14" s="9" t="s">
        <v>22</v>
      </c>
      <c r="B14" s="10" t="s">
        <v>41</v>
      </c>
      <c r="C14" s="28" t="s">
        <v>4</v>
      </c>
      <c r="D14" s="28" t="s">
        <v>4</v>
      </c>
      <c r="E14" s="25" t="s">
        <v>6</v>
      </c>
      <c r="F14" s="25" t="s">
        <v>6</v>
      </c>
      <c r="G14" s="25" t="s">
        <v>6</v>
      </c>
      <c r="H14" s="25" t="s">
        <v>6</v>
      </c>
      <c r="I14" s="25" t="s">
        <v>6</v>
      </c>
      <c r="J14" s="25" t="s">
        <v>3</v>
      </c>
      <c r="K14" s="28" t="s">
        <v>4</v>
      </c>
      <c r="L14" s="25" t="s">
        <v>6</v>
      </c>
      <c r="M14" s="25" t="s">
        <v>6</v>
      </c>
      <c r="N14" s="25" t="s">
        <v>6</v>
      </c>
      <c r="O14" s="13" t="s">
        <v>37</v>
      </c>
      <c r="P14" s="25" t="s">
        <v>3</v>
      </c>
      <c r="Q14" s="25" t="s">
        <v>3</v>
      </c>
      <c r="R14" s="25" t="s">
        <v>3</v>
      </c>
      <c r="S14" s="12" t="s">
        <v>2</v>
      </c>
      <c r="T14" s="12" t="s">
        <v>2</v>
      </c>
      <c r="U14" s="25" t="s">
        <v>6</v>
      </c>
      <c r="V14" s="25" t="s">
        <v>6</v>
      </c>
      <c r="W14" s="10" t="s">
        <v>41</v>
      </c>
      <c r="X14" s="28" t="s">
        <v>4</v>
      </c>
      <c r="Y14" s="25" t="s">
        <v>3</v>
      </c>
      <c r="Z14" s="12" t="s">
        <v>2</v>
      </c>
      <c r="AA14" s="12" t="s">
        <v>2</v>
      </c>
      <c r="AB14" s="25" t="s">
        <v>6</v>
      </c>
      <c r="AC14" s="25" t="s">
        <v>6</v>
      </c>
      <c r="AD14" s="13" t="s">
        <v>5</v>
      </c>
      <c r="AE14" s="65" t="s">
        <v>4</v>
      </c>
      <c r="AF14" s="65" t="s">
        <v>4</v>
      </c>
    </row>
    <row r="15" spans="1:32" ht="15" thickBot="1" x14ac:dyDescent="0.4">
      <c r="A15" s="9" t="s">
        <v>60</v>
      </c>
      <c r="B15" s="22" t="s">
        <v>16</v>
      </c>
      <c r="C15" s="63" t="s">
        <v>30</v>
      </c>
      <c r="D15" s="28" t="s">
        <v>4</v>
      </c>
      <c r="E15" s="10" t="s">
        <v>41</v>
      </c>
      <c r="F15" s="25" t="s">
        <v>6</v>
      </c>
      <c r="G15" s="10" t="s">
        <v>41</v>
      </c>
      <c r="H15" s="10" t="s">
        <v>41</v>
      </c>
      <c r="I15" s="10" t="s">
        <v>41</v>
      </c>
      <c r="J15" s="65" t="s">
        <v>4</v>
      </c>
      <c r="K15" s="28" t="s">
        <v>4</v>
      </c>
      <c r="L15" s="13" t="s">
        <v>5</v>
      </c>
      <c r="M15" s="13" t="s">
        <v>5</v>
      </c>
      <c r="N15" s="13" t="s">
        <v>5</v>
      </c>
      <c r="O15" s="25" t="s">
        <v>6</v>
      </c>
      <c r="P15" s="10" t="s">
        <v>41</v>
      </c>
      <c r="Q15" s="65" t="s">
        <v>4</v>
      </c>
      <c r="R15" s="28" t="s">
        <v>4</v>
      </c>
      <c r="S15" s="10" t="s">
        <v>41</v>
      </c>
      <c r="T15" s="10" t="s">
        <v>41</v>
      </c>
      <c r="U15" s="10" t="s">
        <v>41</v>
      </c>
      <c r="V15" s="10" t="s">
        <v>41</v>
      </c>
      <c r="W15" s="12" t="s">
        <v>2</v>
      </c>
      <c r="X15" s="28" t="s">
        <v>4</v>
      </c>
      <c r="Y15" s="19" t="s">
        <v>42</v>
      </c>
      <c r="Z15" s="10" t="s">
        <v>41</v>
      </c>
      <c r="AA15" s="12" t="s">
        <v>2</v>
      </c>
      <c r="AB15" s="25" t="s">
        <v>6</v>
      </c>
      <c r="AC15" s="10" t="s">
        <v>41</v>
      </c>
      <c r="AD15" s="10" t="s">
        <v>41</v>
      </c>
      <c r="AE15" s="63" t="s">
        <v>30</v>
      </c>
      <c r="AF15" s="28" t="s">
        <v>4</v>
      </c>
    </row>
    <row r="16" spans="1:32" ht="15" thickBot="1" x14ac:dyDescent="0.4">
      <c r="A16" s="9" t="s">
        <v>70</v>
      </c>
      <c r="B16" s="25" t="s">
        <v>6</v>
      </c>
      <c r="C16" s="28" t="s">
        <v>4</v>
      </c>
      <c r="D16" s="28" t="s">
        <v>4</v>
      </c>
      <c r="E16" s="25" t="s">
        <v>6</v>
      </c>
      <c r="F16" s="25" t="s">
        <v>6</v>
      </c>
      <c r="G16" s="25" t="s">
        <v>6</v>
      </c>
      <c r="H16" s="12" t="s">
        <v>2</v>
      </c>
      <c r="I16" s="25" t="s">
        <v>6</v>
      </c>
      <c r="J16" s="63" t="s">
        <v>30</v>
      </c>
      <c r="K16" s="28" t="s">
        <v>4</v>
      </c>
      <c r="L16" s="25" t="s">
        <v>6</v>
      </c>
      <c r="M16" s="25" t="s">
        <v>6</v>
      </c>
      <c r="N16" s="10" t="s">
        <v>41</v>
      </c>
      <c r="O16" s="10" t="s">
        <v>41</v>
      </c>
      <c r="P16" s="10" t="s">
        <v>41</v>
      </c>
      <c r="Q16" s="28" t="s">
        <v>4</v>
      </c>
      <c r="R16" s="28" t="s">
        <v>4</v>
      </c>
      <c r="S16" s="25" t="s">
        <v>6</v>
      </c>
      <c r="T16" s="25" t="s">
        <v>6</v>
      </c>
      <c r="U16" s="25" t="s">
        <v>6</v>
      </c>
      <c r="V16" s="25" t="s">
        <v>6</v>
      </c>
      <c r="W16" s="25" t="s">
        <v>6</v>
      </c>
      <c r="X16" s="28" t="s">
        <v>4</v>
      </c>
      <c r="Y16" s="28" t="s">
        <v>4</v>
      </c>
      <c r="Z16" s="25" t="s">
        <v>6</v>
      </c>
      <c r="AA16" s="25" t="s">
        <v>6</v>
      </c>
      <c r="AB16" s="22" t="s">
        <v>16</v>
      </c>
      <c r="AC16" s="12" t="s">
        <v>2</v>
      </c>
      <c r="AD16" s="25" t="s">
        <v>6</v>
      </c>
      <c r="AE16" s="25" t="s">
        <v>3</v>
      </c>
      <c r="AF16" s="25" t="s">
        <v>3</v>
      </c>
    </row>
    <row r="17" spans="1:32" x14ac:dyDescent="0.35">
      <c r="A17" s="9" t="s">
        <v>68</v>
      </c>
      <c r="B17" s="16" t="s">
        <v>8</v>
      </c>
      <c r="C17" s="28" t="s">
        <v>4</v>
      </c>
      <c r="D17" s="28" t="s">
        <v>4</v>
      </c>
      <c r="E17" s="22" t="s">
        <v>16</v>
      </c>
      <c r="F17" s="22" t="s">
        <v>16</v>
      </c>
      <c r="G17" s="22" t="s">
        <v>16</v>
      </c>
      <c r="H17" s="25" t="s">
        <v>6</v>
      </c>
      <c r="I17" s="22" t="s">
        <v>16</v>
      </c>
      <c r="J17" s="28" t="s">
        <v>4</v>
      </c>
      <c r="K17" s="28" t="s">
        <v>4</v>
      </c>
      <c r="L17" s="16" t="s">
        <v>8</v>
      </c>
      <c r="M17" s="16" t="s">
        <v>8</v>
      </c>
      <c r="N17" s="16" t="s">
        <v>8</v>
      </c>
      <c r="O17" s="16" t="s">
        <v>8</v>
      </c>
      <c r="P17" s="16" t="s">
        <v>8</v>
      </c>
      <c r="Q17" s="28" t="s">
        <v>4</v>
      </c>
      <c r="R17" s="28" t="s">
        <v>4</v>
      </c>
      <c r="S17" s="10" t="s">
        <v>41</v>
      </c>
      <c r="T17" s="22" t="s">
        <v>16</v>
      </c>
      <c r="U17" s="22" t="s">
        <v>16</v>
      </c>
      <c r="V17" s="22" t="s">
        <v>16</v>
      </c>
      <c r="W17" s="22" t="s">
        <v>16</v>
      </c>
      <c r="X17" s="28" t="s">
        <v>4</v>
      </c>
      <c r="Y17" s="28" t="s">
        <v>4</v>
      </c>
      <c r="Z17" s="22" t="s">
        <v>16</v>
      </c>
      <c r="AA17" s="10" t="s">
        <v>41</v>
      </c>
      <c r="AB17" s="22" t="s">
        <v>16</v>
      </c>
      <c r="AC17" s="16" t="s">
        <v>8</v>
      </c>
      <c r="AD17" s="16" t="s">
        <v>8</v>
      </c>
      <c r="AE17" s="28" t="s">
        <v>4</v>
      </c>
      <c r="AF17" s="28" t="s">
        <v>4</v>
      </c>
    </row>
    <row r="18" spans="1:32" ht="15" thickBot="1" x14ac:dyDescent="0.4">
      <c r="A18" s="9" t="s">
        <v>71</v>
      </c>
      <c r="B18" s="22" t="s">
        <v>16</v>
      </c>
      <c r="C18" s="28" t="s">
        <v>4</v>
      </c>
      <c r="D18" s="28" t="s">
        <v>4</v>
      </c>
      <c r="E18" s="16" t="s">
        <v>8</v>
      </c>
      <c r="F18" s="16" t="s">
        <v>8</v>
      </c>
      <c r="G18" s="16" t="s">
        <v>8</v>
      </c>
      <c r="H18" s="16" t="s">
        <v>8</v>
      </c>
      <c r="I18" s="16" t="s">
        <v>8</v>
      </c>
      <c r="J18" s="28" t="s">
        <v>4</v>
      </c>
      <c r="K18" s="28" t="s">
        <v>4</v>
      </c>
      <c r="L18" s="22" t="s">
        <v>16</v>
      </c>
      <c r="M18" s="22" t="s">
        <v>16</v>
      </c>
      <c r="N18" s="13" t="s">
        <v>5</v>
      </c>
      <c r="O18" s="13" t="s">
        <v>74</v>
      </c>
      <c r="P18" s="25" t="s">
        <v>6</v>
      </c>
      <c r="Q18" s="63" t="s">
        <v>30</v>
      </c>
      <c r="R18" s="28" t="s">
        <v>4</v>
      </c>
      <c r="S18" s="16" t="s">
        <v>8</v>
      </c>
      <c r="T18" s="16" t="s">
        <v>8</v>
      </c>
      <c r="U18" s="16" t="s">
        <v>8</v>
      </c>
      <c r="V18" s="16" t="s">
        <v>8</v>
      </c>
      <c r="W18" s="16" t="s">
        <v>8</v>
      </c>
      <c r="X18" s="28" t="s">
        <v>4</v>
      </c>
      <c r="Y18" s="28" t="s">
        <v>4</v>
      </c>
      <c r="Z18" s="22" t="s">
        <v>16</v>
      </c>
      <c r="AA18" s="25" t="s">
        <v>6</v>
      </c>
      <c r="AB18" s="10" t="s">
        <v>41</v>
      </c>
      <c r="AC18" s="22" t="s">
        <v>16</v>
      </c>
      <c r="AD18" s="10" t="s">
        <v>41</v>
      </c>
      <c r="AE18" s="28" t="s">
        <v>4</v>
      </c>
      <c r="AF18" s="28" t="s">
        <v>4</v>
      </c>
    </row>
    <row r="19" spans="1:32" x14ac:dyDescent="0.35">
      <c r="A19" s="9" t="s">
        <v>72</v>
      </c>
      <c r="B19" s="22" t="s">
        <v>16</v>
      </c>
      <c r="C19" s="28" t="s">
        <v>4</v>
      </c>
      <c r="D19" s="28" t="s">
        <v>4</v>
      </c>
      <c r="E19" s="22" t="s">
        <v>16</v>
      </c>
      <c r="F19" s="22" t="s">
        <v>16</v>
      </c>
      <c r="G19" s="22" t="s">
        <v>16</v>
      </c>
      <c r="H19" s="22" t="s">
        <v>16</v>
      </c>
      <c r="I19" s="22" t="s">
        <v>16</v>
      </c>
      <c r="J19" s="28" t="s">
        <v>4</v>
      </c>
      <c r="K19" s="28" t="s">
        <v>4</v>
      </c>
      <c r="L19" s="22" t="s">
        <v>16</v>
      </c>
      <c r="M19" s="22" t="s">
        <v>16</v>
      </c>
      <c r="N19" s="25" t="s">
        <v>6</v>
      </c>
      <c r="O19" s="25" t="s">
        <v>6</v>
      </c>
      <c r="P19" s="13" t="s">
        <v>74</v>
      </c>
      <c r="Q19" s="28" t="s">
        <v>4</v>
      </c>
      <c r="R19" s="28" t="s">
        <v>4</v>
      </c>
      <c r="S19" s="22" t="s">
        <v>16</v>
      </c>
      <c r="T19" s="22" t="s">
        <v>16</v>
      </c>
      <c r="U19" s="22" t="s">
        <v>16</v>
      </c>
      <c r="V19" s="22" t="s">
        <v>16</v>
      </c>
      <c r="W19" s="22" t="s">
        <v>16</v>
      </c>
      <c r="X19" s="28" t="s">
        <v>4</v>
      </c>
      <c r="Y19" s="28" t="s">
        <v>4</v>
      </c>
      <c r="Z19" s="22" t="s">
        <v>16</v>
      </c>
      <c r="AA19" s="22" t="s">
        <v>16</v>
      </c>
      <c r="AB19" s="22" t="s">
        <v>16</v>
      </c>
      <c r="AC19" s="22" t="s">
        <v>16</v>
      </c>
      <c r="AD19" s="22" t="s">
        <v>16</v>
      </c>
      <c r="AE19" s="28" t="s">
        <v>4</v>
      </c>
      <c r="AF19" s="28" t="s">
        <v>4</v>
      </c>
    </row>
    <row r="21" spans="1:32" x14ac:dyDescent="0.35">
      <c r="A21" s="24" t="s">
        <v>23</v>
      </c>
    </row>
    <row r="22" spans="1:32" x14ac:dyDescent="0.35">
      <c r="A22" s="1" t="s">
        <v>24</v>
      </c>
    </row>
    <row r="23" spans="1:32" x14ac:dyDescent="0.35">
      <c r="A23" s="1" t="s">
        <v>25</v>
      </c>
    </row>
    <row r="24" spans="1:32" x14ac:dyDescent="0.35">
      <c r="A24" s="1" t="s">
        <v>47</v>
      </c>
    </row>
    <row r="25" spans="1:32" x14ac:dyDescent="0.35">
      <c r="A25" s="1" t="s">
        <v>48</v>
      </c>
    </row>
    <row r="26" spans="1:32" x14ac:dyDescent="0.35">
      <c r="A26" s="1" t="s">
        <v>26</v>
      </c>
    </row>
    <row r="27" spans="1:32" x14ac:dyDescent="0.35">
      <c r="A27" s="1" t="s">
        <v>27</v>
      </c>
    </row>
    <row r="28" spans="1:32" x14ac:dyDescent="0.35">
      <c r="A28" s="1" t="s">
        <v>28</v>
      </c>
    </row>
    <row r="29" spans="1:32" x14ac:dyDescent="0.35">
      <c r="A29" s="1" t="s">
        <v>29</v>
      </c>
    </row>
    <row r="30" spans="1:32" x14ac:dyDescent="0.35">
      <c r="A30" s="1" t="s">
        <v>49</v>
      </c>
    </row>
    <row r="31" spans="1:32" x14ac:dyDescent="0.35">
      <c r="A31" s="1" t="s">
        <v>50</v>
      </c>
    </row>
    <row r="32" spans="1:32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35</v>
      </c>
    </row>
    <row r="36" spans="1:1" x14ac:dyDescent="0.35">
      <c r="A36" s="1" t="s">
        <v>36</v>
      </c>
    </row>
    <row r="37" spans="1:1" x14ac:dyDescent="0.35">
      <c r="A37" s="1" t="s">
        <v>38</v>
      </c>
    </row>
    <row r="38" spans="1:1" x14ac:dyDescent="0.35">
      <c r="A38" s="1" t="s">
        <v>36</v>
      </c>
    </row>
    <row r="39" spans="1:1" x14ac:dyDescent="0.35">
      <c r="A39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G39"/>
  <sheetViews>
    <sheetView zoomScale="80" zoomScaleNormal="80" workbookViewId="0">
      <pane xSplit="1" topLeftCell="C1" activePane="topRight" state="frozen"/>
      <selection pane="topRight" activeCell="P11" sqref="P11"/>
    </sheetView>
  </sheetViews>
  <sheetFormatPr defaultColWidth="9.1796875" defaultRowHeight="14.5" x14ac:dyDescent="0.35"/>
  <cols>
    <col min="1" max="1" width="30.54296875" customWidth="1"/>
    <col min="2" max="2" width="7.26953125" hidden="1" customWidth="1"/>
    <col min="3" max="4" width="7.26953125" customWidth="1"/>
    <col min="5" max="6" width="9.26953125" customWidth="1"/>
    <col min="7" max="8" width="7.26953125" customWidth="1"/>
    <col min="9" max="9" width="7.54296875" customWidth="1"/>
    <col min="10" max="10" width="7.26953125" customWidth="1"/>
    <col min="11" max="11" width="7.54296875" customWidth="1"/>
    <col min="12" max="13" width="9.26953125" customWidth="1"/>
    <col min="14" max="14" width="7.54296875" customWidth="1"/>
    <col min="15" max="15" width="9.26953125" customWidth="1"/>
    <col min="16" max="18" width="7.54296875" customWidth="1"/>
    <col min="19" max="19" width="9.26953125" customWidth="1"/>
    <col min="20" max="22" width="6.7265625" customWidth="1"/>
    <col min="23" max="25" width="9.1796875" customWidth="1"/>
  </cols>
  <sheetData>
    <row r="1" spans="1:33" ht="15" customHeight="1" x14ac:dyDescent="0.35">
      <c r="A1" s="1"/>
      <c r="B1" s="2" t="str">
        <f t="shared" ref="B1:C1" si="0">TEXT(B2,"ddd")</f>
        <v>Sat</v>
      </c>
      <c r="C1" s="2" t="str">
        <f t="shared" si="0"/>
        <v>Sun</v>
      </c>
      <c r="D1" s="2" t="str">
        <f t="shared" ref="D1:AG1" si="1">TEXT(D2,"ddd")</f>
        <v>Mon</v>
      </c>
      <c r="E1" s="2" t="str">
        <f t="shared" si="1"/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</row>
    <row r="2" spans="1:33" x14ac:dyDescent="0.35">
      <c r="A2" s="7" t="s">
        <v>0</v>
      </c>
      <c r="B2" s="29">
        <v>44681</v>
      </c>
      <c r="C2" s="29">
        <v>44682</v>
      </c>
      <c r="D2" s="29">
        <v>44683</v>
      </c>
      <c r="E2" s="29">
        <v>44684</v>
      </c>
      <c r="F2" s="29">
        <v>44685</v>
      </c>
      <c r="G2" s="29">
        <v>44686</v>
      </c>
      <c r="H2" s="29">
        <v>44687</v>
      </c>
      <c r="I2" s="29">
        <v>44688</v>
      </c>
      <c r="J2" s="29">
        <v>44689</v>
      </c>
      <c r="K2" s="29">
        <v>44690</v>
      </c>
      <c r="L2" s="29">
        <v>44691</v>
      </c>
      <c r="M2" s="29">
        <v>44692</v>
      </c>
      <c r="N2" s="29">
        <v>44693</v>
      </c>
      <c r="O2" s="29">
        <v>44694</v>
      </c>
      <c r="P2" s="29">
        <v>44695</v>
      </c>
      <c r="Q2" s="29">
        <v>44696</v>
      </c>
      <c r="R2" s="29">
        <v>44697</v>
      </c>
      <c r="S2" s="29">
        <v>44698</v>
      </c>
      <c r="T2" s="29">
        <v>44699</v>
      </c>
      <c r="U2" s="29">
        <v>44700</v>
      </c>
      <c r="V2" s="29">
        <v>44701</v>
      </c>
      <c r="W2" s="29">
        <v>44702</v>
      </c>
      <c r="X2" s="29">
        <v>44703</v>
      </c>
      <c r="Y2" s="29">
        <v>44704</v>
      </c>
      <c r="Z2" s="29">
        <v>44705</v>
      </c>
      <c r="AA2" s="29">
        <v>44706</v>
      </c>
      <c r="AB2" s="29">
        <v>44707</v>
      </c>
      <c r="AC2" s="29">
        <v>44708</v>
      </c>
      <c r="AD2" s="29">
        <v>44709</v>
      </c>
      <c r="AE2" s="29">
        <v>44710</v>
      </c>
      <c r="AF2" s="29">
        <v>44711</v>
      </c>
      <c r="AG2" s="29">
        <v>44712</v>
      </c>
    </row>
    <row r="3" spans="1:33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x14ac:dyDescent="0.35">
      <c r="A4" s="64" t="s">
        <v>1</v>
      </c>
      <c r="B4" s="57" t="s">
        <v>40</v>
      </c>
      <c r="C4" s="25" t="s">
        <v>3</v>
      </c>
      <c r="D4" s="12" t="s">
        <v>2</v>
      </c>
      <c r="E4" s="13" t="s">
        <v>37</v>
      </c>
      <c r="F4" s="13" t="s">
        <v>5</v>
      </c>
      <c r="G4" s="13" t="s">
        <v>5</v>
      </c>
      <c r="H4" s="13" t="s">
        <v>5</v>
      </c>
      <c r="I4" s="65" t="s">
        <v>4</v>
      </c>
      <c r="J4" s="65" t="s">
        <v>4</v>
      </c>
      <c r="K4" s="13" t="s">
        <v>5</v>
      </c>
      <c r="L4" s="12" t="s">
        <v>2</v>
      </c>
      <c r="M4" s="12" t="s">
        <v>2</v>
      </c>
      <c r="N4" s="10" t="s">
        <v>41</v>
      </c>
      <c r="O4" s="10" t="s">
        <v>41</v>
      </c>
      <c r="P4" s="19" t="s">
        <v>42</v>
      </c>
      <c r="Q4" s="19" t="s">
        <v>42</v>
      </c>
      <c r="R4" s="10" t="s">
        <v>41</v>
      </c>
      <c r="S4" s="10" t="s">
        <v>41</v>
      </c>
      <c r="T4" s="12" t="s">
        <v>2</v>
      </c>
      <c r="U4" s="10" t="s">
        <v>41</v>
      </c>
      <c r="V4" s="12" t="s">
        <v>2</v>
      </c>
      <c r="W4" s="19" t="s">
        <v>42</v>
      </c>
      <c r="X4" s="19" t="s">
        <v>42</v>
      </c>
      <c r="Y4" s="16" t="s">
        <v>8</v>
      </c>
      <c r="Z4" s="16" t="s">
        <v>8</v>
      </c>
      <c r="AA4" s="16" t="s">
        <v>8</v>
      </c>
      <c r="AB4" s="16" t="s">
        <v>8</v>
      </c>
      <c r="AC4" s="12" t="s">
        <v>2</v>
      </c>
      <c r="AD4" s="19" t="s">
        <v>42</v>
      </c>
      <c r="AE4" s="19" t="s">
        <v>42</v>
      </c>
      <c r="AF4" s="16" t="s">
        <v>8</v>
      </c>
      <c r="AG4" s="16" t="s">
        <v>8</v>
      </c>
    </row>
    <row r="5" spans="1:33" x14ac:dyDescent="0.35">
      <c r="A5" s="64" t="s">
        <v>9</v>
      </c>
      <c r="B5" s="25" t="s">
        <v>3</v>
      </c>
      <c r="C5" s="19" t="s">
        <v>42</v>
      </c>
      <c r="D5" s="25" t="s">
        <v>6</v>
      </c>
      <c r="E5" s="25" t="s">
        <v>3</v>
      </c>
      <c r="F5" s="25" t="s">
        <v>6</v>
      </c>
      <c r="G5" s="22" t="s">
        <v>16</v>
      </c>
      <c r="H5" s="12" t="s">
        <v>2</v>
      </c>
      <c r="I5" s="25" t="s">
        <v>3</v>
      </c>
      <c r="J5" s="17" t="s">
        <v>11</v>
      </c>
      <c r="K5" s="12" t="s">
        <v>2</v>
      </c>
      <c r="L5" s="25" t="s">
        <v>6</v>
      </c>
      <c r="M5" s="25" t="s">
        <v>6</v>
      </c>
      <c r="N5" s="17" t="s">
        <v>10</v>
      </c>
      <c r="O5" s="17" t="s">
        <v>10</v>
      </c>
      <c r="P5" s="65" t="s">
        <v>4</v>
      </c>
      <c r="Q5" s="65" t="s">
        <v>4</v>
      </c>
      <c r="R5" s="17" t="s">
        <v>10</v>
      </c>
      <c r="S5" s="17" t="s">
        <v>10</v>
      </c>
      <c r="T5" s="17" t="s">
        <v>10</v>
      </c>
      <c r="U5" s="17" t="s">
        <v>10</v>
      </c>
      <c r="V5" s="17" t="s">
        <v>10</v>
      </c>
      <c r="W5" s="17" t="s">
        <v>11</v>
      </c>
      <c r="X5" s="17" t="s">
        <v>11</v>
      </c>
      <c r="Y5" s="12" t="s">
        <v>2</v>
      </c>
      <c r="Z5" s="12" t="s">
        <v>2</v>
      </c>
      <c r="AA5" s="25" t="s">
        <v>6</v>
      </c>
      <c r="AB5" s="25" t="s">
        <v>6</v>
      </c>
      <c r="AC5" s="25" t="s">
        <v>6</v>
      </c>
      <c r="AD5" s="25" t="s">
        <v>3</v>
      </c>
      <c r="AE5" s="65" t="s">
        <v>4</v>
      </c>
      <c r="AF5" s="25" t="s">
        <v>6</v>
      </c>
      <c r="AG5" s="25" t="s">
        <v>6</v>
      </c>
    </row>
    <row r="6" spans="1:33" x14ac:dyDescent="0.35">
      <c r="A6" s="64" t="s">
        <v>12</v>
      </c>
      <c r="B6" s="28" t="s">
        <v>4</v>
      </c>
      <c r="C6" s="28" t="s">
        <v>4</v>
      </c>
      <c r="D6" s="10" t="s">
        <v>41</v>
      </c>
      <c r="E6" s="10" t="s">
        <v>41</v>
      </c>
      <c r="F6" s="10" t="s">
        <v>41</v>
      </c>
      <c r="G6" s="10" t="s">
        <v>41</v>
      </c>
      <c r="H6" s="10" t="s">
        <v>41</v>
      </c>
      <c r="I6" s="28" t="s">
        <v>4</v>
      </c>
      <c r="J6" s="25" t="s">
        <v>3</v>
      </c>
      <c r="K6" s="17" t="s">
        <v>10</v>
      </c>
      <c r="L6" s="17" t="s">
        <v>10</v>
      </c>
      <c r="M6" s="17" t="s">
        <v>10</v>
      </c>
      <c r="N6" s="17" t="s">
        <v>10</v>
      </c>
      <c r="O6" s="12" t="s">
        <v>2</v>
      </c>
      <c r="P6" s="17" t="s">
        <v>11</v>
      </c>
      <c r="Q6" s="28" t="s">
        <v>4</v>
      </c>
      <c r="R6" s="25" t="s">
        <v>6</v>
      </c>
      <c r="S6" s="25" t="s">
        <v>6</v>
      </c>
      <c r="T6" s="25" t="s">
        <v>6</v>
      </c>
      <c r="U6" s="25" t="s">
        <v>6</v>
      </c>
      <c r="V6" s="12" t="s">
        <v>2</v>
      </c>
      <c r="W6" s="25" t="s">
        <v>3</v>
      </c>
      <c r="X6" s="25" t="s">
        <v>3</v>
      </c>
      <c r="Y6" s="25" t="s">
        <v>6</v>
      </c>
      <c r="Z6" s="25" t="s">
        <v>6</v>
      </c>
      <c r="AA6" s="13" t="s">
        <v>5</v>
      </c>
      <c r="AB6" s="13" t="s">
        <v>5</v>
      </c>
      <c r="AC6" s="13" t="s">
        <v>5</v>
      </c>
      <c r="AD6" s="65" t="s">
        <v>4</v>
      </c>
      <c r="AE6" s="65" t="s">
        <v>4</v>
      </c>
      <c r="AF6" s="13" t="s">
        <v>5</v>
      </c>
      <c r="AG6" s="13" t="s">
        <v>5</v>
      </c>
    </row>
    <row r="7" spans="1:33" x14ac:dyDescent="0.35">
      <c r="A7" s="64" t="s">
        <v>13</v>
      </c>
      <c r="B7" s="28" t="s">
        <v>4</v>
      </c>
      <c r="C7" s="28" t="s">
        <v>4</v>
      </c>
      <c r="D7" s="22" t="s">
        <v>16</v>
      </c>
      <c r="E7" s="22" t="s">
        <v>16</v>
      </c>
      <c r="F7" s="22" t="s">
        <v>16</v>
      </c>
      <c r="G7" s="22" t="s">
        <v>16</v>
      </c>
      <c r="H7" s="22" t="s">
        <v>16</v>
      </c>
      <c r="I7" s="28" t="s">
        <v>4</v>
      </c>
      <c r="J7" s="28" t="s">
        <v>4</v>
      </c>
      <c r="K7" s="22" t="s">
        <v>16</v>
      </c>
      <c r="L7" s="22" t="s">
        <v>16</v>
      </c>
      <c r="M7" s="22" t="s">
        <v>16</v>
      </c>
      <c r="N7" s="22" t="s">
        <v>16</v>
      </c>
      <c r="O7" s="22" t="s">
        <v>16</v>
      </c>
      <c r="P7" s="28" t="s">
        <v>4</v>
      </c>
      <c r="Q7" s="28" t="s">
        <v>4</v>
      </c>
      <c r="R7" s="22" t="s">
        <v>16</v>
      </c>
      <c r="S7" s="22" t="s">
        <v>16</v>
      </c>
      <c r="T7" s="22" t="s">
        <v>16</v>
      </c>
      <c r="U7" s="22" t="s">
        <v>16</v>
      </c>
      <c r="V7" s="22" t="s">
        <v>16</v>
      </c>
      <c r="W7" s="28" t="s">
        <v>4</v>
      </c>
      <c r="X7" s="28" t="s">
        <v>4</v>
      </c>
      <c r="Y7" s="22" t="s">
        <v>16</v>
      </c>
      <c r="Z7" s="22" t="s">
        <v>16</v>
      </c>
      <c r="AA7" s="22" t="s">
        <v>16</v>
      </c>
      <c r="AB7" s="22" t="s">
        <v>16</v>
      </c>
      <c r="AC7" s="22" t="s">
        <v>16</v>
      </c>
      <c r="AD7" s="28" t="s">
        <v>4</v>
      </c>
      <c r="AE7" s="28" t="s">
        <v>4</v>
      </c>
      <c r="AF7" s="22" t="s">
        <v>16</v>
      </c>
      <c r="AG7" s="22" t="s">
        <v>16</v>
      </c>
    </row>
    <row r="8" spans="1:33" x14ac:dyDescent="0.35">
      <c r="A8" s="64" t="s">
        <v>14</v>
      </c>
      <c r="B8" s="65" t="s">
        <v>4</v>
      </c>
      <c r="C8" s="65" t="s">
        <v>4</v>
      </c>
      <c r="D8" s="13" t="s">
        <v>5</v>
      </c>
      <c r="E8" s="13" t="s">
        <v>37</v>
      </c>
      <c r="F8" s="13" t="s">
        <v>5</v>
      </c>
      <c r="G8" s="25" t="s">
        <v>6</v>
      </c>
      <c r="H8" s="25" t="s">
        <v>6</v>
      </c>
      <c r="I8" s="19" t="s">
        <v>42</v>
      </c>
      <c r="J8" s="19" t="s">
        <v>42</v>
      </c>
      <c r="K8" s="25" t="s">
        <v>6</v>
      </c>
      <c r="L8" s="25" t="s">
        <v>6</v>
      </c>
      <c r="M8" s="12" t="s">
        <v>2</v>
      </c>
      <c r="N8" s="25" t="s">
        <v>6</v>
      </c>
      <c r="O8" s="13" t="s">
        <v>5</v>
      </c>
      <c r="P8" s="65" t="s">
        <v>4</v>
      </c>
      <c r="Q8" s="65" t="s">
        <v>4</v>
      </c>
      <c r="R8" s="13" t="s">
        <v>5</v>
      </c>
      <c r="S8" s="13" t="s">
        <v>5</v>
      </c>
      <c r="T8" s="10" t="s">
        <v>41</v>
      </c>
      <c r="U8" s="10" t="s">
        <v>41</v>
      </c>
      <c r="V8" s="10" t="s">
        <v>41</v>
      </c>
      <c r="W8" s="25" t="s">
        <v>3</v>
      </c>
      <c r="X8" s="28" t="s">
        <v>4</v>
      </c>
      <c r="Y8" s="12" t="s">
        <v>2</v>
      </c>
      <c r="Z8" s="10" t="s">
        <v>41</v>
      </c>
      <c r="AA8" s="17" t="s">
        <v>10</v>
      </c>
      <c r="AB8" s="17" t="s">
        <v>10</v>
      </c>
      <c r="AC8" s="17" t="s">
        <v>10</v>
      </c>
      <c r="AD8" s="17" t="s">
        <v>11</v>
      </c>
      <c r="AE8" s="17" t="s">
        <v>11</v>
      </c>
      <c r="AF8" s="12" t="s">
        <v>2</v>
      </c>
      <c r="AG8" s="12" t="s">
        <v>2</v>
      </c>
    </row>
    <row r="9" spans="1:33" x14ac:dyDescent="0.35">
      <c r="A9" s="64" t="s">
        <v>15</v>
      </c>
      <c r="B9" s="28" t="s">
        <v>4</v>
      </c>
      <c r="C9" s="28" t="s">
        <v>4</v>
      </c>
      <c r="D9" s="17" t="s">
        <v>10</v>
      </c>
      <c r="E9" s="17" t="s">
        <v>10</v>
      </c>
      <c r="F9" s="17" t="s">
        <v>10</v>
      </c>
      <c r="G9" s="17" t="s">
        <v>10</v>
      </c>
      <c r="H9" s="17" t="s">
        <v>10</v>
      </c>
      <c r="I9" s="28" t="s">
        <v>4</v>
      </c>
      <c r="J9" s="28" t="s">
        <v>4</v>
      </c>
      <c r="K9" s="10" t="s">
        <v>41</v>
      </c>
      <c r="L9" s="10" t="s">
        <v>41</v>
      </c>
      <c r="M9" s="10" t="s">
        <v>41</v>
      </c>
      <c r="N9" s="10" t="s">
        <v>41</v>
      </c>
      <c r="O9" s="10" t="s">
        <v>41</v>
      </c>
      <c r="P9" s="28" t="s">
        <v>4</v>
      </c>
      <c r="Q9" s="28" t="s">
        <v>4</v>
      </c>
      <c r="R9" s="25" t="s">
        <v>6</v>
      </c>
      <c r="S9" s="25" t="s">
        <v>6</v>
      </c>
      <c r="T9" s="25" t="s">
        <v>6</v>
      </c>
      <c r="U9" s="12" t="s">
        <v>2</v>
      </c>
      <c r="V9" s="25" t="s">
        <v>6</v>
      </c>
      <c r="W9" s="19" t="s">
        <v>42</v>
      </c>
      <c r="X9" s="19" t="s">
        <v>42</v>
      </c>
      <c r="Y9" s="17" t="s">
        <v>10</v>
      </c>
      <c r="Z9" s="17" t="s">
        <v>10</v>
      </c>
      <c r="AA9" s="12" t="s">
        <v>2</v>
      </c>
      <c r="AB9" s="12" t="s">
        <v>2</v>
      </c>
      <c r="AC9" s="10" t="s">
        <v>41</v>
      </c>
      <c r="AD9" s="19" t="s">
        <v>42</v>
      </c>
      <c r="AE9" s="25" t="s">
        <v>3</v>
      </c>
      <c r="AF9" s="17" t="s">
        <v>10</v>
      </c>
      <c r="AG9" s="17" t="s">
        <v>10</v>
      </c>
    </row>
    <row r="10" spans="1:33" x14ac:dyDescent="0.35">
      <c r="A10" s="64" t="s">
        <v>18</v>
      </c>
      <c r="B10" s="17" t="s">
        <v>11</v>
      </c>
      <c r="C10" s="17" t="s">
        <v>11</v>
      </c>
      <c r="D10" s="17" t="s">
        <v>10</v>
      </c>
      <c r="E10" s="17" t="s">
        <v>10</v>
      </c>
      <c r="F10" s="12" t="s">
        <v>2</v>
      </c>
      <c r="G10" s="10" t="s">
        <v>41</v>
      </c>
      <c r="H10" s="10" t="s">
        <v>41</v>
      </c>
      <c r="I10" s="19" t="s">
        <v>42</v>
      </c>
      <c r="J10" s="19" t="s">
        <v>42</v>
      </c>
      <c r="K10" s="10" t="s">
        <v>41</v>
      </c>
      <c r="L10" s="12" t="s">
        <v>2</v>
      </c>
      <c r="M10" s="12" t="s">
        <v>2</v>
      </c>
      <c r="N10" s="25" t="s">
        <v>6</v>
      </c>
      <c r="O10" s="25" t="s">
        <v>6</v>
      </c>
      <c r="P10" s="25" t="s">
        <v>3</v>
      </c>
      <c r="Q10" s="25" t="s">
        <v>3</v>
      </c>
      <c r="R10" s="10" t="s">
        <v>41</v>
      </c>
      <c r="S10" s="12" t="s">
        <v>2</v>
      </c>
      <c r="T10" s="12" t="s">
        <v>2</v>
      </c>
      <c r="U10" s="25" t="s">
        <v>6</v>
      </c>
      <c r="V10" s="25" t="s">
        <v>6</v>
      </c>
      <c r="W10" s="65" t="s">
        <v>4</v>
      </c>
      <c r="X10" s="65" t="s">
        <v>4</v>
      </c>
      <c r="Y10" s="10" t="s">
        <v>41</v>
      </c>
      <c r="Z10" s="13" t="s">
        <v>5</v>
      </c>
      <c r="AA10" s="13" t="s">
        <v>5</v>
      </c>
      <c r="AB10" s="13" t="s">
        <v>5</v>
      </c>
      <c r="AC10" s="13" t="s">
        <v>5</v>
      </c>
      <c r="AD10" s="65" t="s">
        <v>4</v>
      </c>
      <c r="AE10" s="65" t="s">
        <v>4</v>
      </c>
      <c r="AF10" s="13" t="s">
        <v>5</v>
      </c>
      <c r="AG10" s="17" t="s">
        <v>10</v>
      </c>
    </row>
    <row r="11" spans="1:33" ht="14.15" customHeight="1" x14ac:dyDescent="0.35">
      <c r="A11" s="64" t="s">
        <v>21</v>
      </c>
      <c r="B11" s="17" t="s">
        <v>11</v>
      </c>
      <c r="C11" s="17" t="s">
        <v>11</v>
      </c>
      <c r="D11" s="12" t="s">
        <v>2</v>
      </c>
      <c r="E11" s="12" t="s">
        <v>2</v>
      </c>
      <c r="F11" s="17" t="s">
        <v>10</v>
      </c>
      <c r="G11" s="17" t="s">
        <v>10</v>
      </c>
      <c r="H11" s="17" t="s">
        <v>10</v>
      </c>
      <c r="I11" s="17" t="s">
        <v>11</v>
      </c>
      <c r="J11" s="28" t="s">
        <v>4</v>
      </c>
      <c r="K11" s="13" t="s">
        <v>5</v>
      </c>
      <c r="L11" s="10" t="s">
        <v>41</v>
      </c>
      <c r="M11" s="10" t="s">
        <v>41</v>
      </c>
      <c r="N11" s="10" t="s">
        <v>41</v>
      </c>
      <c r="O11" s="13" t="s">
        <v>5</v>
      </c>
      <c r="P11" s="17" t="s">
        <v>11</v>
      </c>
      <c r="Q11" s="17" t="s">
        <v>11</v>
      </c>
      <c r="R11" s="13" t="s">
        <v>74</v>
      </c>
      <c r="S11" s="12" t="s">
        <v>2</v>
      </c>
      <c r="T11" s="10" t="s">
        <v>41</v>
      </c>
      <c r="U11" s="10" t="s">
        <v>41</v>
      </c>
      <c r="V11" s="10" t="s">
        <v>41</v>
      </c>
      <c r="W11" s="65" t="s">
        <v>4</v>
      </c>
      <c r="X11" s="28" t="s">
        <v>4</v>
      </c>
      <c r="Y11" s="17" t="s">
        <v>10</v>
      </c>
      <c r="Z11" s="17" t="s">
        <v>10</v>
      </c>
      <c r="AA11" s="17" t="s">
        <v>10</v>
      </c>
      <c r="AB11" s="12" t="s">
        <v>2</v>
      </c>
      <c r="AC11" s="12" t="s">
        <v>2</v>
      </c>
      <c r="AD11" s="25" t="s">
        <v>3</v>
      </c>
      <c r="AE11" s="25" t="s">
        <v>3</v>
      </c>
      <c r="AF11" s="10" t="s">
        <v>41</v>
      </c>
      <c r="AG11" s="10" t="s">
        <v>41</v>
      </c>
    </row>
    <row r="12" spans="1:33" x14ac:dyDescent="0.35">
      <c r="A12" s="64" t="s">
        <v>43</v>
      </c>
      <c r="B12" s="28" t="s">
        <v>4</v>
      </c>
      <c r="C12" s="28" t="s">
        <v>4</v>
      </c>
      <c r="D12" s="25" t="s">
        <v>6</v>
      </c>
      <c r="E12" s="25" t="s">
        <v>6</v>
      </c>
      <c r="F12" s="25" t="s">
        <v>6</v>
      </c>
      <c r="G12" s="12" t="s">
        <v>2</v>
      </c>
      <c r="H12" s="10" t="s">
        <v>41</v>
      </c>
      <c r="I12" s="25" t="s">
        <v>3</v>
      </c>
      <c r="J12" s="25" t="s">
        <v>3</v>
      </c>
      <c r="K12" s="25" t="s">
        <v>6</v>
      </c>
      <c r="L12" s="12" t="s">
        <v>2</v>
      </c>
      <c r="M12" s="25" t="s">
        <v>6</v>
      </c>
      <c r="N12" s="25" t="s">
        <v>6</v>
      </c>
      <c r="O12" s="25" t="s">
        <v>6</v>
      </c>
      <c r="P12" s="19" t="s">
        <v>42</v>
      </c>
      <c r="Q12" s="28" t="s">
        <v>4</v>
      </c>
      <c r="R12" s="17" t="s">
        <v>10</v>
      </c>
      <c r="S12" s="17" t="s">
        <v>10</v>
      </c>
      <c r="T12" s="17" t="s">
        <v>10</v>
      </c>
      <c r="U12" s="17" t="s">
        <v>10</v>
      </c>
      <c r="V12" s="17" t="s">
        <v>10</v>
      </c>
      <c r="W12" s="28" t="s">
        <v>4</v>
      </c>
      <c r="X12" s="28" t="s">
        <v>4</v>
      </c>
      <c r="Y12" s="10" t="s">
        <v>41</v>
      </c>
      <c r="Z12" s="10" t="s">
        <v>41</v>
      </c>
      <c r="AA12" s="12" t="s">
        <v>2</v>
      </c>
      <c r="AB12" s="17" t="s">
        <v>10</v>
      </c>
      <c r="AC12" s="17" t="s">
        <v>10</v>
      </c>
      <c r="AD12" s="17" t="s">
        <v>11</v>
      </c>
      <c r="AE12" s="17" t="s">
        <v>11</v>
      </c>
      <c r="AF12" s="17" t="s">
        <v>10</v>
      </c>
      <c r="AG12" s="12" t="s">
        <v>2</v>
      </c>
    </row>
    <row r="13" spans="1:33" x14ac:dyDescent="0.35">
      <c r="A13" s="64" t="s">
        <v>69</v>
      </c>
      <c r="B13" s="19" t="s">
        <v>42</v>
      </c>
      <c r="C13" s="19" t="s">
        <v>42</v>
      </c>
      <c r="D13" s="12" t="s">
        <v>2</v>
      </c>
      <c r="E13" s="12" t="s">
        <v>2</v>
      </c>
      <c r="F13" s="10" t="s">
        <v>41</v>
      </c>
      <c r="G13" s="25" t="s">
        <v>6</v>
      </c>
      <c r="H13" s="12" t="s">
        <v>2</v>
      </c>
      <c r="I13" s="17" t="s">
        <v>11</v>
      </c>
      <c r="J13" s="17" t="s">
        <v>11</v>
      </c>
      <c r="K13" s="17" t="s">
        <v>10</v>
      </c>
      <c r="L13" s="17" t="s">
        <v>10</v>
      </c>
      <c r="M13" s="17" t="s">
        <v>10</v>
      </c>
      <c r="N13" s="12" t="s">
        <v>2</v>
      </c>
      <c r="O13" s="17" t="s">
        <v>10</v>
      </c>
      <c r="P13" s="65" t="s">
        <v>4</v>
      </c>
      <c r="Q13" s="65" t="s">
        <v>4</v>
      </c>
      <c r="R13" s="13" t="s">
        <v>5</v>
      </c>
      <c r="S13" s="13" t="s">
        <v>5</v>
      </c>
      <c r="T13" s="13" t="s">
        <v>5</v>
      </c>
      <c r="U13" s="13" t="s">
        <v>5</v>
      </c>
      <c r="V13" s="13" t="s">
        <v>5</v>
      </c>
      <c r="W13" s="17" t="s">
        <v>11</v>
      </c>
      <c r="X13" s="17" t="s">
        <v>11</v>
      </c>
      <c r="Y13" s="12" t="s">
        <v>2</v>
      </c>
      <c r="Z13" s="10" t="s">
        <v>41</v>
      </c>
      <c r="AA13" s="10" t="s">
        <v>41</v>
      </c>
      <c r="AB13" s="10" t="s">
        <v>41</v>
      </c>
      <c r="AC13" s="10" t="s">
        <v>41</v>
      </c>
      <c r="AD13" s="28" t="s">
        <v>4</v>
      </c>
      <c r="AE13" s="28" t="s">
        <v>4</v>
      </c>
      <c r="AF13" s="25" t="s">
        <v>6</v>
      </c>
      <c r="AG13" s="25" t="s">
        <v>6</v>
      </c>
    </row>
    <row r="14" spans="1:33" ht="15" thickBot="1" x14ac:dyDescent="0.4">
      <c r="A14" s="64" t="s">
        <v>22</v>
      </c>
      <c r="B14" s="65" t="s">
        <v>4</v>
      </c>
      <c r="C14" s="65" t="s">
        <v>4</v>
      </c>
      <c r="D14" s="10" t="s">
        <v>41</v>
      </c>
      <c r="E14" s="10" t="s">
        <v>41</v>
      </c>
      <c r="F14" s="10" t="s">
        <v>41</v>
      </c>
      <c r="G14" s="25" t="s">
        <v>6</v>
      </c>
      <c r="H14" s="25" t="s">
        <v>6</v>
      </c>
      <c r="I14" s="65" t="s">
        <v>4</v>
      </c>
      <c r="J14" s="65" t="s">
        <v>4</v>
      </c>
      <c r="K14" s="25" t="s">
        <v>6</v>
      </c>
      <c r="L14" s="25" t="s">
        <v>6</v>
      </c>
      <c r="M14" s="12" t="s">
        <v>2</v>
      </c>
      <c r="N14" s="12" t="s">
        <v>2</v>
      </c>
      <c r="O14" s="25" t="s">
        <v>6</v>
      </c>
      <c r="P14" s="25" t="s">
        <v>3</v>
      </c>
      <c r="Q14" s="25" t="s">
        <v>3</v>
      </c>
      <c r="R14" s="25" t="s">
        <v>6</v>
      </c>
      <c r="S14" s="25" t="s">
        <v>6</v>
      </c>
      <c r="T14" s="25" t="s">
        <v>6</v>
      </c>
      <c r="U14" s="13" t="s">
        <v>5</v>
      </c>
      <c r="V14" s="13" t="s">
        <v>5</v>
      </c>
      <c r="W14" s="65" t="s">
        <v>4</v>
      </c>
      <c r="X14" s="65" t="s">
        <v>4</v>
      </c>
      <c r="Y14" s="25" t="s">
        <v>6</v>
      </c>
      <c r="Z14" s="25" t="s">
        <v>6</v>
      </c>
      <c r="AA14" s="25" t="s">
        <v>6</v>
      </c>
      <c r="AB14" s="12" t="s">
        <v>2</v>
      </c>
      <c r="AC14" s="25" t="s">
        <v>6</v>
      </c>
      <c r="AD14" s="63" t="s">
        <v>30</v>
      </c>
      <c r="AE14" s="19" t="s">
        <v>42</v>
      </c>
      <c r="AF14" s="10" t="s">
        <v>41</v>
      </c>
      <c r="AG14" s="13" t="s">
        <v>5</v>
      </c>
    </row>
    <row r="15" spans="1:33" ht="15" thickBot="1" x14ac:dyDescent="0.4">
      <c r="A15" s="64" t="s">
        <v>60</v>
      </c>
      <c r="B15" s="63" t="s">
        <v>30</v>
      </c>
      <c r="C15" s="28" t="s">
        <v>4</v>
      </c>
      <c r="D15" s="10" t="s">
        <v>41</v>
      </c>
      <c r="E15" s="10" t="s">
        <v>41</v>
      </c>
      <c r="F15" s="12" t="s">
        <v>2</v>
      </c>
      <c r="G15" s="10" t="s">
        <v>41</v>
      </c>
      <c r="H15" s="10" t="s">
        <v>41</v>
      </c>
      <c r="I15" s="22" t="s">
        <v>30</v>
      </c>
      <c r="J15" s="28" t="s">
        <v>4</v>
      </c>
      <c r="K15" s="13" t="s">
        <v>5</v>
      </c>
      <c r="L15" s="10" t="s">
        <v>41</v>
      </c>
      <c r="M15" s="10" t="s">
        <v>41</v>
      </c>
      <c r="N15" s="10" t="s">
        <v>41</v>
      </c>
      <c r="O15" s="10" t="s">
        <v>41</v>
      </c>
      <c r="P15" s="28" t="s">
        <v>4</v>
      </c>
      <c r="Q15" s="65" t="s">
        <v>4</v>
      </c>
      <c r="R15" s="13" t="s">
        <v>5</v>
      </c>
      <c r="S15" s="10" t="s">
        <v>41</v>
      </c>
      <c r="T15" s="10" t="s">
        <v>41</v>
      </c>
      <c r="U15" s="12" t="s">
        <v>2</v>
      </c>
      <c r="V15" s="10" t="s">
        <v>41</v>
      </c>
      <c r="W15" s="63" t="s">
        <v>30</v>
      </c>
      <c r="X15" s="25" t="s">
        <v>3</v>
      </c>
      <c r="Y15" s="10" t="s">
        <v>41</v>
      </c>
      <c r="Z15" s="12" t="s">
        <v>2</v>
      </c>
      <c r="AA15" s="10" t="s">
        <v>41</v>
      </c>
      <c r="AB15" s="10" t="s">
        <v>41</v>
      </c>
      <c r="AC15" s="10" t="s">
        <v>41</v>
      </c>
      <c r="AD15" s="28" t="s">
        <v>4</v>
      </c>
      <c r="AE15" s="28" t="s">
        <v>4</v>
      </c>
      <c r="AF15" s="10" t="s">
        <v>41</v>
      </c>
      <c r="AG15" s="10" t="s">
        <v>41</v>
      </c>
    </row>
    <row r="16" spans="1:33" x14ac:dyDescent="0.35">
      <c r="A16" s="64" t="s">
        <v>70</v>
      </c>
      <c r="B16" s="25" t="s">
        <v>3</v>
      </c>
      <c r="C16" s="25" t="s">
        <v>3</v>
      </c>
      <c r="D16" s="12" t="s">
        <v>2</v>
      </c>
      <c r="E16" s="25" t="s">
        <v>6</v>
      </c>
      <c r="F16" s="25" t="s">
        <v>6</v>
      </c>
      <c r="G16" s="25" t="s">
        <v>6</v>
      </c>
      <c r="H16" s="25" t="s">
        <v>6</v>
      </c>
      <c r="I16" s="28" t="s">
        <v>4</v>
      </c>
      <c r="J16" s="28" t="s">
        <v>4</v>
      </c>
      <c r="K16" s="25" t="s">
        <v>6</v>
      </c>
      <c r="L16" s="25" t="s">
        <v>6</v>
      </c>
      <c r="M16" s="25" t="s">
        <v>6</v>
      </c>
      <c r="N16" s="25" t="s">
        <v>6</v>
      </c>
      <c r="O16" s="25" t="s">
        <v>6</v>
      </c>
      <c r="P16" s="22" t="s">
        <v>30</v>
      </c>
      <c r="Q16" s="28" t="s">
        <v>4</v>
      </c>
      <c r="R16" s="12" t="s">
        <v>2</v>
      </c>
      <c r="S16" s="25" t="s">
        <v>6</v>
      </c>
      <c r="T16" s="25" t="s">
        <v>6</v>
      </c>
      <c r="U16" s="25" t="s">
        <v>6</v>
      </c>
      <c r="V16" s="25" t="s">
        <v>6</v>
      </c>
      <c r="W16" s="28" t="s">
        <v>4</v>
      </c>
      <c r="X16" s="28" t="s">
        <v>4</v>
      </c>
      <c r="Y16" s="25" t="s">
        <v>6</v>
      </c>
      <c r="Z16" s="25" t="s">
        <v>6</v>
      </c>
      <c r="AA16" s="25" t="s">
        <v>6</v>
      </c>
      <c r="AB16" s="25" t="s">
        <v>6</v>
      </c>
      <c r="AC16" s="25" t="s">
        <v>6</v>
      </c>
      <c r="AD16" s="28" t="s">
        <v>4</v>
      </c>
      <c r="AE16" s="28" t="s">
        <v>4</v>
      </c>
      <c r="AF16" s="25" t="s">
        <v>6</v>
      </c>
      <c r="AG16" s="25" t="s">
        <v>6</v>
      </c>
    </row>
    <row r="17" spans="1:33" x14ac:dyDescent="0.35">
      <c r="A17" s="64" t="s">
        <v>68</v>
      </c>
      <c r="B17" s="28" t="s">
        <v>4</v>
      </c>
      <c r="C17" s="28" t="s">
        <v>4</v>
      </c>
      <c r="D17" s="25" t="s">
        <v>6</v>
      </c>
      <c r="E17" s="25" t="s">
        <v>6</v>
      </c>
      <c r="F17" s="25" t="s">
        <v>6</v>
      </c>
      <c r="G17" s="16" t="s">
        <v>8</v>
      </c>
      <c r="H17" s="16" t="s">
        <v>8</v>
      </c>
      <c r="I17" s="28" t="s">
        <v>4</v>
      </c>
      <c r="J17" s="28" t="s">
        <v>4</v>
      </c>
      <c r="K17" s="10" t="s">
        <v>41</v>
      </c>
      <c r="L17" s="10" t="s">
        <v>41</v>
      </c>
      <c r="M17" s="25" t="s">
        <v>6</v>
      </c>
      <c r="N17" s="10" t="s">
        <v>41</v>
      </c>
      <c r="O17" s="10" t="s">
        <v>41</v>
      </c>
      <c r="P17" s="28" t="s">
        <v>4</v>
      </c>
      <c r="Q17" s="28" t="s">
        <v>4</v>
      </c>
      <c r="R17" s="10" t="s">
        <v>41</v>
      </c>
      <c r="S17" s="10" t="s">
        <v>41</v>
      </c>
      <c r="T17" s="16" t="s">
        <v>8</v>
      </c>
      <c r="U17" s="16" t="s">
        <v>8</v>
      </c>
      <c r="V17" s="16" t="s">
        <v>8</v>
      </c>
      <c r="W17" s="65" t="s">
        <v>4</v>
      </c>
      <c r="X17" s="65" t="s">
        <v>4</v>
      </c>
      <c r="Y17" s="13" t="s">
        <v>5</v>
      </c>
      <c r="Z17" s="13" t="s">
        <v>5</v>
      </c>
      <c r="AA17" s="10" t="s">
        <v>41</v>
      </c>
      <c r="AB17" s="10" t="s">
        <v>41</v>
      </c>
      <c r="AC17" s="10" t="s">
        <v>41</v>
      </c>
      <c r="AD17" s="28" t="s">
        <v>4</v>
      </c>
      <c r="AE17" s="28" t="s">
        <v>4</v>
      </c>
      <c r="AF17" s="25" t="s">
        <v>6</v>
      </c>
      <c r="AG17" s="25" t="s">
        <v>6</v>
      </c>
    </row>
    <row r="18" spans="1:33" x14ac:dyDescent="0.35">
      <c r="A18" s="64" t="s">
        <v>71</v>
      </c>
      <c r="B18" s="28" t="s">
        <v>4</v>
      </c>
      <c r="C18" s="28" t="s">
        <v>4</v>
      </c>
      <c r="D18" s="10" t="s">
        <v>41</v>
      </c>
      <c r="E18" s="10" t="s">
        <v>41</v>
      </c>
      <c r="F18" s="10" t="s">
        <v>41</v>
      </c>
      <c r="G18" s="10" t="s">
        <v>41</v>
      </c>
      <c r="H18" s="25" t="s">
        <v>6</v>
      </c>
      <c r="I18" s="28" t="s">
        <v>4</v>
      </c>
      <c r="J18" s="28" t="s">
        <v>4</v>
      </c>
      <c r="K18" s="10" t="s">
        <v>41</v>
      </c>
      <c r="L18" s="16" t="s">
        <v>8</v>
      </c>
      <c r="M18" s="16" t="s">
        <v>8</v>
      </c>
      <c r="N18" s="16" t="s">
        <v>8</v>
      </c>
      <c r="O18" s="16" t="s">
        <v>8</v>
      </c>
      <c r="P18" s="28" t="s">
        <v>4</v>
      </c>
      <c r="Q18" s="19" t="s">
        <v>42</v>
      </c>
      <c r="R18" s="10" t="s">
        <v>41</v>
      </c>
      <c r="S18" s="10" t="s">
        <v>41</v>
      </c>
      <c r="T18" s="10" t="s">
        <v>41</v>
      </c>
      <c r="U18" s="10" t="s">
        <v>41</v>
      </c>
      <c r="V18" s="10" t="s">
        <v>41</v>
      </c>
      <c r="W18" s="28" t="s">
        <v>4</v>
      </c>
      <c r="X18" s="28" t="s">
        <v>4</v>
      </c>
      <c r="Y18" s="25" t="s">
        <v>6</v>
      </c>
      <c r="Z18" s="25" t="s">
        <v>6</v>
      </c>
      <c r="AA18" s="25" t="s">
        <v>6</v>
      </c>
      <c r="AB18" s="25" t="s">
        <v>6</v>
      </c>
      <c r="AC18" s="25" t="s">
        <v>6</v>
      </c>
      <c r="AD18" s="28" t="s">
        <v>4</v>
      </c>
      <c r="AE18" s="28" t="s">
        <v>4</v>
      </c>
      <c r="AF18" s="10" t="s">
        <v>41</v>
      </c>
      <c r="AG18" s="10" t="s">
        <v>41</v>
      </c>
    </row>
    <row r="19" spans="1:33" x14ac:dyDescent="0.35">
      <c r="A19" s="64" t="s">
        <v>72</v>
      </c>
      <c r="B19" s="28" t="s">
        <v>4</v>
      </c>
      <c r="C19" s="28" t="s">
        <v>4</v>
      </c>
      <c r="D19" s="25" t="s">
        <v>6</v>
      </c>
      <c r="E19" s="22" t="s">
        <v>16</v>
      </c>
      <c r="F19" s="22" t="s">
        <v>16</v>
      </c>
      <c r="G19" s="22" t="s">
        <v>16</v>
      </c>
      <c r="H19" s="22" t="s">
        <v>16</v>
      </c>
      <c r="I19" s="28" t="s">
        <v>4</v>
      </c>
      <c r="J19" s="28" t="s">
        <v>4</v>
      </c>
      <c r="K19" s="13" t="s">
        <v>5</v>
      </c>
      <c r="L19" s="13" t="s">
        <v>5</v>
      </c>
      <c r="M19" s="13" t="s">
        <v>5</v>
      </c>
      <c r="N19" s="13" t="s">
        <v>5</v>
      </c>
      <c r="O19" s="13" t="s">
        <v>5</v>
      </c>
      <c r="P19" s="28" t="s">
        <v>4</v>
      </c>
      <c r="Q19" s="28" t="s">
        <v>4</v>
      </c>
      <c r="R19" s="25" t="s">
        <v>6</v>
      </c>
      <c r="S19" s="22" t="s">
        <v>16</v>
      </c>
      <c r="T19" s="22" t="s">
        <v>16</v>
      </c>
      <c r="U19" s="25" t="s">
        <v>6</v>
      </c>
      <c r="V19" s="25" t="s">
        <v>6</v>
      </c>
      <c r="W19" s="28" t="s">
        <v>4</v>
      </c>
      <c r="X19" s="28" t="s">
        <v>4</v>
      </c>
      <c r="Y19" s="10" t="s">
        <v>41</v>
      </c>
      <c r="Z19" s="10" t="s">
        <v>41</v>
      </c>
      <c r="AA19" s="10" t="s">
        <v>41</v>
      </c>
      <c r="AB19" s="25" t="s">
        <v>6</v>
      </c>
      <c r="AC19" s="22" t="s">
        <v>16</v>
      </c>
      <c r="AD19" s="28" t="s">
        <v>4</v>
      </c>
      <c r="AE19" s="28" t="s">
        <v>4</v>
      </c>
      <c r="AF19" s="22" t="s">
        <v>16</v>
      </c>
      <c r="AG19" s="10" t="s">
        <v>41</v>
      </c>
    </row>
    <row r="21" spans="1:33" x14ac:dyDescent="0.35">
      <c r="A21" s="24" t="s">
        <v>23</v>
      </c>
    </row>
    <row r="22" spans="1:33" x14ac:dyDescent="0.35">
      <c r="A22" s="1" t="s">
        <v>24</v>
      </c>
    </row>
    <row r="23" spans="1:33" x14ac:dyDescent="0.35">
      <c r="A23" s="1" t="s">
        <v>25</v>
      </c>
    </row>
    <row r="24" spans="1:33" x14ac:dyDescent="0.35">
      <c r="A24" s="1" t="s">
        <v>47</v>
      </c>
    </row>
    <row r="25" spans="1:33" x14ac:dyDescent="0.35">
      <c r="A25" s="1" t="s">
        <v>48</v>
      </c>
    </row>
    <row r="26" spans="1:33" x14ac:dyDescent="0.35">
      <c r="A26" s="1" t="s">
        <v>26</v>
      </c>
    </row>
    <row r="27" spans="1:33" x14ac:dyDescent="0.35">
      <c r="A27" s="1" t="s">
        <v>27</v>
      </c>
    </row>
    <row r="28" spans="1:33" x14ac:dyDescent="0.35">
      <c r="A28" s="1" t="s">
        <v>28</v>
      </c>
    </row>
    <row r="29" spans="1:33" x14ac:dyDescent="0.35">
      <c r="A29" s="1" t="s">
        <v>29</v>
      </c>
    </row>
    <row r="30" spans="1:33" x14ac:dyDescent="0.35">
      <c r="A30" s="1" t="s">
        <v>49</v>
      </c>
    </row>
    <row r="31" spans="1:33" x14ac:dyDescent="0.35">
      <c r="A31" s="1" t="s">
        <v>50</v>
      </c>
    </row>
    <row r="32" spans="1:33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35</v>
      </c>
    </row>
    <row r="36" spans="1:1" x14ac:dyDescent="0.35">
      <c r="A36" s="1" t="s">
        <v>36</v>
      </c>
    </row>
    <row r="37" spans="1:1" x14ac:dyDescent="0.35">
      <c r="A37" s="1" t="s">
        <v>38</v>
      </c>
    </row>
    <row r="38" spans="1:1" x14ac:dyDescent="0.35">
      <c r="A38" s="1" t="s">
        <v>36</v>
      </c>
    </row>
    <row r="39" spans="1:1" x14ac:dyDescent="0.35">
      <c r="A39" s="1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G38"/>
  <sheetViews>
    <sheetView zoomScale="80" zoomScaleNormal="80" workbookViewId="0">
      <pane xSplit="1" topLeftCell="B1" activePane="topRight" state="frozen"/>
      <selection pane="topRight" activeCell="C10" sqref="C10"/>
    </sheetView>
  </sheetViews>
  <sheetFormatPr defaultColWidth="9.1796875" defaultRowHeight="14.5" x14ac:dyDescent="0.35"/>
  <cols>
    <col min="1" max="1" width="30.54296875" customWidth="1"/>
    <col min="2" max="4" width="7.26953125" customWidth="1"/>
    <col min="5" max="6" width="9.26953125" customWidth="1"/>
    <col min="7" max="7" width="7.54296875" customWidth="1"/>
    <col min="8" max="8" width="7.26953125" customWidth="1"/>
    <col min="9" max="9" width="7.54296875" customWidth="1"/>
    <col min="10" max="10" width="7.26953125" customWidth="1"/>
    <col min="11" max="11" width="7.54296875" customWidth="1"/>
    <col min="12" max="13" width="9.26953125" customWidth="1"/>
    <col min="14" max="14" width="7.54296875" customWidth="1"/>
    <col min="15" max="15" width="9.26953125" customWidth="1"/>
    <col min="16" max="18" width="7.54296875" customWidth="1"/>
    <col min="19" max="19" width="9.26953125" customWidth="1"/>
    <col min="20" max="22" width="6.7265625" customWidth="1"/>
    <col min="23" max="33" width="9.1796875" customWidth="1"/>
  </cols>
  <sheetData>
    <row r="1" spans="1:33" ht="15" customHeight="1" x14ac:dyDescent="0.35">
      <c r="A1" s="1"/>
      <c r="B1" s="2" t="str">
        <f t="shared" ref="B1:AG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</row>
    <row r="2" spans="1:33" x14ac:dyDescent="0.35">
      <c r="A2" s="7" t="s">
        <v>0</v>
      </c>
      <c r="B2" s="29">
        <v>44681</v>
      </c>
      <c r="C2" s="29">
        <v>44682</v>
      </c>
      <c r="D2" s="29">
        <v>44683</v>
      </c>
      <c r="E2" s="29">
        <v>44684</v>
      </c>
      <c r="F2" s="29">
        <v>44685</v>
      </c>
      <c r="G2" s="29">
        <v>44686</v>
      </c>
      <c r="H2" s="29">
        <v>44687</v>
      </c>
      <c r="I2" s="29">
        <v>44688</v>
      </c>
      <c r="J2" s="29">
        <v>44689</v>
      </c>
      <c r="K2" s="29">
        <v>44690</v>
      </c>
      <c r="L2" s="29">
        <v>44691</v>
      </c>
      <c r="M2" s="29">
        <v>44692</v>
      </c>
      <c r="N2" s="29">
        <v>44693</v>
      </c>
      <c r="O2" s="29">
        <v>44694</v>
      </c>
      <c r="P2" s="29">
        <v>44695</v>
      </c>
      <c r="Q2" s="29">
        <v>44696</v>
      </c>
      <c r="R2" s="29">
        <v>44697</v>
      </c>
      <c r="S2" s="29">
        <v>44698</v>
      </c>
      <c r="T2" s="29">
        <v>44699</v>
      </c>
      <c r="U2" s="29">
        <v>44700</v>
      </c>
      <c r="V2" s="29">
        <v>44701</v>
      </c>
      <c r="W2" s="29">
        <v>44702</v>
      </c>
      <c r="X2" s="29">
        <v>44703</v>
      </c>
      <c r="Y2" s="29">
        <v>44704</v>
      </c>
      <c r="Z2" s="29">
        <v>44705</v>
      </c>
      <c r="AA2" s="29">
        <v>44706</v>
      </c>
      <c r="AB2" s="29">
        <v>44707</v>
      </c>
      <c r="AC2" s="29">
        <v>44708</v>
      </c>
      <c r="AD2" s="29">
        <v>44709</v>
      </c>
      <c r="AE2" s="29">
        <v>44710</v>
      </c>
      <c r="AF2" s="29">
        <v>44711</v>
      </c>
      <c r="AG2" s="29">
        <v>44712</v>
      </c>
    </row>
    <row r="3" spans="1:33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x14ac:dyDescent="0.35">
      <c r="A4" s="64" t="s">
        <v>1</v>
      </c>
      <c r="B4" s="57" t="s">
        <v>40</v>
      </c>
      <c r="C4" s="25" t="s">
        <v>3</v>
      </c>
      <c r="D4" s="12" t="s">
        <v>2</v>
      </c>
      <c r="E4" s="76" t="s">
        <v>37</v>
      </c>
      <c r="F4" s="13" t="s">
        <v>5</v>
      </c>
      <c r="G4" s="13" t="s">
        <v>5</v>
      </c>
      <c r="H4" s="13" t="s">
        <v>5</v>
      </c>
      <c r="I4" s="65" t="s">
        <v>4</v>
      </c>
      <c r="J4" s="65" t="s">
        <v>4</v>
      </c>
      <c r="K4" s="13" t="s">
        <v>5</v>
      </c>
      <c r="L4" s="10" t="s">
        <v>41</v>
      </c>
      <c r="M4" s="10" t="s">
        <v>41</v>
      </c>
      <c r="N4" s="75" t="s">
        <v>16</v>
      </c>
      <c r="O4" s="74" t="s">
        <v>41</v>
      </c>
      <c r="P4" s="74" t="s">
        <v>42</v>
      </c>
      <c r="Q4" s="19" t="s">
        <v>42</v>
      </c>
      <c r="R4" s="74" t="s">
        <v>41</v>
      </c>
      <c r="S4" s="12" t="s">
        <v>2</v>
      </c>
      <c r="T4" s="74" t="s">
        <v>41</v>
      </c>
      <c r="U4" s="74" t="s">
        <v>41</v>
      </c>
      <c r="V4" s="12" t="s">
        <v>2</v>
      </c>
      <c r="W4" s="19" t="s">
        <v>42</v>
      </c>
      <c r="X4" s="19" t="s">
        <v>42</v>
      </c>
      <c r="Y4" s="16" t="s">
        <v>8</v>
      </c>
      <c r="Z4" s="16" t="s">
        <v>8</v>
      </c>
      <c r="AA4" s="16" t="s">
        <v>8</v>
      </c>
      <c r="AB4" s="16" t="s">
        <v>8</v>
      </c>
      <c r="AC4" s="12" t="s">
        <v>2</v>
      </c>
      <c r="AD4" s="19" t="s">
        <v>42</v>
      </c>
      <c r="AE4" s="19" t="s">
        <v>42</v>
      </c>
      <c r="AF4" s="16" t="s">
        <v>8</v>
      </c>
      <c r="AG4" s="16" t="s">
        <v>8</v>
      </c>
    </row>
    <row r="5" spans="1:33" x14ac:dyDescent="0.35">
      <c r="A5" s="64" t="s">
        <v>9</v>
      </c>
      <c r="B5" s="25" t="s">
        <v>3</v>
      </c>
      <c r="C5" s="19" t="s">
        <v>42</v>
      </c>
      <c r="D5" s="25" t="s">
        <v>6</v>
      </c>
      <c r="E5" s="25" t="s">
        <v>3</v>
      </c>
      <c r="F5" s="25" t="s">
        <v>6</v>
      </c>
      <c r="G5" s="75" t="s">
        <v>16</v>
      </c>
      <c r="H5" s="12" t="s">
        <v>2</v>
      </c>
      <c r="I5" s="25" t="s">
        <v>3</v>
      </c>
      <c r="J5" s="17" t="s">
        <v>11</v>
      </c>
      <c r="K5" s="12" t="s">
        <v>2</v>
      </c>
      <c r="L5" s="74" t="s">
        <v>6</v>
      </c>
      <c r="M5" s="74" t="s">
        <v>6</v>
      </c>
      <c r="N5" s="17" t="s">
        <v>10</v>
      </c>
      <c r="O5" s="17" t="s">
        <v>10</v>
      </c>
      <c r="P5" s="65" t="s">
        <v>4</v>
      </c>
      <c r="Q5" s="17" t="s">
        <v>11</v>
      </c>
      <c r="R5" s="17" t="s">
        <v>10</v>
      </c>
      <c r="S5" s="16" t="s">
        <v>8</v>
      </c>
      <c r="T5" s="17" t="s">
        <v>10</v>
      </c>
      <c r="U5" s="17" t="s">
        <v>10</v>
      </c>
      <c r="V5" s="17" t="s">
        <v>10</v>
      </c>
      <c r="W5" s="17" t="s">
        <v>11</v>
      </c>
      <c r="X5" s="17" t="s">
        <v>11</v>
      </c>
      <c r="Y5" s="12" t="s">
        <v>2</v>
      </c>
      <c r="Z5" s="12" t="s">
        <v>2</v>
      </c>
      <c r="AA5" s="74" t="s">
        <v>6</v>
      </c>
      <c r="AB5" s="74" t="s">
        <v>6</v>
      </c>
      <c r="AC5" s="74" t="s">
        <v>6</v>
      </c>
      <c r="AD5" s="65" t="s">
        <v>4</v>
      </c>
      <c r="AE5" s="17" t="s">
        <v>11</v>
      </c>
      <c r="AF5" s="12" t="s">
        <v>2</v>
      </c>
      <c r="AG5" s="25" t="s">
        <v>6</v>
      </c>
    </row>
    <row r="6" spans="1:33" x14ac:dyDescent="0.35">
      <c r="A6" s="64" t="s">
        <v>12</v>
      </c>
      <c r="B6" s="28" t="s">
        <v>4</v>
      </c>
      <c r="C6" s="28" t="s">
        <v>4</v>
      </c>
      <c r="D6" s="10" t="s">
        <v>41</v>
      </c>
      <c r="E6" s="10" t="s">
        <v>41</v>
      </c>
      <c r="F6" s="10" t="s">
        <v>41</v>
      </c>
      <c r="G6" s="10" t="s">
        <v>41</v>
      </c>
      <c r="H6" s="10" t="s">
        <v>41</v>
      </c>
      <c r="I6" s="28" t="s">
        <v>4</v>
      </c>
      <c r="J6" s="19" t="s">
        <v>42</v>
      </c>
      <c r="K6" s="17" t="s">
        <v>10</v>
      </c>
      <c r="L6" s="17" t="s">
        <v>10</v>
      </c>
      <c r="M6" s="17" t="s">
        <v>10</v>
      </c>
      <c r="N6" s="12" t="s">
        <v>2</v>
      </c>
      <c r="O6" s="17" t="s">
        <v>10</v>
      </c>
      <c r="P6" s="17" t="s">
        <v>11</v>
      </c>
      <c r="Q6" s="28" t="s">
        <v>4</v>
      </c>
      <c r="R6" s="12" t="s">
        <v>2</v>
      </c>
      <c r="S6" s="25" t="s">
        <v>6</v>
      </c>
      <c r="T6" s="12" t="s">
        <v>2</v>
      </c>
      <c r="U6" s="25" t="s">
        <v>6</v>
      </c>
      <c r="V6" s="25" t="s">
        <v>6</v>
      </c>
      <c r="W6" s="25" t="s">
        <v>3</v>
      </c>
      <c r="X6" s="25" t="s">
        <v>3</v>
      </c>
      <c r="Y6" s="25" t="s">
        <v>6</v>
      </c>
      <c r="Z6" s="13" t="s">
        <v>5</v>
      </c>
      <c r="AA6" s="13" t="s">
        <v>5</v>
      </c>
      <c r="AB6" s="75" t="s">
        <v>16</v>
      </c>
      <c r="AC6" s="75" t="s">
        <v>16</v>
      </c>
      <c r="AD6" s="77" t="s">
        <v>3</v>
      </c>
      <c r="AE6" s="77" t="s">
        <v>3</v>
      </c>
      <c r="AF6" s="75" t="s">
        <v>16</v>
      </c>
      <c r="AG6" s="75" t="s">
        <v>16</v>
      </c>
    </row>
    <row r="7" spans="1:33" x14ac:dyDescent="0.35">
      <c r="A7" s="64" t="s">
        <v>14</v>
      </c>
      <c r="B7" s="65" t="s">
        <v>4</v>
      </c>
      <c r="C7" s="65" t="s">
        <v>4</v>
      </c>
      <c r="D7" s="13" t="s">
        <v>5</v>
      </c>
      <c r="E7" s="76" t="s">
        <v>37</v>
      </c>
      <c r="F7" s="13" t="s">
        <v>5</v>
      </c>
      <c r="G7" s="25" t="s">
        <v>6</v>
      </c>
      <c r="H7" s="25" t="s">
        <v>6</v>
      </c>
      <c r="I7" s="19" t="s">
        <v>42</v>
      </c>
      <c r="J7" s="25" t="s">
        <v>3</v>
      </c>
      <c r="K7" s="25" t="s">
        <v>6</v>
      </c>
      <c r="L7" s="10" t="s">
        <v>41</v>
      </c>
      <c r="M7" s="12" t="s">
        <v>2</v>
      </c>
      <c r="N7" s="25" t="s">
        <v>6</v>
      </c>
      <c r="O7" s="13" t="s">
        <v>5</v>
      </c>
      <c r="P7" s="65" t="s">
        <v>4</v>
      </c>
      <c r="Q7" s="65" t="s">
        <v>4</v>
      </c>
      <c r="R7" s="13" t="s">
        <v>5</v>
      </c>
      <c r="S7" s="75" t="s">
        <v>16</v>
      </c>
      <c r="T7" s="75" t="s">
        <v>16</v>
      </c>
      <c r="U7" s="75" t="s">
        <v>16</v>
      </c>
      <c r="V7" s="75" t="s">
        <v>16</v>
      </c>
      <c r="W7" s="78" t="s">
        <v>30</v>
      </c>
      <c r="X7" s="28" t="s">
        <v>4</v>
      </c>
      <c r="Y7" s="75" t="s">
        <v>16</v>
      </c>
      <c r="Z7" s="25" t="s">
        <v>6</v>
      </c>
      <c r="AA7" s="17" t="s">
        <v>10</v>
      </c>
      <c r="AB7" s="17" t="s">
        <v>10</v>
      </c>
      <c r="AC7" s="17" t="s">
        <v>10</v>
      </c>
      <c r="AD7" s="17" t="s">
        <v>11</v>
      </c>
      <c r="AE7" s="28" t="s">
        <v>4</v>
      </c>
      <c r="AF7" s="10" t="s">
        <v>41</v>
      </c>
      <c r="AG7" s="25" t="s">
        <v>6</v>
      </c>
    </row>
    <row r="8" spans="1:33" x14ac:dyDescent="0.35">
      <c r="A8" s="64" t="s">
        <v>15</v>
      </c>
      <c r="B8" s="28" t="s">
        <v>4</v>
      </c>
      <c r="C8" s="28" t="s">
        <v>4</v>
      </c>
      <c r="D8" s="17" t="s">
        <v>10</v>
      </c>
      <c r="E8" s="17" t="s">
        <v>10</v>
      </c>
      <c r="F8" s="17" t="s">
        <v>10</v>
      </c>
      <c r="G8" s="17" t="s">
        <v>10</v>
      </c>
      <c r="H8" s="17" t="s">
        <v>10</v>
      </c>
      <c r="I8" s="28" t="s">
        <v>4</v>
      </c>
      <c r="J8" s="28" t="s">
        <v>4</v>
      </c>
      <c r="K8" s="10" t="s">
        <v>41</v>
      </c>
      <c r="L8" s="10" t="s">
        <v>41</v>
      </c>
      <c r="M8" s="10" t="s">
        <v>41</v>
      </c>
      <c r="N8" s="10" t="s">
        <v>41</v>
      </c>
      <c r="O8" s="10" t="s">
        <v>41</v>
      </c>
      <c r="P8" s="19" t="s">
        <v>42</v>
      </c>
      <c r="Q8" s="28" t="s">
        <v>4</v>
      </c>
      <c r="R8" s="10" t="s">
        <v>41</v>
      </c>
      <c r="S8" s="10" t="s">
        <v>41</v>
      </c>
      <c r="T8" s="10" t="s">
        <v>41</v>
      </c>
      <c r="U8" s="12" t="s">
        <v>2</v>
      </c>
      <c r="V8" s="10" t="s">
        <v>41</v>
      </c>
      <c r="W8" s="19" t="s">
        <v>42</v>
      </c>
      <c r="X8" s="19" t="s">
        <v>42</v>
      </c>
      <c r="Y8" s="17" t="s">
        <v>10</v>
      </c>
      <c r="Z8" s="17" t="s">
        <v>10</v>
      </c>
      <c r="AA8" s="12" t="s">
        <v>2</v>
      </c>
      <c r="AB8" s="25" t="s">
        <v>6</v>
      </c>
      <c r="AC8" s="10" t="s">
        <v>41</v>
      </c>
      <c r="AD8" s="28" t="s">
        <v>4</v>
      </c>
      <c r="AE8" s="25" t="s">
        <v>3</v>
      </c>
      <c r="AF8" s="17" t="s">
        <v>10</v>
      </c>
      <c r="AG8" s="17" t="s">
        <v>10</v>
      </c>
    </row>
    <row r="9" spans="1:33" x14ac:dyDescent="0.35">
      <c r="A9" s="64" t="s">
        <v>18</v>
      </c>
      <c r="B9" s="17" t="s">
        <v>11</v>
      </c>
      <c r="C9" s="17" t="s">
        <v>11</v>
      </c>
      <c r="D9" s="17" t="s">
        <v>10</v>
      </c>
      <c r="E9" s="17" t="s">
        <v>10</v>
      </c>
      <c r="F9" s="12" t="s">
        <v>2</v>
      </c>
      <c r="G9" s="75" t="s">
        <v>16</v>
      </c>
      <c r="H9" s="75" t="s">
        <v>16</v>
      </c>
      <c r="I9" s="74" t="s">
        <v>30</v>
      </c>
      <c r="J9" s="74" t="s">
        <v>42</v>
      </c>
      <c r="K9" s="74" t="s">
        <v>41</v>
      </c>
      <c r="L9" s="75" t="s">
        <v>16</v>
      </c>
      <c r="M9" s="12" t="s">
        <v>2</v>
      </c>
      <c r="N9" s="10" t="s">
        <v>41</v>
      </c>
      <c r="O9" s="25" t="s">
        <v>6</v>
      </c>
      <c r="P9" s="25" t="s">
        <v>3</v>
      </c>
      <c r="Q9" s="25" t="s">
        <v>3</v>
      </c>
      <c r="R9" s="25" t="s">
        <v>6</v>
      </c>
      <c r="S9" s="12" t="s">
        <v>2</v>
      </c>
      <c r="T9" s="25" t="s">
        <v>6</v>
      </c>
      <c r="U9" s="25" t="s">
        <v>6</v>
      </c>
      <c r="V9" s="25" t="s">
        <v>6</v>
      </c>
      <c r="W9" s="65" t="s">
        <v>4</v>
      </c>
      <c r="X9" s="65" t="s">
        <v>4</v>
      </c>
      <c r="Y9" s="10" t="s">
        <v>41</v>
      </c>
      <c r="Z9" s="13" t="s">
        <v>5</v>
      </c>
      <c r="AA9" s="13" t="s">
        <v>5</v>
      </c>
      <c r="AB9" s="13" t="s">
        <v>5</v>
      </c>
      <c r="AC9" s="13" t="s">
        <v>5</v>
      </c>
      <c r="AD9" s="65" t="s">
        <v>4</v>
      </c>
      <c r="AE9" s="65" t="s">
        <v>4</v>
      </c>
      <c r="AF9" s="13" t="s">
        <v>5</v>
      </c>
      <c r="AG9" s="17" t="s">
        <v>10</v>
      </c>
    </row>
    <row r="10" spans="1:33" ht="14.15" customHeight="1" x14ac:dyDescent="0.35">
      <c r="A10" s="64" t="s">
        <v>21</v>
      </c>
      <c r="B10" s="17" t="s">
        <v>11</v>
      </c>
      <c r="C10" s="17" t="s">
        <v>11</v>
      </c>
      <c r="D10" s="12" t="s">
        <v>2</v>
      </c>
      <c r="E10" s="12" t="s">
        <v>2</v>
      </c>
      <c r="F10" s="17" t="s">
        <v>10</v>
      </c>
      <c r="G10" s="17" t="s">
        <v>10</v>
      </c>
      <c r="H10" s="17" t="s">
        <v>10</v>
      </c>
      <c r="I10" s="17" t="s">
        <v>11</v>
      </c>
      <c r="J10" s="28" t="s">
        <v>4</v>
      </c>
      <c r="K10" s="75" t="s">
        <v>16</v>
      </c>
      <c r="L10" s="75" t="s">
        <v>16</v>
      </c>
      <c r="M10" s="74" t="s">
        <v>41</v>
      </c>
      <c r="N10" s="74" t="s">
        <v>6</v>
      </c>
      <c r="O10" s="74" t="s">
        <v>41</v>
      </c>
      <c r="P10" s="74" t="s">
        <v>30</v>
      </c>
      <c r="Q10" s="17" t="s">
        <v>11</v>
      </c>
      <c r="R10" s="13" t="s">
        <v>74</v>
      </c>
      <c r="S10" s="12" t="s">
        <v>2</v>
      </c>
      <c r="T10" s="25" t="s">
        <v>6</v>
      </c>
      <c r="U10" s="10" t="s">
        <v>41</v>
      </c>
      <c r="V10" s="10" t="s">
        <v>41</v>
      </c>
      <c r="W10" s="65" t="s">
        <v>4</v>
      </c>
      <c r="X10" s="28" t="s">
        <v>4</v>
      </c>
      <c r="Y10" s="17" t="s">
        <v>10</v>
      </c>
      <c r="Z10" s="17" t="s">
        <v>10</v>
      </c>
      <c r="AA10" s="17" t="s">
        <v>10</v>
      </c>
      <c r="AB10" s="12" t="s">
        <v>2</v>
      </c>
      <c r="AC10" s="10" t="s">
        <v>41</v>
      </c>
      <c r="AD10" s="25" t="s">
        <v>3</v>
      </c>
      <c r="AE10" s="19" t="s">
        <v>42</v>
      </c>
      <c r="AF10" s="25" t="s">
        <v>6</v>
      </c>
      <c r="AG10" s="10" t="s">
        <v>41</v>
      </c>
    </row>
    <row r="11" spans="1:33" x14ac:dyDescent="0.35">
      <c r="A11" s="64" t="s">
        <v>43</v>
      </c>
      <c r="B11" s="28" t="s">
        <v>4</v>
      </c>
      <c r="C11" s="28" t="s">
        <v>4</v>
      </c>
      <c r="D11" s="75" t="s">
        <v>16</v>
      </c>
      <c r="E11" s="74" t="s">
        <v>6</v>
      </c>
      <c r="F11" s="74" t="s">
        <v>41</v>
      </c>
      <c r="G11" s="12" t="s">
        <v>2</v>
      </c>
      <c r="H11" s="75" t="s">
        <v>16</v>
      </c>
      <c r="I11" s="74" t="s">
        <v>3</v>
      </c>
      <c r="J11" s="74" t="s">
        <v>3</v>
      </c>
      <c r="K11" s="10" t="s">
        <v>41</v>
      </c>
      <c r="L11" s="12" t="s">
        <v>2</v>
      </c>
      <c r="M11" s="25" t="s">
        <v>6</v>
      </c>
      <c r="N11" s="25" t="s">
        <v>6</v>
      </c>
      <c r="O11" s="25" t="s">
        <v>6</v>
      </c>
      <c r="P11" s="17" t="s">
        <v>11</v>
      </c>
      <c r="Q11" s="28" t="s">
        <v>4</v>
      </c>
      <c r="R11" s="17" t="s">
        <v>10</v>
      </c>
      <c r="S11" s="17" t="s">
        <v>10</v>
      </c>
      <c r="T11" s="17" t="s">
        <v>10</v>
      </c>
      <c r="U11" s="17" t="s">
        <v>10</v>
      </c>
      <c r="V11" s="17" t="s">
        <v>10</v>
      </c>
      <c r="W11" s="28" t="s">
        <v>4</v>
      </c>
      <c r="X11" s="28" t="s">
        <v>4</v>
      </c>
      <c r="Y11" s="10" t="s">
        <v>41</v>
      </c>
      <c r="Z11" s="10" t="s">
        <v>41</v>
      </c>
      <c r="AA11" s="12" t="s">
        <v>2</v>
      </c>
      <c r="AB11" s="17" t="s">
        <v>10</v>
      </c>
      <c r="AC11" s="17" t="s">
        <v>10</v>
      </c>
      <c r="AD11" s="17" t="s">
        <v>11</v>
      </c>
      <c r="AE11" s="17" t="s">
        <v>11</v>
      </c>
      <c r="AF11" s="17" t="s">
        <v>10</v>
      </c>
      <c r="AG11" s="12" t="s">
        <v>2</v>
      </c>
    </row>
    <row r="12" spans="1:33" x14ac:dyDescent="0.35">
      <c r="A12" s="64" t="s">
        <v>69</v>
      </c>
      <c r="B12" s="19" t="s">
        <v>42</v>
      </c>
      <c r="C12" s="19" t="s">
        <v>42</v>
      </c>
      <c r="D12" s="12" t="s">
        <v>2</v>
      </c>
      <c r="E12" s="76" t="s">
        <v>37</v>
      </c>
      <c r="F12" s="25" t="s">
        <v>6</v>
      </c>
      <c r="G12" s="25" t="s">
        <v>6</v>
      </c>
      <c r="H12" s="12" t="s">
        <v>2</v>
      </c>
      <c r="I12" s="17" t="s">
        <v>11</v>
      </c>
      <c r="J12" s="17" t="s">
        <v>11</v>
      </c>
      <c r="K12" s="17" t="s">
        <v>10</v>
      </c>
      <c r="L12" s="17" t="s">
        <v>10</v>
      </c>
      <c r="M12" s="17" t="s">
        <v>10</v>
      </c>
      <c r="N12" s="17" t="s">
        <v>10</v>
      </c>
      <c r="O12" s="12" t="s">
        <v>2</v>
      </c>
      <c r="P12" s="65" t="s">
        <v>4</v>
      </c>
      <c r="Q12" s="65" t="s">
        <v>4</v>
      </c>
      <c r="R12" s="13" t="s">
        <v>5</v>
      </c>
      <c r="S12" s="13" t="s">
        <v>5</v>
      </c>
      <c r="T12" s="13" t="s">
        <v>5</v>
      </c>
      <c r="U12" s="13" t="s">
        <v>5</v>
      </c>
      <c r="V12" s="13" t="s">
        <v>5</v>
      </c>
      <c r="W12" s="17" t="s">
        <v>11</v>
      </c>
      <c r="X12" s="17" t="s">
        <v>11</v>
      </c>
      <c r="Y12" s="12" t="s">
        <v>2</v>
      </c>
      <c r="Z12" s="10" t="s">
        <v>41</v>
      </c>
      <c r="AA12" s="12" t="s">
        <v>2</v>
      </c>
      <c r="AB12" s="75" t="s">
        <v>16</v>
      </c>
      <c r="AC12" s="75" t="s">
        <v>16</v>
      </c>
      <c r="AD12" s="78" t="s">
        <v>30</v>
      </c>
      <c r="AE12" s="78" t="s">
        <v>30</v>
      </c>
      <c r="AF12" s="75" t="s">
        <v>16</v>
      </c>
      <c r="AG12" s="75" t="s">
        <v>16</v>
      </c>
    </row>
    <row r="13" spans="1:33" x14ac:dyDescent="0.35">
      <c r="A13" s="64" t="s">
        <v>22</v>
      </c>
      <c r="B13" s="65" t="s">
        <v>4</v>
      </c>
      <c r="C13" s="65" t="s">
        <v>4</v>
      </c>
      <c r="D13" s="10" t="s">
        <v>41</v>
      </c>
      <c r="E13" s="10" t="s">
        <v>41</v>
      </c>
      <c r="F13" s="10" t="s">
        <v>41</v>
      </c>
      <c r="G13" s="10" t="s">
        <v>41</v>
      </c>
      <c r="H13" s="25" t="s">
        <v>6</v>
      </c>
      <c r="I13" s="65" t="s">
        <v>4</v>
      </c>
      <c r="J13" s="65" t="s">
        <v>4</v>
      </c>
      <c r="K13" s="26" t="s">
        <v>34</v>
      </c>
      <c r="L13" s="75" t="s">
        <v>16</v>
      </c>
      <c r="M13" s="22" t="s">
        <v>16</v>
      </c>
      <c r="N13" s="12" t="s">
        <v>2</v>
      </c>
      <c r="O13" s="25" t="s">
        <v>6</v>
      </c>
      <c r="P13" s="25" t="s">
        <v>3</v>
      </c>
      <c r="Q13" s="25" t="s">
        <v>3</v>
      </c>
      <c r="R13" s="25" t="s">
        <v>6</v>
      </c>
      <c r="S13" s="10" t="s">
        <v>41</v>
      </c>
      <c r="T13" s="25" t="s">
        <v>6</v>
      </c>
      <c r="U13" s="13" t="s">
        <v>5</v>
      </c>
      <c r="V13" s="13" t="s">
        <v>5</v>
      </c>
      <c r="W13" s="65" t="s">
        <v>4</v>
      </c>
      <c r="X13" s="65" t="s">
        <v>4</v>
      </c>
      <c r="Y13" s="10" t="s">
        <v>41</v>
      </c>
      <c r="Z13" s="25" t="s">
        <v>6</v>
      </c>
      <c r="AA13" s="25" t="s">
        <v>6</v>
      </c>
      <c r="AB13" s="12" t="s">
        <v>2</v>
      </c>
      <c r="AC13" s="26" t="s">
        <v>34</v>
      </c>
      <c r="AD13" s="28" t="s">
        <v>4</v>
      </c>
      <c r="AE13" s="28" t="s">
        <v>4</v>
      </c>
      <c r="AF13" s="25" t="s">
        <v>6</v>
      </c>
      <c r="AG13" s="13" t="s">
        <v>5</v>
      </c>
    </row>
    <row r="14" spans="1:33" ht="15" thickBot="1" x14ac:dyDescent="0.4">
      <c r="A14" s="64" t="s">
        <v>60</v>
      </c>
      <c r="B14" s="63" t="s">
        <v>30</v>
      </c>
      <c r="C14" s="28" t="s">
        <v>4</v>
      </c>
      <c r="D14" s="10" t="s">
        <v>41</v>
      </c>
      <c r="E14" s="10" t="s">
        <v>41</v>
      </c>
      <c r="F14" s="12" t="s">
        <v>2</v>
      </c>
      <c r="G14" s="75" t="s">
        <v>16</v>
      </c>
      <c r="H14" s="75" t="s">
        <v>16</v>
      </c>
      <c r="I14" s="19" t="s">
        <v>42</v>
      </c>
      <c r="J14" s="28" t="s">
        <v>4</v>
      </c>
      <c r="K14" s="13" t="s">
        <v>5</v>
      </c>
      <c r="L14" s="10" t="s">
        <v>41</v>
      </c>
      <c r="M14" s="10" t="s">
        <v>41</v>
      </c>
      <c r="N14" s="75" t="s">
        <v>16</v>
      </c>
      <c r="O14" s="75" t="s">
        <v>16</v>
      </c>
      <c r="P14" s="28" t="s">
        <v>4</v>
      </c>
      <c r="Q14" s="65" t="s">
        <v>4</v>
      </c>
      <c r="R14" s="13" t="s">
        <v>5</v>
      </c>
      <c r="S14" s="10" t="s">
        <v>41</v>
      </c>
      <c r="T14" s="10" t="s">
        <v>41</v>
      </c>
      <c r="U14" s="12" t="s">
        <v>2</v>
      </c>
      <c r="V14" s="75" t="s">
        <v>16</v>
      </c>
      <c r="W14" s="25" t="s">
        <v>3</v>
      </c>
      <c r="X14" s="25" t="s">
        <v>3</v>
      </c>
      <c r="Y14" s="25" t="s">
        <v>6</v>
      </c>
      <c r="Z14" s="12" t="s">
        <v>2</v>
      </c>
      <c r="AA14" s="10" t="s">
        <v>41</v>
      </c>
      <c r="AB14" s="10" t="s">
        <v>41</v>
      </c>
      <c r="AC14" s="75" t="s">
        <v>16</v>
      </c>
      <c r="AD14" s="19" t="s">
        <v>42</v>
      </c>
      <c r="AE14" s="28" t="s">
        <v>4</v>
      </c>
      <c r="AF14" s="10" t="s">
        <v>41</v>
      </c>
      <c r="AG14" s="25" t="s">
        <v>6</v>
      </c>
    </row>
    <row r="15" spans="1:33" x14ac:dyDescent="0.35">
      <c r="A15" s="64" t="s">
        <v>70</v>
      </c>
      <c r="B15" s="25" t="s">
        <v>3</v>
      </c>
      <c r="C15" s="25" t="s">
        <v>3</v>
      </c>
      <c r="D15" s="12" t="s">
        <v>2</v>
      </c>
      <c r="E15" s="25" t="s">
        <v>6</v>
      </c>
      <c r="F15" s="25" t="s">
        <v>6</v>
      </c>
      <c r="G15" s="25" t="s">
        <v>6</v>
      </c>
      <c r="H15" s="25" t="s">
        <v>6</v>
      </c>
      <c r="I15" s="28" t="s">
        <v>4</v>
      </c>
      <c r="J15" s="28" t="s">
        <v>4</v>
      </c>
      <c r="K15" s="25" t="s">
        <v>6</v>
      </c>
      <c r="L15" s="25" t="s">
        <v>6</v>
      </c>
      <c r="M15" s="25" t="s">
        <v>6</v>
      </c>
      <c r="N15" s="25" t="s">
        <v>6</v>
      </c>
      <c r="O15" s="25" t="s">
        <v>6</v>
      </c>
      <c r="P15" s="28" t="s">
        <v>4</v>
      </c>
      <c r="Q15" s="28" t="s">
        <v>4</v>
      </c>
      <c r="R15" s="25" t="s">
        <v>6</v>
      </c>
      <c r="S15" s="25" t="s">
        <v>6</v>
      </c>
      <c r="T15" s="25" t="s">
        <v>6</v>
      </c>
      <c r="U15" s="25" t="s">
        <v>6</v>
      </c>
      <c r="V15" s="13" t="s">
        <v>5</v>
      </c>
      <c r="W15" s="28" t="s">
        <v>4</v>
      </c>
      <c r="X15" s="28" t="s">
        <v>4</v>
      </c>
      <c r="Y15" s="75" t="s">
        <v>16</v>
      </c>
      <c r="Z15" s="75" t="s">
        <v>16</v>
      </c>
      <c r="AA15" s="75" t="s">
        <v>16</v>
      </c>
      <c r="AB15" s="75" t="s">
        <v>16</v>
      </c>
      <c r="AC15" s="75" t="s">
        <v>16</v>
      </c>
      <c r="AD15" s="28" t="s">
        <v>4</v>
      </c>
      <c r="AE15" s="28" t="s">
        <v>4</v>
      </c>
      <c r="AF15" s="25" t="s">
        <v>6</v>
      </c>
      <c r="AG15" s="75" t="s">
        <v>16</v>
      </c>
    </row>
    <row r="16" spans="1:33" x14ac:dyDescent="0.35">
      <c r="A16" s="64" t="s">
        <v>68</v>
      </c>
      <c r="B16" s="28" t="s">
        <v>4</v>
      </c>
      <c r="C16" s="28" t="s">
        <v>4</v>
      </c>
      <c r="D16" s="25" t="s">
        <v>6</v>
      </c>
      <c r="E16" s="25" t="s">
        <v>6</v>
      </c>
      <c r="F16" s="25" t="s">
        <v>6</v>
      </c>
      <c r="G16" s="16" t="s">
        <v>8</v>
      </c>
      <c r="H16" s="16" t="s">
        <v>8</v>
      </c>
      <c r="I16" s="28" t="s">
        <v>4</v>
      </c>
      <c r="J16" s="28" t="s">
        <v>4</v>
      </c>
      <c r="K16" s="10" t="s">
        <v>41</v>
      </c>
      <c r="L16" s="25" t="s">
        <v>6</v>
      </c>
      <c r="M16" s="25" t="s">
        <v>6</v>
      </c>
      <c r="N16" s="10" t="s">
        <v>41</v>
      </c>
      <c r="O16" s="10" t="s">
        <v>41</v>
      </c>
      <c r="P16" s="28" t="s">
        <v>4</v>
      </c>
      <c r="Q16" s="28" t="s">
        <v>4</v>
      </c>
      <c r="R16" s="10" t="s">
        <v>41</v>
      </c>
      <c r="S16" s="17" t="s">
        <v>10</v>
      </c>
      <c r="T16" s="16" t="s">
        <v>8</v>
      </c>
      <c r="U16" s="16" t="s">
        <v>8</v>
      </c>
      <c r="V16" s="16" t="s">
        <v>8</v>
      </c>
      <c r="W16" s="65" t="s">
        <v>4</v>
      </c>
      <c r="X16" s="65" t="s">
        <v>4</v>
      </c>
      <c r="Y16" s="10" t="s">
        <v>41</v>
      </c>
      <c r="Z16" s="13" t="s">
        <v>5</v>
      </c>
      <c r="AA16" s="10" t="s">
        <v>41</v>
      </c>
      <c r="AB16" s="10" t="s">
        <v>41</v>
      </c>
      <c r="AC16" s="10" t="s">
        <v>41</v>
      </c>
      <c r="AD16" s="28" t="s">
        <v>4</v>
      </c>
      <c r="AE16" s="28" t="s">
        <v>4</v>
      </c>
      <c r="AF16" s="26" t="s">
        <v>34</v>
      </c>
      <c r="AG16" s="10" t="s">
        <v>41</v>
      </c>
    </row>
    <row r="17" spans="1:33" x14ac:dyDescent="0.35">
      <c r="A17" s="64" t="s">
        <v>71</v>
      </c>
      <c r="B17" s="28" t="s">
        <v>4</v>
      </c>
      <c r="C17" s="28" t="s">
        <v>4</v>
      </c>
      <c r="D17" s="10" t="s">
        <v>41</v>
      </c>
      <c r="E17" s="10" t="s">
        <v>41</v>
      </c>
      <c r="F17" s="10" t="s">
        <v>41</v>
      </c>
      <c r="G17" s="10" t="s">
        <v>41</v>
      </c>
      <c r="H17" s="10" t="s">
        <v>41</v>
      </c>
      <c r="I17" s="28" t="s">
        <v>4</v>
      </c>
      <c r="J17" s="28" t="s">
        <v>4</v>
      </c>
      <c r="K17" s="13" t="s">
        <v>5</v>
      </c>
      <c r="L17" s="10" t="s">
        <v>41</v>
      </c>
      <c r="M17" s="16" t="s">
        <v>8</v>
      </c>
      <c r="N17" s="16" t="s">
        <v>8</v>
      </c>
      <c r="O17" s="16" t="s">
        <v>8</v>
      </c>
      <c r="P17" s="28" t="s">
        <v>4</v>
      </c>
      <c r="Q17" s="19" t="s">
        <v>42</v>
      </c>
      <c r="R17" s="10" t="s">
        <v>41</v>
      </c>
      <c r="S17" s="25" t="s">
        <v>6</v>
      </c>
      <c r="T17" s="10" t="s">
        <v>41</v>
      </c>
      <c r="U17" s="10" t="s">
        <v>41</v>
      </c>
      <c r="V17" s="10" t="s">
        <v>41</v>
      </c>
      <c r="W17" s="28" t="s">
        <v>4</v>
      </c>
      <c r="X17" s="28" t="s">
        <v>4</v>
      </c>
      <c r="Y17" s="25" t="s">
        <v>6</v>
      </c>
      <c r="Z17" s="75" t="s">
        <v>16</v>
      </c>
      <c r="AA17" s="75" t="s">
        <v>16</v>
      </c>
      <c r="AB17" s="75" t="s">
        <v>16</v>
      </c>
      <c r="AC17" s="75" t="s">
        <v>16</v>
      </c>
      <c r="AD17" s="28" t="s">
        <v>4</v>
      </c>
      <c r="AE17" s="28" t="s">
        <v>4</v>
      </c>
      <c r="AF17" s="75" t="s">
        <v>16</v>
      </c>
      <c r="AG17" s="75" t="s">
        <v>16</v>
      </c>
    </row>
    <row r="18" spans="1:33" x14ac:dyDescent="0.35">
      <c r="A18" s="64" t="s">
        <v>72</v>
      </c>
      <c r="B18" s="28" t="s">
        <v>4</v>
      </c>
      <c r="C18" s="28" t="s">
        <v>4</v>
      </c>
      <c r="D18" s="25" t="s">
        <v>6</v>
      </c>
      <c r="E18" s="25" t="s">
        <v>6</v>
      </c>
      <c r="F18" s="10" t="s">
        <v>41</v>
      </c>
      <c r="G18" s="25" t="s">
        <v>6</v>
      </c>
      <c r="H18" s="25" t="s">
        <v>6</v>
      </c>
      <c r="I18" s="28" t="s">
        <v>4</v>
      </c>
      <c r="J18" s="28" t="s">
        <v>4</v>
      </c>
      <c r="K18" s="13" t="s">
        <v>5</v>
      </c>
      <c r="L18" s="13" t="s">
        <v>5</v>
      </c>
      <c r="M18" s="13" t="s">
        <v>5</v>
      </c>
      <c r="N18" s="13" t="s">
        <v>5</v>
      </c>
      <c r="O18" s="13" t="s">
        <v>5</v>
      </c>
      <c r="P18" s="28" t="s">
        <v>4</v>
      </c>
      <c r="Q18" s="28" t="s">
        <v>4</v>
      </c>
      <c r="R18" s="25" t="s">
        <v>6</v>
      </c>
      <c r="S18" s="25" t="s">
        <v>6</v>
      </c>
      <c r="T18" s="22" t="s">
        <v>16</v>
      </c>
      <c r="U18" s="25" t="s">
        <v>6</v>
      </c>
      <c r="V18" s="25" t="s">
        <v>6</v>
      </c>
      <c r="W18" s="28" t="s">
        <v>4</v>
      </c>
      <c r="X18" s="28" t="s">
        <v>4</v>
      </c>
      <c r="Y18" s="25" t="s">
        <v>6</v>
      </c>
      <c r="Z18" s="25" t="s">
        <v>6</v>
      </c>
      <c r="AA18" s="25" t="s">
        <v>6</v>
      </c>
      <c r="AB18" s="25" t="s">
        <v>6</v>
      </c>
      <c r="AC18" s="25" t="s">
        <v>6</v>
      </c>
      <c r="AD18" s="28" t="s">
        <v>4</v>
      </c>
      <c r="AE18" s="28" t="s">
        <v>4</v>
      </c>
      <c r="AF18" s="26" t="s">
        <v>34</v>
      </c>
      <c r="AG18" s="10" t="s">
        <v>41</v>
      </c>
    </row>
    <row r="20" spans="1:33" x14ac:dyDescent="0.35">
      <c r="A20" s="24" t="s">
        <v>23</v>
      </c>
    </row>
    <row r="21" spans="1:33" x14ac:dyDescent="0.35">
      <c r="A21" s="1" t="s">
        <v>24</v>
      </c>
    </row>
    <row r="22" spans="1:33" x14ac:dyDescent="0.35">
      <c r="A22" s="1" t="s">
        <v>25</v>
      </c>
    </row>
    <row r="23" spans="1:33" x14ac:dyDescent="0.35">
      <c r="A23" s="1" t="s">
        <v>47</v>
      </c>
    </row>
    <row r="24" spans="1:33" x14ac:dyDescent="0.35">
      <c r="A24" s="1" t="s">
        <v>48</v>
      </c>
    </row>
    <row r="25" spans="1:33" x14ac:dyDescent="0.35">
      <c r="A25" s="1" t="s">
        <v>26</v>
      </c>
    </row>
    <row r="26" spans="1:33" x14ac:dyDescent="0.35">
      <c r="A26" s="1" t="s">
        <v>27</v>
      </c>
    </row>
    <row r="27" spans="1:33" x14ac:dyDescent="0.35">
      <c r="A27" s="1" t="s">
        <v>28</v>
      </c>
    </row>
    <row r="28" spans="1:33" x14ac:dyDescent="0.35">
      <c r="A28" s="1" t="s">
        <v>29</v>
      </c>
    </row>
    <row r="29" spans="1:33" x14ac:dyDescent="0.35">
      <c r="A29" s="1" t="s">
        <v>49</v>
      </c>
    </row>
    <row r="30" spans="1:33" x14ac:dyDescent="0.35">
      <c r="A30" s="1" t="s">
        <v>50</v>
      </c>
    </row>
    <row r="31" spans="1:33" x14ac:dyDescent="0.35">
      <c r="A31" s="1" t="s">
        <v>31</v>
      </c>
    </row>
    <row r="32" spans="1:33" x14ac:dyDescent="0.35">
      <c r="A32" s="1" t="s">
        <v>32</v>
      </c>
    </row>
    <row r="33" spans="1:1" x14ac:dyDescent="0.35">
      <c r="A33" s="1" t="s">
        <v>33</v>
      </c>
    </row>
    <row r="34" spans="1:1" x14ac:dyDescent="0.35">
      <c r="A34" s="1" t="s">
        <v>35</v>
      </c>
    </row>
    <row r="35" spans="1:1" x14ac:dyDescent="0.35">
      <c r="A35" s="1" t="s">
        <v>36</v>
      </c>
    </row>
    <row r="36" spans="1:1" x14ac:dyDescent="0.35">
      <c r="A36" s="1" t="s">
        <v>38</v>
      </c>
    </row>
    <row r="37" spans="1:1" x14ac:dyDescent="0.35">
      <c r="A37" s="1" t="s">
        <v>36</v>
      </c>
    </row>
    <row r="38" spans="1:1" x14ac:dyDescent="0.35">
      <c r="A38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H38"/>
  <sheetViews>
    <sheetView zoomScale="80" zoomScaleNormal="80" workbookViewId="0">
      <pane xSplit="1" topLeftCell="J1" activePane="topRight" state="frozen"/>
      <selection pane="topRight" activeCell="W18" sqref="W18"/>
    </sheetView>
  </sheetViews>
  <sheetFormatPr defaultColWidth="9.1796875" defaultRowHeight="14.5" x14ac:dyDescent="0.35"/>
  <cols>
    <col min="1" max="1" width="26.1796875" bestFit="1" customWidth="1"/>
    <col min="2" max="3" width="7.26953125" customWidth="1"/>
    <col min="4" max="5" width="9.26953125" customWidth="1"/>
    <col min="6" max="7" width="7.26953125" customWidth="1"/>
    <col min="8" max="8" width="7.54296875" customWidth="1"/>
    <col min="9" max="9" width="7.26953125" customWidth="1"/>
    <col min="10" max="10" width="7.54296875" customWidth="1"/>
    <col min="11" max="12" width="9.26953125" customWidth="1"/>
    <col min="13" max="13" width="7.54296875" customWidth="1"/>
    <col min="14" max="14" width="9.26953125" customWidth="1"/>
    <col min="15" max="17" width="7.54296875" customWidth="1"/>
    <col min="18" max="18" width="9.26953125" customWidth="1"/>
    <col min="19" max="21" width="6.7265625" customWidth="1"/>
    <col min="22" max="24" width="9.1796875" customWidth="1"/>
    <col min="25" max="25" width="6.36328125" bestFit="1" customWidth="1"/>
    <col min="26" max="26" width="7.1796875" bestFit="1" customWidth="1"/>
    <col min="27" max="31" width="9.1796875" customWidth="1"/>
    <col min="32" max="34" width="9.1796875" hidden="1" customWidth="1"/>
  </cols>
  <sheetData>
    <row r="1" spans="1:34" ht="15" customHeight="1" x14ac:dyDescent="0.35">
      <c r="A1" s="1"/>
      <c r="B1" s="2" t="str">
        <f t="shared" ref="B1:AH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</row>
    <row r="2" spans="1:34" x14ac:dyDescent="0.35">
      <c r="A2" s="7" t="s">
        <v>0</v>
      </c>
      <c r="B2" s="29">
        <v>44713</v>
      </c>
      <c r="C2" s="29">
        <v>44714</v>
      </c>
      <c r="D2" s="29">
        <v>44715</v>
      </c>
      <c r="E2" s="29">
        <v>44716</v>
      </c>
      <c r="F2" s="29">
        <v>44717</v>
      </c>
      <c r="G2" s="29">
        <v>44718</v>
      </c>
      <c r="H2" s="29">
        <v>44719</v>
      </c>
      <c r="I2" s="29">
        <v>44720</v>
      </c>
      <c r="J2" s="29">
        <v>44721</v>
      </c>
      <c r="K2" s="29">
        <v>44722</v>
      </c>
      <c r="L2" s="29">
        <v>44723</v>
      </c>
      <c r="M2" s="29">
        <v>44724</v>
      </c>
      <c r="N2" s="29">
        <v>44725</v>
      </c>
      <c r="O2" s="29">
        <v>44726</v>
      </c>
      <c r="P2" s="29">
        <v>44727</v>
      </c>
      <c r="Q2" s="29">
        <v>44728</v>
      </c>
      <c r="R2" s="29">
        <v>44729</v>
      </c>
      <c r="S2" s="29">
        <v>44730</v>
      </c>
      <c r="T2" s="29">
        <v>44731</v>
      </c>
      <c r="U2" s="29">
        <v>44732</v>
      </c>
      <c r="V2" s="29">
        <v>44733</v>
      </c>
      <c r="W2" s="29">
        <v>44734</v>
      </c>
      <c r="X2" s="29">
        <v>44735</v>
      </c>
      <c r="Y2" s="29">
        <v>44736</v>
      </c>
      <c r="Z2" s="29">
        <v>44737</v>
      </c>
      <c r="AA2" s="29">
        <v>44738</v>
      </c>
      <c r="AB2" s="29">
        <v>44739</v>
      </c>
      <c r="AC2" s="29">
        <v>44740</v>
      </c>
      <c r="AD2" s="29">
        <v>44741</v>
      </c>
      <c r="AE2" s="29">
        <v>44742</v>
      </c>
      <c r="AF2" s="29">
        <v>44743</v>
      </c>
      <c r="AG2" s="29">
        <v>44744</v>
      </c>
      <c r="AH2" s="29">
        <v>44745</v>
      </c>
    </row>
    <row r="3" spans="1:34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34" x14ac:dyDescent="0.35">
      <c r="A4" s="64" t="s">
        <v>1</v>
      </c>
      <c r="B4" s="16" t="s">
        <v>8</v>
      </c>
      <c r="C4" s="16" t="s">
        <v>8</v>
      </c>
      <c r="D4" s="12" t="s">
        <v>2</v>
      </c>
      <c r="E4" s="17" t="s">
        <v>11</v>
      </c>
      <c r="F4" s="28" t="s">
        <v>4</v>
      </c>
      <c r="G4" s="10" t="s">
        <v>41</v>
      </c>
      <c r="H4" s="10" t="s">
        <v>41</v>
      </c>
      <c r="I4" s="74" t="s">
        <v>41</v>
      </c>
      <c r="J4" s="74" t="s">
        <v>41</v>
      </c>
      <c r="K4" s="12" t="s">
        <v>2</v>
      </c>
      <c r="L4" s="19" t="s">
        <v>42</v>
      </c>
      <c r="M4" s="19" t="s">
        <v>42</v>
      </c>
      <c r="N4" s="74" t="s">
        <v>41</v>
      </c>
      <c r="O4" s="10" t="s">
        <v>41</v>
      </c>
      <c r="P4" s="74" t="s">
        <v>41</v>
      </c>
      <c r="Q4" s="10" t="s">
        <v>41</v>
      </c>
      <c r="R4" s="12" t="s">
        <v>2</v>
      </c>
      <c r="S4" s="28" t="s">
        <v>4</v>
      </c>
      <c r="T4" s="28" t="s">
        <v>4</v>
      </c>
      <c r="U4" s="10" t="s">
        <v>41</v>
      </c>
      <c r="V4" s="13" t="s">
        <v>5</v>
      </c>
      <c r="W4" s="13" t="s">
        <v>5</v>
      </c>
      <c r="X4" s="10" t="s">
        <v>41</v>
      </c>
      <c r="Y4" s="12" t="s">
        <v>2</v>
      </c>
      <c r="Z4" s="19" t="s">
        <v>42</v>
      </c>
      <c r="AA4" s="65" t="s">
        <v>4</v>
      </c>
      <c r="AB4" s="10" t="s">
        <v>41</v>
      </c>
      <c r="AC4" s="74" t="s">
        <v>41</v>
      </c>
      <c r="AD4" s="12" t="s">
        <v>2</v>
      </c>
      <c r="AE4" s="12" t="s">
        <v>2</v>
      </c>
      <c r="AF4" s="12" t="s">
        <v>2</v>
      </c>
      <c r="AG4" s="19" t="s">
        <v>42</v>
      </c>
      <c r="AH4" s="19" t="s">
        <v>42</v>
      </c>
    </row>
    <row r="5" spans="1:34" x14ac:dyDescent="0.35">
      <c r="A5" s="64" t="s">
        <v>9</v>
      </c>
      <c r="B5" s="74" t="s">
        <v>6</v>
      </c>
      <c r="C5" s="74" t="s">
        <v>6</v>
      </c>
      <c r="D5" s="74" t="s">
        <v>6</v>
      </c>
      <c r="E5" s="25" t="s">
        <v>3</v>
      </c>
      <c r="F5" s="17" t="s">
        <v>11</v>
      </c>
      <c r="G5" s="17" t="s">
        <v>10</v>
      </c>
      <c r="H5" s="17" t="s">
        <v>10</v>
      </c>
      <c r="I5" s="17" t="s">
        <v>10</v>
      </c>
      <c r="J5" s="17" t="s">
        <v>10</v>
      </c>
      <c r="K5" s="17" t="s">
        <v>10</v>
      </c>
      <c r="L5" s="13" t="s">
        <v>4</v>
      </c>
      <c r="M5" s="17" t="s">
        <v>11</v>
      </c>
      <c r="N5" s="17" t="s">
        <v>10</v>
      </c>
      <c r="O5" s="17" t="s">
        <v>10</v>
      </c>
      <c r="P5" s="12" t="s">
        <v>2</v>
      </c>
      <c r="Q5" s="74" t="s">
        <v>6</v>
      </c>
      <c r="R5" s="74" t="s">
        <v>6</v>
      </c>
      <c r="S5" s="25" t="s">
        <v>3</v>
      </c>
      <c r="T5" s="65" t="s">
        <v>4</v>
      </c>
      <c r="U5" s="13" t="s">
        <v>5</v>
      </c>
      <c r="V5" s="13" t="s">
        <v>5</v>
      </c>
      <c r="W5" s="17" t="s">
        <v>10</v>
      </c>
      <c r="X5" s="13" t="s">
        <v>5</v>
      </c>
      <c r="Y5" s="13" t="s">
        <v>5</v>
      </c>
      <c r="Z5" s="17" t="s">
        <v>11</v>
      </c>
      <c r="AA5" s="17" t="s">
        <v>11</v>
      </c>
      <c r="AB5" s="13" t="s">
        <v>5</v>
      </c>
      <c r="AC5" s="13" t="s">
        <v>5</v>
      </c>
      <c r="AD5" s="13" t="s">
        <v>5</v>
      </c>
      <c r="AE5" s="13" t="s">
        <v>5</v>
      </c>
      <c r="AF5" s="13" t="s">
        <v>5</v>
      </c>
      <c r="AG5" s="65" t="s">
        <v>4</v>
      </c>
      <c r="AH5" s="17" t="s">
        <v>11</v>
      </c>
    </row>
    <row r="6" spans="1:34" x14ac:dyDescent="0.35">
      <c r="A6" s="64" t="s">
        <v>12</v>
      </c>
      <c r="B6" s="74" t="s">
        <v>41</v>
      </c>
      <c r="C6" s="74" t="s">
        <v>41</v>
      </c>
      <c r="D6" s="74" t="s">
        <v>41</v>
      </c>
      <c r="E6" s="19" t="s">
        <v>42</v>
      </c>
      <c r="F6" s="77" t="s">
        <v>3</v>
      </c>
      <c r="G6" s="74" t="s">
        <v>41</v>
      </c>
      <c r="H6" s="75" t="s">
        <v>16</v>
      </c>
      <c r="I6" s="13" t="s">
        <v>5</v>
      </c>
      <c r="J6" s="13" t="s">
        <v>5</v>
      </c>
      <c r="K6" s="13" t="s">
        <v>5</v>
      </c>
      <c r="L6" s="13" t="s">
        <v>4</v>
      </c>
      <c r="M6" s="13" t="s">
        <v>4</v>
      </c>
      <c r="N6" s="13" t="s">
        <v>5</v>
      </c>
      <c r="O6" s="13" t="s">
        <v>5</v>
      </c>
      <c r="P6" s="13" t="s">
        <v>5</v>
      </c>
      <c r="Q6" s="13" t="s">
        <v>5</v>
      </c>
      <c r="R6" s="13" t="s">
        <v>5</v>
      </c>
      <c r="S6" s="19" t="s">
        <v>42</v>
      </c>
      <c r="T6" s="19" t="s">
        <v>42</v>
      </c>
      <c r="U6" s="25" t="s">
        <v>6</v>
      </c>
      <c r="V6" s="25" t="s">
        <v>6</v>
      </c>
      <c r="W6" s="10" t="s">
        <v>41</v>
      </c>
      <c r="X6" s="17" t="s">
        <v>10</v>
      </c>
      <c r="Y6" s="17" t="s">
        <v>10</v>
      </c>
      <c r="Z6" s="28" t="s">
        <v>4</v>
      </c>
      <c r="AA6" s="19" t="s">
        <v>42</v>
      </c>
      <c r="AB6" s="17" t="s">
        <v>10</v>
      </c>
      <c r="AC6" s="17" t="s">
        <v>10</v>
      </c>
      <c r="AD6" s="17" t="s">
        <v>10</v>
      </c>
      <c r="AE6" s="17" t="s">
        <v>10</v>
      </c>
      <c r="AF6" s="17" t="s">
        <v>10</v>
      </c>
      <c r="AG6" s="28" t="s">
        <v>4</v>
      </c>
      <c r="AH6" s="28" t="s">
        <v>4</v>
      </c>
    </row>
    <row r="7" spans="1:34" x14ac:dyDescent="0.35">
      <c r="A7" s="64" t="s">
        <v>14</v>
      </c>
      <c r="B7" s="17" t="s">
        <v>10</v>
      </c>
      <c r="C7" s="17" t="s">
        <v>10</v>
      </c>
      <c r="D7" s="17" t="s">
        <v>10</v>
      </c>
      <c r="E7" s="28" t="s">
        <v>4</v>
      </c>
      <c r="F7" s="19" t="s">
        <v>42</v>
      </c>
      <c r="G7" s="25" t="s">
        <v>6</v>
      </c>
      <c r="H7" s="25" t="s">
        <v>6</v>
      </c>
      <c r="I7" s="25" t="s">
        <v>6</v>
      </c>
      <c r="J7" s="25" t="s">
        <v>6</v>
      </c>
      <c r="K7" s="25" t="s">
        <v>6</v>
      </c>
      <c r="L7" s="28" t="s">
        <v>4</v>
      </c>
      <c r="M7" s="28" t="s">
        <v>4</v>
      </c>
      <c r="N7" s="25" t="s">
        <v>6</v>
      </c>
      <c r="O7" s="25" t="s">
        <v>6</v>
      </c>
      <c r="P7" s="25" t="s">
        <v>6</v>
      </c>
      <c r="Q7" s="13" t="s">
        <v>5</v>
      </c>
      <c r="R7" s="13" t="s">
        <v>5</v>
      </c>
      <c r="S7" s="13" t="s">
        <v>4</v>
      </c>
      <c r="T7" s="13" t="s">
        <v>4</v>
      </c>
      <c r="U7" s="13" t="s">
        <v>5</v>
      </c>
      <c r="V7" s="10" t="s">
        <v>41</v>
      </c>
      <c r="W7" s="25" t="s">
        <v>6</v>
      </c>
      <c r="X7" s="13" t="s">
        <v>2</v>
      </c>
      <c r="Y7" s="75" t="s">
        <v>16</v>
      </c>
      <c r="Z7" s="78" t="s">
        <v>30</v>
      </c>
      <c r="AA7" s="28" t="s">
        <v>4</v>
      </c>
      <c r="AB7" s="22" t="s">
        <v>16</v>
      </c>
      <c r="AC7" s="75" t="s">
        <v>16</v>
      </c>
      <c r="AD7" s="75" t="s">
        <v>16</v>
      </c>
      <c r="AE7" s="75" t="s">
        <v>16</v>
      </c>
      <c r="AF7" s="75" t="s">
        <v>16</v>
      </c>
      <c r="AG7" s="78" t="s">
        <v>30</v>
      </c>
      <c r="AH7" s="28" t="s">
        <v>4</v>
      </c>
    </row>
    <row r="8" spans="1:34" x14ac:dyDescent="0.35">
      <c r="A8" s="64" t="s">
        <v>15</v>
      </c>
      <c r="B8" s="17" t="s">
        <v>10</v>
      </c>
      <c r="C8" s="13" t="s">
        <v>74</v>
      </c>
      <c r="D8" s="12" t="s">
        <v>2</v>
      </c>
      <c r="E8" s="28" t="s">
        <v>4</v>
      </c>
      <c r="F8" s="28" t="s">
        <v>4</v>
      </c>
      <c r="G8" s="25" t="s">
        <v>6</v>
      </c>
      <c r="H8" s="25" t="s">
        <v>6</v>
      </c>
      <c r="I8" s="25" t="s">
        <v>6</v>
      </c>
      <c r="J8" s="10" t="s">
        <v>41</v>
      </c>
      <c r="K8" s="25" t="s">
        <v>6</v>
      </c>
      <c r="L8" s="28" t="s">
        <v>4</v>
      </c>
      <c r="M8" s="28" t="s">
        <v>4</v>
      </c>
      <c r="N8" s="25" t="s">
        <v>6</v>
      </c>
      <c r="O8" s="12" t="s">
        <v>2</v>
      </c>
      <c r="P8" s="17" t="s">
        <v>10</v>
      </c>
      <c r="Q8" s="17" t="s">
        <v>10</v>
      </c>
      <c r="R8" s="17" t="s">
        <v>10</v>
      </c>
      <c r="S8" s="17" t="s">
        <v>11</v>
      </c>
      <c r="T8" s="28" t="s">
        <v>4</v>
      </c>
      <c r="U8" s="75" t="s">
        <v>41</v>
      </c>
      <c r="V8" s="75" t="s">
        <v>41</v>
      </c>
      <c r="W8" s="75" t="s">
        <v>41</v>
      </c>
      <c r="X8" s="12" t="s">
        <v>2</v>
      </c>
      <c r="Y8" s="75" t="s">
        <v>6</v>
      </c>
      <c r="Z8" s="25" t="s">
        <v>3</v>
      </c>
      <c r="AA8" s="25" t="s">
        <v>3</v>
      </c>
      <c r="AB8" s="25" t="s">
        <v>6</v>
      </c>
      <c r="AC8" s="25" t="s">
        <v>6</v>
      </c>
      <c r="AD8" s="12" t="s">
        <v>2</v>
      </c>
      <c r="AE8" s="25" t="s">
        <v>6</v>
      </c>
      <c r="AF8" s="25" t="s">
        <v>6</v>
      </c>
      <c r="AG8" s="17" t="s">
        <v>11</v>
      </c>
      <c r="AH8" s="28" t="s">
        <v>4</v>
      </c>
    </row>
    <row r="9" spans="1:34" x14ac:dyDescent="0.35">
      <c r="A9" s="64" t="s">
        <v>18</v>
      </c>
      <c r="B9" s="26" t="s">
        <v>34</v>
      </c>
      <c r="C9" s="17" t="s">
        <v>10</v>
      </c>
      <c r="D9" s="17" t="s">
        <v>10</v>
      </c>
      <c r="E9" s="17" t="s">
        <v>11</v>
      </c>
      <c r="F9" s="17" t="s">
        <v>11</v>
      </c>
      <c r="G9" s="12" t="s">
        <v>2</v>
      </c>
      <c r="H9" s="12" t="s">
        <v>2</v>
      </c>
      <c r="I9" s="10" t="s">
        <v>41</v>
      </c>
      <c r="J9" s="25" t="s">
        <v>6</v>
      </c>
      <c r="K9" s="10" t="s">
        <v>41</v>
      </c>
      <c r="L9" s="25" t="s">
        <v>3</v>
      </c>
      <c r="M9" s="25" t="s">
        <v>3</v>
      </c>
      <c r="N9" s="12" t="s">
        <v>2</v>
      </c>
      <c r="O9" s="74" t="s">
        <v>41</v>
      </c>
      <c r="P9" s="74" t="s">
        <v>41</v>
      </c>
      <c r="Q9" s="74" t="s">
        <v>41</v>
      </c>
      <c r="R9" s="74" t="s">
        <v>41</v>
      </c>
      <c r="S9" s="78" t="s">
        <v>30</v>
      </c>
      <c r="T9" s="77" t="s">
        <v>3</v>
      </c>
      <c r="U9" s="12" t="s">
        <v>2</v>
      </c>
      <c r="V9" s="10" t="s">
        <v>41</v>
      </c>
      <c r="W9" s="25" t="s">
        <v>6</v>
      </c>
      <c r="X9" s="25" t="s">
        <v>6</v>
      </c>
      <c r="Y9" s="26" t="s">
        <v>34</v>
      </c>
      <c r="Z9" s="28" t="s">
        <v>4</v>
      </c>
      <c r="AA9" s="28" t="s">
        <v>4</v>
      </c>
      <c r="AB9" s="25" t="s">
        <v>6</v>
      </c>
      <c r="AC9" s="25" t="s">
        <v>6</v>
      </c>
      <c r="AD9" s="25" t="s">
        <v>6</v>
      </c>
      <c r="AE9" s="12" t="s">
        <v>2</v>
      </c>
      <c r="AF9" s="10" t="s">
        <v>41</v>
      </c>
      <c r="AG9" s="25" t="s">
        <v>3</v>
      </c>
      <c r="AH9" s="25" t="s">
        <v>3</v>
      </c>
    </row>
    <row r="10" spans="1:34" ht="14.15" customHeight="1" x14ac:dyDescent="0.35">
      <c r="A10" s="64" t="s">
        <v>21</v>
      </c>
      <c r="B10" s="13" t="s">
        <v>5</v>
      </c>
      <c r="C10" s="13" t="s">
        <v>5</v>
      </c>
      <c r="D10" s="13" t="s">
        <v>5</v>
      </c>
      <c r="E10" s="13" t="s">
        <v>4</v>
      </c>
      <c r="F10" s="13" t="s">
        <v>4</v>
      </c>
      <c r="G10" s="17" t="s">
        <v>10</v>
      </c>
      <c r="H10" s="17" t="s">
        <v>10</v>
      </c>
      <c r="I10" s="17" t="s">
        <v>10</v>
      </c>
      <c r="J10" s="17" t="s">
        <v>10</v>
      </c>
      <c r="K10" s="17" t="s">
        <v>10</v>
      </c>
      <c r="L10" s="17" t="s">
        <v>11</v>
      </c>
      <c r="M10" s="13" t="s">
        <v>4</v>
      </c>
      <c r="N10" s="13" t="s">
        <v>5</v>
      </c>
      <c r="O10" s="13" t="s">
        <v>5</v>
      </c>
      <c r="P10" s="13" t="s">
        <v>5</v>
      </c>
      <c r="Q10" s="10" t="s">
        <v>41</v>
      </c>
      <c r="R10" s="10" t="s">
        <v>41</v>
      </c>
      <c r="S10" s="28" t="s">
        <v>4</v>
      </c>
      <c r="T10" s="28" t="s">
        <v>4</v>
      </c>
      <c r="U10" s="74" t="s">
        <v>41</v>
      </c>
      <c r="V10" s="74" t="s">
        <v>6</v>
      </c>
      <c r="W10" s="74" t="s">
        <v>6</v>
      </c>
      <c r="X10" s="74" t="s">
        <v>6</v>
      </c>
      <c r="Y10" s="74" t="s">
        <v>6</v>
      </c>
      <c r="Z10" s="77" t="s">
        <v>3</v>
      </c>
      <c r="AA10" s="28" t="s">
        <v>4</v>
      </c>
      <c r="AB10" s="17" t="s">
        <v>10</v>
      </c>
      <c r="AC10" s="17" t="s">
        <v>10</v>
      </c>
      <c r="AD10" s="17" t="s">
        <v>10</v>
      </c>
      <c r="AE10" s="17" t="s">
        <v>10</v>
      </c>
      <c r="AF10" s="12" t="s">
        <v>2</v>
      </c>
      <c r="AG10" s="17" t="s">
        <v>11</v>
      </c>
      <c r="AH10" s="17" t="s">
        <v>11</v>
      </c>
    </row>
    <row r="11" spans="1:34" x14ac:dyDescent="0.35">
      <c r="A11" s="64" t="s">
        <v>43</v>
      </c>
      <c r="B11" s="74" t="s">
        <v>41</v>
      </c>
      <c r="C11" s="74" t="s">
        <v>41</v>
      </c>
      <c r="D11" s="74" t="s">
        <v>41</v>
      </c>
      <c r="E11" s="19" t="s">
        <v>42</v>
      </c>
      <c r="F11" s="13" t="s">
        <v>4</v>
      </c>
      <c r="G11" s="74" t="s">
        <v>6</v>
      </c>
      <c r="H11" s="74" t="s">
        <v>41</v>
      </c>
      <c r="I11" s="74" t="s">
        <v>6</v>
      </c>
      <c r="J11" s="10" t="s">
        <v>41</v>
      </c>
      <c r="K11" s="10" t="s">
        <v>41</v>
      </c>
      <c r="L11" s="17" t="s">
        <v>11</v>
      </c>
      <c r="M11" s="28" t="s">
        <v>4</v>
      </c>
      <c r="N11" s="10" t="s">
        <v>41</v>
      </c>
      <c r="O11" s="10" t="s">
        <v>41</v>
      </c>
      <c r="P11" s="17" t="s">
        <v>10</v>
      </c>
      <c r="Q11" s="17" t="s">
        <v>10</v>
      </c>
      <c r="R11" s="17" t="s">
        <v>10</v>
      </c>
      <c r="S11" s="28" t="s">
        <v>4</v>
      </c>
      <c r="T11" s="17" t="s">
        <v>11</v>
      </c>
      <c r="U11" s="17" t="s">
        <v>10</v>
      </c>
      <c r="V11" s="17" t="s">
        <v>10</v>
      </c>
      <c r="W11" s="12" t="s">
        <v>2</v>
      </c>
      <c r="X11" s="10" t="s">
        <v>41</v>
      </c>
      <c r="Y11" s="10" t="s">
        <v>41</v>
      </c>
      <c r="Z11" s="17" t="s">
        <v>11</v>
      </c>
      <c r="AA11" s="17" t="s">
        <v>11</v>
      </c>
      <c r="AB11" s="12" t="s">
        <v>2</v>
      </c>
      <c r="AC11" s="12" t="s">
        <v>2</v>
      </c>
      <c r="AD11" s="25" t="s">
        <v>6</v>
      </c>
      <c r="AE11" s="25" t="s">
        <v>6</v>
      </c>
      <c r="AF11" s="25" t="s">
        <v>6</v>
      </c>
      <c r="AG11" s="28" t="s">
        <v>4</v>
      </c>
      <c r="AH11" s="28" t="s">
        <v>4</v>
      </c>
    </row>
    <row r="12" spans="1:34" x14ac:dyDescent="0.35">
      <c r="A12" s="64" t="s">
        <v>69</v>
      </c>
      <c r="B12" s="12" t="s">
        <v>2</v>
      </c>
      <c r="C12" s="74" t="s">
        <v>41</v>
      </c>
      <c r="D12" s="74" t="s">
        <v>41</v>
      </c>
      <c r="E12" s="78" t="s">
        <v>30</v>
      </c>
      <c r="F12" s="28" t="s">
        <v>4</v>
      </c>
      <c r="G12" s="74" t="s">
        <v>41</v>
      </c>
      <c r="H12" s="74" t="s">
        <v>41</v>
      </c>
      <c r="I12" s="75" t="s">
        <v>16</v>
      </c>
      <c r="J12" s="12" t="s">
        <v>2</v>
      </c>
      <c r="K12" s="10" t="s">
        <v>41</v>
      </c>
      <c r="L12" s="13" t="s">
        <v>4</v>
      </c>
      <c r="M12" s="13" t="s">
        <v>4</v>
      </c>
      <c r="N12" s="13" t="s">
        <v>5</v>
      </c>
      <c r="O12" s="13" t="s">
        <v>5</v>
      </c>
      <c r="P12" s="13" t="s">
        <v>5</v>
      </c>
      <c r="Q12" s="16" t="s">
        <v>8</v>
      </c>
      <c r="R12" s="16" t="s">
        <v>8</v>
      </c>
      <c r="S12" s="17" t="s">
        <v>11</v>
      </c>
      <c r="T12" s="17" t="s">
        <v>11</v>
      </c>
      <c r="U12" s="17" t="s">
        <v>10</v>
      </c>
      <c r="V12" s="17" t="s">
        <v>10</v>
      </c>
      <c r="W12" s="12" t="s">
        <v>2</v>
      </c>
      <c r="X12" s="10" t="s">
        <v>41</v>
      </c>
      <c r="Y12" s="10" t="s">
        <v>41</v>
      </c>
      <c r="Z12" s="28" t="s">
        <v>4</v>
      </c>
      <c r="AA12" s="25" t="s">
        <v>3</v>
      </c>
      <c r="AB12" s="10" t="s">
        <v>41</v>
      </c>
      <c r="AC12" s="10" t="s">
        <v>41</v>
      </c>
      <c r="AD12" s="10" t="s">
        <v>41</v>
      </c>
      <c r="AE12" s="10" t="s">
        <v>41</v>
      </c>
      <c r="AF12" s="74" t="s">
        <v>41</v>
      </c>
      <c r="AG12" s="28" t="s">
        <v>4</v>
      </c>
      <c r="AH12" s="28" t="s">
        <v>4</v>
      </c>
    </row>
    <row r="13" spans="1:34" x14ac:dyDescent="0.35">
      <c r="A13" s="64" t="s">
        <v>22</v>
      </c>
      <c r="B13" s="13" t="s">
        <v>5</v>
      </c>
      <c r="C13" s="25" t="s">
        <v>6</v>
      </c>
      <c r="D13" s="25" t="s">
        <v>6</v>
      </c>
      <c r="E13" s="25" t="s">
        <v>3</v>
      </c>
      <c r="F13" s="25" t="s">
        <v>3</v>
      </c>
      <c r="G13" s="12" t="s">
        <v>2</v>
      </c>
      <c r="H13" s="12" t="s">
        <v>2</v>
      </c>
      <c r="I13" s="25" t="s">
        <v>6</v>
      </c>
      <c r="J13" s="25" t="s">
        <v>6</v>
      </c>
      <c r="K13" s="25" t="s">
        <v>6</v>
      </c>
      <c r="L13" s="25" t="s">
        <v>3</v>
      </c>
      <c r="M13" s="28" t="s">
        <v>4</v>
      </c>
      <c r="N13" s="25" t="s">
        <v>6</v>
      </c>
      <c r="O13" s="25" t="s">
        <v>6</v>
      </c>
      <c r="P13" s="25" t="s">
        <v>6</v>
      </c>
      <c r="Q13" s="25" t="s">
        <v>6</v>
      </c>
      <c r="R13" s="25" t="s">
        <v>6</v>
      </c>
      <c r="S13" s="25" t="s">
        <v>3</v>
      </c>
      <c r="T13" s="28" t="s">
        <v>4</v>
      </c>
      <c r="U13" s="75" t="s">
        <v>16</v>
      </c>
      <c r="V13" s="75" t="s">
        <v>16</v>
      </c>
      <c r="W13" s="75" t="s">
        <v>16</v>
      </c>
      <c r="X13" s="75" t="s">
        <v>16</v>
      </c>
      <c r="Y13" s="75" t="s">
        <v>16</v>
      </c>
      <c r="Z13" s="65" t="s">
        <v>4</v>
      </c>
      <c r="AA13" s="65" t="s">
        <v>4</v>
      </c>
      <c r="AB13" s="10" t="s">
        <v>41</v>
      </c>
      <c r="AC13" s="25" t="s">
        <v>6</v>
      </c>
      <c r="AD13" s="12" t="s">
        <v>2</v>
      </c>
      <c r="AE13" s="25" t="s">
        <v>6</v>
      </c>
      <c r="AF13" s="25" t="s">
        <v>6</v>
      </c>
      <c r="AG13" s="25" t="s">
        <v>3</v>
      </c>
      <c r="AH13" s="25" t="s">
        <v>3</v>
      </c>
    </row>
    <row r="14" spans="1:34" x14ac:dyDescent="0.35">
      <c r="A14" s="64" t="s">
        <v>60</v>
      </c>
      <c r="B14" s="25" t="s">
        <v>6</v>
      </c>
      <c r="C14" s="12" t="s">
        <v>2</v>
      </c>
      <c r="D14" s="10" t="s">
        <v>41</v>
      </c>
      <c r="E14" s="28" t="s">
        <v>4</v>
      </c>
      <c r="F14" s="19" t="s">
        <v>42</v>
      </c>
      <c r="G14" s="12" t="s">
        <v>2</v>
      </c>
      <c r="H14" s="10" t="s">
        <v>41</v>
      </c>
      <c r="I14" s="12" t="s">
        <v>2</v>
      </c>
      <c r="J14" s="75" t="s">
        <v>16</v>
      </c>
      <c r="K14" s="75" t="s">
        <v>16</v>
      </c>
      <c r="L14" s="19" t="s">
        <v>42</v>
      </c>
      <c r="M14" s="25" t="s">
        <v>3</v>
      </c>
      <c r="N14" s="10" t="s">
        <v>41</v>
      </c>
      <c r="O14" s="12" t="s">
        <v>2</v>
      </c>
      <c r="P14" s="10" t="s">
        <v>41</v>
      </c>
      <c r="Q14" s="10" t="s">
        <v>41</v>
      </c>
      <c r="R14" s="10" t="s">
        <v>41</v>
      </c>
      <c r="S14" s="28" t="s">
        <v>4</v>
      </c>
      <c r="T14" s="13" t="s">
        <v>4</v>
      </c>
      <c r="U14" s="10" t="s">
        <v>41</v>
      </c>
      <c r="V14" s="10" t="s">
        <v>41</v>
      </c>
      <c r="W14" s="26" t="s">
        <v>34</v>
      </c>
      <c r="X14" s="26" t="s">
        <v>34</v>
      </c>
      <c r="Y14" s="10" t="s">
        <v>41</v>
      </c>
      <c r="Z14" s="28" t="s">
        <v>4</v>
      </c>
      <c r="AA14" s="28" t="s">
        <v>4</v>
      </c>
      <c r="AB14" s="75" t="s">
        <v>16</v>
      </c>
      <c r="AC14" s="75" t="s">
        <v>16</v>
      </c>
      <c r="AD14" s="75" t="s">
        <v>16</v>
      </c>
      <c r="AE14" s="12" t="s">
        <v>2</v>
      </c>
      <c r="AF14" s="10" t="s">
        <v>41</v>
      </c>
      <c r="AG14" s="19" t="s">
        <v>42</v>
      </c>
      <c r="AH14" s="19" t="s">
        <v>42</v>
      </c>
    </row>
    <row r="15" spans="1:34" ht="15" thickBot="1" x14ac:dyDescent="0.4">
      <c r="A15" s="64" t="s">
        <v>70</v>
      </c>
      <c r="B15" s="75" t="s">
        <v>16</v>
      </c>
      <c r="C15" s="75" t="s">
        <v>16</v>
      </c>
      <c r="D15" s="75" t="s">
        <v>16</v>
      </c>
      <c r="E15" s="28" t="s">
        <v>4</v>
      </c>
      <c r="F15" s="28" t="s">
        <v>4</v>
      </c>
      <c r="G15" s="75" t="s">
        <v>16</v>
      </c>
      <c r="H15" s="75" t="s">
        <v>16</v>
      </c>
      <c r="I15" s="75" t="s">
        <v>16</v>
      </c>
      <c r="J15" s="12" t="s">
        <v>2</v>
      </c>
      <c r="K15" s="12" t="s">
        <v>2</v>
      </c>
      <c r="L15" s="63" t="s">
        <v>30</v>
      </c>
      <c r="M15" s="19" t="s">
        <v>42</v>
      </c>
      <c r="N15" s="25" t="s">
        <v>6</v>
      </c>
      <c r="O15" s="25" t="s">
        <v>6</v>
      </c>
      <c r="P15" s="12" t="s">
        <v>2</v>
      </c>
      <c r="Q15" s="25" t="s">
        <v>6</v>
      </c>
      <c r="R15" s="25" t="s">
        <v>6</v>
      </c>
      <c r="S15" s="28" t="s">
        <v>4</v>
      </c>
      <c r="T15" s="25" t="s">
        <v>3</v>
      </c>
      <c r="U15" s="25" t="s">
        <v>6</v>
      </c>
      <c r="V15" s="25" t="s">
        <v>6</v>
      </c>
      <c r="W15" s="25" t="s">
        <v>6</v>
      </c>
      <c r="X15" s="12" t="s">
        <v>2</v>
      </c>
      <c r="Y15" s="25" t="s">
        <v>6</v>
      </c>
      <c r="Z15" s="19" t="s">
        <v>42</v>
      </c>
      <c r="AA15" s="19" t="s">
        <v>42</v>
      </c>
      <c r="AB15" s="25" t="s">
        <v>6</v>
      </c>
      <c r="AC15" s="12" t="s">
        <v>2</v>
      </c>
      <c r="AD15" s="25" t="s">
        <v>6</v>
      </c>
      <c r="AE15" s="13" t="s">
        <v>5</v>
      </c>
      <c r="AF15" s="13" t="s">
        <v>5</v>
      </c>
      <c r="AG15" s="28" t="s">
        <v>4</v>
      </c>
      <c r="AH15" s="28" t="s">
        <v>4</v>
      </c>
    </row>
    <row r="16" spans="1:34" x14ac:dyDescent="0.35">
      <c r="A16" s="64" t="s">
        <v>68</v>
      </c>
      <c r="B16" s="25" t="s">
        <v>6</v>
      </c>
      <c r="C16" s="25" t="s">
        <v>6</v>
      </c>
      <c r="D16" s="25" t="s">
        <v>6</v>
      </c>
      <c r="E16" s="28" t="s">
        <v>4</v>
      </c>
      <c r="F16" s="28" t="s">
        <v>4</v>
      </c>
      <c r="G16" s="25" t="s">
        <v>6</v>
      </c>
      <c r="H16" s="25" t="s">
        <v>6</v>
      </c>
      <c r="I16" s="10" t="s">
        <v>41</v>
      </c>
      <c r="J16" s="10" t="s">
        <v>41</v>
      </c>
      <c r="K16" s="25" t="s">
        <v>6</v>
      </c>
      <c r="L16" s="28" t="s">
        <v>4</v>
      </c>
      <c r="M16" s="28" t="s">
        <v>4</v>
      </c>
      <c r="N16" s="10" t="s">
        <v>41</v>
      </c>
      <c r="O16" s="25" t="s">
        <v>6</v>
      </c>
      <c r="P16" s="25" t="s">
        <v>6</v>
      </c>
      <c r="Q16" s="25" t="s">
        <v>6</v>
      </c>
      <c r="R16" s="10" t="s">
        <v>41</v>
      </c>
      <c r="S16" s="28" t="s">
        <v>4</v>
      </c>
      <c r="T16" s="28" t="s">
        <v>4</v>
      </c>
      <c r="U16" s="25" t="s">
        <v>6</v>
      </c>
      <c r="V16" s="10" t="s">
        <v>41</v>
      </c>
      <c r="W16" s="10" t="s">
        <v>41</v>
      </c>
      <c r="X16" s="75" t="s">
        <v>16</v>
      </c>
      <c r="Y16" s="75" t="s">
        <v>16</v>
      </c>
      <c r="Z16" s="28" t="s">
        <v>4</v>
      </c>
      <c r="AA16" s="28" t="s">
        <v>4</v>
      </c>
      <c r="AB16" s="75" t="s">
        <v>16</v>
      </c>
      <c r="AC16" s="75" t="s">
        <v>16</v>
      </c>
      <c r="AD16" s="75" t="s">
        <v>16</v>
      </c>
      <c r="AE16" s="75" t="s">
        <v>16</v>
      </c>
      <c r="AF16" s="75" t="s">
        <v>16</v>
      </c>
      <c r="AG16" s="28" t="s">
        <v>4</v>
      </c>
      <c r="AH16" s="28" t="s">
        <v>4</v>
      </c>
    </row>
    <row r="17" spans="1:34" x14ac:dyDescent="0.35">
      <c r="A17" s="64" t="s">
        <v>71</v>
      </c>
      <c r="B17" s="75" t="s">
        <v>16</v>
      </c>
      <c r="C17" s="75" t="s">
        <v>16</v>
      </c>
      <c r="D17" s="75" t="s">
        <v>16</v>
      </c>
      <c r="E17" s="13" t="s">
        <v>4</v>
      </c>
      <c r="F17" s="13" t="s">
        <v>4</v>
      </c>
      <c r="G17" s="16" t="s">
        <v>8</v>
      </c>
      <c r="H17" s="16" t="s">
        <v>8</v>
      </c>
      <c r="I17" s="16" t="s">
        <v>8</v>
      </c>
      <c r="J17" s="16" t="s">
        <v>8</v>
      </c>
      <c r="K17" s="16" t="s">
        <v>8</v>
      </c>
      <c r="L17" s="28" t="s">
        <v>4</v>
      </c>
      <c r="M17" s="17" t="s">
        <v>11</v>
      </c>
      <c r="N17" s="17" t="s">
        <v>10</v>
      </c>
      <c r="O17" s="17" t="s">
        <v>10</v>
      </c>
      <c r="P17" s="12" t="s">
        <v>2</v>
      </c>
      <c r="Q17" s="12" t="s">
        <v>2</v>
      </c>
      <c r="R17" s="74" t="s">
        <v>6</v>
      </c>
      <c r="S17" s="19" t="s">
        <v>42</v>
      </c>
      <c r="T17" s="19" t="s">
        <v>42</v>
      </c>
      <c r="U17" s="75" t="s">
        <v>16</v>
      </c>
      <c r="V17" s="75" t="s">
        <v>16</v>
      </c>
      <c r="W17" s="17" t="s">
        <v>10</v>
      </c>
      <c r="X17" s="17" t="s">
        <v>10</v>
      </c>
      <c r="Y17" s="17" t="s">
        <v>10</v>
      </c>
      <c r="Z17" s="28" t="s">
        <v>4</v>
      </c>
      <c r="AA17" s="28" t="s">
        <v>4</v>
      </c>
      <c r="AB17" s="10" t="s">
        <v>41</v>
      </c>
      <c r="AC17" s="10" t="s">
        <v>41</v>
      </c>
      <c r="AD17" s="10" t="s">
        <v>41</v>
      </c>
      <c r="AE17" s="10" t="s">
        <v>41</v>
      </c>
      <c r="AF17" s="17" t="s">
        <v>10</v>
      </c>
      <c r="AG17" s="28" t="s">
        <v>4</v>
      </c>
      <c r="AH17" s="28" t="s">
        <v>4</v>
      </c>
    </row>
    <row r="18" spans="1:34" x14ac:dyDescent="0.35">
      <c r="A18" s="64" t="s">
        <v>72</v>
      </c>
      <c r="B18" s="10" t="s">
        <v>41</v>
      </c>
      <c r="C18" s="25" t="s">
        <v>6</v>
      </c>
      <c r="D18" s="25" t="s">
        <v>6</v>
      </c>
      <c r="E18" s="28" t="s">
        <v>4</v>
      </c>
      <c r="F18" s="28" t="s">
        <v>4</v>
      </c>
      <c r="G18" s="22" t="s">
        <v>16</v>
      </c>
      <c r="H18" s="25" t="s">
        <v>6</v>
      </c>
      <c r="I18" s="25" t="s">
        <v>6</v>
      </c>
      <c r="J18" s="25" t="s">
        <v>6</v>
      </c>
      <c r="K18" s="25" t="s">
        <v>6</v>
      </c>
      <c r="L18" s="28" t="s">
        <v>4</v>
      </c>
      <c r="M18" s="28" t="s">
        <v>4</v>
      </c>
      <c r="N18" s="13" t="s">
        <v>5</v>
      </c>
      <c r="O18" s="13" t="s">
        <v>5</v>
      </c>
      <c r="P18" s="13" t="s">
        <v>5</v>
      </c>
      <c r="Q18" s="13" t="s">
        <v>5</v>
      </c>
      <c r="R18" s="13" t="s">
        <v>5</v>
      </c>
      <c r="S18" s="28" t="s">
        <v>4</v>
      </c>
      <c r="T18" s="28" t="s">
        <v>4</v>
      </c>
      <c r="U18" s="25" t="s">
        <v>6</v>
      </c>
      <c r="V18" s="25" t="s">
        <v>6</v>
      </c>
      <c r="W18" s="25" t="s">
        <v>6</v>
      </c>
      <c r="X18" s="25" t="s">
        <v>6</v>
      </c>
      <c r="Y18" s="25" t="s">
        <v>6</v>
      </c>
      <c r="Z18" s="28" t="s">
        <v>4</v>
      </c>
      <c r="AA18" s="28" t="s">
        <v>4</v>
      </c>
      <c r="AB18" s="22" t="s">
        <v>16</v>
      </c>
      <c r="AC18" s="22" t="s">
        <v>16</v>
      </c>
      <c r="AD18" s="22" t="s">
        <v>16</v>
      </c>
      <c r="AE18" s="22" t="s">
        <v>16</v>
      </c>
      <c r="AF18" s="22" t="s">
        <v>16</v>
      </c>
      <c r="AG18" s="28" t="s">
        <v>4</v>
      </c>
      <c r="AH18" s="28" t="s">
        <v>4</v>
      </c>
    </row>
    <row r="20" spans="1:34" x14ac:dyDescent="0.35">
      <c r="A20" s="24" t="s">
        <v>23</v>
      </c>
    </row>
    <row r="21" spans="1:34" x14ac:dyDescent="0.35">
      <c r="A21" s="1" t="s">
        <v>24</v>
      </c>
    </row>
    <row r="22" spans="1:34" x14ac:dyDescent="0.35">
      <c r="A22" s="1" t="s">
        <v>25</v>
      </c>
    </row>
    <row r="23" spans="1:34" x14ac:dyDescent="0.35">
      <c r="A23" s="1" t="s">
        <v>47</v>
      </c>
    </row>
    <row r="24" spans="1:34" x14ac:dyDescent="0.35">
      <c r="A24" s="1" t="s">
        <v>48</v>
      </c>
    </row>
    <row r="25" spans="1:34" x14ac:dyDescent="0.35">
      <c r="A25" s="1" t="s">
        <v>26</v>
      </c>
    </row>
    <row r="26" spans="1:34" x14ac:dyDescent="0.35">
      <c r="A26" s="1" t="s">
        <v>27</v>
      </c>
    </row>
    <row r="27" spans="1:34" x14ac:dyDescent="0.35">
      <c r="A27" s="1" t="s">
        <v>28</v>
      </c>
    </row>
    <row r="28" spans="1:34" x14ac:dyDescent="0.35">
      <c r="A28" s="1" t="s">
        <v>29</v>
      </c>
    </row>
    <row r="29" spans="1:34" x14ac:dyDescent="0.35">
      <c r="A29" s="1" t="s">
        <v>49</v>
      </c>
    </row>
    <row r="30" spans="1:34" x14ac:dyDescent="0.35">
      <c r="A30" s="1" t="s">
        <v>50</v>
      </c>
    </row>
    <row r="31" spans="1:34" x14ac:dyDescent="0.35">
      <c r="A31" s="1" t="s">
        <v>31</v>
      </c>
    </row>
    <row r="32" spans="1:34" x14ac:dyDescent="0.35">
      <c r="A32" s="1" t="s">
        <v>32</v>
      </c>
    </row>
    <row r="33" spans="1:1" x14ac:dyDescent="0.35">
      <c r="A33" s="1" t="s">
        <v>33</v>
      </c>
    </row>
    <row r="34" spans="1:1" x14ac:dyDescent="0.35">
      <c r="A34" s="1" t="s">
        <v>35</v>
      </c>
    </row>
    <row r="35" spans="1:1" x14ac:dyDescent="0.35">
      <c r="A35" s="1" t="s">
        <v>36</v>
      </c>
    </row>
    <row r="36" spans="1:1" x14ac:dyDescent="0.35">
      <c r="A36" s="1" t="s">
        <v>38</v>
      </c>
    </row>
    <row r="37" spans="1:1" x14ac:dyDescent="0.35">
      <c r="A37" s="1" t="s">
        <v>36</v>
      </c>
    </row>
    <row r="38" spans="1:1" x14ac:dyDescent="0.35">
      <c r="A38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F38"/>
  <sheetViews>
    <sheetView zoomScale="80" zoomScaleNormal="80" workbookViewId="0">
      <pane xSplit="1" topLeftCell="Q1" activePane="topRight" state="frozen"/>
      <selection pane="topRight" activeCell="S22" sqref="S22"/>
    </sheetView>
  </sheetViews>
  <sheetFormatPr defaultColWidth="9.1796875" defaultRowHeight="14.5" x14ac:dyDescent="0.35"/>
  <cols>
    <col min="1" max="1" width="26.1796875" bestFit="1" customWidth="1"/>
    <col min="2" max="3" width="7.26953125" customWidth="1"/>
    <col min="4" max="5" width="9.26953125" customWidth="1"/>
    <col min="6" max="7" width="7.26953125" customWidth="1"/>
    <col min="8" max="8" width="7.54296875" customWidth="1"/>
    <col min="9" max="9" width="7.26953125" customWidth="1"/>
    <col min="10" max="10" width="7.54296875" customWidth="1"/>
    <col min="11" max="12" width="9.26953125" customWidth="1"/>
    <col min="13" max="13" width="7.54296875" customWidth="1"/>
    <col min="14" max="14" width="9.26953125" customWidth="1"/>
    <col min="15" max="17" width="7.54296875" customWidth="1"/>
    <col min="18" max="18" width="9.26953125" customWidth="1"/>
    <col min="19" max="21" width="6.7265625" customWidth="1"/>
    <col min="22" max="32" width="9.1796875" customWidth="1"/>
  </cols>
  <sheetData>
    <row r="1" spans="1:32" ht="15" customHeight="1" x14ac:dyDescent="0.35">
      <c r="A1" s="1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F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</row>
    <row r="2" spans="1:32" x14ac:dyDescent="0.35">
      <c r="A2" s="7" t="s">
        <v>0</v>
      </c>
      <c r="B2" s="29">
        <v>44743</v>
      </c>
      <c r="C2" s="29">
        <v>44744</v>
      </c>
      <c r="D2" s="29">
        <v>44745</v>
      </c>
      <c r="E2" s="29">
        <v>44746</v>
      </c>
      <c r="F2" s="29">
        <v>44747</v>
      </c>
      <c r="G2" s="29">
        <v>44748</v>
      </c>
      <c r="H2" s="29">
        <v>44749</v>
      </c>
      <c r="I2" s="29">
        <v>44750</v>
      </c>
      <c r="J2" s="29">
        <v>44751</v>
      </c>
      <c r="K2" s="29">
        <v>44752</v>
      </c>
      <c r="L2" s="29">
        <v>44753</v>
      </c>
      <c r="M2" s="29">
        <v>44754</v>
      </c>
      <c r="N2" s="29">
        <v>44755</v>
      </c>
      <c r="O2" s="29">
        <v>44756</v>
      </c>
      <c r="P2" s="29">
        <v>44757</v>
      </c>
      <c r="Q2" s="29">
        <v>44758</v>
      </c>
      <c r="R2" s="29">
        <v>44759</v>
      </c>
      <c r="S2" s="29">
        <v>44760</v>
      </c>
      <c r="T2" s="29">
        <v>44761</v>
      </c>
      <c r="U2" s="29">
        <v>44762</v>
      </c>
      <c r="V2" s="29">
        <v>44763</v>
      </c>
      <c r="W2" s="29">
        <v>44764</v>
      </c>
      <c r="X2" s="29">
        <v>44765</v>
      </c>
      <c r="Y2" s="29">
        <v>44766</v>
      </c>
      <c r="Z2" s="29">
        <v>44767</v>
      </c>
      <c r="AA2" s="29">
        <v>44768</v>
      </c>
      <c r="AB2" s="29">
        <v>44769</v>
      </c>
      <c r="AC2" s="29">
        <v>44770</v>
      </c>
      <c r="AD2" s="29">
        <v>44771</v>
      </c>
      <c r="AE2" s="29">
        <v>44772</v>
      </c>
      <c r="AF2" s="29">
        <v>44773</v>
      </c>
    </row>
    <row r="3" spans="1:32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x14ac:dyDescent="0.35">
      <c r="A4" s="64" t="s">
        <v>1</v>
      </c>
      <c r="B4" s="12" t="s">
        <v>2</v>
      </c>
      <c r="C4" s="65" t="s">
        <v>4</v>
      </c>
      <c r="D4" s="65" t="s">
        <v>4</v>
      </c>
      <c r="E4" s="13" t="s">
        <v>5</v>
      </c>
      <c r="F4" s="13" t="s">
        <v>5</v>
      </c>
      <c r="G4" s="13" t="s">
        <v>5</v>
      </c>
      <c r="H4" s="13" t="s">
        <v>5</v>
      </c>
      <c r="I4" s="13" t="s">
        <v>5</v>
      </c>
      <c r="J4" s="65" t="s">
        <v>4</v>
      </c>
      <c r="K4" s="65" t="s">
        <v>4</v>
      </c>
      <c r="L4" s="13" t="s">
        <v>5</v>
      </c>
      <c r="M4" s="16" t="s">
        <v>8</v>
      </c>
      <c r="N4" s="16" t="s">
        <v>8</v>
      </c>
      <c r="O4" s="16" t="s">
        <v>8</v>
      </c>
      <c r="P4" s="16" t="s">
        <v>8</v>
      </c>
      <c r="Q4" s="28" t="s">
        <v>4</v>
      </c>
      <c r="R4" s="19" t="s">
        <v>42</v>
      </c>
      <c r="S4" s="10" t="s">
        <v>41</v>
      </c>
      <c r="T4" s="65" t="s">
        <v>2</v>
      </c>
      <c r="U4" s="65" t="s">
        <v>2</v>
      </c>
      <c r="V4" s="13" t="s">
        <v>5</v>
      </c>
      <c r="W4" s="13" t="s">
        <v>5</v>
      </c>
      <c r="X4" s="19" t="s">
        <v>42</v>
      </c>
      <c r="Y4" s="19" t="s">
        <v>42</v>
      </c>
      <c r="Z4" s="74" t="s">
        <v>41</v>
      </c>
      <c r="AA4" s="74" t="s">
        <v>41</v>
      </c>
      <c r="AB4" s="12" t="s">
        <v>2</v>
      </c>
      <c r="AC4" s="16" t="s">
        <v>8</v>
      </c>
      <c r="AD4" s="16" t="s">
        <v>8</v>
      </c>
      <c r="AE4" s="17" t="s">
        <v>11</v>
      </c>
      <c r="AF4" s="17" t="s">
        <v>11</v>
      </c>
    </row>
    <row r="5" spans="1:32" x14ac:dyDescent="0.35">
      <c r="A5" s="64" t="s">
        <v>9</v>
      </c>
      <c r="B5" s="13" t="s">
        <v>5</v>
      </c>
      <c r="C5" s="65" t="s">
        <v>4</v>
      </c>
      <c r="D5" s="17" t="s">
        <v>11</v>
      </c>
      <c r="E5" s="17" t="s">
        <v>10</v>
      </c>
      <c r="F5" s="17" t="s">
        <v>10</v>
      </c>
      <c r="G5" s="17" t="s">
        <v>10</v>
      </c>
      <c r="H5" s="17" t="s">
        <v>10</v>
      </c>
      <c r="I5" s="12" t="s">
        <v>2</v>
      </c>
      <c r="J5" s="25" t="s">
        <v>3</v>
      </c>
      <c r="K5" s="17" t="s">
        <v>11</v>
      </c>
      <c r="L5" s="17" t="s">
        <v>10</v>
      </c>
      <c r="M5" s="12" t="s">
        <v>2</v>
      </c>
      <c r="N5" s="74" t="s">
        <v>6</v>
      </c>
      <c r="O5" s="74" t="s">
        <v>6</v>
      </c>
      <c r="P5" s="74" t="s">
        <v>6</v>
      </c>
      <c r="Q5" s="65" t="s">
        <v>4</v>
      </c>
      <c r="R5" s="17" t="s">
        <v>11</v>
      </c>
      <c r="S5" s="17" t="s">
        <v>10</v>
      </c>
      <c r="T5" s="17" t="s">
        <v>10</v>
      </c>
      <c r="U5" s="17" t="s">
        <v>10</v>
      </c>
      <c r="V5" s="17" t="s">
        <v>10</v>
      </c>
      <c r="W5" s="17" t="s">
        <v>10</v>
      </c>
      <c r="X5" s="65" t="s">
        <v>4</v>
      </c>
      <c r="Y5" s="17" t="s">
        <v>11</v>
      </c>
      <c r="Z5" s="17" t="s">
        <v>10</v>
      </c>
      <c r="AA5" s="12" t="s">
        <v>2</v>
      </c>
      <c r="AB5" s="74" t="s">
        <v>6</v>
      </c>
      <c r="AC5" s="74" t="s">
        <v>6</v>
      </c>
      <c r="AD5" s="74" t="s">
        <v>6</v>
      </c>
      <c r="AE5" s="25" t="s">
        <v>3</v>
      </c>
      <c r="AF5" s="65" t="s">
        <v>4</v>
      </c>
    </row>
    <row r="6" spans="1:32" x14ac:dyDescent="0.35">
      <c r="A6" s="64" t="s">
        <v>12</v>
      </c>
      <c r="B6" s="17" t="s">
        <v>10</v>
      </c>
      <c r="C6" s="28" t="s">
        <v>4</v>
      </c>
      <c r="D6" s="10" t="s">
        <v>42</v>
      </c>
      <c r="E6" s="10" t="s">
        <v>41</v>
      </c>
      <c r="F6" s="10" t="s">
        <v>41</v>
      </c>
      <c r="G6" s="12" t="s">
        <v>2</v>
      </c>
      <c r="H6" s="10" t="s">
        <v>41</v>
      </c>
      <c r="I6" s="10" t="s">
        <v>41</v>
      </c>
      <c r="J6" s="19" t="s">
        <v>42</v>
      </c>
      <c r="K6" s="19" t="s">
        <v>42</v>
      </c>
      <c r="L6" s="12" t="s">
        <v>2</v>
      </c>
      <c r="M6" s="17" t="s">
        <v>10</v>
      </c>
      <c r="N6" s="17" t="s">
        <v>10</v>
      </c>
      <c r="O6" s="17" t="s">
        <v>10</v>
      </c>
      <c r="P6" s="17" t="s">
        <v>10</v>
      </c>
      <c r="Q6" s="17" t="s">
        <v>11</v>
      </c>
      <c r="R6" s="28" t="s">
        <v>4</v>
      </c>
      <c r="S6" s="12" t="s">
        <v>2</v>
      </c>
      <c r="T6" s="25" t="s">
        <v>6</v>
      </c>
      <c r="U6" s="10" t="s">
        <v>41</v>
      </c>
      <c r="V6" s="13" t="s">
        <v>5</v>
      </c>
      <c r="W6" s="13" t="s">
        <v>5</v>
      </c>
      <c r="X6" s="65" t="s">
        <v>4</v>
      </c>
      <c r="Y6" s="65" t="s">
        <v>4</v>
      </c>
      <c r="Z6" s="13" t="s">
        <v>5</v>
      </c>
      <c r="AA6" s="74" t="s">
        <v>41</v>
      </c>
      <c r="AB6" s="74" t="s">
        <v>41</v>
      </c>
      <c r="AC6" s="74" t="s">
        <v>41</v>
      </c>
      <c r="AD6" s="74" t="s">
        <v>41</v>
      </c>
      <c r="AE6" s="78" t="s">
        <v>30</v>
      </c>
      <c r="AF6" s="77" t="s">
        <v>3</v>
      </c>
    </row>
    <row r="7" spans="1:32" x14ac:dyDescent="0.35">
      <c r="A7" s="64" t="s">
        <v>14</v>
      </c>
      <c r="B7" s="75" t="s">
        <v>16</v>
      </c>
      <c r="C7" s="78" t="s">
        <v>30</v>
      </c>
      <c r="D7" s="28" t="s">
        <v>4</v>
      </c>
      <c r="E7" s="75" t="s">
        <v>16</v>
      </c>
      <c r="F7" s="75" t="s">
        <v>16</v>
      </c>
      <c r="G7" s="75" t="s">
        <v>16</v>
      </c>
      <c r="H7" s="75" t="s">
        <v>16</v>
      </c>
      <c r="I7" s="75" t="s">
        <v>16</v>
      </c>
      <c r="J7" s="65" t="s">
        <v>4</v>
      </c>
      <c r="K7" s="65" t="s">
        <v>4</v>
      </c>
      <c r="L7" s="13" t="s">
        <v>5</v>
      </c>
      <c r="M7" s="25" t="s">
        <v>6</v>
      </c>
      <c r="N7" s="10" t="s">
        <v>41</v>
      </c>
      <c r="O7" s="10" t="s">
        <v>41</v>
      </c>
      <c r="P7" s="10" t="s">
        <v>41</v>
      </c>
      <c r="Q7" s="25" t="s">
        <v>3</v>
      </c>
      <c r="R7" s="65" t="s">
        <v>4</v>
      </c>
      <c r="S7" s="13" t="s">
        <v>5</v>
      </c>
      <c r="T7" s="10" t="s">
        <v>41</v>
      </c>
      <c r="U7" s="10" t="s">
        <v>41</v>
      </c>
      <c r="V7" s="10" t="s">
        <v>41</v>
      </c>
      <c r="W7" s="10" t="s">
        <v>41</v>
      </c>
      <c r="X7" s="25" t="s">
        <v>3</v>
      </c>
      <c r="Y7" s="25" t="s">
        <v>3</v>
      </c>
      <c r="Z7" s="12" t="s">
        <v>2</v>
      </c>
      <c r="AA7" s="17" t="s">
        <v>10</v>
      </c>
      <c r="AB7" s="17" t="s">
        <v>10</v>
      </c>
      <c r="AC7" s="17" t="s">
        <v>10</v>
      </c>
      <c r="AD7" s="13" t="s">
        <v>5</v>
      </c>
      <c r="AE7" s="65" t="s">
        <v>4</v>
      </c>
      <c r="AF7" s="65" t="s">
        <v>4</v>
      </c>
    </row>
    <row r="8" spans="1:32" x14ac:dyDescent="0.35">
      <c r="A8" s="64" t="s">
        <v>15</v>
      </c>
      <c r="B8" s="25" t="s">
        <v>6</v>
      </c>
      <c r="C8" s="17" t="s">
        <v>11</v>
      </c>
      <c r="D8" s="28" t="s">
        <v>4</v>
      </c>
      <c r="E8" s="25" t="s">
        <v>6</v>
      </c>
      <c r="F8" s="25" t="s">
        <v>6</v>
      </c>
      <c r="G8" s="10" t="s">
        <v>41</v>
      </c>
      <c r="H8" s="10" t="s">
        <v>41</v>
      </c>
      <c r="I8" s="17" t="s">
        <v>10</v>
      </c>
      <c r="J8" s="17" t="s">
        <v>11</v>
      </c>
      <c r="K8" s="28" t="s">
        <v>4</v>
      </c>
      <c r="L8" s="74" t="s">
        <v>41</v>
      </c>
      <c r="M8" s="74" t="s">
        <v>41</v>
      </c>
      <c r="N8" s="74" t="s">
        <v>41</v>
      </c>
      <c r="O8" s="74" t="s">
        <v>41</v>
      </c>
      <c r="P8" s="74" t="s">
        <v>41</v>
      </c>
      <c r="Q8" s="28" t="s">
        <v>4</v>
      </c>
      <c r="R8" s="25" t="s">
        <v>3</v>
      </c>
      <c r="S8" s="25" t="s">
        <v>6</v>
      </c>
      <c r="T8" s="12" t="s">
        <v>2</v>
      </c>
      <c r="U8" s="25" t="s">
        <v>6</v>
      </c>
      <c r="V8" s="25" t="s">
        <v>6</v>
      </c>
      <c r="W8" s="25" t="s">
        <v>6</v>
      </c>
      <c r="X8" s="17" t="s">
        <v>11</v>
      </c>
      <c r="Y8" s="17" t="s">
        <v>11</v>
      </c>
      <c r="Z8" s="12" t="s">
        <v>2</v>
      </c>
      <c r="AA8" s="25" t="s">
        <v>6</v>
      </c>
      <c r="AB8" s="25" t="s">
        <v>6</v>
      </c>
      <c r="AC8" s="10" t="s">
        <v>41</v>
      </c>
      <c r="AD8" s="10" t="s">
        <v>41</v>
      </c>
      <c r="AE8" s="28" t="s">
        <v>4</v>
      </c>
      <c r="AF8" s="19" t="s">
        <v>42</v>
      </c>
    </row>
    <row r="9" spans="1:32" x14ac:dyDescent="0.35">
      <c r="A9" s="64" t="s">
        <v>18</v>
      </c>
      <c r="B9" s="10" t="s">
        <v>41</v>
      </c>
      <c r="C9" s="25" t="s">
        <v>3</v>
      </c>
      <c r="D9" s="25" t="s">
        <v>3</v>
      </c>
      <c r="E9" s="12" t="s">
        <v>2</v>
      </c>
      <c r="F9" s="25" t="s">
        <v>6</v>
      </c>
      <c r="G9" s="25" t="s">
        <v>6</v>
      </c>
      <c r="H9" s="25" t="s">
        <v>6</v>
      </c>
      <c r="I9" s="25" t="s">
        <v>6</v>
      </c>
      <c r="J9" s="28" t="s">
        <v>4</v>
      </c>
      <c r="K9" s="28" t="s">
        <v>4</v>
      </c>
      <c r="L9" s="75" t="s">
        <v>16</v>
      </c>
      <c r="M9" s="74" t="s">
        <v>41</v>
      </c>
      <c r="N9" s="74" t="s">
        <v>41</v>
      </c>
      <c r="O9" s="74" t="s">
        <v>41</v>
      </c>
      <c r="P9" s="74" t="s">
        <v>41</v>
      </c>
      <c r="Q9" s="77" t="s">
        <v>3</v>
      </c>
      <c r="R9" s="28" t="s">
        <v>4</v>
      </c>
      <c r="S9" s="12" t="s">
        <v>2</v>
      </c>
      <c r="T9" s="12" t="s">
        <v>2</v>
      </c>
      <c r="U9" s="17" t="s">
        <v>10</v>
      </c>
      <c r="V9" s="17" t="s">
        <v>10</v>
      </c>
      <c r="W9" s="17" t="s">
        <v>10</v>
      </c>
      <c r="X9" s="17" t="s">
        <v>11</v>
      </c>
      <c r="Y9" s="28" t="s">
        <v>4</v>
      </c>
      <c r="Z9" s="25" t="s">
        <v>6</v>
      </c>
      <c r="AA9" s="25" t="s">
        <v>6</v>
      </c>
      <c r="AB9" s="12" t="s">
        <v>2</v>
      </c>
      <c r="AC9" s="25" t="s">
        <v>6</v>
      </c>
      <c r="AD9" s="25" t="s">
        <v>6</v>
      </c>
      <c r="AE9" s="19" t="s">
        <v>42</v>
      </c>
      <c r="AF9" s="19" t="s">
        <v>42</v>
      </c>
    </row>
    <row r="10" spans="1:32" ht="14.15" customHeight="1" x14ac:dyDescent="0.35">
      <c r="A10" s="64" t="s">
        <v>21</v>
      </c>
      <c r="B10" s="12" t="s">
        <v>2</v>
      </c>
      <c r="C10" s="17" t="s">
        <v>11</v>
      </c>
      <c r="D10" s="17" t="s">
        <v>11</v>
      </c>
      <c r="E10" s="17" t="s">
        <v>10</v>
      </c>
      <c r="F10" s="17" t="s">
        <v>10</v>
      </c>
      <c r="G10" s="17" t="s">
        <v>10</v>
      </c>
      <c r="H10" s="12" t="s">
        <v>2</v>
      </c>
      <c r="I10" s="12" t="s">
        <v>2</v>
      </c>
      <c r="J10" s="25" t="s">
        <v>3</v>
      </c>
      <c r="K10" s="19" t="s">
        <v>42</v>
      </c>
      <c r="L10" s="25" t="s">
        <v>6</v>
      </c>
      <c r="M10" s="25" t="s">
        <v>6</v>
      </c>
      <c r="N10" s="12" t="s">
        <v>2</v>
      </c>
      <c r="O10" s="74" t="s">
        <v>41</v>
      </c>
      <c r="P10" s="74" t="s">
        <v>41</v>
      </c>
      <c r="Q10" s="78" t="s">
        <v>30</v>
      </c>
      <c r="R10" s="77" t="s">
        <v>3</v>
      </c>
      <c r="S10" s="74" t="s">
        <v>41</v>
      </c>
      <c r="T10" s="74" t="s">
        <v>6</v>
      </c>
      <c r="U10" s="12" t="s">
        <v>2</v>
      </c>
      <c r="V10" s="10" t="s">
        <v>41</v>
      </c>
      <c r="W10" s="10" t="s">
        <v>41</v>
      </c>
      <c r="X10" s="28" t="s">
        <v>4</v>
      </c>
      <c r="Y10" s="28" t="s">
        <v>4</v>
      </c>
      <c r="Z10" s="17" t="s">
        <v>10</v>
      </c>
      <c r="AA10" s="17" t="s">
        <v>10</v>
      </c>
      <c r="AB10" s="12" t="s">
        <v>2</v>
      </c>
      <c r="AC10" s="12" t="s">
        <v>2</v>
      </c>
      <c r="AD10" s="17" t="s">
        <v>10</v>
      </c>
      <c r="AE10" s="17" t="s">
        <v>11</v>
      </c>
      <c r="AF10" s="17" t="s">
        <v>11</v>
      </c>
    </row>
    <row r="11" spans="1:32" x14ac:dyDescent="0.35">
      <c r="A11" s="64" t="s">
        <v>43</v>
      </c>
      <c r="B11" s="25" t="s">
        <v>6</v>
      </c>
      <c r="C11" s="10" t="s">
        <v>42</v>
      </c>
      <c r="D11" s="28" t="s">
        <v>4</v>
      </c>
      <c r="E11" s="10" t="s">
        <v>41</v>
      </c>
      <c r="F11" s="10" t="s">
        <v>41</v>
      </c>
      <c r="G11" s="12" t="s">
        <v>2</v>
      </c>
      <c r="H11" s="17" t="s">
        <v>10</v>
      </c>
      <c r="I11" s="17" t="s">
        <v>10</v>
      </c>
      <c r="J11" s="17" t="s">
        <v>11</v>
      </c>
      <c r="K11" s="17" t="s">
        <v>11</v>
      </c>
      <c r="L11" s="17" t="s">
        <v>10</v>
      </c>
      <c r="M11" s="12" t="s">
        <v>2</v>
      </c>
      <c r="N11" s="25" t="s">
        <v>6</v>
      </c>
      <c r="O11" s="25" t="s">
        <v>6</v>
      </c>
      <c r="P11" s="25" t="s">
        <v>6</v>
      </c>
      <c r="Q11" s="19" t="s">
        <v>42</v>
      </c>
      <c r="R11" s="28" t="s">
        <v>4</v>
      </c>
      <c r="S11" s="74" t="s">
        <v>6</v>
      </c>
      <c r="T11" s="74" t="s">
        <v>6</v>
      </c>
      <c r="U11" s="74" t="s">
        <v>6</v>
      </c>
      <c r="V11" s="74" t="s">
        <v>6</v>
      </c>
      <c r="W11" s="74" t="s">
        <v>6</v>
      </c>
      <c r="X11" s="78" t="s">
        <v>30</v>
      </c>
      <c r="Y11" s="28" t="s">
        <v>4</v>
      </c>
      <c r="Z11" s="10" t="s">
        <v>41</v>
      </c>
      <c r="AA11" s="10" t="s">
        <v>41</v>
      </c>
      <c r="AB11" s="17" t="s">
        <v>10</v>
      </c>
      <c r="AC11" s="17" t="s">
        <v>10</v>
      </c>
      <c r="AD11" s="17" t="s">
        <v>10</v>
      </c>
      <c r="AE11" s="28" t="s">
        <v>4</v>
      </c>
      <c r="AF11" s="25" t="s">
        <v>3</v>
      </c>
    </row>
    <row r="12" spans="1:32" x14ac:dyDescent="0.35">
      <c r="A12" s="64" t="s">
        <v>69</v>
      </c>
      <c r="B12" s="74" t="s">
        <v>41</v>
      </c>
      <c r="C12" s="28" t="s">
        <v>4</v>
      </c>
      <c r="D12" s="25" t="s">
        <v>3</v>
      </c>
      <c r="E12" s="10" t="s">
        <v>41</v>
      </c>
      <c r="F12" s="12" t="s">
        <v>2</v>
      </c>
      <c r="G12" s="10" t="s">
        <v>41</v>
      </c>
      <c r="H12" s="74" t="s">
        <v>41</v>
      </c>
      <c r="I12" s="74" t="s">
        <v>41</v>
      </c>
      <c r="J12" s="19" t="s">
        <v>42</v>
      </c>
      <c r="K12" s="25" t="s">
        <v>3</v>
      </c>
      <c r="L12" s="13" t="s">
        <v>5</v>
      </c>
      <c r="M12" s="12" t="s">
        <v>2</v>
      </c>
      <c r="N12" s="12" t="s">
        <v>2</v>
      </c>
      <c r="O12" s="22" t="s">
        <v>16</v>
      </c>
      <c r="P12" s="75" t="s">
        <v>16</v>
      </c>
      <c r="Q12" s="17" t="s">
        <v>11</v>
      </c>
      <c r="R12" s="17" t="s">
        <v>11</v>
      </c>
      <c r="S12" s="17" t="s">
        <v>10</v>
      </c>
      <c r="T12" s="17" t="s">
        <v>10</v>
      </c>
      <c r="U12" s="12" t="s">
        <v>2</v>
      </c>
      <c r="V12" s="10" t="s">
        <v>41</v>
      </c>
      <c r="W12" s="74" t="s">
        <v>41</v>
      </c>
      <c r="X12" s="28" t="s">
        <v>4</v>
      </c>
      <c r="Y12" s="28" t="s">
        <v>4</v>
      </c>
      <c r="Z12" s="10" t="s">
        <v>41</v>
      </c>
      <c r="AA12" s="10" t="s">
        <v>41</v>
      </c>
      <c r="AB12" s="10" t="s">
        <v>41</v>
      </c>
      <c r="AC12" s="13" t="s">
        <v>5</v>
      </c>
      <c r="AD12" s="13" t="s">
        <v>5</v>
      </c>
      <c r="AE12" s="65" t="s">
        <v>4</v>
      </c>
      <c r="AF12" s="65" t="s">
        <v>4</v>
      </c>
    </row>
    <row r="13" spans="1:32" x14ac:dyDescent="0.35">
      <c r="A13" s="64" t="s">
        <v>22</v>
      </c>
      <c r="B13" s="25" t="s">
        <v>6</v>
      </c>
      <c r="C13" s="25" t="s">
        <v>3</v>
      </c>
      <c r="D13" s="28" t="s">
        <v>4</v>
      </c>
      <c r="E13" s="25" t="s">
        <v>6</v>
      </c>
      <c r="F13" s="13" t="s">
        <v>5</v>
      </c>
      <c r="G13" s="13" t="s">
        <v>5</v>
      </c>
      <c r="H13" s="10" t="s">
        <v>41</v>
      </c>
      <c r="I13" s="10" t="s">
        <v>41</v>
      </c>
      <c r="J13" s="28" t="s">
        <v>4</v>
      </c>
      <c r="K13" s="25" t="s">
        <v>3</v>
      </c>
      <c r="L13" s="25" t="s">
        <v>6</v>
      </c>
      <c r="M13" s="25" t="s">
        <v>6</v>
      </c>
      <c r="N13" s="25" t="s">
        <v>6</v>
      </c>
      <c r="O13" s="12" t="s">
        <v>2</v>
      </c>
      <c r="P13" s="12" t="s">
        <v>2</v>
      </c>
      <c r="Q13" s="19" t="s">
        <v>42</v>
      </c>
      <c r="R13" s="28" t="s">
        <v>4</v>
      </c>
      <c r="S13" s="10" t="s">
        <v>41</v>
      </c>
      <c r="T13" s="10" t="s">
        <v>41</v>
      </c>
      <c r="U13" s="25" t="s">
        <v>6</v>
      </c>
      <c r="V13" s="25" t="s">
        <v>6</v>
      </c>
      <c r="W13" s="25" t="s">
        <v>6</v>
      </c>
      <c r="X13" s="28" t="s">
        <v>4</v>
      </c>
      <c r="Y13" s="28" t="s">
        <v>4</v>
      </c>
      <c r="Z13" s="75" t="s">
        <v>16</v>
      </c>
      <c r="AA13" s="75" t="s">
        <v>16</v>
      </c>
      <c r="AB13" s="75" t="s">
        <v>16</v>
      </c>
      <c r="AC13" s="75" t="s">
        <v>16</v>
      </c>
      <c r="AD13" s="75" t="s">
        <v>16</v>
      </c>
      <c r="AE13" s="77" t="s">
        <v>3</v>
      </c>
      <c r="AF13" s="28" t="s">
        <v>4</v>
      </c>
    </row>
    <row r="14" spans="1:32" ht="15" thickBot="1" x14ac:dyDescent="0.4">
      <c r="A14" s="64" t="s">
        <v>60</v>
      </c>
      <c r="B14" s="10" t="s">
        <v>41</v>
      </c>
      <c r="C14" s="19" t="s">
        <v>42</v>
      </c>
      <c r="D14" s="19" t="s">
        <v>42</v>
      </c>
      <c r="E14" s="12" t="s">
        <v>2</v>
      </c>
      <c r="F14" s="10" t="s">
        <v>41</v>
      </c>
      <c r="G14" s="25" t="s">
        <v>6</v>
      </c>
      <c r="H14" s="25" t="s">
        <v>6</v>
      </c>
      <c r="I14" s="25" t="s">
        <v>6</v>
      </c>
      <c r="J14" s="28" t="s">
        <v>4</v>
      </c>
      <c r="K14" s="63" t="s">
        <v>30</v>
      </c>
      <c r="L14" s="10" t="s">
        <v>41</v>
      </c>
      <c r="M14" s="75" t="s">
        <v>16</v>
      </c>
      <c r="N14" s="10" t="s">
        <v>41</v>
      </c>
      <c r="O14" s="75" t="s">
        <v>16</v>
      </c>
      <c r="P14" s="25" t="s">
        <v>6</v>
      </c>
      <c r="Q14" s="28" t="s">
        <v>4</v>
      </c>
      <c r="R14" s="28" t="s">
        <v>4</v>
      </c>
      <c r="S14" s="25" t="s">
        <v>6</v>
      </c>
      <c r="T14" s="75" t="s">
        <v>16</v>
      </c>
      <c r="U14" s="25" t="s">
        <v>6</v>
      </c>
      <c r="V14" s="25" t="s">
        <v>6</v>
      </c>
      <c r="W14" s="12" t="s">
        <v>2</v>
      </c>
      <c r="X14" s="19" t="s">
        <v>42</v>
      </c>
      <c r="Y14" s="19" t="s">
        <v>42</v>
      </c>
      <c r="Z14" s="13" t="s">
        <v>5</v>
      </c>
      <c r="AA14" s="75" t="s">
        <v>16</v>
      </c>
      <c r="AB14" s="13" t="s">
        <v>5</v>
      </c>
      <c r="AC14" s="75" t="s">
        <v>16</v>
      </c>
      <c r="AD14" s="13" t="s">
        <v>5</v>
      </c>
      <c r="AE14" s="28" t="s">
        <v>4</v>
      </c>
      <c r="AF14" s="28" t="s">
        <v>4</v>
      </c>
    </row>
    <row r="15" spans="1:32" ht="15" thickBot="1" x14ac:dyDescent="0.4">
      <c r="A15" s="64" t="s">
        <v>70</v>
      </c>
      <c r="B15" s="13" t="s">
        <v>5</v>
      </c>
      <c r="C15" s="28" t="s">
        <v>4</v>
      </c>
      <c r="D15" s="28" t="s">
        <v>4</v>
      </c>
      <c r="E15" s="75" t="s">
        <v>16</v>
      </c>
      <c r="F15" s="75" t="s">
        <v>16</v>
      </c>
      <c r="G15" s="75" t="s">
        <v>16</v>
      </c>
      <c r="H15" s="75" t="s">
        <v>16</v>
      </c>
      <c r="I15" s="75" t="s">
        <v>16</v>
      </c>
      <c r="J15" s="63" t="s">
        <v>30</v>
      </c>
      <c r="K15" s="28" t="s">
        <v>4</v>
      </c>
      <c r="L15" s="75" t="s">
        <v>16</v>
      </c>
      <c r="M15" s="12" t="s">
        <v>2</v>
      </c>
      <c r="N15" s="25" t="s">
        <v>6</v>
      </c>
      <c r="O15" s="25" t="s">
        <v>6</v>
      </c>
      <c r="P15" s="13" t="s">
        <v>5</v>
      </c>
      <c r="Q15" s="28" t="s">
        <v>4</v>
      </c>
      <c r="R15" s="28" t="s">
        <v>4</v>
      </c>
      <c r="S15" s="25" t="s">
        <v>6</v>
      </c>
      <c r="T15" s="25" t="s">
        <v>6</v>
      </c>
      <c r="U15" s="12" t="s">
        <v>2</v>
      </c>
      <c r="V15" s="22" t="s">
        <v>16</v>
      </c>
      <c r="W15" s="25" t="s">
        <v>6</v>
      </c>
      <c r="X15" s="25" t="s">
        <v>3</v>
      </c>
      <c r="Y15" s="25" t="s">
        <v>3</v>
      </c>
      <c r="Z15" s="25" t="s">
        <v>6</v>
      </c>
      <c r="AA15" s="12" t="s">
        <v>2</v>
      </c>
      <c r="AB15" s="25" t="s">
        <v>6</v>
      </c>
      <c r="AC15" s="25" t="s">
        <v>6</v>
      </c>
      <c r="AD15" s="25" t="s">
        <v>6</v>
      </c>
      <c r="AE15" s="28" t="s">
        <v>4</v>
      </c>
      <c r="AF15" s="28" t="s">
        <v>4</v>
      </c>
    </row>
    <row r="16" spans="1:32" x14ac:dyDescent="0.35">
      <c r="A16" s="64" t="s">
        <v>68</v>
      </c>
      <c r="B16" s="75" t="s">
        <v>16</v>
      </c>
      <c r="C16" s="28" t="s">
        <v>4</v>
      </c>
      <c r="D16" s="28" t="s">
        <v>4</v>
      </c>
      <c r="E16" s="75" t="s">
        <v>16</v>
      </c>
      <c r="F16" s="75" t="s">
        <v>16</v>
      </c>
      <c r="G16" s="75" t="s">
        <v>16</v>
      </c>
      <c r="H16" s="75" t="s">
        <v>16</v>
      </c>
      <c r="I16" s="75" t="s">
        <v>16</v>
      </c>
      <c r="J16" s="28" t="s">
        <v>4</v>
      </c>
      <c r="K16" s="28" t="s">
        <v>4</v>
      </c>
      <c r="L16" s="25" t="s">
        <v>6</v>
      </c>
      <c r="M16" s="10" t="s">
        <v>41</v>
      </c>
      <c r="N16" s="12" t="s">
        <v>2</v>
      </c>
      <c r="O16" s="25" t="s">
        <v>6</v>
      </c>
      <c r="P16" s="25" t="s">
        <v>6</v>
      </c>
      <c r="Q16" s="28" t="s">
        <v>4</v>
      </c>
      <c r="R16" s="19" t="s">
        <v>42</v>
      </c>
      <c r="S16" s="12" t="s">
        <v>2</v>
      </c>
      <c r="T16" s="10" t="s">
        <v>41</v>
      </c>
      <c r="U16" s="10" t="s">
        <v>41</v>
      </c>
      <c r="V16" s="10" t="s">
        <v>41</v>
      </c>
      <c r="W16" s="10" t="s">
        <v>41</v>
      </c>
      <c r="X16" s="28" t="s">
        <v>4</v>
      </c>
      <c r="Y16" s="28" t="s">
        <v>4</v>
      </c>
      <c r="Z16" s="25" t="s">
        <v>6</v>
      </c>
      <c r="AA16" s="12" t="s">
        <v>2</v>
      </c>
      <c r="AB16" s="10" t="s">
        <v>41</v>
      </c>
      <c r="AC16" s="10" t="s">
        <v>41</v>
      </c>
      <c r="AD16" s="10" t="s">
        <v>41</v>
      </c>
      <c r="AE16" s="28" t="s">
        <v>4</v>
      </c>
      <c r="AF16" s="28" t="s">
        <v>4</v>
      </c>
    </row>
    <row r="17" spans="1:32" x14ac:dyDescent="0.35">
      <c r="A17" s="64" t="s">
        <v>71</v>
      </c>
      <c r="B17" s="17" t="s">
        <v>10</v>
      </c>
      <c r="C17" s="28" t="s">
        <v>4</v>
      </c>
      <c r="D17" s="28" t="s">
        <v>4</v>
      </c>
      <c r="E17" s="25" t="s">
        <v>6</v>
      </c>
      <c r="F17" s="25" t="s">
        <v>6</v>
      </c>
      <c r="G17" s="25" t="s">
        <v>6</v>
      </c>
      <c r="H17" s="25" t="s">
        <v>6</v>
      </c>
      <c r="I17" s="25" t="s">
        <v>6</v>
      </c>
      <c r="J17" s="28" t="s">
        <v>4</v>
      </c>
      <c r="K17" s="28" t="s">
        <v>4</v>
      </c>
      <c r="L17" s="10" t="s">
        <v>41</v>
      </c>
      <c r="M17" s="17" t="s">
        <v>10</v>
      </c>
      <c r="N17" s="17" t="s">
        <v>10</v>
      </c>
      <c r="O17" s="17" t="s">
        <v>10</v>
      </c>
      <c r="P17" s="17" t="s">
        <v>10</v>
      </c>
      <c r="Q17" s="28" t="s">
        <v>4</v>
      </c>
      <c r="R17" s="28" t="s">
        <v>4</v>
      </c>
      <c r="S17" s="10" t="s">
        <v>41</v>
      </c>
      <c r="T17" s="10" t="s">
        <v>41</v>
      </c>
      <c r="U17" s="10" t="s">
        <v>41</v>
      </c>
      <c r="V17" s="10" t="s">
        <v>41</v>
      </c>
      <c r="W17" s="10" t="s">
        <v>41</v>
      </c>
      <c r="X17" s="28" t="s">
        <v>4</v>
      </c>
      <c r="Y17" s="28" t="s">
        <v>4</v>
      </c>
      <c r="Z17" s="75" t="s">
        <v>16</v>
      </c>
      <c r="AA17" s="75" t="s">
        <v>16</v>
      </c>
      <c r="AB17" s="75" t="s">
        <v>16</v>
      </c>
      <c r="AC17" s="75" t="s">
        <v>16</v>
      </c>
      <c r="AD17" s="75" t="s">
        <v>16</v>
      </c>
      <c r="AE17" s="74" t="s">
        <v>42</v>
      </c>
      <c r="AF17" s="28" t="s">
        <v>4</v>
      </c>
    </row>
    <row r="18" spans="1:32" x14ac:dyDescent="0.35">
      <c r="A18" s="64" t="s">
        <v>72</v>
      </c>
      <c r="B18" s="22" t="s">
        <v>16</v>
      </c>
      <c r="C18" s="28" t="s">
        <v>4</v>
      </c>
      <c r="D18" s="28" t="s">
        <v>4</v>
      </c>
      <c r="E18" s="22" t="s">
        <v>16</v>
      </c>
      <c r="F18" s="22" t="s">
        <v>16</v>
      </c>
      <c r="G18" s="22" t="s">
        <v>16</v>
      </c>
      <c r="H18" s="22" t="s">
        <v>16</v>
      </c>
      <c r="I18" s="22" t="s">
        <v>16</v>
      </c>
      <c r="J18" s="28" t="s">
        <v>4</v>
      </c>
      <c r="K18" s="28" t="s">
        <v>4</v>
      </c>
      <c r="L18" s="22" t="s">
        <v>16</v>
      </c>
      <c r="M18" s="22" t="s">
        <v>16</v>
      </c>
      <c r="N18" s="22" t="s">
        <v>16</v>
      </c>
      <c r="O18" s="22" t="s">
        <v>16</v>
      </c>
      <c r="P18" s="22" t="s">
        <v>16</v>
      </c>
      <c r="Q18" s="28" t="s">
        <v>4</v>
      </c>
      <c r="R18" s="28" t="s">
        <v>4</v>
      </c>
      <c r="S18" s="22" t="s">
        <v>16</v>
      </c>
      <c r="T18" s="22" t="s">
        <v>16</v>
      </c>
      <c r="U18" s="22" t="s">
        <v>16</v>
      </c>
      <c r="V18" s="22" t="s">
        <v>16</v>
      </c>
      <c r="W18" s="22" t="s">
        <v>16</v>
      </c>
      <c r="X18" s="28" t="s">
        <v>4</v>
      </c>
      <c r="Y18" s="28" t="s">
        <v>4</v>
      </c>
      <c r="Z18" s="22" t="s">
        <v>16</v>
      </c>
      <c r="AA18" s="22" t="s">
        <v>16</v>
      </c>
      <c r="AB18" s="22" t="s">
        <v>16</v>
      </c>
      <c r="AC18" s="22" t="s">
        <v>16</v>
      </c>
      <c r="AD18" s="22" t="s">
        <v>16</v>
      </c>
      <c r="AE18" s="28" t="s">
        <v>4</v>
      </c>
      <c r="AF18" s="28" t="s">
        <v>4</v>
      </c>
    </row>
    <row r="20" spans="1:32" x14ac:dyDescent="0.35">
      <c r="A20" s="24" t="s">
        <v>23</v>
      </c>
    </row>
    <row r="21" spans="1:32" x14ac:dyDescent="0.35">
      <c r="A21" s="1" t="s">
        <v>24</v>
      </c>
    </row>
    <row r="22" spans="1:32" x14ac:dyDescent="0.35">
      <c r="A22" s="1" t="s">
        <v>25</v>
      </c>
    </row>
    <row r="23" spans="1:32" x14ac:dyDescent="0.35">
      <c r="A23" s="1" t="s">
        <v>47</v>
      </c>
    </row>
    <row r="24" spans="1:32" x14ac:dyDescent="0.35">
      <c r="A24" s="1" t="s">
        <v>48</v>
      </c>
    </row>
    <row r="25" spans="1:32" x14ac:dyDescent="0.35">
      <c r="A25" s="1" t="s">
        <v>26</v>
      </c>
    </row>
    <row r="26" spans="1:32" x14ac:dyDescent="0.35">
      <c r="A26" s="1" t="s">
        <v>27</v>
      </c>
    </row>
    <row r="27" spans="1:32" x14ac:dyDescent="0.35">
      <c r="A27" s="1" t="s">
        <v>28</v>
      </c>
    </row>
    <row r="28" spans="1:32" x14ac:dyDescent="0.35">
      <c r="A28" s="1" t="s">
        <v>29</v>
      </c>
    </row>
    <row r="29" spans="1:32" x14ac:dyDescent="0.35">
      <c r="A29" s="1" t="s">
        <v>49</v>
      </c>
    </row>
    <row r="30" spans="1:32" x14ac:dyDescent="0.35">
      <c r="A30" s="1" t="s">
        <v>50</v>
      </c>
    </row>
    <row r="31" spans="1:32" x14ac:dyDescent="0.35">
      <c r="A31" s="1" t="s">
        <v>31</v>
      </c>
    </row>
    <row r="32" spans="1:32" x14ac:dyDescent="0.35">
      <c r="A32" s="1" t="s">
        <v>32</v>
      </c>
    </row>
    <row r="33" spans="1:1" x14ac:dyDescent="0.35">
      <c r="A33" s="1" t="s">
        <v>33</v>
      </c>
    </row>
    <row r="34" spans="1:1" x14ac:dyDescent="0.35">
      <c r="A34" s="1" t="s">
        <v>35</v>
      </c>
    </row>
    <row r="35" spans="1:1" x14ac:dyDescent="0.35">
      <c r="A35" s="1" t="s">
        <v>36</v>
      </c>
    </row>
    <row r="36" spans="1:1" x14ac:dyDescent="0.35">
      <c r="A36" s="1" t="s">
        <v>38</v>
      </c>
    </row>
    <row r="37" spans="1:1" x14ac:dyDescent="0.35">
      <c r="A37" s="1" t="s">
        <v>36</v>
      </c>
    </row>
    <row r="38" spans="1:1" x14ac:dyDescent="0.35">
      <c r="A38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AF45"/>
  <sheetViews>
    <sheetView zoomScale="80" zoomScaleNormal="80" workbookViewId="0">
      <pane xSplit="1" topLeftCell="N1" activePane="topRight" state="frozen"/>
      <selection pane="topRight" activeCell="AH4" sqref="AH4"/>
    </sheetView>
  </sheetViews>
  <sheetFormatPr defaultColWidth="9.1796875" defaultRowHeight="14.5" x14ac:dyDescent="0.35"/>
  <cols>
    <col min="1" max="1" width="26.1796875" bestFit="1" customWidth="1"/>
    <col min="2" max="3" width="7.26953125" customWidth="1"/>
    <col min="4" max="5" width="9.26953125" customWidth="1"/>
    <col min="6" max="7" width="7.26953125" customWidth="1"/>
    <col min="8" max="8" width="7.54296875" customWidth="1"/>
    <col min="9" max="9" width="7.26953125" customWidth="1"/>
    <col min="10" max="10" width="7.54296875" customWidth="1"/>
    <col min="11" max="12" width="9.26953125" customWidth="1"/>
    <col min="13" max="13" width="7.54296875" customWidth="1"/>
    <col min="14" max="14" width="9.26953125" customWidth="1"/>
    <col min="15" max="17" width="7.54296875" customWidth="1"/>
    <col min="18" max="18" width="9.26953125" customWidth="1"/>
    <col min="19" max="21" width="6.7265625" customWidth="1"/>
    <col min="22" max="32" width="9.1796875" customWidth="1"/>
  </cols>
  <sheetData>
    <row r="1" spans="1:32" ht="15" customHeight="1" x14ac:dyDescent="0.35">
      <c r="A1" s="1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 x14ac:dyDescent="0.35">
      <c r="A2" s="7" t="s">
        <v>0</v>
      </c>
      <c r="B2" s="29">
        <v>44743</v>
      </c>
      <c r="C2" s="29">
        <v>44744</v>
      </c>
      <c r="D2" s="29">
        <v>44745</v>
      </c>
      <c r="E2" s="29">
        <v>44746</v>
      </c>
      <c r="F2" s="29">
        <v>44747</v>
      </c>
      <c r="G2" s="29">
        <v>44748</v>
      </c>
      <c r="H2" s="29">
        <v>44749</v>
      </c>
      <c r="I2" s="29">
        <v>44750</v>
      </c>
      <c r="J2" s="29">
        <v>44751</v>
      </c>
      <c r="K2" s="29">
        <v>44752</v>
      </c>
      <c r="L2" s="29">
        <v>44753</v>
      </c>
      <c r="M2" s="29">
        <v>44754</v>
      </c>
      <c r="N2" s="29">
        <v>44755</v>
      </c>
      <c r="O2" s="29">
        <v>44756</v>
      </c>
      <c r="P2" s="29">
        <v>44757</v>
      </c>
      <c r="Q2" s="29">
        <v>44758</v>
      </c>
      <c r="R2" s="29">
        <v>44759</v>
      </c>
      <c r="S2" s="29">
        <v>44760</v>
      </c>
      <c r="T2" s="29">
        <v>44761</v>
      </c>
      <c r="U2" s="29">
        <v>44762</v>
      </c>
      <c r="V2" s="29">
        <v>44763</v>
      </c>
      <c r="W2" s="29">
        <v>44764</v>
      </c>
      <c r="X2" s="29">
        <v>44765</v>
      </c>
      <c r="Y2" s="29">
        <v>44766</v>
      </c>
      <c r="Z2" s="29">
        <v>44767</v>
      </c>
      <c r="AA2" s="29">
        <v>44768</v>
      </c>
      <c r="AB2" s="29">
        <v>44769</v>
      </c>
      <c r="AC2" s="29">
        <v>44770</v>
      </c>
      <c r="AD2" s="29">
        <v>44771</v>
      </c>
      <c r="AE2" s="29">
        <v>44772</v>
      </c>
      <c r="AF2" s="29">
        <v>44773</v>
      </c>
    </row>
    <row r="3" spans="1:32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x14ac:dyDescent="0.35">
      <c r="A4" s="64" t="s">
        <v>1</v>
      </c>
      <c r="B4" s="12" t="s">
        <v>2</v>
      </c>
      <c r="C4" s="65" t="s">
        <v>4</v>
      </c>
      <c r="D4" s="65" t="s">
        <v>4</v>
      </c>
      <c r="E4" s="13" t="s">
        <v>5</v>
      </c>
      <c r="F4" s="13" t="s">
        <v>5</v>
      </c>
      <c r="G4" s="13" t="s">
        <v>5</v>
      </c>
      <c r="H4" s="13" t="s">
        <v>5</v>
      </c>
      <c r="I4" s="13" t="s">
        <v>5</v>
      </c>
      <c r="J4" s="65" t="s">
        <v>4</v>
      </c>
      <c r="K4" s="65" t="s">
        <v>4</v>
      </c>
      <c r="L4" s="13" t="s">
        <v>5</v>
      </c>
      <c r="M4" s="16" t="s">
        <v>8</v>
      </c>
      <c r="N4" s="16" t="s">
        <v>8</v>
      </c>
      <c r="O4" s="16" t="s">
        <v>8</v>
      </c>
      <c r="P4" s="16" t="s">
        <v>8</v>
      </c>
      <c r="Q4" s="28" t="s">
        <v>4</v>
      </c>
      <c r="R4" s="19" t="s">
        <v>42</v>
      </c>
      <c r="S4" s="25" t="s">
        <v>6</v>
      </c>
      <c r="T4" s="65" t="s">
        <v>2</v>
      </c>
      <c r="U4" s="65" t="s">
        <v>2</v>
      </c>
      <c r="V4" s="13" t="s">
        <v>5</v>
      </c>
      <c r="W4" s="10" t="s">
        <v>41</v>
      </c>
      <c r="X4" s="10" t="s">
        <v>42</v>
      </c>
      <c r="Y4" s="10" t="s">
        <v>42</v>
      </c>
      <c r="Z4" s="10" t="s">
        <v>41</v>
      </c>
      <c r="AA4" s="10" t="s">
        <v>41</v>
      </c>
      <c r="AB4" s="10" t="s">
        <v>41</v>
      </c>
      <c r="AC4" s="12" t="s">
        <v>2</v>
      </c>
      <c r="AD4" s="12" t="s">
        <v>2</v>
      </c>
      <c r="AE4" s="17" t="s">
        <v>11</v>
      </c>
      <c r="AF4" s="17" t="s">
        <v>11</v>
      </c>
    </row>
    <row r="5" spans="1:32" x14ac:dyDescent="0.35">
      <c r="A5" s="64" t="s">
        <v>9</v>
      </c>
      <c r="B5" s="13" t="s">
        <v>5</v>
      </c>
      <c r="C5" s="65" t="s">
        <v>4</v>
      </c>
      <c r="D5" s="17" t="s">
        <v>11</v>
      </c>
      <c r="E5" s="17" t="s">
        <v>10</v>
      </c>
      <c r="F5" s="17" t="s">
        <v>10</v>
      </c>
      <c r="G5" s="17" t="s">
        <v>10</v>
      </c>
      <c r="H5" s="17" t="s">
        <v>10</v>
      </c>
      <c r="I5" s="12" t="s">
        <v>2</v>
      </c>
      <c r="J5" s="25" t="s">
        <v>3</v>
      </c>
      <c r="K5" s="17" t="s">
        <v>11</v>
      </c>
      <c r="L5" s="17" t="s">
        <v>10</v>
      </c>
      <c r="M5" s="12" t="s">
        <v>2</v>
      </c>
      <c r="N5" s="74" t="s">
        <v>6</v>
      </c>
      <c r="O5" s="74" t="s">
        <v>6</v>
      </c>
      <c r="P5" s="74" t="s">
        <v>6</v>
      </c>
      <c r="Q5" s="65" t="s">
        <v>4</v>
      </c>
      <c r="R5" s="17" t="s">
        <v>11</v>
      </c>
      <c r="S5" s="17" t="s">
        <v>10</v>
      </c>
      <c r="T5" s="17" t="s">
        <v>10</v>
      </c>
      <c r="U5" s="17" t="s">
        <v>10</v>
      </c>
      <c r="V5" s="12" t="s">
        <v>2</v>
      </c>
      <c r="W5" s="74" t="s">
        <v>6</v>
      </c>
      <c r="X5" s="65" t="s">
        <v>4</v>
      </c>
      <c r="Y5" s="17" t="s">
        <v>11</v>
      </c>
      <c r="Z5" s="17" t="s">
        <v>10</v>
      </c>
      <c r="AA5" s="17" t="s">
        <v>10</v>
      </c>
      <c r="AB5" s="17" t="s">
        <v>10</v>
      </c>
      <c r="AC5" s="17" t="s">
        <v>10</v>
      </c>
      <c r="AD5" s="12" t="s">
        <v>2</v>
      </c>
      <c r="AE5" s="10" t="s">
        <v>42</v>
      </c>
      <c r="AF5" s="28" t="s">
        <v>4</v>
      </c>
    </row>
    <row r="6" spans="1:32" x14ac:dyDescent="0.35">
      <c r="A6" s="64" t="s">
        <v>12</v>
      </c>
      <c r="B6" s="17" t="s">
        <v>10</v>
      </c>
      <c r="C6" s="28" t="s">
        <v>4</v>
      </c>
      <c r="D6" s="10" t="s">
        <v>42</v>
      </c>
      <c r="E6" s="10" t="s">
        <v>41</v>
      </c>
      <c r="F6" s="10" t="s">
        <v>41</v>
      </c>
      <c r="G6" s="12" t="s">
        <v>2</v>
      </c>
      <c r="H6" s="10" t="s">
        <v>41</v>
      </c>
      <c r="I6" s="10" t="s">
        <v>41</v>
      </c>
      <c r="J6" s="19" t="s">
        <v>42</v>
      </c>
      <c r="K6" s="19" t="s">
        <v>42</v>
      </c>
      <c r="L6" s="12" t="s">
        <v>2</v>
      </c>
      <c r="M6" s="17" t="s">
        <v>10</v>
      </c>
      <c r="N6" s="17" t="s">
        <v>10</v>
      </c>
      <c r="O6" s="17" t="s">
        <v>10</v>
      </c>
      <c r="P6" s="17" t="s">
        <v>10</v>
      </c>
      <c r="Q6" s="17" t="s">
        <v>11</v>
      </c>
      <c r="R6" s="28" t="s">
        <v>4</v>
      </c>
      <c r="S6" s="10" t="s">
        <v>41</v>
      </c>
      <c r="T6" s="10" t="s">
        <v>41</v>
      </c>
      <c r="U6" s="10" t="s">
        <v>41</v>
      </c>
      <c r="V6" s="13" t="s">
        <v>5</v>
      </c>
      <c r="W6" s="13" t="s">
        <v>5</v>
      </c>
      <c r="X6" s="65" t="s">
        <v>4</v>
      </c>
      <c r="Y6" s="65" t="s">
        <v>4</v>
      </c>
      <c r="Z6" s="13" t="s">
        <v>5</v>
      </c>
      <c r="AA6" s="74" t="s">
        <v>41</v>
      </c>
      <c r="AB6" s="74" t="s">
        <v>41</v>
      </c>
      <c r="AC6" s="74" t="s">
        <v>41</v>
      </c>
      <c r="AD6" s="74" t="s">
        <v>41</v>
      </c>
      <c r="AE6" s="25" t="s">
        <v>3</v>
      </c>
      <c r="AF6" s="25" t="s">
        <v>3</v>
      </c>
    </row>
    <row r="7" spans="1:32" x14ac:dyDescent="0.35">
      <c r="A7" s="64" t="s">
        <v>14</v>
      </c>
      <c r="B7" s="75" t="s">
        <v>16</v>
      </c>
      <c r="C7" s="78" t="s">
        <v>30</v>
      </c>
      <c r="D7" s="28" t="s">
        <v>4</v>
      </c>
      <c r="E7" s="75" t="s">
        <v>16</v>
      </c>
      <c r="F7" s="75" t="s">
        <v>16</v>
      </c>
      <c r="G7" s="75" t="s">
        <v>16</v>
      </c>
      <c r="H7" s="75" t="s">
        <v>16</v>
      </c>
      <c r="I7" s="75" t="s">
        <v>16</v>
      </c>
      <c r="J7" s="65" t="s">
        <v>4</v>
      </c>
      <c r="K7" s="65" t="s">
        <v>4</v>
      </c>
      <c r="L7" s="13" t="s">
        <v>5</v>
      </c>
      <c r="M7" s="25" t="s">
        <v>6</v>
      </c>
      <c r="N7" s="10" t="s">
        <v>41</v>
      </c>
      <c r="O7" s="10" t="s">
        <v>41</v>
      </c>
      <c r="P7" s="10" t="s">
        <v>41</v>
      </c>
      <c r="Q7" s="25" t="s">
        <v>3</v>
      </c>
      <c r="R7" s="65" t="s">
        <v>4</v>
      </c>
      <c r="S7" s="13" t="s">
        <v>5</v>
      </c>
      <c r="T7" s="12" t="s">
        <v>2</v>
      </c>
      <c r="U7" s="10" t="s">
        <v>41</v>
      </c>
      <c r="V7" s="10" t="s">
        <v>41</v>
      </c>
      <c r="W7" s="10" t="s">
        <v>41</v>
      </c>
      <c r="X7" s="25" t="s">
        <v>3</v>
      </c>
      <c r="Y7" s="25" t="s">
        <v>3</v>
      </c>
      <c r="Z7" s="25" t="s">
        <v>6</v>
      </c>
      <c r="AA7" s="12" t="s">
        <v>2</v>
      </c>
      <c r="AB7" s="25" t="s">
        <v>6</v>
      </c>
      <c r="AC7" s="25" t="s">
        <v>6</v>
      </c>
      <c r="AD7" s="13" t="s">
        <v>5</v>
      </c>
      <c r="AE7" s="65" t="s">
        <v>4</v>
      </c>
      <c r="AF7" s="65" t="s">
        <v>4</v>
      </c>
    </row>
    <row r="8" spans="1:32" x14ac:dyDescent="0.35">
      <c r="A8" s="64" t="s">
        <v>15</v>
      </c>
      <c r="B8" s="25" t="s">
        <v>6</v>
      </c>
      <c r="C8" s="17" t="s">
        <v>11</v>
      </c>
      <c r="D8" s="28" t="s">
        <v>4</v>
      </c>
      <c r="E8" s="25" t="s">
        <v>6</v>
      </c>
      <c r="F8" s="25" t="s">
        <v>6</v>
      </c>
      <c r="G8" s="10" t="s">
        <v>41</v>
      </c>
      <c r="H8" s="10" t="s">
        <v>41</v>
      </c>
      <c r="I8" s="17" t="s">
        <v>10</v>
      </c>
      <c r="J8" s="17" t="s">
        <v>11</v>
      </c>
      <c r="K8" s="28" t="s">
        <v>4</v>
      </c>
      <c r="L8" s="74" t="s">
        <v>41</v>
      </c>
      <c r="M8" s="74" t="s">
        <v>41</v>
      </c>
      <c r="N8" s="74" t="s">
        <v>41</v>
      </c>
      <c r="O8" s="74" t="s">
        <v>41</v>
      </c>
      <c r="P8" s="74" t="s">
        <v>41</v>
      </c>
      <c r="Q8" s="28" t="s">
        <v>4</v>
      </c>
      <c r="R8" s="25" t="s">
        <v>3</v>
      </c>
      <c r="S8" s="17" t="s">
        <v>10</v>
      </c>
      <c r="T8" s="12" t="s">
        <v>2</v>
      </c>
      <c r="U8" s="17" t="s">
        <v>10</v>
      </c>
      <c r="V8" s="17" t="s">
        <v>10</v>
      </c>
      <c r="W8" s="17" t="s">
        <v>10</v>
      </c>
      <c r="X8" s="17" t="s">
        <v>11</v>
      </c>
      <c r="Y8" s="28" t="s">
        <v>4</v>
      </c>
      <c r="Z8" s="12" t="s">
        <v>2</v>
      </c>
      <c r="AA8" s="17" t="s">
        <v>10</v>
      </c>
      <c r="AB8" s="17" t="s">
        <v>10</v>
      </c>
      <c r="AC8" s="17" t="s">
        <v>10</v>
      </c>
      <c r="AD8" s="17" t="s">
        <v>10</v>
      </c>
      <c r="AE8" s="28" t="s">
        <v>4</v>
      </c>
      <c r="AF8" s="10" t="s">
        <v>42</v>
      </c>
    </row>
    <row r="9" spans="1:32" x14ac:dyDescent="0.35">
      <c r="A9" s="64" t="s">
        <v>18</v>
      </c>
      <c r="B9" s="10" t="s">
        <v>41</v>
      </c>
      <c r="C9" s="25" t="s">
        <v>3</v>
      </c>
      <c r="D9" s="25" t="s">
        <v>3</v>
      </c>
      <c r="E9" s="12" t="s">
        <v>2</v>
      </c>
      <c r="F9" s="25" t="s">
        <v>6</v>
      </c>
      <c r="G9" s="25" t="s">
        <v>6</v>
      </c>
      <c r="H9" s="25" t="s">
        <v>6</v>
      </c>
      <c r="I9" s="25" t="s">
        <v>6</v>
      </c>
      <c r="J9" s="28" t="s">
        <v>4</v>
      </c>
      <c r="K9" s="28" t="s">
        <v>4</v>
      </c>
      <c r="L9" s="75" t="s">
        <v>16</v>
      </c>
      <c r="M9" s="74" t="s">
        <v>41</v>
      </c>
      <c r="N9" s="74" t="s">
        <v>41</v>
      </c>
      <c r="O9" s="74" t="s">
        <v>41</v>
      </c>
      <c r="P9" s="74" t="s">
        <v>41</v>
      </c>
      <c r="Q9" s="77" t="s">
        <v>3</v>
      </c>
      <c r="R9" s="28" t="s">
        <v>4</v>
      </c>
      <c r="S9" s="12" t="s">
        <v>2</v>
      </c>
      <c r="T9" s="25" t="s">
        <v>6</v>
      </c>
      <c r="U9" s="25" t="s">
        <v>6</v>
      </c>
      <c r="V9" s="25" t="s">
        <v>6</v>
      </c>
      <c r="W9" s="25" t="s">
        <v>6</v>
      </c>
      <c r="X9" s="28" t="s">
        <v>4</v>
      </c>
      <c r="Y9" s="28" t="s">
        <v>4</v>
      </c>
      <c r="Z9" s="25" t="s">
        <v>6</v>
      </c>
      <c r="AA9" s="25" t="s">
        <v>6</v>
      </c>
      <c r="AB9" s="25" t="s">
        <v>6</v>
      </c>
      <c r="AC9" s="12" t="s">
        <v>2</v>
      </c>
      <c r="AD9" s="25" t="s">
        <v>6</v>
      </c>
      <c r="AE9" s="28" t="s">
        <v>4</v>
      </c>
      <c r="AF9" s="28" t="s">
        <v>4</v>
      </c>
    </row>
    <row r="10" spans="1:32" ht="14.15" customHeight="1" x14ac:dyDescent="0.35">
      <c r="A10" s="64" t="s">
        <v>21</v>
      </c>
      <c r="B10" s="12" t="s">
        <v>2</v>
      </c>
      <c r="C10" s="17" t="s">
        <v>11</v>
      </c>
      <c r="D10" s="17" t="s">
        <v>11</v>
      </c>
      <c r="E10" s="17" t="s">
        <v>10</v>
      </c>
      <c r="F10" s="17" t="s">
        <v>10</v>
      </c>
      <c r="G10" s="17" t="s">
        <v>10</v>
      </c>
      <c r="H10" s="12" t="s">
        <v>2</v>
      </c>
      <c r="I10" s="12" t="s">
        <v>2</v>
      </c>
      <c r="J10" s="25" t="s">
        <v>3</v>
      </c>
      <c r="K10" s="19" t="s">
        <v>42</v>
      </c>
      <c r="L10" s="25" t="s">
        <v>6</v>
      </c>
      <c r="M10" s="25" t="s">
        <v>6</v>
      </c>
      <c r="N10" s="12" t="s">
        <v>2</v>
      </c>
      <c r="O10" s="74" t="s">
        <v>41</v>
      </c>
      <c r="P10" s="74" t="s">
        <v>41</v>
      </c>
      <c r="Q10" s="78" t="s">
        <v>30</v>
      </c>
      <c r="R10" s="77" t="s">
        <v>3</v>
      </c>
      <c r="S10" s="75" t="s">
        <v>16</v>
      </c>
      <c r="T10" s="75" t="s">
        <v>16</v>
      </c>
      <c r="U10" s="12" t="s">
        <v>2</v>
      </c>
      <c r="V10" s="17" t="s">
        <v>10</v>
      </c>
      <c r="W10" s="17" t="s">
        <v>10</v>
      </c>
      <c r="X10" s="17" t="s">
        <v>11</v>
      </c>
      <c r="Y10" s="17" t="s">
        <v>11</v>
      </c>
      <c r="Z10" s="17" t="s">
        <v>10</v>
      </c>
      <c r="AA10" s="12" t="s">
        <v>2</v>
      </c>
      <c r="AB10" s="12" t="s">
        <v>2</v>
      </c>
      <c r="AC10" s="10" t="s">
        <v>41</v>
      </c>
      <c r="AD10" s="17" t="s">
        <v>10</v>
      </c>
      <c r="AE10" s="28" t="s">
        <v>4</v>
      </c>
      <c r="AF10" s="10" t="s">
        <v>42</v>
      </c>
    </row>
    <row r="11" spans="1:32" x14ac:dyDescent="0.35">
      <c r="A11" s="64" t="s">
        <v>43</v>
      </c>
      <c r="B11" s="25" t="s">
        <v>6</v>
      </c>
      <c r="C11" s="10" t="s">
        <v>42</v>
      </c>
      <c r="D11" s="28" t="s">
        <v>4</v>
      </c>
      <c r="E11" s="10" t="s">
        <v>41</v>
      </c>
      <c r="F11" s="10" t="s">
        <v>41</v>
      </c>
      <c r="G11" s="12" t="s">
        <v>2</v>
      </c>
      <c r="H11" s="17" t="s">
        <v>10</v>
      </c>
      <c r="I11" s="17" t="s">
        <v>10</v>
      </c>
      <c r="J11" s="17" t="s">
        <v>11</v>
      </c>
      <c r="K11" s="17" t="s">
        <v>11</v>
      </c>
      <c r="L11" s="17" t="s">
        <v>10</v>
      </c>
      <c r="M11" s="12" t="s">
        <v>2</v>
      </c>
      <c r="N11" s="25" t="s">
        <v>6</v>
      </c>
      <c r="O11" s="25" t="s">
        <v>6</v>
      </c>
      <c r="P11" s="25" t="s">
        <v>6</v>
      </c>
      <c r="Q11" s="19" t="s">
        <v>42</v>
      </c>
      <c r="R11" s="28" t="s">
        <v>4</v>
      </c>
      <c r="S11" s="25" t="s">
        <v>6</v>
      </c>
      <c r="T11" s="25" t="s">
        <v>6</v>
      </c>
      <c r="U11" s="25" t="s">
        <v>6</v>
      </c>
      <c r="V11" s="25" t="s">
        <v>6</v>
      </c>
      <c r="W11" s="25" t="s">
        <v>6</v>
      </c>
      <c r="X11" s="25" t="s">
        <v>3</v>
      </c>
      <c r="Y11" s="28" t="s">
        <v>4</v>
      </c>
      <c r="Z11" s="74" t="s">
        <v>6</v>
      </c>
      <c r="AA11" s="74" t="s">
        <v>6</v>
      </c>
      <c r="AB11" s="74" t="s">
        <v>6</v>
      </c>
      <c r="AC11" s="74" t="s">
        <v>6</v>
      </c>
      <c r="AD11" s="74" t="s">
        <v>6</v>
      </c>
      <c r="AE11" s="17" t="s">
        <v>11</v>
      </c>
      <c r="AF11" s="28" t="s">
        <v>4</v>
      </c>
    </row>
    <row r="12" spans="1:32" ht="15" thickBot="1" x14ac:dyDescent="0.4">
      <c r="A12" s="64" t="s">
        <v>69</v>
      </c>
      <c r="B12" s="74" t="s">
        <v>41</v>
      </c>
      <c r="C12" s="28" t="s">
        <v>4</v>
      </c>
      <c r="D12" s="25" t="s">
        <v>3</v>
      </c>
      <c r="E12" s="10" t="s">
        <v>41</v>
      </c>
      <c r="F12" s="12" t="s">
        <v>2</v>
      </c>
      <c r="G12" s="10" t="s">
        <v>41</v>
      </c>
      <c r="H12" s="74" t="s">
        <v>41</v>
      </c>
      <c r="I12" s="74" t="s">
        <v>41</v>
      </c>
      <c r="J12" s="19" t="s">
        <v>42</v>
      </c>
      <c r="K12" s="25" t="s">
        <v>3</v>
      </c>
      <c r="L12" s="13" t="s">
        <v>5</v>
      </c>
      <c r="M12" s="12" t="s">
        <v>2</v>
      </c>
      <c r="N12" s="12" t="s">
        <v>2</v>
      </c>
      <c r="O12" s="22" t="s">
        <v>16</v>
      </c>
      <c r="P12" s="75" t="s">
        <v>16</v>
      </c>
      <c r="Q12" s="17" t="s">
        <v>11</v>
      </c>
      <c r="R12" s="17" t="s">
        <v>11</v>
      </c>
      <c r="S12" s="12" t="s">
        <v>2</v>
      </c>
      <c r="T12" s="10" t="s">
        <v>41</v>
      </c>
      <c r="U12" s="10" t="s">
        <v>41</v>
      </c>
      <c r="V12" s="10" t="s">
        <v>41</v>
      </c>
      <c r="W12" s="74" t="s">
        <v>41</v>
      </c>
      <c r="X12" s="63" t="s">
        <v>30</v>
      </c>
      <c r="Y12" s="28" t="s">
        <v>4</v>
      </c>
      <c r="Z12" s="10" t="s">
        <v>41</v>
      </c>
      <c r="AA12" s="10" t="s">
        <v>41</v>
      </c>
      <c r="AB12" s="10" t="s">
        <v>41</v>
      </c>
      <c r="AC12" s="13" t="s">
        <v>5</v>
      </c>
      <c r="AD12" s="13" t="s">
        <v>5</v>
      </c>
      <c r="AE12" s="65" t="s">
        <v>4</v>
      </c>
      <c r="AF12" s="65" t="s">
        <v>4</v>
      </c>
    </row>
    <row r="13" spans="1:32" x14ac:dyDescent="0.35">
      <c r="A13" s="64" t="s">
        <v>22</v>
      </c>
      <c r="B13" s="25" t="s">
        <v>6</v>
      </c>
      <c r="C13" s="25" t="s">
        <v>3</v>
      </c>
      <c r="D13" s="28" t="s">
        <v>4</v>
      </c>
      <c r="E13" s="25" t="s">
        <v>6</v>
      </c>
      <c r="F13" s="13" t="s">
        <v>5</v>
      </c>
      <c r="G13" s="13" t="s">
        <v>5</v>
      </c>
      <c r="H13" s="10" t="s">
        <v>41</v>
      </c>
      <c r="I13" s="10" t="s">
        <v>41</v>
      </c>
      <c r="J13" s="28" t="s">
        <v>4</v>
      </c>
      <c r="K13" s="25" t="s">
        <v>3</v>
      </c>
      <c r="L13" s="25" t="s">
        <v>6</v>
      </c>
      <c r="M13" s="25" t="s">
        <v>6</v>
      </c>
      <c r="N13" s="25" t="s">
        <v>6</v>
      </c>
      <c r="O13" s="12" t="s">
        <v>2</v>
      </c>
      <c r="P13" s="12" t="s">
        <v>2</v>
      </c>
      <c r="Q13" s="19" t="s">
        <v>42</v>
      </c>
      <c r="R13" s="28" t="s">
        <v>4</v>
      </c>
      <c r="S13" s="17" t="s">
        <v>10</v>
      </c>
      <c r="T13" s="17" t="s">
        <v>10</v>
      </c>
      <c r="U13" s="17" t="s">
        <v>10</v>
      </c>
      <c r="V13" s="17" t="s">
        <v>10</v>
      </c>
      <c r="W13" s="17" t="s">
        <v>10</v>
      </c>
      <c r="X13" s="28" t="s">
        <v>4</v>
      </c>
      <c r="Y13" s="28" t="s">
        <v>4</v>
      </c>
      <c r="Z13" s="75" t="s">
        <v>16</v>
      </c>
      <c r="AA13" s="75" t="s">
        <v>16</v>
      </c>
      <c r="AB13" s="75" t="s">
        <v>16</v>
      </c>
      <c r="AC13" s="75" t="s">
        <v>16</v>
      </c>
      <c r="AD13" s="75" t="s">
        <v>16</v>
      </c>
      <c r="AE13" s="10" t="s">
        <v>42</v>
      </c>
      <c r="AF13" s="28" t="s">
        <v>4</v>
      </c>
    </row>
    <row r="14" spans="1:32" ht="15" thickBot="1" x14ac:dyDescent="0.4">
      <c r="A14" s="64" t="s">
        <v>60</v>
      </c>
      <c r="B14" s="10" t="s">
        <v>41</v>
      </c>
      <c r="C14" s="19" t="s">
        <v>42</v>
      </c>
      <c r="D14" s="19" t="s">
        <v>42</v>
      </c>
      <c r="E14" s="12" t="s">
        <v>2</v>
      </c>
      <c r="F14" s="10" t="s">
        <v>41</v>
      </c>
      <c r="G14" s="25" t="s">
        <v>6</v>
      </c>
      <c r="H14" s="25" t="s">
        <v>6</v>
      </c>
      <c r="I14" s="25" t="s">
        <v>6</v>
      </c>
      <c r="J14" s="28" t="s">
        <v>4</v>
      </c>
      <c r="K14" s="63" t="s">
        <v>30</v>
      </c>
      <c r="L14" s="10" t="s">
        <v>41</v>
      </c>
      <c r="M14" s="75" t="s">
        <v>16</v>
      </c>
      <c r="N14" s="10" t="s">
        <v>41</v>
      </c>
      <c r="O14" s="75" t="s">
        <v>16</v>
      </c>
      <c r="P14" s="25" t="s">
        <v>6</v>
      </c>
      <c r="Q14" s="28" t="s">
        <v>4</v>
      </c>
      <c r="R14" s="28" t="s">
        <v>4</v>
      </c>
      <c r="S14" s="25" t="s">
        <v>6</v>
      </c>
      <c r="T14" s="75" t="s">
        <v>16</v>
      </c>
      <c r="U14" s="25" t="s">
        <v>6</v>
      </c>
      <c r="V14" s="25" t="s">
        <v>6</v>
      </c>
      <c r="W14" s="12" t="s">
        <v>2</v>
      </c>
      <c r="X14" s="28" t="s">
        <v>4</v>
      </c>
      <c r="Y14" s="25" t="s">
        <v>3</v>
      </c>
      <c r="Z14" s="13" t="s">
        <v>5</v>
      </c>
      <c r="AA14" s="75" t="s">
        <v>16</v>
      </c>
      <c r="AB14" s="13" t="s">
        <v>5</v>
      </c>
      <c r="AC14" s="75" t="s">
        <v>16</v>
      </c>
      <c r="AD14" s="13" t="s">
        <v>5</v>
      </c>
      <c r="AE14" s="17" t="s">
        <v>11</v>
      </c>
      <c r="AF14" s="17" t="s">
        <v>11</v>
      </c>
    </row>
    <row r="15" spans="1:32" ht="15" thickBot="1" x14ac:dyDescent="0.4">
      <c r="A15" s="64" t="s">
        <v>70</v>
      </c>
      <c r="B15" s="13" t="s">
        <v>5</v>
      </c>
      <c r="C15" s="28" t="s">
        <v>4</v>
      </c>
      <c r="D15" s="28" t="s">
        <v>4</v>
      </c>
      <c r="E15" s="75" t="s">
        <v>16</v>
      </c>
      <c r="F15" s="75" t="s">
        <v>16</v>
      </c>
      <c r="G15" s="75" t="s">
        <v>16</v>
      </c>
      <c r="H15" s="75" t="s">
        <v>16</v>
      </c>
      <c r="I15" s="75" t="s">
        <v>16</v>
      </c>
      <c r="J15" s="63" t="s">
        <v>30</v>
      </c>
      <c r="K15" s="28" t="s">
        <v>4</v>
      </c>
      <c r="L15" s="75" t="s">
        <v>16</v>
      </c>
      <c r="M15" s="12" t="s">
        <v>2</v>
      </c>
      <c r="N15" s="25" t="s">
        <v>6</v>
      </c>
      <c r="O15" s="25" t="s">
        <v>6</v>
      </c>
      <c r="P15" s="13" t="s">
        <v>5</v>
      </c>
      <c r="Q15" s="28" t="s">
        <v>4</v>
      </c>
      <c r="R15" s="28" t="s">
        <v>4</v>
      </c>
      <c r="S15" s="10" t="s">
        <v>41</v>
      </c>
      <c r="T15" s="10" t="s">
        <v>41</v>
      </c>
      <c r="U15" s="12" t="s">
        <v>2</v>
      </c>
      <c r="V15" s="10" t="s">
        <v>41</v>
      </c>
      <c r="W15" s="10" t="s">
        <v>41</v>
      </c>
      <c r="X15" s="28" t="s">
        <v>4</v>
      </c>
      <c r="Y15" s="10" t="s">
        <v>42</v>
      </c>
      <c r="Z15" s="10" t="s">
        <v>41</v>
      </c>
      <c r="AA15" s="10" t="s">
        <v>41</v>
      </c>
      <c r="AB15" s="12" t="s">
        <v>2</v>
      </c>
      <c r="AC15" s="10" t="s">
        <v>41</v>
      </c>
      <c r="AD15" s="10" t="s">
        <v>41</v>
      </c>
      <c r="AE15" s="63" t="s">
        <v>30</v>
      </c>
      <c r="AF15" s="25" t="s">
        <v>3</v>
      </c>
    </row>
    <row r="16" spans="1:32" x14ac:dyDescent="0.35">
      <c r="A16" s="64" t="s">
        <v>68</v>
      </c>
      <c r="B16" s="75" t="s">
        <v>16</v>
      </c>
      <c r="C16" s="28" t="s">
        <v>4</v>
      </c>
      <c r="D16" s="28" t="s">
        <v>4</v>
      </c>
      <c r="E16" s="75" t="s">
        <v>16</v>
      </c>
      <c r="F16" s="75" t="s">
        <v>16</v>
      </c>
      <c r="G16" s="75" t="s">
        <v>16</v>
      </c>
      <c r="H16" s="75" t="s">
        <v>16</v>
      </c>
      <c r="I16" s="75" t="s">
        <v>16</v>
      </c>
      <c r="J16" s="28" t="s">
        <v>4</v>
      </c>
      <c r="K16" s="28" t="s">
        <v>4</v>
      </c>
      <c r="L16" s="25" t="s">
        <v>6</v>
      </c>
      <c r="M16" s="10" t="s">
        <v>41</v>
      </c>
      <c r="N16" s="12" t="s">
        <v>2</v>
      </c>
      <c r="O16" s="25" t="s">
        <v>6</v>
      </c>
      <c r="P16" s="25" t="s">
        <v>6</v>
      </c>
      <c r="Q16" s="28" t="s">
        <v>4</v>
      </c>
      <c r="R16" s="19" t="s">
        <v>42</v>
      </c>
      <c r="S16" s="12" t="s">
        <v>2</v>
      </c>
      <c r="T16" s="25" t="s">
        <v>6</v>
      </c>
      <c r="U16" s="25" t="s">
        <v>6</v>
      </c>
      <c r="V16" s="25" t="s">
        <v>6</v>
      </c>
      <c r="W16" s="25" t="s">
        <v>6</v>
      </c>
      <c r="X16" s="28" t="s">
        <v>4</v>
      </c>
      <c r="Y16" s="28" t="s">
        <v>4</v>
      </c>
      <c r="Z16" s="10" t="s">
        <v>41</v>
      </c>
      <c r="AA16" s="25" t="s">
        <v>6</v>
      </c>
      <c r="AB16" s="25" t="s">
        <v>6</v>
      </c>
      <c r="AC16" s="10" t="s">
        <v>41</v>
      </c>
      <c r="AD16" s="25" t="s">
        <v>6</v>
      </c>
      <c r="AE16" s="28" t="s">
        <v>4</v>
      </c>
      <c r="AF16" s="17" t="s">
        <v>11</v>
      </c>
    </row>
    <row r="17" spans="1:32" x14ac:dyDescent="0.35">
      <c r="A17" s="64" t="s">
        <v>71</v>
      </c>
      <c r="B17" s="17" t="s">
        <v>10</v>
      </c>
      <c r="C17" s="28" t="s">
        <v>4</v>
      </c>
      <c r="D17" s="28" t="s">
        <v>4</v>
      </c>
      <c r="E17" s="25" t="s">
        <v>6</v>
      </c>
      <c r="F17" s="25" t="s">
        <v>6</v>
      </c>
      <c r="G17" s="25" t="s">
        <v>6</v>
      </c>
      <c r="H17" s="25" t="s">
        <v>6</v>
      </c>
      <c r="I17" s="25" t="s">
        <v>6</v>
      </c>
      <c r="J17" s="28" t="s">
        <v>4</v>
      </c>
      <c r="K17" s="28" t="s">
        <v>4</v>
      </c>
      <c r="L17" s="10" t="s">
        <v>41</v>
      </c>
      <c r="M17" s="17" t="s">
        <v>10</v>
      </c>
      <c r="N17" s="17" t="s">
        <v>10</v>
      </c>
      <c r="O17" s="17" t="s">
        <v>10</v>
      </c>
      <c r="P17" s="17" t="s">
        <v>10</v>
      </c>
      <c r="Q17" s="28" t="s">
        <v>4</v>
      </c>
      <c r="R17" s="28" t="s">
        <v>4</v>
      </c>
      <c r="S17" s="10" t="s">
        <v>41</v>
      </c>
      <c r="T17" s="10" t="s">
        <v>41</v>
      </c>
      <c r="U17" s="10" t="s">
        <v>41</v>
      </c>
      <c r="V17" s="10" t="s">
        <v>41</v>
      </c>
      <c r="W17" s="10" t="s">
        <v>41</v>
      </c>
      <c r="X17" s="10" t="s">
        <v>42</v>
      </c>
      <c r="Y17" s="28" t="s">
        <v>4</v>
      </c>
      <c r="Z17" s="75" t="s">
        <v>16</v>
      </c>
      <c r="AA17" s="75" t="s">
        <v>16</v>
      </c>
      <c r="AB17" s="75" t="s">
        <v>16</v>
      </c>
      <c r="AC17" s="75" t="s">
        <v>16</v>
      </c>
      <c r="AD17" s="74" t="s">
        <v>41</v>
      </c>
      <c r="AE17" s="25" t="s">
        <v>3</v>
      </c>
      <c r="AF17" s="28" t="s">
        <v>4</v>
      </c>
    </row>
    <row r="19" spans="1:32" x14ac:dyDescent="0.35">
      <c r="A19" s="79" t="s">
        <v>114</v>
      </c>
      <c r="B19" s="80">
        <f t="shared" ref="B19:AF19" si="1">COUNTIF(B3:B17,"*MS")</f>
        <v>3</v>
      </c>
      <c r="C19" s="80">
        <f t="shared" si="1"/>
        <v>2</v>
      </c>
      <c r="D19" s="80">
        <f t="shared" si="1"/>
        <v>2</v>
      </c>
      <c r="E19" s="80">
        <f t="shared" si="1"/>
        <v>3</v>
      </c>
      <c r="F19" s="80">
        <f t="shared" si="1"/>
        <v>3</v>
      </c>
      <c r="G19" s="80">
        <f t="shared" si="1"/>
        <v>3</v>
      </c>
      <c r="H19" s="80">
        <f t="shared" si="1"/>
        <v>3</v>
      </c>
      <c r="I19" s="80">
        <f t="shared" si="1"/>
        <v>3</v>
      </c>
      <c r="J19" s="80">
        <f t="shared" si="1"/>
        <v>2</v>
      </c>
      <c r="K19" s="80">
        <f t="shared" si="1"/>
        <v>2</v>
      </c>
      <c r="L19" s="80">
        <f t="shared" si="1"/>
        <v>3</v>
      </c>
      <c r="M19" s="80">
        <f t="shared" si="1"/>
        <v>3</v>
      </c>
      <c r="N19" s="80">
        <f t="shared" si="1"/>
        <v>4</v>
      </c>
      <c r="O19" s="80">
        <f t="shared" si="1"/>
        <v>4</v>
      </c>
      <c r="P19" s="80">
        <f t="shared" si="1"/>
        <v>4</v>
      </c>
      <c r="Q19" s="80">
        <f t="shared" si="1"/>
        <v>2</v>
      </c>
      <c r="R19" s="80">
        <f t="shared" si="1"/>
        <v>2</v>
      </c>
      <c r="S19" s="80">
        <f t="shared" si="1"/>
        <v>3</v>
      </c>
      <c r="T19" s="80">
        <f t="shared" si="1"/>
        <v>3</v>
      </c>
      <c r="U19" s="80">
        <f t="shared" si="1"/>
        <v>4</v>
      </c>
      <c r="V19" s="80">
        <f t="shared" si="1"/>
        <v>4</v>
      </c>
      <c r="W19" s="80">
        <f t="shared" si="1"/>
        <v>4</v>
      </c>
      <c r="X19" s="80">
        <f t="shared" si="1"/>
        <v>2</v>
      </c>
      <c r="Y19" s="80">
        <f t="shared" si="1"/>
        <v>2</v>
      </c>
      <c r="Z19" s="80">
        <f t="shared" si="1"/>
        <v>3</v>
      </c>
      <c r="AA19" s="80">
        <f t="shared" si="1"/>
        <v>3</v>
      </c>
      <c r="AB19" s="80">
        <f t="shared" si="1"/>
        <v>4</v>
      </c>
      <c r="AC19" s="80">
        <f t="shared" si="1"/>
        <v>2</v>
      </c>
      <c r="AD19" s="80">
        <f t="shared" si="1"/>
        <v>3</v>
      </c>
      <c r="AE19" s="80">
        <f t="shared" si="1"/>
        <v>2</v>
      </c>
      <c r="AF19" s="80">
        <f t="shared" si="1"/>
        <v>2</v>
      </c>
    </row>
    <row r="20" spans="1:32" x14ac:dyDescent="0.35">
      <c r="A20" s="81" t="s">
        <v>115</v>
      </c>
      <c r="B20" s="82">
        <f t="shared" ref="B20:AF20" si="2">COUNTIF(B3:B17,"*AS*")</f>
        <v>3</v>
      </c>
      <c r="C20" s="82">
        <f t="shared" si="2"/>
        <v>2</v>
      </c>
      <c r="D20" s="82">
        <f t="shared" si="2"/>
        <v>2</v>
      </c>
      <c r="E20" s="82">
        <f t="shared" si="2"/>
        <v>3</v>
      </c>
      <c r="F20" s="82">
        <f t="shared" si="2"/>
        <v>3</v>
      </c>
      <c r="G20" s="82">
        <f t="shared" si="2"/>
        <v>2</v>
      </c>
      <c r="H20" s="82">
        <f t="shared" si="2"/>
        <v>4</v>
      </c>
      <c r="I20" s="82">
        <f t="shared" si="2"/>
        <v>3</v>
      </c>
      <c r="J20" s="82">
        <f t="shared" si="2"/>
        <v>2</v>
      </c>
      <c r="K20" s="82">
        <f t="shared" si="2"/>
        <v>2</v>
      </c>
      <c r="L20" s="82">
        <f t="shared" si="2"/>
        <v>3</v>
      </c>
      <c r="M20" s="82">
        <f t="shared" si="2"/>
        <v>3</v>
      </c>
      <c r="N20" s="82">
        <f t="shared" si="2"/>
        <v>4</v>
      </c>
      <c r="O20" s="82">
        <f t="shared" si="2"/>
        <v>4</v>
      </c>
      <c r="P20" s="82">
        <f t="shared" si="2"/>
        <v>4</v>
      </c>
      <c r="Q20" s="82">
        <f t="shared" si="2"/>
        <v>2</v>
      </c>
      <c r="R20" s="82">
        <f t="shared" si="2"/>
        <v>2</v>
      </c>
      <c r="S20" s="82">
        <f t="shared" si="2"/>
        <v>3</v>
      </c>
      <c r="T20" s="82">
        <f t="shared" si="2"/>
        <v>4</v>
      </c>
      <c r="U20" s="82">
        <f t="shared" si="2"/>
        <v>4</v>
      </c>
      <c r="V20" s="82">
        <f t="shared" si="2"/>
        <v>4</v>
      </c>
      <c r="W20" s="82">
        <f t="shared" si="2"/>
        <v>5</v>
      </c>
      <c r="X20" s="82">
        <f t="shared" si="2"/>
        <v>2</v>
      </c>
      <c r="Y20" s="82">
        <f t="shared" si="2"/>
        <v>2</v>
      </c>
      <c r="Z20" s="82">
        <f t="shared" si="2"/>
        <v>4</v>
      </c>
      <c r="AA20" s="82">
        <f t="shared" si="2"/>
        <v>4</v>
      </c>
      <c r="AB20" s="82">
        <f t="shared" si="2"/>
        <v>3</v>
      </c>
      <c r="AC20" s="82">
        <f t="shared" si="2"/>
        <v>4</v>
      </c>
      <c r="AD20" s="82">
        <f t="shared" si="2"/>
        <v>3</v>
      </c>
      <c r="AE20" s="82">
        <f t="shared" si="2"/>
        <v>2</v>
      </c>
      <c r="AF20" s="82">
        <f t="shared" si="2"/>
        <v>2</v>
      </c>
    </row>
    <row r="21" spans="1:32" x14ac:dyDescent="0.35">
      <c r="A21" s="83" t="s">
        <v>116</v>
      </c>
      <c r="B21" s="84">
        <f t="shared" ref="B21:AF21" si="3">COUNTIF(B3:B17,"*GS*")</f>
        <v>2</v>
      </c>
      <c r="C21" s="84">
        <f t="shared" si="3"/>
        <v>1</v>
      </c>
      <c r="D21" s="84">
        <f t="shared" si="3"/>
        <v>0</v>
      </c>
      <c r="E21" s="84">
        <f t="shared" si="3"/>
        <v>3</v>
      </c>
      <c r="F21" s="84">
        <f t="shared" si="3"/>
        <v>3</v>
      </c>
      <c r="G21" s="84">
        <f t="shared" si="3"/>
        <v>3</v>
      </c>
      <c r="H21" s="84">
        <f t="shared" si="3"/>
        <v>3</v>
      </c>
      <c r="I21" s="84">
        <f t="shared" si="3"/>
        <v>3</v>
      </c>
      <c r="J21" s="84">
        <f t="shared" si="3"/>
        <v>1</v>
      </c>
      <c r="K21" s="84">
        <f t="shared" si="3"/>
        <v>1</v>
      </c>
      <c r="L21" s="84">
        <f t="shared" si="3"/>
        <v>2</v>
      </c>
      <c r="M21" s="84">
        <f t="shared" si="3"/>
        <v>1</v>
      </c>
      <c r="N21" s="84">
        <f t="shared" si="3"/>
        <v>0</v>
      </c>
      <c r="O21" s="84">
        <f t="shared" si="3"/>
        <v>2</v>
      </c>
      <c r="P21" s="84">
        <f t="shared" si="3"/>
        <v>1</v>
      </c>
      <c r="Q21" s="84">
        <f t="shared" si="3"/>
        <v>1</v>
      </c>
      <c r="R21" s="84">
        <f t="shared" si="3"/>
        <v>0</v>
      </c>
      <c r="S21" s="84">
        <f t="shared" si="3"/>
        <v>1</v>
      </c>
      <c r="T21" s="84">
        <f t="shared" si="3"/>
        <v>2</v>
      </c>
      <c r="U21" s="84">
        <f t="shared" si="3"/>
        <v>0</v>
      </c>
      <c r="V21" s="84">
        <f t="shared" si="3"/>
        <v>0</v>
      </c>
      <c r="W21" s="84">
        <f t="shared" si="3"/>
        <v>0</v>
      </c>
      <c r="X21" s="84">
        <f t="shared" si="3"/>
        <v>1</v>
      </c>
      <c r="Y21" s="84">
        <f t="shared" si="3"/>
        <v>0</v>
      </c>
      <c r="Z21" s="84">
        <f t="shared" si="3"/>
        <v>2</v>
      </c>
      <c r="AA21" s="84">
        <f t="shared" si="3"/>
        <v>3</v>
      </c>
      <c r="AB21" s="84">
        <f t="shared" si="3"/>
        <v>2</v>
      </c>
      <c r="AC21" s="84">
        <f t="shared" si="3"/>
        <v>3</v>
      </c>
      <c r="AD21" s="84">
        <f t="shared" si="3"/>
        <v>1</v>
      </c>
      <c r="AE21" s="84">
        <f t="shared" si="3"/>
        <v>1</v>
      </c>
      <c r="AF21" s="84">
        <f t="shared" si="3"/>
        <v>0</v>
      </c>
    </row>
    <row r="22" spans="1:32" x14ac:dyDescent="0.35">
      <c r="A22" s="85" t="s">
        <v>117</v>
      </c>
      <c r="B22" s="86">
        <f t="shared" ref="B22:AF22" si="4">COUNTIF(B3:B17,"*NS*")</f>
        <v>2</v>
      </c>
      <c r="C22" s="86">
        <f t="shared" si="4"/>
        <v>2</v>
      </c>
      <c r="D22" s="86">
        <f t="shared" si="4"/>
        <v>2</v>
      </c>
      <c r="E22" s="86">
        <f t="shared" si="4"/>
        <v>2</v>
      </c>
      <c r="F22" s="86">
        <f t="shared" si="4"/>
        <v>2</v>
      </c>
      <c r="G22" s="86">
        <f t="shared" si="4"/>
        <v>2</v>
      </c>
      <c r="H22" s="86">
        <f t="shared" si="4"/>
        <v>2</v>
      </c>
      <c r="I22" s="86">
        <f t="shared" si="4"/>
        <v>2</v>
      </c>
      <c r="J22" s="86">
        <f t="shared" si="4"/>
        <v>2</v>
      </c>
      <c r="K22" s="86">
        <f t="shared" si="4"/>
        <v>2</v>
      </c>
      <c r="L22" s="86">
        <f t="shared" si="4"/>
        <v>2</v>
      </c>
      <c r="M22" s="86">
        <f t="shared" si="4"/>
        <v>3</v>
      </c>
      <c r="N22" s="86">
        <f t="shared" si="4"/>
        <v>3</v>
      </c>
      <c r="O22" s="86">
        <f t="shared" si="4"/>
        <v>3</v>
      </c>
      <c r="P22" s="86">
        <f t="shared" si="4"/>
        <v>3</v>
      </c>
      <c r="Q22" s="86">
        <f t="shared" si="4"/>
        <v>2</v>
      </c>
      <c r="R22" s="86">
        <f t="shared" si="4"/>
        <v>2</v>
      </c>
      <c r="S22" s="86">
        <f t="shared" si="4"/>
        <v>3</v>
      </c>
      <c r="T22" s="86">
        <f t="shared" si="4"/>
        <v>2</v>
      </c>
      <c r="U22" s="86">
        <f t="shared" si="4"/>
        <v>3</v>
      </c>
      <c r="V22" s="86">
        <f t="shared" si="4"/>
        <v>3</v>
      </c>
      <c r="W22" s="86">
        <f t="shared" si="4"/>
        <v>3</v>
      </c>
      <c r="X22" s="86">
        <f t="shared" si="4"/>
        <v>2</v>
      </c>
      <c r="Y22" s="86">
        <f t="shared" si="4"/>
        <v>2</v>
      </c>
      <c r="Z22" s="86">
        <f t="shared" si="4"/>
        <v>2</v>
      </c>
      <c r="AA22" s="86">
        <f t="shared" si="4"/>
        <v>2</v>
      </c>
      <c r="AB22" s="86">
        <f t="shared" si="4"/>
        <v>2</v>
      </c>
      <c r="AC22" s="86">
        <f t="shared" si="4"/>
        <v>2</v>
      </c>
      <c r="AD22" s="86">
        <f t="shared" si="4"/>
        <v>2</v>
      </c>
      <c r="AE22" s="86">
        <f t="shared" si="4"/>
        <v>3</v>
      </c>
      <c r="AF22" s="86">
        <f t="shared" si="4"/>
        <v>3</v>
      </c>
    </row>
    <row r="23" spans="1:32" x14ac:dyDescent="0.35">
      <c r="A23" s="87" t="s">
        <v>118</v>
      </c>
      <c r="B23" s="88">
        <f t="shared" ref="B23:AF23" si="5">COUNTIF(B3:B17,"N*3")</f>
        <v>0</v>
      </c>
      <c r="C23" s="88">
        <f t="shared" si="5"/>
        <v>0</v>
      </c>
      <c r="D23" s="88">
        <f t="shared" si="5"/>
        <v>0</v>
      </c>
      <c r="E23" s="88">
        <f t="shared" si="5"/>
        <v>0</v>
      </c>
      <c r="F23" s="88">
        <f t="shared" si="5"/>
        <v>0</v>
      </c>
      <c r="G23" s="88">
        <f t="shared" si="5"/>
        <v>0</v>
      </c>
      <c r="H23" s="88">
        <f t="shared" si="5"/>
        <v>0</v>
      </c>
      <c r="I23" s="88">
        <f t="shared" si="5"/>
        <v>0</v>
      </c>
      <c r="J23" s="88">
        <f t="shared" si="5"/>
        <v>0</v>
      </c>
      <c r="K23" s="88">
        <f t="shared" si="5"/>
        <v>0</v>
      </c>
      <c r="L23" s="88">
        <f t="shared" si="5"/>
        <v>0</v>
      </c>
      <c r="M23" s="88">
        <f t="shared" si="5"/>
        <v>1</v>
      </c>
      <c r="N23" s="88">
        <f t="shared" si="5"/>
        <v>1</v>
      </c>
      <c r="O23" s="88">
        <f t="shared" si="5"/>
        <v>1</v>
      </c>
      <c r="P23" s="88">
        <f t="shared" si="5"/>
        <v>1</v>
      </c>
      <c r="Q23" s="88">
        <f t="shared" si="5"/>
        <v>0</v>
      </c>
      <c r="R23" s="88">
        <f t="shared" si="5"/>
        <v>0</v>
      </c>
      <c r="S23" s="88">
        <f t="shared" si="5"/>
        <v>0</v>
      </c>
      <c r="T23" s="88">
        <f t="shared" si="5"/>
        <v>0</v>
      </c>
      <c r="U23" s="88">
        <f t="shared" si="5"/>
        <v>0</v>
      </c>
      <c r="V23" s="88">
        <f t="shared" si="5"/>
        <v>0</v>
      </c>
      <c r="W23" s="88">
        <f t="shared" si="5"/>
        <v>0</v>
      </c>
      <c r="X23" s="88">
        <f t="shared" si="5"/>
        <v>0</v>
      </c>
      <c r="Y23" s="88">
        <f t="shared" si="5"/>
        <v>0</v>
      </c>
      <c r="Z23" s="88">
        <f t="shared" si="5"/>
        <v>0</v>
      </c>
      <c r="AA23" s="88">
        <f t="shared" si="5"/>
        <v>0</v>
      </c>
      <c r="AB23" s="88">
        <f t="shared" si="5"/>
        <v>0</v>
      </c>
      <c r="AC23" s="88">
        <f t="shared" si="5"/>
        <v>0</v>
      </c>
      <c r="AD23" s="88">
        <f t="shared" si="5"/>
        <v>0</v>
      </c>
      <c r="AE23" s="88">
        <f t="shared" si="5"/>
        <v>0</v>
      </c>
      <c r="AF23" s="88">
        <f t="shared" si="5"/>
        <v>0</v>
      </c>
    </row>
    <row r="24" spans="1:32" x14ac:dyDescent="0.35">
      <c r="A24" s="89" t="s">
        <v>119</v>
      </c>
      <c r="B24" s="90">
        <f t="shared" ref="B24" si="6">SUM(B19:B23)</f>
        <v>10</v>
      </c>
      <c r="C24" s="90">
        <f t="shared" ref="C24:AF24" si="7">SUM(C19:C23)</f>
        <v>7</v>
      </c>
      <c r="D24" s="90">
        <f t="shared" si="7"/>
        <v>6</v>
      </c>
      <c r="E24" s="90">
        <f t="shared" si="7"/>
        <v>11</v>
      </c>
      <c r="F24" s="90">
        <f t="shared" si="7"/>
        <v>11</v>
      </c>
      <c r="G24" s="90">
        <f t="shared" si="7"/>
        <v>10</v>
      </c>
      <c r="H24" s="90">
        <f>SUM(H19:H23)</f>
        <v>12</v>
      </c>
      <c r="I24" s="90">
        <f t="shared" si="7"/>
        <v>11</v>
      </c>
      <c r="J24" s="90">
        <f t="shared" si="7"/>
        <v>7</v>
      </c>
      <c r="K24" s="90">
        <f t="shared" si="7"/>
        <v>7</v>
      </c>
      <c r="L24" s="90">
        <f t="shared" si="7"/>
        <v>10</v>
      </c>
      <c r="M24" s="90">
        <f t="shared" si="7"/>
        <v>11</v>
      </c>
      <c r="N24" s="90">
        <f t="shared" si="7"/>
        <v>12</v>
      </c>
      <c r="O24" s="90">
        <f t="shared" si="7"/>
        <v>14</v>
      </c>
      <c r="P24" s="90">
        <f t="shared" si="7"/>
        <v>13</v>
      </c>
      <c r="Q24" s="90">
        <f t="shared" si="7"/>
        <v>7</v>
      </c>
      <c r="R24" s="90">
        <f t="shared" si="7"/>
        <v>6</v>
      </c>
      <c r="S24" s="90">
        <f t="shared" si="7"/>
        <v>10</v>
      </c>
      <c r="T24" s="90">
        <f t="shared" si="7"/>
        <v>11</v>
      </c>
      <c r="U24" s="90">
        <f t="shared" si="7"/>
        <v>11</v>
      </c>
      <c r="V24" s="90">
        <f t="shared" si="7"/>
        <v>11</v>
      </c>
      <c r="W24" s="90">
        <f t="shared" si="7"/>
        <v>12</v>
      </c>
      <c r="X24" s="90">
        <f t="shared" si="7"/>
        <v>7</v>
      </c>
      <c r="Y24" s="90">
        <f t="shared" si="7"/>
        <v>6</v>
      </c>
      <c r="Z24" s="90">
        <f t="shared" si="7"/>
        <v>11</v>
      </c>
      <c r="AA24" s="90">
        <f t="shared" si="7"/>
        <v>12</v>
      </c>
      <c r="AB24" s="90">
        <f t="shared" si="7"/>
        <v>11</v>
      </c>
      <c r="AC24" s="90">
        <f t="shared" si="7"/>
        <v>11</v>
      </c>
      <c r="AD24" s="90">
        <f t="shared" si="7"/>
        <v>9</v>
      </c>
      <c r="AE24" s="90">
        <f t="shared" si="7"/>
        <v>8</v>
      </c>
      <c r="AF24" s="90">
        <f t="shared" si="7"/>
        <v>7</v>
      </c>
    </row>
    <row r="27" spans="1:32" x14ac:dyDescent="0.35">
      <c r="A27" s="24" t="s">
        <v>23</v>
      </c>
    </row>
    <row r="28" spans="1:32" x14ac:dyDescent="0.35">
      <c r="A28" s="1" t="s">
        <v>24</v>
      </c>
    </row>
    <row r="29" spans="1:32" x14ac:dyDescent="0.35">
      <c r="A29" s="1" t="s">
        <v>25</v>
      </c>
    </row>
    <row r="30" spans="1:32" x14ac:dyDescent="0.35">
      <c r="A30" s="1" t="s">
        <v>47</v>
      </c>
    </row>
    <row r="31" spans="1:32" x14ac:dyDescent="0.35">
      <c r="A31" s="1" t="s">
        <v>48</v>
      </c>
    </row>
    <row r="32" spans="1:32" x14ac:dyDescent="0.35">
      <c r="A32" s="1" t="s">
        <v>26</v>
      </c>
    </row>
    <row r="33" spans="1:1" x14ac:dyDescent="0.35">
      <c r="A33" s="1" t="s">
        <v>27</v>
      </c>
    </row>
    <row r="34" spans="1:1" x14ac:dyDescent="0.35">
      <c r="A34" s="1" t="s">
        <v>28</v>
      </c>
    </row>
    <row r="35" spans="1:1" x14ac:dyDescent="0.35">
      <c r="A35" s="1" t="s">
        <v>29</v>
      </c>
    </row>
    <row r="36" spans="1:1" x14ac:dyDescent="0.35">
      <c r="A36" s="1" t="s">
        <v>49</v>
      </c>
    </row>
    <row r="37" spans="1:1" x14ac:dyDescent="0.35">
      <c r="A37" s="1" t="s">
        <v>50</v>
      </c>
    </row>
    <row r="38" spans="1:1" x14ac:dyDescent="0.35">
      <c r="A38" s="1" t="s">
        <v>31</v>
      </c>
    </row>
    <row r="39" spans="1:1" x14ac:dyDescent="0.35">
      <c r="A39" s="1" t="s">
        <v>32</v>
      </c>
    </row>
    <row r="40" spans="1:1" x14ac:dyDescent="0.35">
      <c r="A40" s="1" t="s">
        <v>33</v>
      </c>
    </row>
    <row r="41" spans="1:1" x14ac:dyDescent="0.35">
      <c r="A41" s="1" t="s">
        <v>35</v>
      </c>
    </row>
    <row r="42" spans="1:1" x14ac:dyDescent="0.35">
      <c r="A42" s="1" t="s">
        <v>36</v>
      </c>
    </row>
    <row r="43" spans="1:1" x14ac:dyDescent="0.35">
      <c r="A43" s="1" t="s">
        <v>38</v>
      </c>
    </row>
    <row r="44" spans="1:1" x14ac:dyDescent="0.35">
      <c r="A44" s="1" t="s">
        <v>36</v>
      </c>
    </row>
    <row r="45" spans="1:1" x14ac:dyDescent="0.35">
      <c r="A45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AM37"/>
  <sheetViews>
    <sheetView zoomScale="80" zoomScaleNormal="80" workbookViewId="0">
      <pane xSplit="1" topLeftCell="R1" activePane="topRight" state="frozen"/>
      <selection pane="topRight" activeCell="S31" sqref="S31"/>
    </sheetView>
  </sheetViews>
  <sheetFormatPr defaultColWidth="9.1796875" defaultRowHeight="14.5" x14ac:dyDescent="0.35"/>
  <cols>
    <col min="1" max="1" width="26.1796875" bestFit="1" customWidth="1"/>
    <col min="2" max="2" width="5.6328125" bestFit="1" customWidth="1"/>
    <col min="3" max="4" width="7.1796875" bestFit="1" customWidth="1"/>
    <col min="5" max="6" width="7.26953125" customWidth="1"/>
    <col min="7" max="8" width="9.26953125" customWidth="1"/>
    <col min="9" max="10" width="7.26953125" customWidth="1"/>
    <col min="11" max="11" width="7.54296875" customWidth="1"/>
    <col min="12" max="12" width="7.26953125" customWidth="1"/>
    <col min="13" max="13" width="7.54296875" customWidth="1"/>
    <col min="14" max="15" width="9.26953125" customWidth="1"/>
    <col min="16" max="16" width="7.54296875" customWidth="1"/>
    <col min="17" max="17" width="9.26953125" customWidth="1"/>
    <col min="18" max="20" width="7.54296875" customWidth="1"/>
    <col min="21" max="21" width="9.26953125" customWidth="1"/>
    <col min="22" max="24" width="6.7265625" customWidth="1"/>
    <col min="25" max="27" width="9.1796875" customWidth="1"/>
  </cols>
  <sheetData>
    <row r="1" spans="1:39" ht="15" customHeight="1" x14ac:dyDescent="0.35">
      <c r="A1" s="1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M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  <c r="AG1" s="2" t="str">
        <f t="shared" si="1"/>
        <v>Mon</v>
      </c>
      <c r="AH1" s="2" t="str">
        <f t="shared" si="1"/>
        <v>Tue</v>
      </c>
      <c r="AI1" s="2" t="str">
        <f t="shared" si="1"/>
        <v>Wed</v>
      </c>
      <c r="AJ1" s="2" t="str">
        <f t="shared" si="1"/>
        <v>Thu</v>
      </c>
      <c r="AK1" s="2" t="str">
        <f t="shared" si="1"/>
        <v>Fri</v>
      </c>
      <c r="AL1" s="2" t="str">
        <f t="shared" si="1"/>
        <v>Sat</v>
      </c>
      <c r="AM1" s="2" t="str">
        <f t="shared" si="1"/>
        <v>Sun</v>
      </c>
    </row>
    <row r="2" spans="1:39" x14ac:dyDescent="0.35">
      <c r="A2" s="7" t="s">
        <v>0</v>
      </c>
      <c r="B2" s="29">
        <v>44771</v>
      </c>
      <c r="C2" s="29">
        <v>44772</v>
      </c>
      <c r="D2" s="29">
        <v>44773</v>
      </c>
      <c r="E2" s="29">
        <v>44774</v>
      </c>
      <c r="F2" s="29">
        <v>44775</v>
      </c>
      <c r="G2" s="29">
        <v>44776</v>
      </c>
      <c r="H2" s="29">
        <v>44777</v>
      </c>
      <c r="I2" s="29">
        <v>44778</v>
      </c>
      <c r="J2" s="29">
        <v>44779</v>
      </c>
      <c r="K2" s="29">
        <v>44780</v>
      </c>
      <c r="L2" s="29">
        <v>44781</v>
      </c>
      <c r="M2" s="29">
        <v>44782</v>
      </c>
      <c r="N2" s="29">
        <v>44783</v>
      </c>
      <c r="O2" s="29">
        <v>44784</v>
      </c>
      <c r="P2" s="29">
        <v>44785</v>
      </c>
      <c r="Q2" s="29">
        <v>44786</v>
      </c>
      <c r="R2" s="29">
        <v>44787</v>
      </c>
      <c r="S2" s="29">
        <v>44788</v>
      </c>
      <c r="T2" s="29">
        <v>44789</v>
      </c>
      <c r="U2" s="29">
        <v>44790</v>
      </c>
      <c r="V2" s="29">
        <v>44791</v>
      </c>
      <c r="W2" s="29">
        <v>44792</v>
      </c>
      <c r="X2" s="29">
        <v>44793</v>
      </c>
      <c r="Y2" s="29">
        <v>44794</v>
      </c>
      <c r="Z2" s="29">
        <v>44795</v>
      </c>
      <c r="AA2" s="29">
        <v>44796</v>
      </c>
      <c r="AB2" s="29">
        <v>44797</v>
      </c>
      <c r="AC2" s="29">
        <v>44798</v>
      </c>
      <c r="AD2" s="29">
        <v>44799</v>
      </c>
      <c r="AE2" s="29">
        <v>44800</v>
      </c>
      <c r="AF2" s="29">
        <v>44801</v>
      </c>
      <c r="AG2" s="29">
        <v>44802</v>
      </c>
      <c r="AH2" s="29">
        <v>44803</v>
      </c>
      <c r="AI2" s="29">
        <v>44804</v>
      </c>
      <c r="AJ2" s="29">
        <v>44805</v>
      </c>
      <c r="AK2" s="29">
        <v>44806</v>
      </c>
      <c r="AL2" s="29">
        <v>44807</v>
      </c>
      <c r="AM2" s="29">
        <v>44808</v>
      </c>
    </row>
    <row r="3" spans="1:39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</row>
    <row r="4" spans="1:39" x14ac:dyDescent="0.35">
      <c r="A4" s="64" t="s">
        <v>1</v>
      </c>
      <c r="B4" s="16" t="s">
        <v>8</v>
      </c>
      <c r="C4" s="17" t="s">
        <v>11</v>
      </c>
      <c r="D4" s="17" t="s">
        <v>11</v>
      </c>
      <c r="E4" s="12" t="s">
        <v>2</v>
      </c>
      <c r="F4" s="10" t="s">
        <v>41</v>
      </c>
      <c r="G4" s="10" t="s">
        <v>41</v>
      </c>
      <c r="H4" s="10" t="s">
        <v>41</v>
      </c>
      <c r="I4" s="12" t="s">
        <v>2</v>
      </c>
      <c r="J4" s="19" t="s">
        <v>42</v>
      </c>
      <c r="K4" s="19" t="s">
        <v>42</v>
      </c>
      <c r="L4" s="10" t="s">
        <v>41</v>
      </c>
      <c r="M4" s="76" t="s">
        <v>74</v>
      </c>
      <c r="N4" s="16" t="s">
        <v>8</v>
      </c>
      <c r="O4" s="16" t="s">
        <v>8</v>
      </c>
      <c r="P4" s="12" t="s">
        <v>2</v>
      </c>
      <c r="Q4" s="19" t="s">
        <v>42</v>
      </c>
      <c r="R4" s="19" t="s">
        <v>42</v>
      </c>
      <c r="S4" s="19" t="s">
        <v>42</v>
      </c>
      <c r="T4" s="16" t="s">
        <v>8</v>
      </c>
      <c r="U4" s="16" t="s">
        <v>8</v>
      </c>
      <c r="V4" s="16" t="s">
        <v>8</v>
      </c>
      <c r="W4" s="12" t="s">
        <v>2</v>
      </c>
      <c r="X4" s="19" t="s">
        <v>42</v>
      </c>
      <c r="Y4" s="19" t="s">
        <v>42</v>
      </c>
      <c r="Z4" s="10" t="s">
        <v>41</v>
      </c>
      <c r="AA4" s="10" t="s">
        <v>41</v>
      </c>
      <c r="AB4" s="12" t="s">
        <v>2</v>
      </c>
      <c r="AC4" s="10" t="s">
        <v>41</v>
      </c>
      <c r="AD4" s="12" t="s">
        <v>2</v>
      </c>
      <c r="AE4" s="19" t="s">
        <v>42</v>
      </c>
      <c r="AF4" s="19" t="s">
        <v>42</v>
      </c>
      <c r="AG4" s="10" t="s">
        <v>41</v>
      </c>
      <c r="AH4" s="10" t="s">
        <v>41</v>
      </c>
      <c r="AI4" s="19" t="s">
        <v>42</v>
      </c>
      <c r="AJ4" s="12" t="s">
        <v>2</v>
      </c>
      <c r="AK4" s="12" t="s">
        <v>2</v>
      </c>
      <c r="AL4" s="19" t="s">
        <v>42</v>
      </c>
      <c r="AM4" s="19" t="s">
        <v>42</v>
      </c>
    </row>
    <row r="5" spans="1:39" x14ac:dyDescent="0.35">
      <c r="A5" s="64" t="s">
        <v>9</v>
      </c>
      <c r="B5" s="74" t="s">
        <v>6</v>
      </c>
      <c r="C5" s="25" t="s">
        <v>3</v>
      </c>
      <c r="D5" s="65" t="s">
        <v>4</v>
      </c>
      <c r="E5" s="17" t="s">
        <v>10</v>
      </c>
      <c r="F5" s="17" t="s">
        <v>10</v>
      </c>
      <c r="G5" s="17" t="s">
        <v>10</v>
      </c>
      <c r="H5" s="17" t="s">
        <v>10</v>
      </c>
      <c r="I5" s="17" t="s">
        <v>10</v>
      </c>
      <c r="J5" s="17" t="s">
        <v>11</v>
      </c>
      <c r="K5" s="17" t="s">
        <v>11</v>
      </c>
      <c r="L5" s="12" t="s">
        <v>2</v>
      </c>
      <c r="M5" s="12" t="s">
        <v>2</v>
      </c>
      <c r="N5" s="25" t="s">
        <v>6</v>
      </c>
      <c r="O5" s="25" t="s">
        <v>6</v>
      </c>
      <c r="P5" s="25" t="s">
        <v>6</v>
      </c>
      <c r="Q5" s="13" t="s">
        <v>5</v>
      </c>
      <c r="R5" s="17" t="s">
        <v>11</v>
      </c>
      <c r="S5" s="17" t="s">
        <v>11</v>
      </c>
      <c r="T5" s="13" t="s">
        <v>5</v>
      </c>
      <c r="U5" s="25" t="s">
        <v>6</v>
      </c>
      <c r="V5" s="25" t="s">
        <v>6</v>
      </c>
      <c r="W5" s="75" t="s">
        <v>16</v>
      </c>
      <c r="X5" s="25" t="s">
        <v>3</v>
      </c>
      <c r="Y5" s="13" t="s">
        <v>5</v>
      </c>
      <c r="Z5" s="13" t="s">
        <v>5</v>
      </c>
      <c r="AA5" s="13" t="s">
        <v>5</v>
      </c>
      <c r="AB5" s="13" t="s">
        <v>5</v>
      </c>
      <c r="AC5" s="13" t="s">
        <v>5</v>
      </c>
      <c r="AD5" s="17" t="s">
        <v>10</v>
      </c>
      <c r="AE5" s="17" t="s">
        <v>11</v>
      </c>
      <c r="AF5" s="17" t="s">
        <v>11</v>
      </c>
      <c r="AG5" s="17" t="s">
        <v>10</v>
      </c>
      <c r="AH5" s="17" t="s">
        <v>10</v>
      </c>
      <c r="AI5" s="13" t="s">
        <v>5</v>
      </c>
      <c r="AJ5" s="25" t="s">
        <v>6</v>
      </c>
      <c r="AK5" s="25" t="s">
        <v>6</v>
      </c>
      <c r="AL5" s="25" t="s">
        <v>3</v>
      </c>
      <c r="AM5" s="13" t="s">
        <v>5</v>
      </c>
    </row>
    <row r="6" spans="1:39" x14ac:dyDescent="0.35">
      <c r="A6" s="64" t="s">
        <v>12</v>
      </c>
      <c r="B6" s="74" t="s">
        <v>41</v>
      </c>
      <c r="C6" s="78" t="s">
        <v>30</v>
      </c>
      <c r="D6" s="77" t="s">
        <v>3</v>
      </c>
      <c r="E6" s="74" t="s">
        <v>41</v>
      </c>
      <c r="F6" s="74" t="s">
        <v>41</v>
      </c>
      <c r="G6" s="74" t="s">
        <v>41</v>
      </c>
      <c r="H6" s="74" t="s">
        <v>41</v>
      </c>
      <c r="I6" s="74" t="s">
        <v>41</v>
      </c>
      <c r="J6" s="74" t="s">
        <v>41</v>
      </c>
      <c r="K6" s="13" t="s">
        <v>5</v>
      </c>
      <c r="L6" s="13" t="s">
        <v>5</v>
      </c>
      <c r="M6" s="13" t="s">
        <v>5</v>
      </c>
      <c r="N6" s="13" t="s">
        <v>5</v>
      </c>
      <c r="O6" s="13" t="s">
        <v>5</v>
      </c>
      <c r="P6" s="13" t="s">
        <v>5</v>
      </c>
      <c r="Q6" s="25" t="s">
        <v>3</v>
      </c>
      <c r="R6" s="25" t="s">
        <v>3</v>
      </c>
      <c r="S6" s="25" t="s">
        <v>3</v>
      </c>
      <c r="T6" s="12" t="s">
        <v>2</v>
      </c>
      <c r="U6" s="12" t="s">
        <v>2</v>
      </c>
      <c r="V6" s="17" t="s">
        <v>10</v>
      </c>
      <c r="W6" s="17" t="s">
        <v>10</v>
      </c>
      <c r="X6" s="17" t="s">
        <v>10</v>
      </c>
      <c r="Y6" s="17" t="s">
        <v>10</v>
      </c>
      <c r="Z6" s="12" t="s">
        <v>2</v>
      </c>
      <c r="AA6" s="12" t="s">
        <v>2</v>
      </c>
      <c r="AB6" s="25" t="s">
        <v>6</v>
      </c>
      <c r="AC6" s="25" t="s">
        <v>6</v>
      </c>
      <c r="AD6" s="25" t="s">
        <v>6</v>
      </c>
      <c r="AE6" s="25" t="s">
        <v>3</v>
      </c>
      <c r="AF6" s="28" t="s">
        <v>4</v>
      </c>
      <c r="AG6" s="12" t="s">
        <v>2</v>
      </c>
      <c r="AH6" s="12" t="s">
        <v>2</v>
      </c>
      <c r="AI6" s="17" t="s">
        <v>10</v>
      </c>
      <c r="AJ6" s="17" t="s">
        <v>10</v>
      </c>
      <c r="AK6" s="17" t="s">
        <v>10</v>
      </c>
      <c r="AL6" s="17" t="s">
        <v>10</v>
      </c>
      <c r="AM6" s="17" t="s">
        <v>10</v>
      </c>
    </row>
    <row r="7" spans="1:39" x14ac:dyDescent="0.35">
      <c r="A7" s="64" t="s">
        <v>14</v>
      </c>
      <c r="B7" s="13" t="s">
        <v>5</v>
      </c>
      <c r="C7" s="65" t="s">
        <v>4</v>
      </c>
      <c r="D7" s="65" t="s">
        <v>4</v>
      </c>
      <c r="E7" s="75" t="s">
        <v>16</v>
      </c>
      <c r="F7" s="75" t="s">
        <v>16</v>
      </c>
      <c r="G7" s="75" t="s">
        <v>16</v>
      </c>
      <c r="H7" s="75" t="s">
        <v>16</v>
      </c>
      <c r="I7" s="75" t="s">
        <v>16</v>
      </c>
      <c r="J7" s="78" t="s">
        <v>30</v>
      </c>
      <c r="K7" s="13" t="s">
        <v>5</v>
      </c>
      <c r="L7" s="13" t="s">
        <v>5</v>
      </c>
      <c r="M7" s="10" t="s">
        <v>41</v>
      </c>
      <c r="N7" s="10" t="s">
        <v>41</v>
      </c>
      <c r="O7" s="10" t="s">
        <v>41</v>
      </c>
      <c r="P7" s="10" t="s">
        <v>41</v>
      </c>
      <c r="Q7" s="13" t="s">
        <v>5</v>
      </c>
      <c r="R7" s="13" t="s">
        <v>5</v>
      </c>
      <c r="S7" s="25" t="s">
        <v>3</v>
      </c>
      <c r="T7" s="10" t="s">
        <v>41</v>
      </c>
      <c r="U7" s="10" t="s">
        <v>41</v>
      </c>
      <c r="V7" s="10" t="s">
        <v>42</v>
      </c>
      <c r="W7" s="10" t="s">
        <v>41</v>
      </c>
      <c r="X7" s="28" t="s">
        <v>4</v>
      </c>
      <c r="Y7" s="25" t="s">
        <v>3</v>
      </c>
      <c r="Z7" s="17" t="s">
        <v>10</v>
      </c>
      <c r="AA7" s="17" t="s">
        <v>10</v>
      </c>
      <c r="AB7" s="17" t="s">
        <v>10</v>
      </c>
      <c r="AC7" s="17" t="s">
        <v>10</v>
      </c>
      <c r="AD7" s="17" t="s">
        <v>10</v>
      </c>
      <c r="AE7" s="13" t="s">
        <v>5</v>
      </c>
      <c r="AF7" s="13" t="s">
        <v>5</v>
      </c>
      <c r="AG7" s="13" t="s">
        <v>5</v>
      </c>
      <c r="AH7" s="13" t="s">
        <v>5</v>
      </c>
      <c r="AI7" s="13" t="s">
        <v>5</v>
      </c>
      <c r="AJ7" s="10" t="s">
        <v>41</v>
      </c>
      <c r="AK7" s="10" t="s">
        <v>41</v>
      </c>
      <c r="AL7" s="19" t="s">
        <v>42</v>
      </c>
      <c r="AM7" s="25" t="s">
        <v>3</v>
      </c>
    </row>
    <row r="8" spans="1:39" ht="15" thickBot="1" x14ac:dyDescent="0.4">
      <c r="A8" s="64" t="s">
        <v>15</v>
      </c>
      <c r="B8" s="10" t="s">
        <v>41</v>
      </c>
      <c r="C8" s="28" t="s">
        <v>4</v>
      </c>
      <c r="D8" s="19" t="s">
        <v>42</v>
      </c>
      <c r="E8" s="25" t="s">
        <v>6</v>
      </c>
      <c r="F8" s="25" t="s">
        <v>6</v>
      </c>
      <c r="G8" s="25" t="s">
        <v>6</v>
      </c>
      <c r="H8" s="12" t="s">
        <v>2</v>
      </c>
      <c r="I8" s="12" t="s">
        <v>2</v>
      </c>
      <c r="J8" s="25" t="s">
        <v>3</v>
      </c>
      <c r="K8" s="17" t="s">
        <v>10</v>
      </c>
      <c r="L8" s="17" t="s">
        <v>10</v>
      </c>
      <c r="M8" s="17" t="s">
        <v>10</v>
      </c>
      <c r="N8" s="17" t="s">
        <v>10</v>
      </c>
      <c r="O8" s="12" t="s">
        <v>2</v>
      </c>
      <c r="P8" s="12" t="s">
        <v>2</v>
      </c>
      <c r="Q8" s="63" t="s">
        <v>30</v>
      </c>
      <c r="R8" s="25" t="s">
        <v>3</v>
      </c>
      <c r="S8" s="19" t="s">
        <v>42</v>
      </c>
      <c r="T8" s="17" t="s">
        <v>10</v>
      </c>
      <c r="U8" s="17" t="s">
        <v>10</v>
      </c>
      <c r="V8" s="12" t="s">
        <v>2</v>
      </c>
      <c r="W8" s="12" t="s">
        <v>2</v>
      </c>
      <c r="X8" s="28" t="s">
        <v>4</v>
      </c>
      <c r="Y8" s="25" t="s">
        <v>3</v>
      </c>
      <c r="Z8" s="25" t="s">
        <v>6</v>
      </c>
      <c r="AA8" s="25" t="s">
        <v>6</v>
      </c>
      <c r="AB8" s="25" t="s">
        <v>6</v>
      </c>
      <c r="AC8" s="25" t="s">
        <v>6</v>
      </c>
      <c r="AD8" s="25" t="s">
        <v>6</v>
      </c>
      <c r="AE8" s="13" t="s">
        <v>5</v>
      </c>
      <c r="AF8" s="13" t="s">
        <v>5</v>
      </c>
      <c r="AG8" s="25" t="s">
        <v>6</v>
      </c>
      <c r="AH8" s="25" t="s">
        <v>6</v>
      </c>
      <c r="AI8" s="25" t="s">
        <v>3</v>
      </c>
      <c r="AJ8" s="25" t="s">
        <v>6</v>
      </c>
      <c r="AK8" s="25" t="s">
        <v>6</v>
      </c>
      <c r="AL8" s="13" t="s">
        <v>5</v>
      </c>
      <c r="AM8" s="13" t="s">
        <v>5</v>
      </c>
    </row>
    <row r="9" spans="1:39" x14ac:dyDescent="0.35">
      <c r="A9" s="64" t="s">
        <v>18</v>
      </c>
      <c r="B9" s="25" t="s">
        <v>6</v>
      </c>
      <c r="C9" s="19" t="s">
        <v>42</v>
      </c>
      <c r="D9" s="28" t="s">
        <v>4</v>
      </c>
      <c r="E9" s="25" t="s">
        <v>6</v>
      </c>
      <c r="F9" s="25" t="s">
        <v>6</v>
      </c>
      <c r="G9" s="25" t="s">
        <v>6</v>
      </c>
      <c r="H9" s="25" t="s">
        <v>6</v>
      </c>
      <c r="I9" s="25" t="s">
        <v>6</v>
      </c>
      <c r="J9" s="28" t="s">
        <v>4</v>
      </c>
      <c r="K9" s="25" t="s">
        <v>3</v>
      </c>
      <c r="L9" s="25" t="s">
        <v>6</v>
      </c>
      <c r="M9" s="25" t="s">
        <v>6</v>
      </c>
      <c r="N9" s="25" t="s">
        <v>6</v>
      </c>
      <c r="O9" s="17" t="s">
        <v>10</v>
      </c>
      <c r="P9" s="17" t="s">
        <v>10</v>
      </c>
      <c r="Q9" s="28" t="s">
        <v>4</v>
      </c>
      <c r="R9" s="28" t="s">
        <v>4</v>
      </c>
      <c r="S9" s="76" t="s">
        <v>37</v>
      </c>
      <c r="T9" s="25" t="s">
        <v>6</v>
      </c>
      <c r="U9" s="25" t="s">
        <v>6</v>
      </c>
      <c r="V9" s="25" t="s">
        <v>6</v>
      </c>
      <c r="W9" s="25" t="s">
        <v>6</v>
      </c>
      <c r="X9" s="25" t="s">
        <v>3</v>
      </c>
      <c r="Y9" s="28" t="s">
        <v>4</v>
      </c>
      <c r="Z9" s="75" t="s">
        <v>16</v>
      </c>
      <c r="AA9" s="75" t="s">
        <v>16</v>
      </c>
      <c r="AB9" s="75" t="s">
        <v>16</v>
      </c>
      <c r="AC9" s="75" t="s">
        <v>16</v>
      </c>
      <c r="AD9" s="75" t="s">
        <v>16</v>
      </c>
      <c r="AE9" s="75" t="s">
        <v>30</v>
      </c>
      <c r="AF9" s="75" t="s">
        <v>3</v>
      </c>
      <c r="AG9" s="12" t="s">
        <v>2</v>
      </c>
      <c r="AH9" s="10" t="s">
        <v>41</v>
      </c>
      <c r="AI9" s="10" t="s">
        <v>42</v>
      </c>
      <c r="AJ9" s="10" t="s">
        <v>41</v>
      </c>
      <c r="AK9" s="10" t="s">
        <v>41</v>
      </c>
      <c r="AL9" s="28" t="s">
        <v>4</v>
      </c>
      <c r="AM9" s="28" t="s">
        <v>4</v>
      </c>
    </row>
    <row r="10" spans="1:39" ht="14" customHeight="1" x14ac:dyDescent="0.35">
      <c r="A10" s="64" t="s">
        <v>21</v>
      </c>
      <c r="B10" s="17" t="s">
        <v>10</v>
      </c>
      <c r="C10" s="17" t="s">
        <v>11</v>
      </c>
      <c r="D10" s="17" t="s">
        <v>11</v>
      </c>
      <c r="E10" s="12" t="s">
        <v>2</v>
      </c>
      <c r="F10" s="12" t="s">
        <v>2</v>
      </c>
      <c r="G10" s="10" t="s">
        <v>41</v>
      </c>
      <c r="H10" s="10" t="s">
        <v>41</v>
      </c>
      <c r="I10" s="10" t="s">
        <v>41</v>
      </c>
      <c r="J10" s="28" t="s">
        <v>4</v>
      </c>
      <c r="K10" s="25" t="s">
        <v>3</v>
      </c>
      <c r="L10" s="25" t="s">
        <v>6</v>
      </c>
      <c r="M10" s="25" t="s">
        <v>6</v>
      </c>
      <c r="N10" s="25" t="s">
        <v>6</v>
      </c>
      <c r="O10" s="17" t="s">
        <v>10</v>
      </c>
      <c r="P10" s="17" t="s">
        <v>10</v>
      </c>
      <c r="Q10" s="17" t="s">
        <v>10</v>
      </c>
      <c r="R10" s="28" t="s">
        <v>4</v>
      </c>
      <c r="S10" s="76" t="s">
        <v>37</v>
      </c>
      <c r="T10" s="10" t="s">
        <v>41</v>
      </c>
      <c r="U10" s="13" t="s">
        <v>5</v>
      </c>
      <c r="V10" s="13" t="s">
        <v>5</v>
      </c>
      <c r="W10" s="13" t="s">
        <v>5</v>
      </c>
      <c r="X10" s="17" t="s">
        <v>10</v>
      </c>
      <c r="Y10" s="17" t="s">
        <v>10</v>
      </c>
      <c r="Z10" s="13" t="s">
        <v>5</v>
      </c>
      <c r="AA10" s="25" t="s">
        <v>6</v>
      </c>
      <c r="AB10" s="25" t="s">
        <v>6</v>
      </c>
      <c r="AC10" s="75" t="s">
        <v>16</v>
      </c>
      <c r="AD10" s="74" t="s">
        <v>41</v>
      </c>
      <c r="AE10" s="75" t="s">
        <v>42</v>
      </c>
      <c r="AF10" s="75" t="s">
        <v>42</v>
      </c>
      <c r="AG10" s="74" t="s">
        <v>3</v>
      </c>
      <c r="AH10" s="75" t="s">
        <v>6</v>
      </c>
      <c r="AI10" s="13" t="s">
        <v>5</v>
      </c>
      <c r="AJ10" s="17" t="s">
        <v>10</v>
      </c>
      <c r="AK10" s="17" t="s">
        <v>10</v>
      </c>
      <c r="AL10" s="17" t="s">
        <v>10</v>
      </c>
      <c r="AM10" s="17" t="s">
        <v>10</v>
      </c>
    </row>
    <row r="11" spans="1:39" x14ac:dyDescent="0.35">
      <c r="A11" s="64" t="s">
        <v>43</v>
      </c>
      <c r="B11" s="17" t="s">
        <v>10</v>
      </c>
      <c r="C11" s="28" t="s">
        <v>4</v>
      </c>
      <c r="D11" s="25" t="s">
        <v>3</v>
      </c>
      <c r="E11" s="74" t="s">
        <v>108</v>
      </c>
      <c r="F11" s="74" t="s">
        <v>6</v>
      </c>
      <c r="G11" s="74" t="s">
        <v>6</v>
      </c>
      <c r="H11" s="74" t="s">
        <v>6</v>
      </c>
      <c r="I11" s="74" t="s">
        <v>6</v>
      </c>
      <c r="J11" s="74" t="s">
        <v>3</v>
      </c>
      <c r="K11" s="28" t="s">
        <v>4</v>
      </c>
      <c r="L11" s="10" t="s">
        <v>41</v>
      </c>
      <c r="M11" s="10" t="s">
        <v>41</v>
      </c>
      <c r="N11" s="10" t="s">
        <v>41</v>
      </c>
      <c r="O11" s="25" t="s">
        <v>3</v>
      </c>
      <c r="P11" s="25" t="s">
        <v>6</v>
      </c>
      <c r="Q11" s="28" t="s">
        <v>4</v>
      </c>
      <c r="R11" s="17" t="s">
        <v>10</v>
      </c>
      <c r="S11" s="17" t="s">
        <v>10</v>
      </c>
      <c r="T11" s="17" t="s">
        <v>10</v>
      </c>
      <c r="U11" s="17" t="s">
        <v>10</v>
      </c>
      <c r="V11" s="17" t="s">
        <v>10</v>
      </c>
      <c r="W11" s="17" t="s">
        <v>10</v>
      </c>
      <c r="X11" s="28" t="s">
        <v>4</v>
      </c>
      <c r="Y11" s="28" t="s">
        <v>4</v>
      </c>
      <c r="Z11" s="25" t="s">
        <v>6</v>
      </c>
      <c r="AA11" s="10" t="s">
        <v>41</v>
      </c>
      <c r="AB11" s="10" t="s">
        <v>41</v>
      </c>
      <c r="AC11" s="10" t="s">
        <v>41</v>
      </c>
      <c r="AD11" s="12" t="s">
        <v>2</v>
      </c>
      <c r="AE11" s="17" t="s">
        <v>10</v>
      </c>
      <c r="AF11" s="17" t="s">
        <v>10</v>
      </c>
      <c r="AG11" s="17" t="s">
        <v>10</v>
      </c>
      <c r="AH11" s="17" t="s">
        <v>10</v>
      </c>
      <c r="AI11" s="17" t="s">
        <v>10</v>
      </c>
      <c r="AJ11" s="12" t="s">
        <v>2</v>
      </c>
      <c r="AK11" s="12" t="s">
        <v>2</v>
      </c>
      <c r="AL11" s="25" t="s">
        <v>3</v>
      </c>
      <c r="AM11" s="25" t="s">
        <v>3</v>
      </c>
    </row>
    <row r="12" spans="1:39" ht="15" thickBot="1" x14ac:dyDescent="0.4">
      <c r="A12" s="64" t="s">
        <v>69</v>
      </c>
      <c r="B12" s="13" t="s">
        <v>5</v>
      </c>
      <c r="C12" s="65" t="s">
        <v>4</v>
      </c>
      <c r="D12" s="65" t="s">
        <v>4</v>
      </c>
      <c r="E12" s="17" t="s">
        <v>10</v>
      </c>
      <c r="F12" s="17" t="s">
        <v>10</v>
      </c>
      <c r="G12" s="17" t="s">
        <v>10</v>
      </c>
      <c r="H12" s="17" t="s">
        <v>10</v>
      </c>
      <c r="I12" s="17" t="s">
        <v>10</v>
      </c>
      <c r="J12" s="17" t="s">
        <v>11</v>
      </c>
      <c r="K12" s="28" t="s">
        <v>4</v>
      </c>
      <c r="L12" s="10" t="s">
        <v>41</v>
      </c>
      <c r="M12" s="10" t="s">
        <v>41</v>
      </c>
      <c r="N12" s="74" t="s">
        <v>41</v>
      </c>
      <c r="O12" s="10" t="s">
        <v>41</v>
      </c>
      <c r="P12" s="74" t="s">
        <v>41</v>
      </c>
      <c r="Q12" s="28" t="s">
        <v>4</v>
      </c>
      <c r="R12" s="28" t="s">
        <v>4</v>
      </c>
      <c r="S12" s="76" t="s">
        <v>37</v>
      </c>
      <c r="T12" s="10" t="s">
        <v>41</v>
      </c>
      <c r="U12" s="74" t="s">
        <v>41</v>
      </c>
      <c r="V12" s="10" t="s">
        <v>41</v>
      </c>
      <c r="W12" s="74" t="s">
        <v>41</v>
      </c>
      <c r="X12" s="63" t="s">
        <v>30</v>
      </c>
      <c r="Y12" s="28" t="s">
        <v>4</v>
      </c>
      <c r="Z12" s="10" t="s">
        <v>41</v>
      </c>
      <c r="AA12" s="10" t="s">
        <v>41</v>
      </c>
      <c r="AB12" s="75" t="s">
        <v>16</v>
      </c>
      <c r="AC12" s="10" t="s">
        <v>41</v>
      </c>
      <c r="AD12" s="75" t="s">
        <v>16</v>
      </c>
      <c r="AE12" s="28" t="s">
        <v>4</v>
      </c>
      <c r="AF12" s="25" t="s">
        <v>3</v>
      </c>
      <c r="AG12" s="10" t="s">
        <v>41</v>
      </c>
      <c r="AH12" s="10" t="s">
        <v>41</v>
      </c>
      <c r="AI12" s="10" t="s">
        <v>42</v>
      </c>
      <c r="AJ12" s="10" t="s">
        <v>41</v>
      </c>
      <c r="AK12" s="12" t="s">
        <v>2</v>
      </c>
      <c r="AL12" s="28" t="s">
        <v>4</v>
      </c>
      <c r="AM12" s="28" t="s">
        <v>4</v>
      </c>
    </row>
    <row r="13" spans="1:39" x14ac:dyDescent="0.35">
      <c r="A13" s="64" t="s">
        <v>22</v>
      </c>
      <c r="B13" s="75" t="s">
        <v>16</v>
      </c>
      <c r="C13" s="77" t="s">
        <v>3</v>
      </c>
      <c r="D13" s="28" t="s">
        <v>4</v>
      </c>
      <c r="E13" s="10" t="s">
        <v>41</v>
      </c>
      <c r="F13" s="10" t="s">
        <v>41</v>
      </c>
      <c r="G13" s="10" t="s">
        <v>41</v>
      </c>
      <c r="H13" s="10" t="s">
        <v>41</v>
      </c>
      <c r="I13" s="13" t="s">
        <v>5</v>
      </c>
      <c r="J13" s="13" t="s">
        <v>5</v>
      </c>
      <c r="K13" s="13" t="s">
        <v>5</v>
      </c>
      <c r="L13" s="13" t="s">
        <v>5</v>
      </c>
      <c r="M13" s="13" t="s">
        <v>5</v>
      </c>
      <c r="N13" s="13" t="s">
        <v>5</v>
      </c>
      <c r="O13" s="13" t="s">
        <v>5</v>
      </c>
      <c r="P13" s="25" t="s">
        <v>6</v>
      </c>
      <c r="Q13" s="25" t="s">
        <v>3</v>
      </c>
      <c r="R13" s="25" t="s">
        <v>3</v>
      </c>
      <c r="S13" s="25" t="s">
        <v>3</v>
      </c>
      <c r="T13" s="25" t="s">
        <v>6</v>
      </c>
      <c r="U13" s="12" t="s">
        <v>2</v>
      </c>
      <c r="V13" s="12" t="s">
        <v>2</v>
      </c>
      <c r="W13" s="25" t="s">
        <v>6</v>
      </c>
      <c r="X13" s="28" t="s">
        <v>4</v>
      </c>
      <c r="Y13" s="28" t="s">
        <v>4</v>
      </c>
      <c r="Z13" s="25" t="s">
        <v>6</v>
      </c>
      <c r="AA13" s="25" t="s">
        <v>6</v>
      </c>
      <c r="AB13" s="13" t="s">
        <v>5</v>
      </c>
      <c r="AC13" s="75" t="s">
        <v>16</v>
      </c>
      <c r="AD13" s="75" t="s">
        <v>16</v>
      </c>
      <c r="AE13" s="75" t="s">
        <v>3</v>
      </c>
      <c r="AF13" s="28" t="s">
        <v>4</v>
      </c>
      <c r="AG13" s="75" t="s">
        <v>16</v>
      </c>
      <c r="AH13" s="75" t="s">
        <v>16</v>
      </c>
      <c r="AI13" s="75" t="s">
        <v>30</v>
      </c>
      <c r="AJ13" s="75" t="s">
        <v>16</v>
      </c>
      <c r="AK13" s="75" t="s">
        <v>16</v>
      </c>
      <c r="AL13" s="75" t="s">
        <v>30</v>
      </c>
      <c r="AM13" s="28" t="s">
        <v>4</v>
      </c>
    </row>
    <row r="14" spans="1:39" x14ac:dyDescent="0.35">
      <c r="A14" s="64" t="s">
        <v>60</v>
      </c>
      <c r="B14" s="13" t="s">
        <v>5</v>
      </c>
      <c r="C14" s="28" t="s">
        <v>4</v>
      </c>
      <c r="D14" s="28" t="s">
        <v>4</v>
      </c>
      <c r="E14" s="13" t="s">
        <v>5</v>
      </c>
      <c r="F14" s="10" t="s">
        <v>41</v>
      </c>
      <c r="G14" s="13" t="s">
        <v>5</v>
      </c>
      <c r="H14" s="10" t="s">
        <v>41</v>
      </c>
      <c r="I14" s="10" t="s">
        <v>41</v>
      </c>
      <c r="J14" s="19" t="s">
        <v>42</v>
      </c>
      <c r="K14" s="19" t="s">
        <v>42</v>
      </c>
      <c r="L14" s="10" t="s">
        <v>41</v>
      </c>
      <c r="M14" s="10" t="s">
        <v>41</v>
      </c>
      <c r="N14" s="12" t="s">
        <v>2</v>
      </c>
      <c r="O14" s="76" t="s">
        <v>74</v>
      </c>
      <c r="P14" s="10" t="s">
        <v>41</v>
      </c>
      <c r="Q14" s="28" t="s">
        <v>4</v>
      </c>
      <c r="R14" s="28" t="s">
        <v>4</v>
      </c>
      <c r="S14" s="76" t="s">
        <v>37</v>
      </c>
      <c r="T14" s="75" t="s">
        <v>16</v>
      </c>
      <c r="U14" s="75" t="s">
        <v>16</v>
      </c>
      <c r="V14" s="75" t="s">
        <v>16</v>
      </c>
      <c r="W14" s="10" t="s">
        <v>41</v>
      </c>
      <c r="X14" s="19" t="s">
        <v>42</v>
      </c>
      <c r="Y14" s="19" t="s">
        <v>42</v>
      </c>
      <c r="Z14" s="10" t="s">
        <v>41</v>
      </c>
      <c r="AA14" s="75" t="s">
        <v>16</v>
      </c>
      <c r="AB14" s="75" t="s">
        <v>16</v>
      </c>
      <c r="AC14" s="75" t="s">
        <v>16</v>
      </c>
      <c r="AD14" s="10" t="s">
        <v>41</v>
      </c>
      <c r="AE14" s="28" t="s">
        <v>4</v>
      </c>
      <c r="AF14" s="28" t="s">
        <v>4</v>
      </c>
      <c r="AG14" s="10" t="s">
        <v>41</v>
      </c>
      <c r="AH14" s="25" t="s">
        <v>6</v>
      </c>
      <c r="AI14" s="13" t="s">
        <v>5</v>
      </c>
      <c r="AJ14" s="10" t="s">
        <v>41</v>
      </c>
      <c r="AK14" s="10" t="s">
        <v>41</v>
      </c>
      <c r="AL14" s="28" t="s">
        <v>4</v>
      </c>
      <c r="AM14" s="19" t="s">
        <v>42</v>
      </c>
    </row>
    <row r="15" spans="1:39" x14ac:dyDescent="0.35">
      <c r="A15" s="64" t="s">
        <v>70</v>
      </c>
      <c r="B15" s="25" t="s">
        <v>6</v>
      </c>
      <c r="C15" s="28" t="s">
        <v>4</v>
      </c>
      <c r="D15" s="19" t="s">
        <v>42</v>
      </c>
      <c r="E15" s="25" t="s">
        <v>6</v>
      </c>
      <c r="F15" s="25" t="s">
        <v>6</v>
      </c>
      <c r="G15" s="25" t="s">
        <v>6</v>
      </c>
      <c r="H15" s="25" t="s">
        <v>6</v>
      </c>
      <c r="I15" s="25" t="s">
        <v>6</v>
      </c>
      <c r="J15" s="28" t="s">
        <v>4</v>
      </c>
      <c r="K15" s="28" t="s">
        <v>4</v>
      </c>
      <c r="L15" s="25" t="s">
        <v>6</v>
      </c>
      <c r="M15" s="25" t="s">
        <v>6</v>
      </c>
      <c r="N15" s="25" t="s">
        <v>6</v>
      </c>
      <c r="O15" s="13" t="s">
        <v>5</v>
      </c>
      <c r="P15" s="25" t="s">
        <v>6</v>
      </c>
      <c r="Q15" s="19" t="s">
        <v>42</v>
      </c>
      <c r="R15" s="19" t="s">
        <v>42</v>
      </c>
      <c r="S15" s="76" t="s">
        <v>37</v>
      </c>
      <c r="T15" s="75" t="s">
        <v>16</v>
      </c>
      <c r="U15" s="75" t="s">
        <v>16</v>
      </c>
      <c r="V15" s="75" t="s">
        <v>16</v>
      </c>
      <c r="W15" s="75" t="s">
        <v>16</v>
      </c>
      <c r="X15" s="28" t="s">
        <v>4</v>
      </c>
      <c r="Y15" s="28" t="s">
        <v>4</v>
      </c>
      <c r="Z15" s="75" t="s">
        <v>16</v>
      </c>
      <c r="AA15" s="75" t="s">
        <v>16</v>
      </c>
      <c r="AB15" s="10" t="s">
        <v>41</v>
      </c>
      <c r="AC15" s="25" t="s">
        <v>6</v>
      </c>
      <c r="AD15" s="25" t="s">
        <v>6</v>
      </c>
      <c r="AE15" s="28" t="s">
        <v>4</v>
      </c>
      <c r="AF15" s="19" t="s">
        <v>42</v>
      </c>
      <c r="AG15" s="10" t="s">
        <v>41</v>
      </c>
      <c r="AH15" s="13" t="s">
        <v>5</v>
      </c>
      <c r="AI15" s="25" t="s">
        <v>3</v>
      </c>
      <c r="AJ15" s="25" t="s">
        <v>6</v>
      </c>
      <c r="AK15" s="25" t="s">
        <v>6</v>
      </c>
      <c r="AL15" s="28" t="s">
        <v>4</v>
      </c>
      <c r="AM15" s="28" t="s">
        <v>4</v>
      </c>
    </row>
    <row r="16" spans="1:39" x14ac:dyDescent="0.35">
      <c r="A16" s="64" t="s">
        <v>68</v>
      </c>
      <c r="B16" s="10" t="s">
        <v>41</v>
      </c>
      <c r="C16" s="28" t="s">
        <v>4</v>
      </c>
      <c r="D16" s="28" t="s">
        <v>4</v>
      </c>
      <c r="E16" s="16" t="s">
        <v>8</v>
      </c>
      <c r="F16" s="16" t="s">
        <v>8</v>
      </c>
      <c r="G16" s="16" t="s">
        <v>8</v>
      </c>
      <c r="H16" s="16" t="s">
        <v>8</v>
      </c>
      <c r="I16" s="16" t="s">
        <v>8</v>
      </c>
      <c r="J16" s="28" t="s">
        <v>4</v>
      </c>
      <c r="K16" s="28" t="s">
        <v>4</v>
      </c>
      <c r="L16" s="17" t="s">
        <v>10</v>
      </c>
      <c r="M16" s="17" t="s">
        <v>10</v>
      </c>
      <c r="N16" s="17" t="s">
        <v>10</v>
      </c>
      <c r="O16" s="76" t="s">
        <v>74</v>
      </c>
      <c r="P16" s="16" t="s">
        <v>8</v>
      </c>
      <c r="Q16" s="28" t="s">
        <v>4</v>
      </c>
      <c r="R16" s="28" t="s">
        <v>4</v>
      </c>
      <c r="S16" s="19" t="s">
        <v>42</v>
      </c>
      <c r="T16" s="25" t="s">
        <v>6</v>
      </c>
      <c r="U16" s="25" t="s">
        <v>6</v>
      </c>
      <c r="V16" s="25" t="s">
        <v>6</v>
      </c>
      <c r="W16" s="25" t="s">
        <v>6</v>
      </c>
      <c r="X16" s="28" t="s">
        <v>4</v>
      </c>
      <c r="Y16" s="28" t="s">
        <v>4</v>
      </c>
      <c r="Z16" s="10" t="s">
        <v>41</v>
      </c>
      <c r="AA16" s="10" t="s">
        <v>41</v>
      </c>
      <c r="AB16" s="75" t="s">
        <v>16</v>
      </c>
      <c r="AC16" s="75" t="s">
        <v>16</v>
      </c>
      <c r="AD16" s="75" t="s">
        <v>16</v>
      </c>
      <c r="AE16" s="28" t="s">
        <v>4</v>
      </c>
      <c r="AF16" s="28" t="s">
        <v>4</v>
      </c>
      <c r="AG16" s="75" t="s">
        <v>16</v>
      </c>
      <c r="AH16" s="75" t="s">
        <v>16</v>
      </c>
      <c r="AI16" s="75" t="s">
        <v>30</v>
      </c>
      <c r="AJ16" s="75" t="s">
        <v>16</v>
      </c>
      <c r="AK16" s="75" t="s">
        <v>16</v>
      </c>
      <c r="AL16" s="28" t="s">
        <v>4</v>
      </c>
      <c r="AM16" s="28" t="s">
        <v>4</v>
      </c>
    </row>
    <row r="17" spans="1:39" x14ac:dyDescent="0.35">
      <c r="A17" s="64" t="s">
        <v>71</v>
      </c>
      <c r="B17" s="75" t="s">
        <v>16</v>
      </c>
      <c r="C17" s="74" t="s">
        <v>42</v>
      </c>
      <c r="D17" s="28" t="s">
        <v>4</v>
      </c>
      <c r="E17" s="75" t="s">
        <v>16</v>
      </c>
      <c r="F17" s="75" t="s">
        <v>16</v>
      </c>
      <c r="G17" s="75" t="s">
        <v>16</v>
      </c>
      <c r="H17" s="75" t="s">
        <v>16</v>
      </c>
      <c r="I17" s="75" t="s">
        <v>16</v>
      </c>
      <c r="J17" s="28" t="s">
        <v>4</v>
      </c>
      <c r="K17" s="28" t="s">
        <v>4</v>
      </c>
      <c r="L17" s="75" t="s">
        <v>16</v>
      </c>
      <c r="M17" s="13" t="s">
        <v>5</v>
      </c>
      <c r="N17" s="10" t="s">
        <v>41</v>
      </c>
      <c r="O17" s="10" t="s">
        <v>41</v>
      </c>
      <c r="P17" s="10" t="s">
        <v>41</v>
      </c>
      <c r="Q17" s="28" t="s">
        <v>4</v>
      </c>
      <c r="R17" s="28" t="s">
        <v>4</v>
      </c>
      <c r="S17" s="76" t="s">
        <v>37</v>
      </c>
      <c r="T17" s="13" t="s">
        <v>5</v>
      </c>
      <c r="U17" s="10" t="s">
        <v>41</v>
      </c>
      <c r="V17" s="10" t="s">
        <v>41</v>
      </c>
      <c r="W17" s="10" t="s">
        <v>41</v>
      </c>
      <c r="X17" s="28" t="s">
        <v>4</v>
      </c>
      <c r="Y17" s="28" t="s">
        <v>4</v>
      </c>
      <c r="Z17" s="17" t="s">
        <v>10</v>
      </c>
      <c r="AA17" s="17" t="s">
        <v>10</v>
      </c>
      <c r="AB17" s="17" t="s">
        <v>10</v>
      </c>
      <c r="AC17" s="17" t="s">
        <v>10</v>
      </c>
      <c r="AD17" s="16" t="s">
        <v>8</v>
      </c>
      <c r="AE17" s="28" t="s">
        <v>4</v>
      </c>
      <c r="AF17" s="28" t="s">
        <v>4</v>
      </c>
      <c r="AG17" s="25" t="s">
        <v>6</v>
      </c>
      <c r="AH17" s="25" t="s">
        <v>6</v>
      </c>
      <c r="AI17" s="25" t="s">
        <v>3</v>
      </c>
      <c r="AJ17" s="25" t="s">
        <v>6</v>
      </c>
      <c r="AK17" s="25" t="s">
        <v>6</v>
      </c>
      <c r="AL17" s="28" t="s">
        <v>4</v>
      </c>
      <c r="AM17" s="28" t="s">
        <v>4</v>
      </c>
    </row>
    <row r="19" spans="1:39" x14ac:dyDescent="0.35">
      <c r="A19" s="24" t="s">
        <v>23</v>
      </c>
      <c r="B19" s="67"/>
      <c r="C19" s="67"/>
      <c r="D19" s="67"/>
    </row>
    <row r="20" spans="1:39" x14ac:dyDescent="0.35">
      <c r="A20" s="1" t="s">
        <v>24</v>
      </c>
    </row>
    <row r="21" spans="1:39" x14ac:dyDescent="0.35">
      <c r="A21" s="1" t="s">
        <v>25</v>
      </c>
    </row>
    <row r="22" spans="1:39" x14ac:dyDescent="0.35">
      <c r="A22" s="1" t="s">
        <v>47</v>
      </c>
    </row>
    <row r="23" spans="1:39" x14ac:dyDescent="0.35">
      <c r="A23" s="1" t="s">
        <v>48</v>
      </c>
    </row>
    <row r="24" spans="1:39" x14ac:dyDescent="0.35">
      <c r="A24" s="1" t="s">
        <v>26</v>
      </c>
    </row>
    <row r="25" spans="1:39" x14ac:dyDescent="0.35">
      <c r="A25" s="1" t="s">
        <v>27</v>
      </c>
    </row>
    <row r="26" spans="1:39" x14ac:dyDescent="0.35">
      <c r="A26" s="1" t="s">
        <v>28</v>
      </c>
    </row>
    <row r="27" spans="1:39" x14ac:dyDescent="0.35">
      <c r="A27" s="1" t="s">
        <v>29</v>
      </c>
    </row>
    <row r="28" spans="1:39" x14ac:dyDescent="0.35">
      <c r="A28" s="1" t="s">
        <v>49</v>
      </c>
    </row>
    <row r="29" spans="1:39" x14ac:dyDescent="0.35">
      <c r="A29" s="1" t="s">
        <v>50</v>
      </c>
    </row>
    <row r="30" spans="1:39" x14ac:dyDescent="0.35">
      <c r="A30" s="1" t="s">
        <v>31</v>
      </c>
    </row>
    <row r="31" spans="1:39" x14ac:dyDescent="0.35">
      <c r="A31" s="1" t="s">
        <v>32</v>
      </c>
    </row>
    <row r="32" spans="1:39" x14ac:dyDescent="0.35">
      <c r="A32" s="1" t="s">
        <v>33</v>
      </c>
    </row>
    <row r="33" spans="1:1" x14ac:dyDescent="0.35">
      <c r="A33" s="1" t="s">
        <v>35</v>
      </c>
    </row>
    <row r="34" spans="1:1" x14ac:dyDescent="0.35">
      <c r="A34" s="1" t="s">
        <v>36</v>
      </c>
    </row>
    <row r="35" spans="1:1" x14ac:dyDescent="0.35">
      <c r="A35" s="1" t="s">
        <v>38</v>
      </c>
    </row>
    <row r="36" spans="1:1" x14ac:dyDescent="0.35">
      <c r="A36" s="1" t="s">
        <v>36</v>
      </c>
    </row>
    <row r="37" spans="1:1" x14ac:dyDescent="0.35">
      <c r="A37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K49"/>
  <sheetViews>
    <sheetView zoomScale="76" zoomScaleNormal="76" workbookViewId="0">
      <pane xSplit="1" topLeftCell="B1" activePane="topRight" state="frozen"/>
      <selection pane="topRight" activeCell="W5" sqref="W5:X5"/>
    </sheetView>
  </sheetViews>
  <sheetFormatPr defaultColWidth="9.1796875" defaultRowHeight="14.5" x14ac:dyDescent="0.35"/>
  <cols>
    <col min="1" max="1" width="41" customWidth="1"/>
    <col min="2" max="4" width="5.6328125" hidden="1" customWidth="1"/>
    <col min="5" max="6" width="7.1796875" hidden="1" customWidth="1"/>
    <col min="7" max="8" width="7.26953125" customWidth="1"/>
    <col min="9" max="10" width="9.26953125" customWidth="1"/>
    <col min="11" max="12" width="7.26953125" customWidth="1"/>
    <col min="13" max="13" width="7.54296875" customWidth="1"/>
    <col min="14" max="14" width="7.26953125" customWidth="1"/>
    <col min="15" max="15" width="7.54296875" customWidth="1"/>
    <col min="16" max="17" width="9.26953125" customWidth="1"/>
    <col min="18" max="18" width="7.54296875" customWidth="1"/>
    <col min="19" max="19" width="9.26953125" customWidth="1"/>
    <col min="20" max="22" width="7.54296875" customWidth="1"/>
    <col min="23" max="23" width="9.26953125" customWidth="1"/>
    <col min="24" max="26" width="6.7265625" customWidth="1"/>
    <col min="27" max="29" width="9.1796875" customWidth="1"/>
  </cols>
  <sheetData>
    <row r="1" spans="1:37" ht="15" customHeight="1" x14ac:dyDescent="0.35">
      <c r="A1" s="1"/>
      <c r="B1" s="2" t="str">
        <f t="shared" ref="B1:F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ref="G1:AK1" si="1">TEXT(G2,"ddd")</f>
        <v>Mon</v>
      </c>
      <c r="H1" s="2" t="str">
        <f t="shared" si="1"/>
        <v>Tue</v>
      </c>
      <c r="I1" s="2" t="str">
        <f t="shared" si="1"/>
        <v>Wed</v>
      </c>
      <c r="J1" s="2" t="str">
        <f t="shared" si="1"/>
        <v>Thu</v>
      </c>
      <c r="K1" s="2" t="str">
        <f t="shared" si="1"/>
        <v>Fri</v>
      </c>
      <c r="L1" s="2" t="str">
        <f t="shared" si="1"/>
        <v>Sat</v>
      </c>
      <c r="M1" s="2" t="str">
        <f t="shared" si="1"/>
        <v>Sun</v>
      </c>
      <c r="N1" s="2" t="str">
        <f t="shared" si="1"/>
        <v>Mon</v>
      </c>
      <c r="O1" s="2" t="str">
        <f t="shared" si="1"/>
        <v>Tue</v>
      </c>
      <c r="P1" s="2" t="str">
        <f t="shared" si="1"/>
        <v>Wed</v>
      </c>
      <c r="Q1" s="2" t="str">
        <f t="shared" si="1"/>
        <v>Thu</v>
      </c>
      <c r="R1" s="2" t="str">
        <f t="shared" si="1"/>
        <v>Fri</v>
      </c>
      <c r="S1" s="2" t="str">
        <f t="shared" si="1"/>
        <v>Sat</v>
      </c>
      <c r="T1" s="2" t="str">
        <f t="shared" si="1"/>
        <v>Sun</v>
      </c>
      <c r="U1" s="2" t="str">
        <f t="shared" si="1"/>
        <v>Mon</v>
      </c>
      <c r="V1" s="2" t="str">
        <f t="shared" si="1"/>
        <v>Tue</v>
      </c>
      <c r="W1" s="2" t="str">
        <f t="shared" si="1"/>
        <v>Wed</v>
      </c>
      <c r="X1" s="2" t="str">
        <f t="shared" si="1"/>
        <v>Thu</v>
      </c>
      <c r="Y1" s="2" t="str">
        <f t="shared" si="1"/>
        <v>Fri</v>
      </c>
      <c r="Z1" s="2" t="str">
        <f t="shared" si="1"/>
        <v>Sat</v>
      </c>
      <c r="AA1" s="2" t="str">
        <f t="shared" si="1"/>
        <v>Sun</v>
      </c>
      <c r="AB1" s="2" t="str">
        <f t="shared" si="1"/>
        <v>Mon</v>
      </c>
      <c r="AC1" s="2" t="str">
        <f t="shared" si="1"/>
        <v>Tue</v>
      </c>
      <c r="AD1" s="2" t="str">
        <f t="shared" si="1"/>
        <v>Wed</v>
      </c>
      <c r="AE1" s="2" t="str">
        <f t="shared" si="1"/>
        <v>Thu</v>
      </c>
      <c r="AF1" s="2" t="str">
        <f t="shared" si="1"/>
        <v>Fri</v>
      </c>
      <c r="AG1" s="2" t="str">
        <f t="shared" si="1"/>
        <v>Sat</v>
      </c>
      <c r="AH1" s="2" t="str">
        <f t="shared" si="1"/>
        <v>Sun</v>
      </c>
      <c r="AI1" s="2" t="str">
        <f t="shared" si="1"/>
        <v>Mon</v>
      </c>
      <c r="AJ1" s="2" t="str">
        <f t="shared" si="1"/>
        <v>Tue</v>
      </c>
      <c r="AK1" s="2" t="str">
        <f t="shared" si="1"/>
        <v>Wed</v>
      </c>
    </row>
    <row r="2" spans="1:37" x14ac:dyDescent="0.35">
      <c r="A2" s="7" t="s">
        <v>0</v>
      </c>
      <c r="B2" s="29">
        <v>44769</v>
      </c>
      <c r="C2" s="29">
        <v>44770</v>
      </c>
      <c r="D2" s="29">
        <v>44771</v>
      </c>
      <c r="E2" s="29">
        <v>44772</v>
      </c>
      <c r="F2" s="29">
        <v>44773</v>
      </c>
      <c r="G2" s="29">
        <v>44774</v>
      </c>
      <c r="H2" s="29">
        <v>44775</v>
      </c>
      <c r="I2" s="29">
        <v>44776</v>
      </c>
      <c r="J2" s="29">
        <v>44777</v>
      </c>
      <c r="K2" s="29">
        <v>44778</v>
      </c>
      <c r="L2" s="29">
        <v>44779</v>
      </c>
      <c r="M2" s="29">
        <v>44780</v>
      </c>
      <c r="N2" s="29">
        <v>44781</v>
      </c>
      <c r="O2" s="29">
        <v>44782</v>
      </c>
      <c r="P2" s="29">
        <v>44783</v>
      </c>
      <c r="Q2" s="29">
        <v>44784</v>
      </c>
      <c r="R2" s="29">
        <v>44785</v>
      </c>
      <c r="S2" s="29">
        <v>44786</v>
      </c>
      <c r="T2" s="29">
        <v>44787</v>
      </c>
      <c r="U2" s="29">
        <v>44788</v>
      </c>
      <c r="V2" s="29">
        <v>44789</v>
      </c>
      <c r="W2" s="29">
        <v>44790</v>
      </c>
      <c r="X2" s="29">
        <v>44791</v>
      </c>
      <c r="Y2" s="29">
        <v>44792</v>
      </c>
      <c r="Z2" s="29">
        <v>44793</v>
      </c>
      <c r="AA2" s="29">
        <v>44794</v>
      </c>
      <c r="AB2" s="29">
        <v>44795</v>
      </c>
      <c r="AC2" s="29">
        <v>44796</v>
      </c>
      <c r="AD2" s="29">
        <v>44797</v>
      </c>
      <c r="AE2" s="29">
        <v>44798</v>
      </c>
      <c r="AF2" s="29">
        <v>44799</v>
      </c>
      <c r="AG2" s="29">
        <v>44800</v>
      </c>
      <c r="AH2" s="29">
        <v>44801</v>
      </c>
      <c r="AI2" s="29">
        <v>44802</v>
      </c>
      <c r="AJ2" s="29">
        <v>44803</v>
      </c>
      <c r="AK2" s="29">
        <v>44804</v>
      </c>
    </row>
    <row r="3" spans="1:37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</row>
    <row r="4" spans="1:37" x14ac:dyDescent="0.35">
      <c r="A4" s="64" t="s">
        <v>1</v>
      </c>
      <c r="B4" s="12" t="s">
        <v>2</v>
      </c>
      <c r="C4" s="25" t="s">
        <v>6</v>
      </c>
      <c r="D4" s="25" t="s">
        <v>6</v>
      </c>
      <c r="E4" s="25" t="s">
        <v>3</v>
      </c>
      <c r="F4" s="25" t="s">
        <v>3</v>
      </c>
      <c r="G4" s="25" t="s">
        <v>6</v>
      </c>
      <c r="H4" s="12" t="s">
        <v>2</v>
      </c>
      <c r="I4" s="25" t="s">
        <v>6</v>
      </c>
      <c r="J4" s="25" t="s">
        <v>6</v>
      </c>
      <c r="K4" s="12" t="s">
        <v>2</v>
      </c>
      <c r="L4" s="25" t="s">
        <v>3</v>
      </c>
      <c r="M4" s="25" t="s">
        <v>3</v>
      </c>
      <c r="N4" s="25" t="s">
        <v>6</v>
      </c>
      <c r="O4" s="76" t="s">
        <v>74</v>
      </c>
      <c r="P4" s="25" t="s">
        <v>6</v>
      </c>
      <c r="Q4" s="25" t="s">
        <v>6</v>
      </c>
      <c r="R4" s="12" t="s">
        <v>2</v>
      </c>
      <c r="S4" s="25" t="s">
        <v>3</v>
      </c>
      <c r="T4" s="25" t="s">
        <v>3</v>
      </c>
      <c r="U4" s="25" t="s">
        <v>3</v>
      </c>
      <c r="V4" s="12" t="s">
        <v>2</v>
      </c>
      <c r="W4" s="25" t="s">
        <v>6</v>
      </c>
      <c r="X4" s="25" t="s">
        <v>6</v>
      </c>
      <c r="Y4" s="12" t="s">
        <v>2</v>
      </c>
      <c r="Z4" s="25" t="s">
        <v>3</v>
      </c>
      <c r="AA4" s="25" t="s">
        <v>3</v>
      </c>
      <c r="AB4" s="25" t="s">
        <v>6</v>
      </c>
      <c r="AC4" s="25" t="s">
        <v>6</v>
      </c>
      <c r="AD4" s="12" t="s">
        <v>2</v>
      </c>
      <c r="AE4" s="25" t="s">
        <v>6</v>
      </c>
      <c r="AF4" s="12" t="s">
        <v>2</v>
      </c>
      <c r="AG4" s="25" t="s">
        <v>3</v>
      </c>
      <c r="AH4" s="25" t="s">
        <v>3</v>
      </c>
      <c r="AI4" s="25" t="s">
        <v>6</v>
      </c>
      <c r="AJ4" s="12" t="s">
        <v>2</v>
      </c>
      <c r="AK4" s="25" t="s">
        <v>3</v>
      </c>
    </row>
    <row r="5" spans="1:37" x14ac:dyDescent="0.35">
      <c r="A5" s="64" t="s">
        <v>9</v>
      </c>
      <c r="B5" s="17" t="s">
        <v>10</v>
      </c>
      <c r="C5" s="12" t="s">
        <v>2</v>
      </c>
      <c r="D5" s="74" t="s">
        <v>16</v>
      </c>
      <c r="E5" s="17" t="s">
        <v>11</v>
      </c>
      <c r="F5" s="17" t="s">
        <v>11</v>
      </c>
      <c r="G5" s="12" t="s">
        <v>2</v>
      </c>
      <c r="H5" s="74" t="s">
        <v>16</v>
      </c>
      <c r="I5" s="74" t="s">
        <v>16</v>
      </c>
      <c r="J5" s="74" t="s">
        <v>16</v>
      </c>
      <c r="K5" s="74" t="s">
        <v>16</v>
      </c>
      <c r="L5" s="28" t="s">
        <v>4</v>
      </c>
      <c r="M5" s="17" t="s">
        <v>11</v>
      </c>
      <c r="N5" s="17" t="s">
        <v>10</v>
      </c>
      <c r="O5" s="17" t="s">
        <v>10</v>
      </c>
      <c r="P5" s="17" t="s">
        <v>10</v>
      </c>
      <c r="Q5" s="17" t="s">
        <v>10</v>
      </c>
      <c r="R5" s="17" t="s">
        <v>10</v>
      </c>
      <c r="S5" s="65" t="s">
        <v>4</v>
      </c>
      <c r="T5" s="17" t="s">
        <v>11</v>
      </c>
      <c r="U5" s="17" t="s">
        <v>11</v>
      </c>
      <c r="V5" s="12" t="s">
        <v>2</v>
      </c>
      <c r="W5" s="17" t="s">
        <v>10</v>
      </c>
      <c r="X5" s="17" t="s">
        <v>10</v>
      </c>
      <c r="Y5" s="17" t="s">
        <v>10</v>
      </c>
      <c r="Z5" s="65" t="s">
        <v>4</v>
      </c>
      <c r="AA5" s="65" t="s">
        <v>4</v>
      </c>
      <c r="AB5" s="13" t="s">
        <v>5</v>
      </c>
      <c r="AC5" s="13" t="s">
        <v>5</v>
      </c>
      <c r="AD5" s="13" t="s">
        <v>5</v>
      </c>
      <c r="AE5" s="74" t="s">
        <v>16</v>
      </c>
      <c r="AF5" s="17" t="s">
        <v>10</v>
      </c>
      <c r="AG5" s="17" t="s">
        <v>11</v>
      </c>
      <c r="AH5" s="17" t="s">
        <v>11</v>
      </c>
      <c r="AI5" s="12" t="s">
        <v>2</v>
      </c>
      <c r="AJ5" s="74" t="s">
        <v>16</v>
      </c>
      <c r="AK5" s="13" t="s">
        <v>5</v>
      </c>
    </row>
    <row r="6" spans="1:37" x14ac:dyDescent="0.35">
      <c r="A6" s="64" t="s">
        <v>12</v>
      </c>
      <c r="B6" s="74" t="s">
        <v>41</v>
      </c>
      <c r="C6" s="74" t="s">
        <v>41</v>
      </c>
      <c r="D6" s="74" t="s">
        <v>41</v>
      </c>
      <c r="E6" s="78" t="s">
        <v>109</v>
      </c>
      <c r="F6" s="78" t="s">
        <v>109</v>
      </c>
      <c r="G6" s="12" t="s">
        <v>2</v>
      </c>
      <c r="H6" s="12" t="s">
        <v>2</v>
      </c>
      <c r="I6" s="74" t="s">
        <v>41</v>
      </c>
      <c r="J6" s="74" t="s">
        <v>41</v>
      </c>
      <c r="K6" s="74" t="s">
        <v>41</v>
      </c>
      <c r="L6" s="74" t="s">
        <v>42</v>
      </c>
      <c r="M6" s="74" t="s">
        <v>42</v>
      </c>
      <c r="N6" s="74" t="s">
        <v>41</v>
      </c>
      <c r="O6" s="13" t="s">
        <v>5</v>
      </c>
      <c r="P6" s="13" t="s">
        <v>5</v>
      </c>
      <c r="Q6" s="13" t="s">
        <v>5</v>
      </c>
      <c r="R6" s="13" t="s">
        <v>5</v>
      </c>
      <c r="S6" s="10" t="s">
        <v>42</v>
      </c>
      <c r="T6" s="10" t="s">
        <v>42</v>
      </c>
      <c r="U6" s="10" t="s">
        <v>42</v>
      </c>
      <c r="V6" s="10" t="s">
        <v>41</v>
      </c>
      <c r="W6" s="12" t="s">
        <v>2</v>
      </c>
      <c r="X6" s="10" t="s">
        <v>41</v>
      </c>
      <c r="Y6" s="10" t="s">
        <v>41</v>
      </c>
      <c r="Z6" s="28" t="s">
        <v>4</v>
      </c>
      <c r="AA6" s="28" t="s">
        <v>4</v>
      </c>
      <c r="AB6" s="10" t="s">
        <v>41</v>
      </c>
      <c r="AC6" s="10" t="s">
        <v>41</v>
      </c>
      <c r="AD6" s="10" t="s">
        <v>41</v>
      </c>
      <c r="AE6" s="10" t="s">
        <v>41</v>
      </c>
      <c r="AF6" s="12" t="s">
        <v>2</v>
      </c>
      <c r="AG6" s="10" t="s">
        <v>42</v>
      </c>
      <c r="AH6" s="10" t="s">
        <v>42</v>
      </c>
      <c r="AI6" s="10" t="s">
        <v>41</v>
      </c>
      <c r="AJ6" s="10" t="s">
        <v>41</v>
      </c>
      <c r="AK6" s="10" t="s">
        <v>42</v>
      </c>
    </row>
    <row r="7" spans="1:37" x14ac:dyDescent="0.35">
      <c r="A7" s="64" t="s">
        <v>14</v>
      </c>
      <c r="B7" s="10" t="s">
        <v>41</v>
      </c>
      <c r="C7" s="10" t="s">
        <v>41</v>
      </c>
      <c r="D7" s="13" t="s">
        <v>5</v>
      </c>
      <c r="E7" s="65" t="s">
        <v>4</v>
      </c>
      <c r="F7" s="65" t="s">
        <v>4</v>
      </c>
      <c r="G7" s="74" t="s">
        <v>41</v>
      </c>
      <c r="H7" s="74" t="s">
        <v>41</v>
      </c>
      <c r="I7" s="74" t="s">
        <v>16</v>
      </c>
      <c r="J7" s="74" t="s">
        <v>16</v>
      </c>
      <c r="K7" s="74" t="s">
        <v>16</v>
      </c>
      <c r="L7" s="78" t="s">
        <v>30</v>
      </c>
      <c r="M7" s="65" t="s">
        <v>4</v>
      </c>
      <c r="N7" s="13" t="s">
        <v>5</v>
      </c>
      <c r="O7" s="10" t="s">
        <v>41</v>
      </c>
      <c r="P7" s="10" t="s">
        <v>41</v>
      </c>
      <c r="Q7" s="10" t="s">
        <v>41</v>
      </c>
      <c r="R7" s="10" t="s">
        <v>41</v>
      </c>
      <c r="S7" s="65" t="s">
        <v>4</v>
      </c>
      <c r="T7" s="65" t="s">
        <v>4</v>
      </c>
      <c r="U7" s="10" t="s">
        <v>42</v>
      </c>
      <c r="V7" s="10" t="s">
        <v>41</v>
      </c>
      <c r="W7" s="10" t="s">
        <v>41</v>
      </c>
      <c r="X7" s="10" t="s">
        <v>41</v>
      </c>
      <c r="Y7" s="12" t="s">
        <v>2</v>
      </c>
      <c r="Z7" s="10" t="s">
        <v>42</v>
      </c>
      <c r="AA7" s="10" t="s">
        <v>42</v>
      </c>
      <c r="AB7" s="12" t="s">
        <v>2</v>
      </c>
      <c r="AC7" s="10" t="s">
        <v>41</v>
      </c>
      <c r="AD7" s="10" t="s">
        <v>41</v>
      </c>
      <c r="AE7" s="10" t="s">
        <v>41</v>
      </c>
      <c r="AF7" s="10" t="s">
        <v>41</v>
      </c>
      <c r="AG7" s="65" t="s">
        <v>4</v>
      </c>
      <c r="AH7" s="65" t="s">
        <v>4</v>
      </c>
      <c r="AI7" s="13" t="s">
        <v>5</v>
      </c>
      <c r="AJ7" s="13" t="s">
        <v>5</v>
      </c>
      <c r="AK7" s="13" t="s">
        <v>5</v>
      </c>
    </row>
    <row r="8" spans="1:37" x14ac:dyDescent="0.35">
      <c r="A8" s="64" t="s">
        <v>15</v>
      </c>
      <c r="B8" s="17" t="s">
        <v>10</v>
      </c>
      <c r="C8" s="17" t="s">
        <v>10</v>
      </c>
      <c r="D8" s="17" t="s">
        <v>10</v>
      </c>
      <c r="E8" s="17" t="s">
        <v>11</v>
      </c>
      <c r="F8" s="28" t="s">
        <v>4</v>
      </c>
      <c r="G8" s="17" t="s">
        <v>10</v>
      </c>
      <c r="H8" s="17" t="s">
        <v>10</v>
      </c>
      <c r="I8" s="17" t="s">
        <v>10</v>
      </c>
      <c r="J8" s="17" t="s">
        <v>10</v>
      </c>
      <c r="K8" s="17" t="s">
        <v>10</v>
      </c>
      <c r="L8" s="17" t="s">
        <v>11</v>
      </c>
      <c r="M8" s="28" t="s">
        <v>4</v>
      </c>
      <c r="N8" s="12" t="s">
        <v>2</v>
      </c>
      <c r="O8" s="17" t="s">
        <v>10</v>
      </c>
      <c r="P8" s="17" t="s">
        <v>10</v>
      </c>
      <c r="Q8" s="12" t="s">
        <v>2</v>
      </c>
      <c r="R8" s="17" t="s">
        <v>10</v>
      </c>
      <c r="S8" s="17" t="s">
        <v>11</v>
      </c>
      <c r="T8" s="28" t="s">
        <v>4</v>
      </c>
      <c r="U8" s="76" t="s">
        <v>37</v>
      </c>
      <c r="V8" s="17" t="s">
        <v>10</v>
      </c>
      <c r="W8" s="17" t="s">
        <v>10</v>
      </c>
      <c r="X8" s="17" t="s">
        <v>10</v>
      </c>
      <c r="Y8" s="12" t="s">
        <v>2</v>
      </c>
      <c r="Z8" s="17" t="s">
        <v>11</v>
      </c>
      <c r="AA8" s="17" t="s">
        <v>11</v>
      </c>
      <c r="AB8" s="17" t="s">
        <v>10</v>
      </c>
      <c r="AC8" s="17" t="s">
        <v>10</v>
      </c>
      <c r="AD8" s="17" t="s">
        <v>10</v>
      </c>
      <c r="AE8" s="17" t="s">
        <v>10</v>
      </c>
      <c r="AF8" s="12" t="s">
        <v>2</v>
      </c>
      <c r="AG8" s="28" t="s">
        <v>4</v>
      </c>
      <c r="AH8" s="17" t="s">
        <v>11</v>
      </c>
      <c r="AI8" s="17" t="s">
        <v>10</v>
      </c>
      <c r="AJ8" s="17" t="s">
        <v>10</v>
      </c>
      <c r="AK8" s="17" t="s">
        <v>11</v>
      </c>
    </row>
    <row r="9" spans="1:37" ht="15" thickBot="1" x14ac:dyDescent="0.4">
      <c r="A9" s="64" t="s">
        <v>18</v>
      </c>
      <c r="B9" s="25" t="s">
        <v>6</v>
      </c>
      <c r="C9" s="12" t="s">
        <v>2</v>
      </c>
      <c r="D9" s="25" t="s">
        <v>6</v>
      </c>
      <c r="E9" s="25" t="s">
        <v>3</v>
      </c>
      <c r="F9" s="25" t="s">
        <v>3</v>
      </c>
      <c r="G9" s="25" t="s">
        <v>6</v>
      </c>
      <c r="H9" s="25" t="s">
        <v>6</v>
      </c>
      <c r="I9" s="12" t="s">
        <v>2</v>
      </c>
      <c r="J9" s="25" t="s">
        <v>6</v>
      </c>
      <c r="K9" s="25" t="s">
        <v>6</v>
      </c>
      <c r="L9" s="28" t="s">
        <v>4</v>
      </c>
      <c r="M9" s="28" t="s">
        <v>4</v>
      </c>
      <c r="N9" s="25" t="s">
        <v>6</v>
      </c>
      <c r="O9" s="25" t="s">
        <v>6</v>
      </c>
      <c r="P9" s="25" t="s">
        <v>6</v>
      </c>
      <c r="Q9" s="25" t="s">
        <v>6</v>
      </c>
      <c r="R9" s="25" t="s">
        <v>6</v>
      </c>
      <c r="S9" s="63" t="s">
        <v>30</v>
      </c>
      <c r="T9" s="28" t="s">
        <v>4</v>
      </c>
      <c r="U9" s="76" t="s">
        <v>37</v>
      </c>
      <c r="V9" s="25" t="s">
        <v>6</v>
      </c>
      <c r="W9" s="25" t="s">
        <v>6</v>
      </c>
      <c r="X9" s="25" t="s">
        <v>6</v>
      </c>
      <c r="Y9" s="25" t="s">
        <v>6</v>
      </c>
      <c r="Z9" s="25" t="s">
        <v>3</v>
      </c>
      <c r="AA9" s="28" t="s">
        <v>4</v>
      </c>
      <c r="AB9" s="75" t="s">
        <v>16</v>
      </c>
      <c r="AC9" s="75" t="s">
        <v>16</v>
      </c>
      <c r="AD9" s="75" t="s">
        <v>6</v>
      </c>
      <c r="AE9" s="75" t="s">
        <v>6</v>
      </c>
      <c r="AF9" s="75" t="s">
        <v>6</v>
      </c>
      <c r="AG9" s="75" t="s">
        <v>3</v>
      </c>
      <c r="AH9" s="28" t="s">
        <v>4</v>
      </c>
      <c r="AI9" s="25" t="s">
        <v>6</v>
      </c>
      <c r="AJ9" s="25" t="s">
        <v>6</v>
      </c>
      <c r="AK9" s="25" t="s">
        <v>6</v>
      </c>
    </row>
    <row r="10" spans="1:37" ht="14" customHeight="1" x14ac:dyDescent="0.35">
      <c r="A10" s="64" t="s">
        <v>21</v>
      </c>
      <c r="B10" s="12" t="s">
        <v>2</v>
      </c>
      <c r="C10" s="17" t="s">
        <v>10</v>
      </c>
      <c r="D10" s="17" t="s">
        <v>10</v>
      </c>
      <c r="E10" s="28" t="s">
        <v>4</v>
      </c>
      <c r="F10" s="17" t="s">
        <v>11</v>
      </c>
      <c r="G10" s="17" t="s">
        <v>10</v>
      </c>
      <c r="H10" s="17" t="s">
        <v>10</v>
      </c>
      <c r="I10" s="17" t="s">
        <v>10</v>
      </c>
      <c r="J10" s="12" t="s">
        <v>2</v>
      </c>
      <c r="K10" s="17" t="s">
        <v>10</v>
      </c>
      <c r="L10" s="17" t="s">
        <v>11</v>
      </c>
      <c r="M10" s="17" t="s">
        <v>11</v>
      </c>
      <c r="N10" s="17" t="s">
        <v>10</v>
      </c>
      <c r="O10" s="12" t="s">
        <v>2</v>
      </c>
      <c r="P10" s="12" t="s">
        <v>2</v>
      </c>
      <c r="Q10" s="17" t="s">
        <v>10</v>
      </c>
      <c r="R10" s="17" t="s">
        <v>10</v>
      </c>
      <c r="S10" s="28" t="s">
        <v>4</v>
      </c>
      <c r="T10" s="28" t="s">
        <v>4</v>
      </c>
      <c r="U10" s="76" t="s">
        <v>37</v>
      </c>
      <c r="V10" s="17" t="s">
        <v>10</v>
      </c>
      <c r="W10" s="13" t="s">
        <v>5</v>
      </c>
      <c r="X10" s="13" t="s">
        <v>5</v>
      </c>
      <c r="Y10" s="17" t="s">
        <v>10</v>
      </c>
      <c r="Z10" s="17" t="s">
        <v>11</v>
      </c>
      <c r="AA10" s="17" t="s">
        <v>11</v>
      </c>
      <c r="AB10" s="17" t="s">
        <v>10</v>
      </c>
      <c r="AC10" s="17" t="s">
        <v>10</v>
      </c>
      <c r="AD10" s="12" t="s">
        <v>2</v>
      </c>
      <c r="AE10" s="74" t="s">
        <v>16</v>
      </c>
      <c r="AF10" s="74" t="s">
        <v>16</v>
      </c>
      <c r="AG10" s="75" t="s">
        <v>30</v>
      </c>
      <c r="AH10" s="75" t="s">
        <v>3</v>
      </c>
      <c r="AI10" s="74" t="s">
        <v>16</v>
      </c>
      <c r="AJ10" s="74" t="s">
        <v>16</v>
      </c>
      <c r="AK10" s="76" t="s">
        <v>37</v>
      </c>
    </row>
    <row r="11" spans="1:37" x14ac:dyDescent="0.35">
      <c r="A11" s="64" t="s">
        <v>43</v>
      </c>
      <c r="B11" s="25" t="s">
        <v>6</v>
      </c>
      <c r="C11" s="25" t="s">
        <v>6</v>
      </c>
      <c r="D11" s="25" t="s">
        <v>6</v>
      </c>
      <c r="E11" s="28" t="s">
        <v>4</v>
      </c>
      <c r="F11" s="28" t="s">
        <v>4</v>
      </c>
      <c r="G11" s="74" t="s">
        <v>6</v>
      </c>
      <c r="H11" s="74" t="s">
        <v>6</v>
      </c>
      <c r="I11" s="74" t="s">
        <v>6</v>
      </c>
      <c r="J11" s="74" t="s">
        <v>6</v>
      </c>
      <c r="K11" s="74" t="s">
        <v>6</v>
      </c>
      <c r="L11" s="74" t="s">
        <v>3</v>
      </c>
      <c r="M11" s="28" t="s">
        <v>4</v>
      </c>
      <c r="N11" s="12" t="s">
        <v>2</v>
      </c>
      <c r="O11" s="25" t="s">
        <v>6</v>
      </c>
      <c r="P11" s="12" t="s">
        <v>2</v>
      </c>
      <c r="Q11" s="25" t="s">
        <v>6</v>
      </c>
      <c r="R11" s="25" t="s">
        <v>6</v>
      </c>
      <c r="S11" s="25" t="s">
        <v>3</v>
      </c>
      <c r="T11" s="25" t="s">
        <v>3</v>
      </c>
      <c r="U11" s="25" t="s">
        <v>3</v>
      </c>
      <c r="V11" s="25" t="s">
        <v>6</v>
      </c>
      <c r="W11" s="12" t="s">
        <v>2</v>
      </c>
      <c r="X11" s="25" t="s">
        <v>6</v>
      </c>
      <c r="Y11" s="25" t="s">
        <v>6</v>
      </c>
      <c r="Z11" s="28" t="s">
        <v>4</v>
      </c>
      <c r="AA11" s="28" t="s">
        <v>4</v>
      </c>
      <c r="AB11" s="25" t="s">
        <v>6</v>
      </c>
      <c r="AC11" s="25" t="s">
        <v>6</v>
      </c>
      <c r="AD11" s="25" t="s">
        <v>6</v>
      </c>
      <c r="AE11" s="25" t="s">
        <v>6</v>
      </c>
      <c r="AF11" s="25" t="s">
        <v>6</v>
      </c>
      <c r="AG11" s="28" t="s">
        <v>4</v>
      </c>
      <c r="AH11" s="28" t="s">
        <v>4</v>
      </c>
      <c r="AI11" s="25" t="s">
        <v>6</v>
      </c>
      <c r="AJ11" s="25" t="s">
        <v>6</v>
      </c>
      <c r="AK11" s="25" t="s">
        <v>3</v>
      </c>
    </row>
    <row r="12" spans="1:37" x14ac:dyDescent="0.35">
      <c r="A12" s="64" t="s">
        <v>69</v>
      </c>
      <c r="B12" s="10" t="s">
        <v>41</v>
      </c>
      <c r="C12" s="13" t="s">
        <v>5</v>
      </c>
      <c r="D12" s="13" t="s">
        <v>5</v>
      </c>
      <c r="E12" s="65" t="s">
        <v>4</v>
      </c>
      <c r="F12" s="65" t="s">
        <v>4</v>
      </c>
      <c r="G12" s="10" t="s">
        <v>41</v>
      </c>
      <c r="H12" s="10" t="s">
        <v>41</v>
      </c>
      <c r="I12" s="10" t="s">
        <v>41</v>
      </c>
      <c r="J12" s="10" t="s">
        <v>41</v>
      </c>
      <c r="K12" s="10" t="s">
        <v>41</v>
      </c>
      <c r="L12" s="10" t="s">
        <v>42</v>
      </c>
      <c r="M12" s="28" t="s">
        <v>4</v>
      </c>
      <c r="N12" s="10" t="s">
        <v>41</v>
      </c>
      <c r="O12" s="10" t="s">
        <v>41</v>
      </c>
      <c r="P12" s="74" t="s">
        <v>41</v>
      </c>
      <c r="Q12" s="10" t="s">
        <v>41</v>
      </c>
      <c r="R12" s="74" t="s">
        <v>41</v>
      </c>
      <c r="S12" s="28" t="s">
        <v>4</v>
      </c>
      <c r="T12" s="28" t="s">
        <v>4</v>
      </c>
      <c r="U12" s="76" t="s">
        <v>37</v>
      </c>
      <c r="V12" s="10" t="s">
        <v>41</v>
      </c>
      <c r="W12" s="74" t="s">
        <v>41</v>
      </c>
      <c r="X12" s="12" t="s">
        <v>2</v>
      </c>
      <c r="Y12" s="74" t="s">
        <v>41</v>
      </c>
      <c r="Z12" s="10" t="s">
        <v>42</v>
      </c>
      <c r="AA12" s="10" t="s">
        <v>42</v>
      </c>
      <c r="AB12" s="10" t="s">
        <v>41</v>
      </c>
      <c r="AC12" s="12" t="s">
        <v>2</v>
      </c>
      <c r="AD12" s="75" t="s">
        <v>6</v>
      </c>
      <c r="AE12" s="10" t="s">
        <v>41</v>
      </c>
      <c r="AF12" s="74" t="s">
        <v>41</v>
      </c>
      <c r="AG12" s="28" t="s">
        <v>4</v>
      </c>
      <c r="AH12" s="28" t="s">
        <v>4</v>
      </c>
      <c r="AI12" s="10" t="s">
        <v>41</v>
      </c>
      <c r="AJ12" s="10" t="s">
        <v>41</v>
      </c>
      <c r="AK12" s="10" t="s">
        <v>41</v>
      </c>
    </row>
    <row r="13" spans="1:37" x14ac:dyDescent="0.35">
      <c r="A13" s="64" t="s">
        <v>22</v>
      </c>
      <c r="B13" s="75" t="s">
        <v>16</v>
      </c>
      <c r="C13" s="75" t="s">
        <v>16</v>
      </c>
      <c r="D13" s="75" t="s">
        <v>16</v>
      </c>
      <c r="E13" s="75" t="s">
        <v>30</v>
      </c>
      <c r="F13" s="28" t="s">
        <v>4</v>
      </c>
      <c r="G13" s="17" t="s">
        <v>10</v>
      </c>
      <c r="H13" s="17" t="s">
        <v>10</v>
      </c>
      <c r="I13" s="17" t="s">
        <v>10</v>
      </c>
      <c r="J13" s="17" t="s">
        <v>10</v>
      </c>
      <c r="K13" s="13" t="s">
        <v>5</v>
      </c>
      <c r="L13" s="65" t="s">
        <v>4</v>
      </c>
      <c r="M13" s="65" t="s">
        <v>4</v>
      </c>
      <c r="N13" s="13" t="s">
        <v>5</v>
      </c>
      <c r="O13" s="13" t="s">
        <v>5</v>
      </c>
      <c r="P13" s="13" t="s">
        <v>5</v>
      </c>
      <c r="Q13" s="13" t="s">
        <v>5</v>
      </c>
      <c r="R13" s="17" t="s">
        <v>10</v>
      </c>
      <c r="S13" s="17" t="s">
        <v>11</v>
      </c>
      <c r="T13" s="17" t="s">
        <v>11</v>
      </c>
      <c r="U13" s="17" t="s">
        <v>11</v>
      </c>
      <c r="V13" s="12" t="s">
        <v>2</v>
      </c>
      <c r="W13" s="74" t="s">
        <v>16</v>
      </c>
      <c r="X13" s="74" t="s">
        <v>16</v>
      </c>
      <c r="Y13" s="74" t="s">
        <v>16</v>
      </c>
      <c r="Z13" s="74" t="s">
        <v>30</v>
      </c>
      <c r="AA13" s="74" t="s">
        <v>3</v>
      </c>
      <c r="AB13" s="74" t="s">
        <v>16</v>
      </c>
      <c r="AC13" s="12" t="s">
        <v>2</v>
      </c>
      <c r="AD13" s="17" t="s">
        <v>10</v>
      </c>
      <c r="AE13" s="17" t="s">
        <v>10</v>
      </c>
      <c r="AF13" s="17" t="s">
        <v>10</v>
      </c>
      <c r="AG13" s="17" t="s">
        <v>11</v>
      </c>
      <c r="AH13" s="28" t="s">
        <v>4</v>
      </c>
      <c r="AI13" s="17" t="s">
        <v>10</v>
      </c>
      <c r="AJ13" s="17" t="s">
        <v>10</v>
      </c>
      <c r="AK13" s="17" t="s">
        <v>10</v>
      </c>
    </row>
    <row r="14" spans="1:37" x14ac:dyDescent="0.35">
      <c r="A14" s="64" t="s">
        <v>60</v>
      </c>
      <c r="B14" s="13" t="s">
        <v>5</v>
      </c>
      <c r="C14" s="75" t="s">
        <v>16</v>
      </c>
      <c r="D14" s="13" t="s">
        <v>5</v>
      </c>
      <c r="E14" s="28" t="s">
        <v>4</v>
      </c>
      <c r="F14" s="28" t="s">
        <v>4</v>
      </c>
      <c r="G14" s="13" t="s">
        <v>5</v>
      </c>
      <c r="H14" s="25" t="s">
        <v>6</v>
      </c>
      <c r="I14" s="13" t="s">
        <v>5</v>
      </c>
      <c r="J14" s="25" t="s">
        <v>6</v>
      </c>
      <c r="K14" s="25" t="s">
        <v>6</v>
      </c>
      <c r="L14" s="28" t="s">
        <v>4</v>
      </c>
      <c r="M14" s="25" t="s">
        <v>3</v>
      </c>
      <c r="N14" s="25" t="s">
        <v>6</v>
      </c>
      <c r="O14" s="25" t="s">
        <v>6</v>
      </c>
      <c r="P14" s="25" t="s">
        <v>6</v>
      </c>
      <c r="Q14" s="76" t="s">
        <v>37</v>
      </c>
      <c r="R14" s="25" t="s">
        <v>6</v>
      </c>
      <c r="S14" s="28" t="s">
        <v>4</v>
      </c>
      <c r="T14" s="28" t="s">
        <v>4</v>
      </c>
      <c r="U14" s="76" t="s">
        <v>37</v>
      </c>
      <c r="V14" s="74" t="s">
        <v>16</v>
      </c>
      <c r="W14" s="74" t="s">
        <v>16</v>
      </c>
      <c r="X14" s="74" t="s">
        <v>16</v>
      </c>
      <c r="Y14" s="25" t="s">
        <v>6</v>
      </c>
      <c r="Z14" s="28" t="s">
        <v>4</v>
      </c>
      <c r="AA14" s="28" t="s">
        <v>4</v>
      </c>
      <c r="AB14" s="25" t="s">
        <v>6</v>
      </c>
      <c r="AC14" s="74" t="s">
        <v>16</v>
      </c>
      <c r="AD14" s="74" t="s">
        <v>16</v>
      </c>
      <c r="AE14" s="74" t="s">
        <v>16</v>
      </c>
      <c r="AF14" s="25" t="s">
        <v>6</v>
      </c>
      <c r="AG14" s="28" t="s">
        <v>4</v>
      </c>
      <c r="AH14" s="10" t="s">
        <v>42</v>
      </c>
      <c r="AI14" s="25" t="s">
        <v>6</v>
      </c>
      <c r="AJ14" s="25" t="s">
        <v>6</v>
      </c>
      <c r="AK14" s="13" t="s">
        <v>5</v>
      </c>
    </row>
    <row r="15" spans="1:37" x14ac:dyDescent="0.35">
      <c r="A15" s="64" t="s">
        <v>70</v>
      </c>
      <c r="B15" s="12" t="s">
        <v>2</v>
      </c>
      <c r="C15" s="10" t="s">
        <v>41</v>
      </c>
      <c r="D15" s="10" t="s">
        <v>41</v>
      </c>
      <c r="E15" s="28" t="s">
        <v>4</v>
      </c>
      <c r="F15" s="10" t="s">
        <v>42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28" t="s">
        <v>4</v>
      </c>
      <c r="M15" s="10" t="s">
        <v>42</v>
      </c>
      <c r="N15" s="10" t="s">
        <v>41</v>
      </c>
      <c r="O15" s="10" t="s">
        <v>41</v>
      </c>
      <c r="P15" s="10" t="s">
        <v>41</v>
      </c>
      <c r="Q15" s="12" t="s">
        <v>2</v>
      </c>
      <c r="R15" s="10" t="s">
        <v>41</v>
      </c>
      <c r="S15" s="10" t="s">
        <v>42</v>
      </c>
      <c r="T15" s="28" t="s">
        <v>4</v>
      </c>
      <c r="U15" s="76" t="s">
        <v>37</v>
      </c>
      <c r="V15" s="74" t="s">
        <v>16</v>
      </c>
      <c r="W15" s="74" t="s">
        <v>16</v>
      </c>
      <c r="X15" s="74" t="s">
        <v>16</v>
      </c>
      <c r="Y15" s="74" t="s">
        <v>16</v>
      </c>
      <c r="Z15" s="28" t="s">
        <v>4</v>
      </c>
      <c r="AA15" s="28" t="s">
        <v>4</v>
      </c>
      <c r="AB15" s="74" t="s">
        <v>16</v>
      </c>
      <c r="AC15" s="74" t="s">
        <v>16</v>
      </c>
      <c r="AD15" s="10" t="s">
        <v>41</v>
      </c>
      <c r="AE15" s="10" t="s">
        <v>41</v>
      </c>
      <c r="AF15" s="10" t="s">
        <v>41</v>
      </c>
      <c r="AG15" s="28" t="s">
        <v>4</v>
      </c>
      <c r="AH15" s="28" t="s">
        <v>4</v>
      </c>
      <c r="AI15" s="10" t="s">
        <v>41</v>
      </c>
      <c r="AJ15" s="13" t="s">
        <v>5</v>
      </c>
      <c r="AK15" s="76" t="s">
        <v>37</v>
      </c>
    </row>
    <row r="16" spans="1:37" x14ac:dyDescent="0.35">
      <c r="A16" s="64" t="s">
        <v>68</v>
      </c>
      <c r="B16" s="25" t="s">
        <v>6</v>
      </c>
      <c r="C16" s="25" t="s">
        <v>6</v>
      </c>
      <c r="D16" s="25" t="s">
        <v>6</v>
      </c>
      <c r="E16" s="28" t="s">
        <v>4</v>
      </c>
      <c r="F16" s="28" t="s">
        <v>4</v>
      </c>
      <c r="G16" s="25" t="s">
        <v>6</v>
      </c>
      <c r="H16" s="25" t="s">
        <v>6</v>
      </c>
      <c r="I16" s="25" t="s">
        <v>6</v>
      </c>
      <c r="J16" s="25" t="s">
        <v>6</v>
      </c>
      <c r="K16" s="25" t="s">
        <v>6</v>
      </c>
      <c r="L16" s="28" t="s">
        <v>4</v>
      </c>
      <c r="M16" s="28" t="s">
        <v>4</v>
      </c>
      <c r="N16" s="25" t="s">
        <v>6</v>
      </c>
      <c r="O16" s="25" t="s">
        <v>6</v>
      </c>
      <c r="P16" s="25" t="s">
        <v>6</v>
      </c>
      <c r="Q16" s="76" t="s">
        <v>37</v>
      </c>
      <c r="R16" s="25" t="s">
        <v>6</v>
      </c>
      <c r="S16" s="28" t="s">
        <v>4</v>
      </c>
      <c r="T16" s="28" t="s">
        <v>4</v>
      </c>
      <c r="U16" s="25" t="s">
        <v>3</v>
      </c>
      <c r="V16" s="25" t="s">
        <v>6</v>
      </c>
      <c r="W16" s="25" t="s">
        <v>6</v>
      </c>
      <c r="X16" s="25" t="s">
        <v>6</v>
      </c>
      <c r="Y16" s="25" t="s">
        <v>6</v>
      </c>
      <c r="Z16" s="28" t="s">
        <v>4</v>
      </c>
      <c r="AA16" s="28" t="s">
        <v>4</v>
      </c>
      <c r="AB16" s="25" t="s">
        <v>6</v>
      </c>
      <c r="AC16" s="25" t="s">
        <v>6</v>
      </c>
      <c r="AD16" s="74" t="s">
        <v>16</v>
      </c>
      <c r="AE16" s="74" t="s">
        <v>16</v>
      </c>
      <c r="AF16" s="74" t="s">
        <v>16</v>
      </c>
      <c r="AG16" s="28" t="s">
        <v>4</v>
      </c>
      <c r="AH16" s="28" t="s">
        <v>4</v>
      </c>
      <c r="AI16" s="74" t="s">
        <v>16</v>
      </c>
      <c r="AJ16" s="74" t="s">
        <v>16</v>
      </c>
      <c r="AK16" s="74" t="s">
        <v>30</v>
      </c>
    </row>
    <row r="17" spans="1:37" x14ac:dyDescent="0.35">
      <c r="A17" s="64" t="s">
        <v>71</v>
      </c>
      <c r="B17" s="75" t="s">
        <v>16</v>
      </c>
      <c r="C17" s="75" t="s">
        <v>16</v>
      </c>
      <c r="D17" s="75" t="s">
        <v>16</v>
      </c>
      <c r="E17" s="74" t="s">
        <v>109</v>
      </c>
      <c r="F17" s="28" t="s">
        <v>4</v>
      </c>
      <c r="G17" s="75" t="s">
        <v>16</v>
      </c>
      <c r="H17" s="75" t="s">
        <v>16</v>
      </c>
      <c r="I17" s="75" t="s">
        <v>16</v>
      </c>
      <c r="J17" s="74" t="s">
        <v>41</v>
      </c>
      <c r="K17" s="74" t="s">
        <v>41</v>
      </c>
      <c r="L17" s="28" t="s">
        <v>4</v>
      </c>
      <c r="M17" s="28" t="s">
        <v>4</v>
      </c>
      <c r="N17" s="75" t="s">
        <v>16</v>
      </c>
      <c r="O17" s="13" t="s">
        <v>5</v>
      </c>
      <c r="P17" s="10" t="s">
        <v>41</v>
      </c>
      <c r="Q17" s="10" t="s">
        <v>41</v>
      </c>
      <c r="R17" s="10" t="s">
        <v>41</v>
      </c>
      <c r="S17" s="28" t="s">
        <v>4</v>
      </c>
      <c r="T17" s="10" t="s">
        <v>42</v>
      </c>
      <c r="U17" s="10" t="s">
        <v>42</v>
      </c>
      <c r="V17" s="13" t="s">
        <v>5</v>
      </c>
      <c r="W17" s="10" t="s">
        <v>41</v>
      </c>
      <c r="X17" s="10" t="s">
        <v>41</v>
      </c>
      <c r="Y17" s="10" t="s">
        <v>41</v>
      </c>
      <c r="Z17" s="28" t="s">
        <v>4</v>
      </c>
      <c r="AA17" s="28" t="s">
        <v>4</v>
      </c>
      <c r="AB17" s="10" t="s">
        <v>41</v>
      </c>
      <c r="AC17" s="10" t="s">
        <v>41</v>
      </c>
      <c r="AD17" s="10" t="s">
        <v>41</v>
      </c>
      <c r="AE17" s="12" t="s">
        <v>2</v>
      </c>
      <c r="AF17" s="10" t="s">
        <v>41</v>
      </c>
      <c r="AG17" s="10" t="s">
        <v>42</v>
      </c>
      <c r="AH17" s="28" t="s">
        <v>4</v>
      </c>
      <c r="AI17" s="10" t="s">
        <v>41</v>
      </c>
      <c r="AJ17" s="10" t="s">
        <v>41</v>
      </c>
      <c r="AK17" s="10" t="s">
        <v>41</v>
      </c>
    </row>
    <row r="18" spans="1:37" x14ac:dyDescent="0.35">
      <c r="A18" s="91" t="s">
        <v>120</v>
      </c>
      <c r="B18" s="92"/>
      <c r="C18" s="92"/>
      <c r="D18" s="92"/>
      <c r="E18" s="93"/>
      <c r="F18" s="94"/>
      <c r="G18" s="22" t="s">
        <v>16</v>
      </c>
      <c r="H18" s="22" t="s">
        <v>16</v>
      </c>
      <c r="I18" s="22" t="s">
        <v>16</v>
      </c>
      <c r="J18" s="22" t="s">
        <v>16</v>
      </c>
      <c r="K18" s="22" t="s">
        <v>16</v>
      </c>
      <c r="L18" s="28" t="s">
        <v>4</v>
      </c>
      <c r="M18" s="28" t="s">
        <v>4</v>
      </c>
      <c r="N18" s="22" t="s">
        <v>16</v>
      </c>
      <c r="O18" s="22" t="s">
        <v>16</v>
      </c>
      <c r="P18" s="22" t="s">
        <v>16</v>
      </c>
      <c r="Q18" s="22" t="s">
        <v>16</v>
      </c>
      <c r="R18" s="22" t="s">
        <v>16</v>
      </c>
      <c r="S18" s="28" t="s">
        <v>4</v>
      </c>
      <c r="T18" s="28" t="s">
        <v>4</v>
      </c>
      <c r="U18" s="22" t="s">
        <v>16</v>
      </c>
      <c r="V18" s="22" t="s">
        <v>16</v>
      </c>
      <c r="W18" s="22" t="s">
        <v>16</v>
      </c>
      <c r="X18" s="22" t="s">
        <v>16</v>
      </c>
      <c r="Y18" s="22" t="s">
        <v>16</v>
      </c>
      <c r="Z18" s="28" t="s">
        <v>4</v>
      </c>
      <c r="AA18" s="28" t="s">
        <v>4</v>
      </c>
      <c r="AB18" s="22" t="s">
        <v>16</v>
      </c>
      <c r="AC18" s="22" t="s">
        <v>16</v>
      </c>
      <c r="AD18" s="22" t="s">
        <v>16</v>
      </c>
      <c r="AE18" s="22" t="s">
        <v>16</v>
      </c>
      <c r="AF18" s="22" t="s">
        <v>16</v>
      </c>
      <c r="AG18" s="28" t="s">
        <v>4</v>
      </c>
      <c r="AH18" s="28" t="s">
        <v>4</v>
      </c>
      <c r="AI18" s="22" t="s">
        <v>16</v>
      </c>
      <c r="AJ18" s="22" t="s">
        <v>16</v>
      </c>
      <c r="AK18" s="22" t="s">
        <v>16</v>
      </c>
    </row>
    <row r="19" spans="1:37" x14ac:dyDescent="0.35">
      <c r="B19" s="67"/>
      <c r="C19" s="67"/>
      <c r="D19" s="67"/>
      <c r="E19" s="67"/>
      <c r="F19" s="67"/>
    </row>
    <row r="20" spans="1:37" x14ac:dyDescent="0.35">
      <c r="A20" s="79" t="s">
        <v>114</v>
      </c>
      <c r="B20" s="80">
        <f>COUNTIF(B4:B17,"*MS")</f>
        <v>3</v>
      </c>
      <c r="C20" s="80">
        <f t="shared" ref="C20:AK20" si="2">COUNTIF(C4:C17,"*MS")</f>
        <v>3</v>
      </c>
      <c r="D20" s="80">
        <f t="shared" si="2"/>
        <v>4</v>
      </c>
      <c r="E20" s="80">
        <f t="shared" si="2"/>
        <v>2</v>
      </c>
      <c r="F20" s="80">
        <f t="shared" si="2"/>
        <v>2</v>
      </c>
      <c r="G20" s="80">
        <f t="shared" si="2"/>
        <v>4</v>
      </c>
      <c r="H20" s="80">
        <f t="shared" si="2"/>
        <v>4</v>
      </c>
      <c r="I20" s="80">
        <f t="shared" si="2"/>
        <v>3</v>
      </c>
      <c r="J20" s="80">
        <f t="shared" si="2"/>
        <v>5</v>
      </c>
      <c r="K20" s="80">
        <f t="shared" si="2"/>
        <v>4</v>
      </c>
      <c r="L20" s="80">
        <f t="shared" si="2"/>
        <v>2</v>
      </c>
      <c r="M20" s="80">
        <f t="shared" si="2"/>
        <v>2</v>
      </c>
      <c r="N20" s="80">
        <f t="shared" si="2"/>
        <v>4</v>
      </c>
      <c r="O20" s="80">
        <f t="shared" si="2"/>
        <v>4</v>
      </c>
      <c r="P20" s="80">
        <f t="shared" si="2"/>
        <v>4</v>
      </c>
      <c r="Q20" s="80">
        <f t="shared" si="2"/>
        <v>3</v>
      </c>
      <c r="R20" s="80">
        <f t="shared" si="2"/>
        <v>4</v>
      </c>
      <c r="S20" s="80">
        <f t="shared" si="2"/>
        <v>2</v>
      </c>
      <c r="T20" s="80">
        <f t="shared" si="2"/>
        <v>2</v>
      </c>
      <c r="U20" s="80">
        <f t="shared" si="2"/>
        <v>3</v>
      </c>
      <c r="V20" s="80">
        <f t="shared" si="2"/>
        <v>3</v>
      </c>
      <c r="W20" s="80">
        <f t="shared" si="2"/>
        <v>3</v>
      </c>
      <c r="X20" s="80">
        <f t="shared" si="2"/>
        <v>4</v>
      </c>
      <c r="Y20" s="80">
        <f t="shared" si="2"/>
        <v>4</v>
      </c>
      <c r="Z20" s="80">
        <f t="shared" si="2"/>
        <v>2</v>
      </c>
      <c r="AA20" s="80">
        <f t="shared" si="2"/>
        <v>2</v>
      </c>
      <c r="AB20" s="80">
        <f t="shared" si="2"/>
        <v>4</v>
      </c>
      <c r="AC20" s="80">
        <f t="shared" si="2"/>
        <v>3</v>
      </c>
      <c r="AD20" s="80">
        <f t="shared" si="2"/>
        <v>3</v>
      </c>
      <c r="AE20" s="80">
        <f t="shared" si="2"/>
        <v>3</v>
      </c>
      <c r="AF20" s="80">
        <f t="shared" si="2"/>
        <v>3</v>
      </c>
      <c r="AG20" s="80">
        <f t="shared" si="2"/>
        <v>2</v>
      </c>
      <c r="AH20" s="80">
        <f t="shared" si="2"/>
        <v>2</v>
      </c>
      <c r="AI20" s="80">
        <f t="shared" si="2"/>
        <v>4</v>
      </c>
      <c r="AJ20" s="80">
        <f t="shared" si="2"/>
        <v>3</v>
      </c>
      <c r="AK20" s="80">
        <f t="shared" si="2"/>
        <v>3</v>
      </c>
    </row>
    <row r="21" spans="1:37" x14ac:dyDescent="0.35">
      <c r="A21" s="81" t="s">
        <v>115</v>
      </c>
      <c r="B21" s="82">
        <f>COUNTIF(B4:B17,"*AS*")</f>
        <v>3</v>
      </c>
      <c r="C21" s="82">
        <f t="shared" ref="C21:AK21" si="3">COUNTIF(C4:C17,"*AS*")</f>
        <v>3</v>
      </c>
      <c r="D21" s="82">
        <f t="shared" si="3"/>
        <v>2</v>
      </c>
      <c r="E21" s="82">
        <f t="shared" si="3"/>
        <v>2</v>
      </c>
      <c r="F21" s="82">
        <f t="shared" si="3"/>
        <v>2</v>
      </c>
      <c r="G21" s="82">
        <f t="shared" si="3"/>
        <v>3</v>
      </c>
      <c r="H21" s="82">
        <f t="shared" si="3"/>
        <v>3</v>
      </c>
      <c r="I21" s="82">
        <f t="shared" si="3"/>
        <v>3</v>
      </c>
      <c r="J21" s="82">
        <f t="shared" si="3"/>
        <v>4</v>
      </c>
      <c r="K21" s="82">
        <f t="shared" si="3"/>
        <v>4</v>
      </c>
      <c r="L21" s="82">
        <f t="shared" si="3"/>
        <v>2</v>
      </c>
      <c r="M21" s="82">
        <f t="shared" si="3"/>
        <v>2</v>
      </c>
      <c r="N21" s="82">
        <f t="shared" si="3"/>
        <v>3</v>
      </c>
      <c r="O21" s="82">
        <f t="shared" si="3"/>
        <v>3</v>
      </c>
      <c r="P21" s="82">
        <f t="shared" si="3"/>
        <v>4</v>
      </c>
      <c r="Q21" s="82">
        <f t="shared" si="3"/>
        <v>3</v>
      </c>
      <c r="R21" s="82">
        <f t="shared" si="3"/>
        <v>4</v>
      </c>
      <c r="S21" s="82">
        <f t="shared" si="3"/>
        <v>2</v>
      </c>
      <c r="T21" s="82">
        <f t="shared" si="3"/>
        <v>2</v>
      </c>
      <c r="U21" s="82">
        <f t="shared" si="3"/>
        <v>3</v>
      </c>
      <c r="V21" s="82">
        <f t="shared" si="3"/>
        <v>3</v>
      </c>
      <c r="W21" s="82">
        <f t="shared" si="3"/>
        <v>3</v>
      </c>
      <c r="X21" s="82">
        <f t="shared" si="3"/>
        <v>3</v>
      </c>
      <c r="Y21" s="82">
        <f t="shared" si="3"/>
        <v>3</v>
      </c>
      <c r="Z21" s="82">
        <f t="shared" si="3"/>
        <v>2</v>
      </c>
      <c r="AA21" s="82">
        <f t="shared" si="3"/>
        <v>2</v>
      </c>
      <c r="AB21" s="82">
        <f t="shared" si="3"/>
        <v>3</v>
      </c>
      <c r="AC21" s="82">
        <f t="shared" si="3"/>
        <v>3</v>
      </c>
      <c r="AD21" s="82">
        <f t="shared" si="3"/>
        <v>4</v>
      </c>
      <c r="AE21" s="82">
        <f t="shared" si="3"/>
        <v>4</v>
      </c>
      <c r="AF21" s="82">
        <f t="shared" si="3"/>
        <v>4</v>
      </c>
      <c r="AG21" s="82">
        <f t="shared" si="3"/>
        <v>2</v>
      </c>
      <c r="AH21" s="82">
        <f t="shared" si="3"/>
        <v>2</v>
      </c>
      <c r="AI21" s="82">
        <f t="shared" si="3"/>
        <v>4</v>
      </c>
      <c r="AJ21" s="82">
        <f t="shared" si="3"/>
        <v>3</v>
      </c>
      <c r="AK21" s="82">
        <f t="shared" si="3"/>
        <v>3</v>
      </c>
    </row>
    <row r="22" spans="1:37" x14ac:dyDescent="0.35">
      <c r="A22" s="83" t="s">
        <v>116</v>
      </c>
      <c r="B22" s="84">
        <f>COUNTIF(B4:B17,"*GS*")</f>
        <v>2</v>
      </c>
      <c r="C22" s="84">
        <f t="shared" ref="C22:AK22" si="4">COUNTIF(C4:C17,"*GS*")</f>
        <v>3</v>
      </c>
      <c r="D22" s="84">
        <f t="shared" si="4"/>
        <v>3</v>
      </c>
      <c r="E22" s="84">
        <f t="shared" si="4"/>
        <v>1</v>
      </c>
      <c r="F22" s="84">
        <f t="shared" si="4"/>
        <v>0</v>
      </c>
      <c r="G22" s="84">
        <f t="shared" si="4"/>
        <v>1</v>
      </c>
      <c r="H22" s="84">
        <f t="shared" si="4"/>
        <v>2</v>
      </c>
      <c r="I22" s="84">
        <f t="shared" si="4"/>
        <v>3</v>
      </c>
      <c r="J22" s="84">
        <f t="shared" si="4"/>
        <v>2</v>
      </c>
      <c r="K22" s="84">
        <f t="shared" si="4"/>
        <v>2</v>
      </c>
      <c r="L22" s="84">
        <f t="shared" si="4"/>
        <v>1</v>
      </c>
      <c r="M22" s="84">
        <f t="shared" si="4"/>
        <v>0</v>
      </c>
      <c r="N22" s="84">
        <f t="shared" si="4"/>
        <v>1</v>
      </c>
      <c r="O22" s="84">
        <f t="shared" si="4"/>
        <v>0</v>
      </c>
      <c r="P22" s="84">
        <f t="shared" si="4"/>
        <v>0</v>
      </c>
      <c r="Q22" s="84">
        <f t="shared" si="4"/>
        <v>0</v>
      </c>
      <c r="R22" s="84">
        <f t="shared" si="4"/>
        <v>0</v>
      </c>
      <c r="S22" s="84">
        <f t="shared" si="4"/>
        <v>1</v>
      </c>
      <c r="T22" s="84">
        <f t="shared" si="4"/>
        <v>0</v>
      </c>
      <c r="U22" s="84">
        <f t="shared" si="4"/>
        <v>0</v>
      </c>
      <c r="V22" s="84">
        <f t="shared" si="4"/>
        <v>2</v>
      </c>
      <c r="W22" s="84">
        <f t="shared" si="4"/>
        <v>3</v>
      </c>
      <c r="X22" s="84">
        <f t="shared" si="4"/>
        <v>3</v>
      </c>
      <c r="Y22" s="84">
        <f t="shared" si="4"/>
        <v>2</v>
      </c>
      <c r="Z22" s="84">
        <f t="shared" si="4"/>
        <v>1</v>
      </c>
      <c r="AA22" s="84">
        <f t="shared" si="4"/>
        <v>0</v>
      </c>
      <c r="AB22" s="84">
        <f t="shared" si="4"/>
        <v>3</v>
      </c>
      <c r="AC22" s="84">
        <f t="shared" si="4"/>
        <v>3</v>
      </c>
      <c r="AD22" s="84">
        <f t="shared" si="4"/>
        <v>2</v>
      </c>
      <c r="AE22" s="84">
        <f t="shared" si="4"/>
        <v>4</v>
      </c>
      <c r="AF22" s="84">
        <f t="shared" si="4"/>
        <v>2</v>
      </c>
      <c r="AG22" s="84">
        <f t="shared" si="4"/>
        <v>1</v>
      </c>
      <c r="AH22" s="84">
        <f t="shared" si="4"/>
        <v>0</v>
      </c>
      <c r="AI22" s="84">
        <f t="shared" si="4"/>
        <v>2</v>
      </c>
      <c r="AJ22" s="84">
        <f t="shared" si="4"/>
        <v>3</v>
      </c>
      <c r="AK22" s="84">
        <f t="shared" si="4"/>
        <v>1</v>
      </c>
    </row>
    <row r="23" spans="1:37" x14ac:dyDescent="0.35">
      <c r="A23" s="85" t="s">
        <v>117</v>
      </c>
      <c r="B23" s="86">
        <f>COUNTIF(B4:B17,"*NS*")</f>
        <v>2</v>
      </c>
      <c r="C23" s="86">
        <f t="shared" ref="C23:AK23" si="5">COUNTIF(C4:C17,"*NS*")</f>
        <v>2</v>
      </c>
      <c r="D23" s="86">
        <f t="shared" si="5"/>
        <v>2</v>
      </c>
      <c r="E23" s="86">
        <f t="shared" si="5"/>
        <v>2</v>
      </c>
      <c r="F23" s="86">
        <f t="shared" si="5"/>
        <v>2</v>
      </c>
      <c r="G23" s="86">
        <f t="shared" si="5"/>
        <v>3</v>
      </c>
      <c r="H23" s="86">
        <f t="shared" si="5"/>
        <v>3</v>
      </c>
      <c r="I23" s="86">
        <f t="shared" si="5"/>
        <v>3</v>
      </c>
      <c r="J23" s="86">
        <f t="shared" si="5"/>
        <v>2</v>
      </c>
      <c r="K23" s="86">
        <f t="shared" si="5"/>
        <v>2</v>
      </c>
      <c r="L23" s="86">
        <f t="shared" si="5"/>
        <v>2</v>
      </c>
      <c r="M23" s="86">
        <f t="shared" si="5"/>
        <v>2</v>
      </c>
      <c r="N23" s="86">
        <f t="shared" si="5"/>
        <v>2</v>
      </c>
      <c r="O23" s="86">
        <f t="shared" si="5"/>
        <v>2</v>
      </c>
      <c r="P23" s="86">
        <f t="shared" si="5"/>
        <v>2</v>
      </c>
      <c r="Q23" s="86">
        <f t="shared" si="5"/>
        <v>2</v>
      </c>
      <c r="R23" s="86">
        <f t="shared" si="5"/>
        <v>4</v>
      </c>
      <c r="S23" s="86">
        <f t="shared" si="5"/>
        <v>2</v>
      </c>
      <c r="T23" s="86">
        <f t="shared" si="5"/>
        <v>2</v>
      </c>
      <c r="U23" s="86">
        <f t="shared" si="5"/>
        <v>2</v>
      </c>
      <c r="V23" s="86">
        <f t="shared" si="5"/>
        <v>2</v>
      </c>
      <c r="W23" s="86">
        <f t="shared" si="5"/>
        <v>2</v>
      </c>
      <c r="X23" s="86">
        <f t="shared" si="5"/>
        <v>2</v>
      </c>
      <c r="Y23" s="86">
        <f t="shared" si="5"/>
        <v>2</v>
      </c>
      <c r="Z23" s="86">
        <f t="shared" si="5"/>
        <v>2</v>
      </c>
      <c r="AA23" s="86">
        <f t="shared" si="5"/>
        <v>2</v>
      </c>
      <c r="AB23" s="86">
        <f t="shared" si="5"/>
        <v>2</v>
      </c>
      <c r="AC23" s="86">
        <f t="shared" si="5"/>
        <v>2</v>
      </c>
      <c r="AD23" s="86">
        <f t="shared" si="5"/>
        <v>2</v>
      </c>
      <c r="AE23" s="86">
        <f t="shared" si="5"/>
        <v>2</v>
      </c>
      <c r="AF23" s="86">
        <f t="shared" si="5"/>
        <v>2</v>
      </c>
      <c r="AG23" s="86">
        <f t="shared" si="5"/>
        <v>2</v>
      </c>
      <c r="AH23" s="86">
        <f t="shared" si="5"/>
        <v>2</v>
      </c>
      <c r="AI23" s="86">
        <f t="shared" si="5"/>
        <v>2</v>
      </c>
      <c r="AJ23" s="86">
        <f t="shared" si="5"/>
        <v>2</v>
      </c>
      <c r="AK23" s="86">
        <f t="shared" si="5"/>
        <v>2</v>
      </c>
    </row>
    <row r="24" spans="1:37" x14ac:dyDescent="0.35">
      <c r="A24" s="87" t="s">
        <v>118</v>
      </c>
      <c r="B24" s="88">
        <f>COUNTIF(B2:B17,"N*3")</f>
        <v>0</v>
      </c>
      <c r="C24" s="88">
        <f t="shared" ref="C24:AK24" si="6">COUNTIF(C2:C17,"N*3")</f>
        <v>0</v>
      </c>
      <c r="D24" s="88">
        <f t="shared" si="6"/>
        <v>0</v>
      </c>
      <c r="E24" s="88">
        <f t="shared" si="6"/>
        <v>0</v>
      </c>
      <c r="F24" s="88">
        <f t="shared" si="6"/>
        <v>0</v>
      </c>
      <c r="G24" s="88">
        <f t="shared" si="6"/>
        <v>0</v>
      </c>
      <c r="H24" s="88">
        <f t="shared" si="6"/>
        <v>0</v>
      </c>
      <c r="I24" s="88">
        <f t="shared" si="6"/>
        <v>0</v>
      </c>
      <c r="J24" s="88">
        <f t="shared" si="6"/>
        <v>0</v>
      </c>
      <c r="K24" s="88">
        <f t="shared" si="6"/>
        <v>0</v>
      </c>
      <c r="L24" s="88">
        <f t="shared" si="6"/>
        <v>0</v>
      </c>
      <c r="M24" s="88">
        <f t="shared" si="6"/>
        <v>0</v>
      </c>
      <c r="N24" s="88">
        <f t="shared" si="6"/>
        <v>0</v>
      </c>
      <c r="O24" s="88">
        <f t="shared" si="6"/>
        <v>0</v>
      </c>
      <c r="P24" s="88">
        <f t="shared" si="6"/>
        <v>0</v>
      </c>
      <c r="Q24" s="88">
        <f t="shared" si="6"/>
        <v>0</v>
      </c>
      <c r="R24" s="88">
        <f t="shared" si="6"/>
        <v>0</v>
      </c>
      <c r="S24" s="88">
        <f t="shared" si="6"/>
        <v>0</v>
      </c>
      <c r="T24" s="88">
        <f t="shared" si="6"/>
        <v>0</v>
      </c>
      <c r="U24" s="88">
        <f t="shared" si="6"/>
        <v>0</v>
      </c>
      <c r="V24" s="88">
        <f t="shared" si="6"/>
        <v>0</v>
      </c>
      <c r="W24" s="88">
        <f t="shared" si="6"/>
        <v>0</v>
      </c>
      <c r="X24" s="88">
        <f t="shared" si="6"/>
        <v>0</v>
      </c>
      <c r="Y24" s="88">
        <f t="shared" si="6"/>
        <v>0</v>
      </c>
      <c r="Z24" s="88">
        <f t="shared" si="6"/>
        <v>0</v>
      </c>
      <c r="AA24" s="88">
        <f t="shared" si="6"/>
        <v>0</v>
      </c>
      <c r="AB24" s="88">
        <f t="shared" si="6"/>
        <v>0</v>
      </c>
      <c r="AC24" s="88">
        <f t="shared" si="6"/>
        <v>0</v>
      </c>
      <c r="AD24" s="88">
        <f t="shared" si="6"/>
        <v>0</v>
      </c>
      <c r="AE24" s="88">
        <f t="shared" si="6"/>
        <v>0</v>
      </c>
      <c r="AF24" s="88">
        <f t="shared" si="6"/>
        <v>0</v>
      </c>
      <c r="AG24" s="88">
        <f t="shared" si="6"/>
        <v>0</v>
      </c>
      <c r="AH24" s="88">
        <f t="shared" si="6"/>
        <v>0</v>
      </c>
      <c r="AI24" s="88">
        <f t="shared" si="6"/>
        <v>0</v>
      </c>
      <c r="AJ24" s="88">
        <f t="shared" si="6"/>
        <v>0</v>
      </c>
      <c r="AK24" s="88">
        <f t="shared" si="6"/>
        <v>0</v>
      </c>
    </row>
    <row r="25" spans="1:37" x14ac:dyDescent="0.35">
      <c r="A25" s="89" t="s">
        <v>119</v>
      </c>
      <c r="B25" s="90">
        <f t="shared" ref="B25" si="7">SUM(B20:B24)</f>
        <v>10</v>
      </c>
      <c r="C25" s="90">
        <f t="shared" ref="C25:S25" si="8">SUM(C20:C24)</f>
        <v>11</v>
      </c>
      <c r="D25" s="90">
        <f t="shared" si="8"/>
        <v>11</v>
      </c>
      <c r="E25" s="90">
        <f t="shared" si="8"/>
        <v>7</v>
      </c>
      <c r="F25" s="90">
        <f t="shared" si="8"/>
        <v>6</v>
      </c>
      <c r="G25" s="90">
        <f t="shared" si="8"/>
        <v>11</v>
      </c>
      <c r="H25" s="90">
        <f>SUM(H20:H24)</f>
        <v>12</v>
      </c>
      <c r="I25" s="90">
        <f t="shared" si="8"/>
        <v>12</v>
      </c>
      <c r="J25" s="90">
        <f>SUM(J20:J24)</f>
        <v>13</v>
      </c>
      <c r="K25" s="90">
        <f t="shared" si="8"/>
        <v>12</v>
      </c>
      <c r="L25" s="90">
        <f t="shared" si="8"/>
        <v>7</v>
      </c>
      <c r="M25" s="90">
        <f t="shared" si="8"/>
        <v>6</v>
      </c>
      <c r="N25" s="90">
        <f t="shared" si="8"/>
        <v>10</v>
      </c>
      <c r="O25" s="90">
        <f t="shared" si="8"/>
        <v>9</v>
      </c>
      <c r="P25" s="90">
        <f t="shared" si="8"/>
        <v>10</v>
      </c>
      <c r="Q25" s="90">
        <f t="shared" si="8"/>
        <v>8</v>
      </c>
      <c r="R25" s="90">
        <f t="shared" si="8"/>
        <v>12</v>
      </c>
      <c r="S25" s="90">
        <f t="shared" si="8"/>
        <v>7</v>
      </c>
      <c r="T25" s="90">
        <f t="shared" ref="T25" si="9">SUM(T20:T24)</f>
        <v>6</v>
      </c>
      <c r="U25" s="90">
        <f t="shared" ref="U25:Y25" si="10">SUM(U20:U24)</f>
        <v>8</v>
      </c>
      <c r="V25" s="90">
        <f t="shared" si="10"/>
        <v>10</v>
      </c>
      <c r="W25" s="90">
        <f t="shared" si="10"/>
        <v>11</v>
      </c>
      <c r="X25" s="90">
        <f t="shared" si="10"/>
        <v>12</v>
      </c>
      <c r="Y25" s="90">
        <f t="shared" si="10"/>
        <v>11</v>
      </c>
      <c r="Z25" s="90">
        <f>SUM(Z20:Z24)</f>
        <v>7</v>
      </c>
      <c r="AA25" s="90">
        <f t="shared" ref="AA25:AK25" si="11">SUM(AA20:AA24)</f>
        <v>6</v>
      </c>
      <c r="AB25" s="90">
        <f t="shared" si="11"/>
        <v>12</v>
      </c>
      <c r="AC25" s="90">
        <f t="shared" si="11"/>
        <v>11</v>
      </c>
      <c r="AD25" s="90">
        <f t="shared" si="11"/>
        <v>11</v>
      </c>
      <c r="AE25" s="90">
        <f t="shared" si="11"/>
        <v>13</v>
      </c>
      <c r="AF25" s="90">
        <f t="shared" si="11"/>
        <v>11</v>
      </c>
      <c r="AG25" s="90">
        <f t="shared" si="11"/>
        <v>7</v>
      </c>
      <c r="AH25" s="90">
        <f t="shared" si="11"/>
        <v>6</v>
      </c>
      <c r="AI25" s="90">
        <f t="shared" si="11"/>
        <v>12</v>
      </c>
      <c r="AJ25" s="90">
        <f t="shared" si="11"/>
        <v>11</v>
      </c>
      <c r="AK25" s="90">
        <f t="shared" si="11"/>
        <v>9</v>
      </c>
    </row>
    <row r="31" spans="1:37" x14ac:dyDescent="0.35">
      <c r="A31" s="24" t="s">
        <v>23</v>
      </c>
    </row>
    <row r="32" spans="1:37" x14ac:dyDescent="0.35">
      <c r="A32" s="1" t="s">
        <v>24</v>
      </c>
    </row>
    <row r="33" spans="1:1" x14ac:dyDescent="0.35">
      <c r="A33" s="1" t="s">
        <v>25</v>
      </c>
    </row>
    <row r="34" spans="1:1" x14ac:dyDescent="0.35">
      <c r="A34" s="1" t="s">
        <v>47</v>
      </c>
    </row>
    <row r="35" spans="1:1" x14ac:dyDescent="0.35">
      <c r="A35" s="1" t="s">
        <v>48</v>
      </c>
    </row>
    <row r="36" spans="1:1" x14ac:dyDescent="0.35">
      <c r="A36" s="1" t="s">
        <v>26</v>
      </c>
    </row>
    <row r="37" spans="1:1" x14ac:dyDescent="0.35">
      <c r="A37" s="1" t="s">
        <v>27</v>
      </c>
    </row>
    <row r="38" spans="1:1" x14ac:dyDescent="0.35">
      <c r="A38" s="1" t="s">
        <v>28</v>
      </c>
    </row>
    <row r="39" spans="1:1" x14ac:dyDescent="0.35">
      <c r="A39" s="1" t="s">
        <v>29</v>
      </c>
    </row>
    <row r="40" spans="1:1" x14ac:dyDescent="0.35">
      <c r="A40" s="1" t="s">
        <v>49</v>
      </c>
    </row>
    <row r="41" spans="1:1" x14ac:dyDescent="0.35">
      <c r="A41" s="1" t="s">
        <v>50</v>
      </c>
    </row>
    <row r="42" spans="1:1" x14ac:dyDescent="0.35">
      <c r="A42" s="1" t="s">
        <v>31</v>
      </c>
    </row>
    <row r="43" spans="1:1" x14ac:dyDescent="0.35">
      <c r="A43" s="1" t="s">
        <v>32</v>
      </c>
    </row>
    <row r="44" spans="1:1" x14ac:dyDescent="0.35">
      <c r="A44" s="1" t="s">
        <v>33</v>
      </c>
    </row>
    <row r="45" spans="1:1" x14ac:dyDescent="0.35">
      <c r="A45" s="1" t="s">
        <v>35</v>
      </c>
    </row>
    <row r="46" spans="1:1" x14ac:dyDescent="0.35">
      <c r="A46" s="1" t="s">
        <v>36</v>
      </c>
    </row>
    <row r="47" spans="1:1" x14ac:dyDescent="0.35">
      <c r="A47" s="1" t="s">
        <v>38</v>
      </c>
    </row>
    <row r="48" spans="1:1" x14ac:dyDescent="0.35">
      <c r="A48" s="1" t="s">
        <v>36</v>
      </c>
    </row>
    <row r="49" spans="1:1" x14ac:dyDescent="0.35">
      <c r="A49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2:AI30"/>
  <sheetViews>
    <sheetView topLeftCell="B1" zoomScale="80" zoomScaleNormal="80" workbookViewId="0">
      <pane xSplit="1" topLeftCell="N1" activePane="topRight" state="frozen"/>
      <selection activeCell="B1" sqref="B1"/>
      <selection pane="topRight" activeCell="U11" sqref="U11"/>
    </sheetView>
  </sheetViews>
  <sheetFormatPr defaultRowHeight="14.5" x14ac:dyDescent="0.35"/>
  <cols>
    <col min="1" max="1" width="0" hidden="1" customWidth="1"/>
    <col min="2" max="2" width="17.453125" bestFit="1" customWidth="1"/>
    <col min="3" max="35" width="8.7265625" customWidth="1"/>
  </cols>
  <sheetData>
    <row r="2" spans="1:35" x14ac:dyDescent="0.35">
      <c r="B2" s="1"/>
      <c r="C2" s="2" t="str">
        <f t="shared" ref="C2:AI2" si="0">TEXT(C3,"ddd")</f>
        <v>Sat</v>
      </c>
      <c r="D2" s="2" t="str">
        <f t="shared" si="0"/>
        <v>Sun</v>
      </c>
      <c r="E2" s="2" t="str">
        <f t="shared" si="0"/>
        <v>Mon</v>
      </c>
      <c r="F2" s="2" t="str">
        <f t="shared" si="0"/>
        <v>Tue</v>
      </c>
      <c r="G2" s="2" t="str">
        <f t="shared" si="0"/>
        <v>Wed</v>
      </c>
      <c r="H2" s="2" t="str">
        <f t="shared" si="0"/>
        <v>Thu</v>
      </c>
      <c r="I2" s="2" t="str">
        <f t="shared" si="0"/>
        <v>Fri</v>
      </c>
      <c r="J2" s="2" t="str">
        <f t="shared" si="0"/>
        <v>Sat</v>
      </c>
      <c r="K2" s="2" t="str">
        <f t="shared" si="0"/>
        <v>Sun</v>
      </c>
      <c r="L2" s="2" t="str">
        <f t="shared" si="0"/>
        <v>Mon</v>
      </c>
      <c r="M2" s="2" t="str">
        <f t="shared" si="0"/>
        <v>Tue</v>
      </c>
      <c r="N2" s="2" t="str">
        <f t="shared" si="0"/>
        <v>Wed</v>
      </c>
      <c r="O2" s="2" t="str">
        <f t="shared" si="0"/>
        <v>Thu</v>
      </c>
      <c r="P2" s="2" t="str">
        <f t="shared" si="0"/>
        <v>Fri</v>
      </c>
      <c r="Q2" s="2" t="str">
        <f t="shared" si="0"/>
        <v>Sat</v>
      </c>
      <c r="R2" s="2" t="str">
        <f t="shared" si="0"/>
        <v>Sun</v>
      </c>
      <c r="S2" s="2" t="str">
        <f t="shared" si="0"/>
        <v>Mon</v>
      </c>
      <c r="T2" s="2" t="str">
        <f t="shared" si="0"/>
        <v>Tue</v>
      </c>
      <c r="U2" s="2" t="str">
        <f t="shared" si="0"/>
        <v>Wed</v>
      </c>
      <c r="V2" s="2" t="str">
        <f t="shared" si="0"/>
        <v>Thu</v>
      </c>
      <c r="W2" s="2" t="str">
        <f t="shared" si="0"/>
        <v>Fri</v>
      </c>
      <c r="X2" s="2" t="str">
        <f t="shared" si="0"/>
        <v>Sat</v>
      </c>
      <c r="Y2" s="2" t="str">
        <f t="shared" si="0"/>
        <v>Sun</v>
      </c>
      <c r="Z2" s="2" t="str">
        <f t="shared" si="0"/>
        <v>Mon</v>
      </c>
      <c r="AA2" s="2" t="str">
        <f t="shared" si="0"/>
        <v>Tue</v>
      </c>
      <c r="AB2" s="2" t="str">
        <f t="shared" si="0"/>
        <v>Wed</v>
      </c>
      <c r="AC2" s="2" t="str">
        <f t="shared" si="0"/>
        <v>Thu</v>
      </c>
      <c r="AD2" s="2" t="str">
        <f t="shared" si="0"/>
        <v>Fri</v>
      </c>
      <c r="AE2" s="2" t="str">
        <f t="shared" si="0"/>
        <v>Sat</v>
      </c>
      <c r="AF2" s="2" t="str">
        <f t="shared" si="0"/>
        <v>Sun</v>
      </c>
      <c r="AG2" s="2" t="str">
        <f t="shared" si="0"/>
        <v>Mon</v>
      </c>
      <c r="AH2" s="2" t="str">
        <f t="shared" si="0"/>
        <v>Tue</v>
      </c>
      <c r="AI2" s="2" t="str">
        <f t="shared" si="0"/>
        <v>Wed</v>
      </c>
    </row>
    <row r="3" spans="1:35" x14ac:dyDescent="0.35">
      <c r="A3" s="95" t="s">
        <v>110</v>
      </c>
      <c r="B3" s="95" t="s">
        <v>0</v>
      </c>
      <c r="C3" s="29">
        <v>44772</v>
      </c>
      <c r="D3" s="29">
        <v>44773</v>
      </c>
      <c r="E3" s="29">
        <v>44774</v>
      </c>
      <c r="F3" s="29">
        <v>44775</v>
      </c>
      <c r="G3" s="29">
        <v>44776</v>
      </c>
      <c r="H3" s="29">
        <v>44777</v>
      </c>
      <c r="I3" s="29">
        <v>44778</v>
      </c>
      <c r="J3" s="29">
        <v>44779</v>
      </c>
      <c r="K3" s="29">
        <v>44780</v>
      </c>
      <c r="L3" s="29">
        <v>44781</v>
      </c>
      <c r="M3" s="29">
        <v>44782</v>
      </c>
      <c r="N3" s="29">
        <v>44783</v>
      </c>
      <c r="O3" s="29">
        <v>44784</v>
      </c>
      <c r="P3" s="29">
        <v>44785</v>
      </c>
      <c r="Q3" s="29">
        <v>44786</v>
      </c>
      <c r="R3" s="29">
        <v>44787</v>
      </c>
      <c r="S3" s="29">
        <v>44788</v>
      </c>
      <c r="T3" s="29">
        <v>44789</v>
      </c>
      <c r="U3" s="29">
        <v>44790</v>
      </c>
      <c r="V3" s="29">
        <v>44791</v>
      </c>
      <c r="W3" s="29">
        <v>44792</v>
      </c>
      <c r="X3" s="29">
        <v>44793</v>
      </c>
      <c r="Y3" s="29">
        <v>44794</v>
      </c>
      <c r="Z3" s="29">
        <v>44795</v>
      </c>
      <c r="AA3" s="29">
        <v>44796</v>
      </c>
      <c r="AB3" s="29">
        <v>44797</v>
      </c>
      <c r="AC3" s="29">
        <v>44798</v>
      </c>
      <c r="AD3" s="29">
        <v>44799</v>
      </c>
      <c r="AE3" s="29">
        <v>44800</v>
      </c>
      <c r="AF3" s="29">
        <v>44801</v>
      </c>
      <c r="AG3" s="29">
        <v>44802</v>
      </c>
      <c r="AH3" s="29">
        <v>44803</v>
      </c>
      <c r="AI3" s="29">
        <v>44804</v>
      </c>
    </row>
    <row r="4" spans="1:35" ht="15" thickBot="1" x14ac:dyDescent="0.4">
      <c r="A4" s="270" t="s">
        <v>111</v>
      </c>
      <c r="B4" s="96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</row>
    <row r="5" spans="1:35" ht="15" thickBot="1" x14ac:dyDescent="0.4">
      <c r="A5" s="271"/>
      <c r="B5" s="98" t="s">
        <v>14</v>
      </c>
      <c r="C5" s="99" t="s">
        <v>4</v>
      </c>
      <c r="D5" s="100" t="s">
        <v>5</v>
      </c>
      <c r="E5" s="103" t="s">
        <v>6</v>
      </c>
      <c r="F5" s="103" t="s">
        <v>6</v>
      </c>
      <c r="G5" s="103" t="s">
        <v>6</v>
      </c>
      <c r="H5" s="103" t="s">
        <v>6</v>
      </c>
      <c r="I5" s="131" t="s">
        <v>6</v>
      </c>
      <c r="J5" s="103" t="s">
        <v>3</v>
      </c>
      <c r="K5" s="107" t="s">
        <v>4</v>
      </c>
      <c r="L5" s="75" t="s">
        <v>16</v>
      </c>
      <c r="M5" s="75" t="s">
        <v>16</v>
      </c>
      <c r="N5" s="25" t="s">
        <v>6</v>
      </c>
      <c r="O5" s="131" t="s">
        <v>6</v>
      </c>
      <c r="P5" s="131" t="s">
        <v>6</v>
      </c>
      <c r="Q5" s="107" t="s">
        <v>4</v>
      </c>
      <c r="R5" s="107" t="s">
        <v>4</v>
      </c>
      <c r="S5" s="103" t="s">
        <v>3</v>
      </c>
      <c r="T5" s="103" t="s">
        <v>6</v>
      </c>
      <c r="U5" s="103" t="s">
        <v>6</v>
      </c>
      <c r="V5" s="100" t="s">
        <v>5</v>
      </c>
      <c r="W5" s="104" t="s">
        <v>2</v>
      </c>
      <c r="X5" s="99" t="s">
        <v>4</v>
      </c>
      <c r="Y5" s="103" t="s">
        <v>3</v>
      </c>
      <c r="Z5" s="103" t="s">
        <v>6</v>
      </c>
      <c r="AA5" s="103" t="s">
        <v>6</v>
      </c>
      <c r="AB5" s="103" t="s">
        <v>6</v>
      </c>
      <c r="AC5" s="103" t="s">
        <v>6</v>
      </c>
      <c r="AD5" s="103" t="s">
        <v>6</v>
      </c>
      <c r="AE5" s="107" t="s">
        <v>4</v>
      </c>
      <c r="AF5" s="100" t="s">
        <v>5</v>
      </c>
      <c r="AG5" s="100" t="s">
        <v>5</v>
      </c>
      <c r="AH5" s="100" t="s">
        <v>5</v>
      </c>
      <c r="AI5" s="115" t="s">
        <v>37</v>
      </c>
    </row>
    <row r="6" spans="1:35" ht="15" thickBot="1" x14ac:dyDescent="0.4">
      <c r="A6" s="271"/>
      <c r="B6" s="106" t="s">
        <v>12</v>
      </c>
      <c r="C6" s="105" t="s">
        <v>3</v>
      </c>
      <c r="D6" s="105" t="s">
        <v>3</v>
      </c>
      <c r="E6" s="102" t="s">
        <v>2</v>
      </c>
      <c r="F6" s="102" t="s">
        <v>2</v>
      </c>
      <c r="G6" s="102" t="s">
        <v>2</v>
      </c>
      <c r="H6" s="130" t="s">
        <v>6</v>
      </c>
      <c r="I6" s="131" t="s">
        <v>6</v>
      </c>
      <c r="J6" s="131" t="s">
        <v>3</v>
      </c>
      <c r="K6" s="132" t="s">
        <v>3</v>
      </c>
      <c r="L6" s="132" t="s">
        <v>6</v>
      </c>
      <c r="M6" s="75" t="s">
        <v>16</v>
      </c>
      <c r="N6" s="107" t="s">
        <v>5</v>
      </c>
      <c r="O6" s="107" t="s">
        <v>5</v>
      </c>
      <c r="P6" s="107" t="s">
        <v>5</v>
      </c>
      <c r="Q6" s="105" t="s">
        <v>3</v>
      </c>
      <c r="R6" s="105" t="s">
        <v>3</v>
      </c>
      <c r="S6" s="103" t="s">
        <v>3</v>
      </c>
      <c r="T6" s="103" t="s">
        <v>6</v>
      </c>
      <c r="U6" s="102" t="s">
        <v>2</v>
      </c>
      <c r="V6" s="103" t="s">
        <v>6</v>
      </c>
      <c r="W6" s="105" t="s">
        <v>6</v>
      </c>
      <c r="X6" s="105" t="s">
        <v>3</v>
      </c>
      <c r="Y6" s="101" t="s">
        <v>4</v>
      </c>
      <c r="Z6" s="103" t="s">
        <v>6</v>
      </c>
      <c r="AA6" s="105" t="s">
        <v>6</v>
      </c>
      <c r="AB6" s="105" t="s">
        <v>6</v>
      </c>
      <c r="AC6" s="108" t="s">
        <v>2</v>
      </c>
      <c r="AD6" s="108" t="s">
        <v>2</v>
      </c>
      <c r="AE6" s="105" t="s">
        <v>3</v>
      </c>
      <c r="AF6" s="105" t="s">
        <v>3</v>
      </c>
      <c r="AG6" s="105" t="s">
        <v>6</v>
      </c>
      <c r="AH6" s="105" t="s">
        <v>6</v>
      </c>
      <c r="AI6" s="112" t="s">
        <v>3</v>
      </c>
    </row>
    <row r="7" spans="1:35" x14ac:dyDescent="0.35">
      <c r="A7" s="270"/>
      <c r="B7" s="109" t="s">
        <v>69</v>
      </c>
      <c r="C7" s="110" t="s">
        <v>4</v>
      </c>
      <c r="D7" s="111" t="s">
        <v>5</v>
      </c>
      <c r="E7" s="25" t="s">
        <v>6</v>
      </c>
      <c r="F7" s="25" t="s">
        <v>6</v>
      </c>
      <c r="G7" s="112" t="s">
        <v>6</v>
      </c>
      <c r="H7" s="112" t="s">
        <v>6</v>
      </c>
      <c r="I7" s="108" t="s">
        <v>2</v>
      </c>
      <c r="J7" s="110" t="s">
        <v>4</v>
      </c>
      <c r="K7" s="103" t="s">
        <v>3</v>
      </c>
      <c r="L7" s="103" t="s">
        <v>6</v>
      </c>
      <c r="M7" s="103" t="s">
        <v>6</v>
      </c>
      <c r="N7" s="103" t="s">
        <v>6</v>
      </c>
      <c r="O7" s="103" t="s">
        <v>6</v>
      </c>
      <c r="P7" s="108" t="s">
        <v>2</v>
      </c>
      <c r="Q7" s="110" t="s">
        <v>4</v>
      </c>
      <c r="R7" s="112" t="s">
        <v>3</v>
      </c>
      <c r="S7" s="103" t="s">
        <v>3</v>
      </c>
      <c r="T7" s="132" t="s">
        <v>6</v>
      </c>
      <c r="U7" s="132" t="s">
        <v>6</v>
      </c>
      <c r="V7" s="132" t="s">
        <v>6</v>
      </c>
      <c r="W7" s="108" t="s">
        <v>2</v>
      </c>
      <c r="X7" s="110" t="s">
        <v>4</v>
      </c>
      <c r="Y7" s="112" t="s">
        <v>3</v>
      </c>
      <c r="Z7" s="112" t="s">
        <v>6</v>
      </c>
      <c r="AA7" s="75" t="s">
        <v>16</v>
      </c>
      <c r="AB7" s="75" t="s">
        <v>16</v>
      </c>
      <c r="AC7" s="112" t="s">
        <v>6</v>
      </c>
      <c r="AD7" s="108" t="s">
        <v>2</v>
      </c>
      <c r="AE7" s="110" t="s">
        <v>4</v>
      </c>
      <c r="AF7" s="112" t="s">
        <v>3</v>
      </c>
      <c r="AG7" s="112" t="s">
        <v>6</v>
      </c>
      <c r="AH7" s="132" t="s">
        <v>6</v>
      </c>
      <c r="AI7" s="112" t="s">
        <v>3</v>
      </c>
    </row>
    <row r="8" spans="1:35" ht="15" thickBot="1" x14ac:dyDescent="0.4">
      <c r="A8" s="270"/>
      <c r="B8" s="113" t="s">
        <v>71</v>
      </c>
      <c r="C8" s="25" t="s">
        <v>3</v>
      </c>
      <c r="D8" s="28" t="s">
        <v>4</v>
      </c>
      <c r="E8" s="74" t="s">
        <v>6</v>
      </c>
      <c r="F8" s="74" t="s">
        <v>6</v>
      </c>
      <c r="G8" s="74" t="s">
        <v>6</v>
      </c>
      <c r="H8" s="74" t="s">
        <v>6</v>
      </c>
      <c r="I8" s="74" t="s">
        <v>6</v>
      </c>
      <c r="J8" s="114" t="s">
        <v>4</v>
      </c>
      <c r="K8" s="114" t="s">
        <v>4</v>
      </c>
      <c r="L8" s="75" t="s">
        <v>16</v>
      </c>
      <c r="M8" s="107" t="s">
        <v>5</v>
      </c>
      <c r="N8" s="22" t="s">
        <v>16</v>
      </c>
      <c r="O8" s="25" t="s">
        <v>6</v>
      </c>
      <c r="P8" s="25" t="s">
        <v>6</v>
      </c>
      <c r="Q8" s="25" t="s">
        <v>3</v>
      </c>
      <c r="R8" s="114" t="s">
        <v>4</v>
      </c>
      <c r="S8" s="115" t="s">
        <v>37</v>
      </c>
      <c r="T8" s="107" t="s">
        <v>5</v>
      </c>
      <c r="U8" s="112" t="s">
        <v>6</v>
      </c>
      <c r="V8" s="112" t="s">
        <v>6</v>
      </c>
      <c r="W8" s="25" t="s">
        <v>6</v>
      </c>
      <c r="X8" s="25" t="s">
        <v>3</v>
      </c>
      <c r="Y8" s="114" t="s">
        <v>4</v>
      </c>
      <c r="Z8" s="116" t="s">
        <v>2</v>
      </c>
      <c r="AA8" s="25" t="s">
        <v>6</v>
      </c>
      <c r="AB8" s="25" t="s">
        <v>6</v>
      </c>
      <c r="AC8" s="25" t="s">
        <v>6</v>
      </c>
      <c r="AD8" s="25" t="s">
        <v>6</v>
      </c>
      <c r="AE8" s="25" t="s">
        <v>3</v>
      </c>
      <c r="AF8" s="114" t="s">
        <v>4</v>
      </c>
      <c r="AG8" s="25" t="s">
        <v>6</v>
      </c>
      <c r="AH8" s="25" t="s">
        <v>6</v>
      </c>
      <c r="AI8" s="112" t="s">
        <v>3</v>
      </c>
    </row>
    <row r="9" spans="1:35" ht="15" thickBot="1" x14ac:dyDescent="0.4">
      <c r="A9" s="270"/>
      <c r="B9" s="113" t="s">
        <v>70</v>
      </c>
      <c r="C9" s="117" t="s">
        <v>30</v>
      </c>
      <c r="D9" s="25" t="s">
        <v>3</v>
      </c>
      <c r="E9" s="25" t="s">
        <v>6</v>
      </c>
      <c r="F9" s="25" t="s">
        <v>6</v>
      </c>
      <c r="G9" s="116" t="s">
        <v>2</v>
      </c>
      <c r="H9" s="116" t="s">
        <v>2</v>
      </c>
      <c r="I9" s="22" t="s">
        <v>16</v>
      </c>
      <c r="J9" s="117" t="s">
        <v>30</v>
      </c>
      <c r="K9" s="114" t="s">
        <v>4</v>
      </c>
      <c r="L9" s="120" t="s">
        <v>41</v>
      </c>
      <c r="M9" s="103" t="s">
        <v>6</v>
      </c>
      <c r="N9" s="118" t="s">
        <v>41</v>
      </c>
      <c r="O9" s="108" t="s">
        <v>2</v>
      </c>
      <c r="P9" s="25" t="s">
        <v>6</v>
      </c>
      <c r="Q9" s="114" t="s">
        <v>4</v>
      </c>
      <c r="R9" s="114" t="s">
        <v>4</v>
      </c>
      <c r="S9" s="22" t="s">
        <v>30</v>
      </c>
      <c r="T9" s="116" t="s">
        <v>2</v>
      </c>
      <c r="U9" s="75" t="s">
        <v>16</v>
      </c>
      <c r="V9" s="112" t="s">
        <v>6</v>
      </c>
      <c r="W9" s="74" t="s">
        <v>6</v>
      </c>
      <c r="X9" s="118" t="s">
        <v>42</v>
      </c>
      <c r="Y9" s="118" t="s">
        <v>42</v>
      </c>
      <c r="Z9" s="133" t="s">
        <v>41</v>
      </c>
      <c r="AA9" s="74" t="s">
        <v>6</v>
      </c>
      <c r="AB9" s="25" t="s">
        <v>6</v>
      </c>
      <c r="AC9" s="108" t="s">
        <v>2</v>
      </c>
      <c r="AD9" s="25" t="s">
        <v>6</v>
      </c>
      <c r="AE9" s="117" t="s">
        <v>30</v>
      </c>
      <c r="AF9" s="114" t="s">
        <v>4</v>
      </c>
      <c r="AG9" s="25" t="s">
        <v>6</v>
      </c>
      <c r="AH9" s="100" t="s">
        <v>2</v>
      </c>
      <c r="AI9" s="115" t="s">
        <v>37</v>
      </c>
    </row>
    <row r="10" spans="1:35" ht="15" thickBot="1" x14ac:dyDescent="0.4"/>
    <row r="11" spans="1:35" ht="15" thickBot="1" x14ac:dyDescent="0.4">
      <c r="A11" s="271" t="s">
        <v>112</v>
      </c>
      <c r="B11" s="98" t="s">
        <v>9</v>
      </c>
      <c r="C11" s="118" t="s">
        <v>42</v>
      </c>
      <c r="D11" s="99" t="s">
        <v>4</v>
      </c>
      <c r="E11" s="74" t="s">
        <v>41</v>
      </c>
      <c r="F11" s="118" t="s">
        <v>41</v>
      </c>
      <c r="G11" s="102" t="s">
        <v>2</v>
      </c>
      <c r="H11" s="102" t="s">
        <v>2</v>
      </c>
      <c r="I11" s="74" t="s">
        <v>41</v>
      </c>
      <c r="J11" s="120" t="s">
        <v>42</v>
      </c>
      <c r="K11" s="99" t="s">
        <v>4</v>
      </c>
      <c r="L11" s="120" t="s">
        <v>41</v>
      </c>
      <c r="M11" s="103" t="s">
        <v>6</v>
      </c>
      <c r="N11" s="118" t="s">
        <v>41</v>
      </c>
      <c r="O11" s="102" t="s">
        <v>2</v>
      </c>
      <c r="P11" s="118" t="s">
        <v>41</v>
      </c>
      <c r="Q11" s="99" t="s">
        <v>4</v>
      </c>
      <c r="R11" s="99" t="s">
        <v>4</v>
      </c>
      <c r="S11" s="74" t="s">
        <v>42</v>
      </c>
      <c r="T11" s="116" t="s">
        <v>2</v>
      </c>
      <c r="U11" s="74" t="s">
        <v>41</v>
      </c>
      <c r="V11" s="118" t="s">
        <v>41</v>
      </c>
      <c r="W11" s="74" t="s">
        <v>41</v>
      </c>
      <c r="X11" s="118" t="s">
        <v>42</v>
      </c>
      <c r="Y11" s="100" t="s">
        <v>4</v>
      </c>
      <c r="Z11" s="100" t="s">
        <v>2</v>
      </c>
      <c r="AA11" s="100" t="s">
        <v>5</v>
      </c>
      <c r="AB11" s="100" t="s">
        <v>5</v>
      </c>
      <c r="AC11" s="100" t="s">
        <v>5</v>
      </c>
      <c r="AD11" s="134" t="s">
        <v>41</v>
      </c>
      <c r="AE11" s="118" t="s">
        <v>42</v>
      </c>
      <c r="AF11" s="99" t="s">
        <v>4</v>
      </c>
      <c r="AG11" s="104" t="s">
        <v>2</v>
      </c>
      <c r="AH11" s="118" t="s">
        <v>41</v>
      </c>
      <c r="AI11" s="118" t="s">
        <v>42</v>
      </c>
    </row>
    <row r="12" spans="1:35" ht="15" thickBot="1" x14ac:dyDescent="0.4">
      <c r="A12" s="271"/>
      <c r="B12" s="106" t="s">
        <v>15</v>
      </c>
      <c r="C12" s="119" t="s">
        <v>4</v>
      </c>
      <c r="D12" s="120" t="s">
        <v>42</v>
      </c>
      <c r="E12" s="120" t="s">
        <v>41</v>
      </c>
      <c r="F12" s="120" t="s">
        <v>41</v>
      </c>
      <c r="G12" s="120" t="s">
        <v>41</v>
      </c>
      <c r="H12" s="120" t="s">
        <v>41</v>
      </c>
      <c r="I12" s="102" t="s">
        <v>2</v>
      </c>
      <c r="J12" s="101" t="s">
        <v>4</v>
      </c>
      <c r="K12" s="120" t="s">
        <v>42</v>
      </c>
      <c r="L12" s="120" t="s">
        <v>41</v>
      </c>
      <c r="M12" s="120" t="s">
        <v>41</v>
      </c>
      <c r="N12" s="120" t="s">
        <v>41</v>
      </c>
      <c r="O12" s="120" t="s">
        <v>41</v>
      </c>
      <c r="P12" s="102" t="s">
        <v>2</v>
      </c>
      <c r="Q12" s="120" t="s">
        <v>42</v>
      </c>
      <c r="R12" s="120" t="s">
        <v>42</v>
      </c>
      <c r="S12" s="120" t="s">
        <v>42</v>
      </c>
      <c r="T12" s="118" t="s">
        <v>41</v>
      </c>
      <c r="U12" s="118" t="s">
        <v>41</v>
      </c>
      <c r="V12" s="118" t="s">
        <v>41</v>
      </c>
      <c r="W12" s="120" t="s">
        <v>41</v>
      </c>
      <c r="X12" s="101" t="s">
        <v>4</v>
      </c>
      <c r="Y12" s="120" t="s">
        <v>42</v>
      </c>
      <c r="Z12" s="120" t="s">
        <v>41</v>
      </c>
      <c r="AA12" s="120" t="s">
        <v>41</v>
      </c>
      <c r="AB12" s="120" t="s">
        <v>41</v>
      </c>
      <c r="AC12" s="120" t="s">
        <v>41</v>
      </c>
      <c r="AD12" s="102" t="s">
        <v>2</v>
      </c>
      <c r="AE12" s="101" t="s">
        <v>4</v>
      </c>
      <c r="AF12" s="120" t="s">
        <v>42</v>
      </c>
      <c r="AG12" s="120" t="s">
        <v>41</v>
      </c>
      <c r="AH12" s="100" t="s">
        <v>5</v>
      </c>
      <c r="AI12" s="100" t="s">
        <v>5</v>
      </c>
    </row>
    <row r="13" spans="1:35" ht="15" thickBot="1" x14ac:dyDescent="0.4">
      <c r="A13" s="270"/>
      <c r="B13" s="109" t="s">
        <v>21</v>
      </c>
      <c r="C13" s="110" t="s">
        <v>4</v>
      </c>
      <c r="D13" s="120" t="s">
        <v>42</v>
      </c>
      <c r="E13" s="108" t="s">
        <v>2</v>
      </c>
      <c r="F13" s="108" t="s">
        <v>2</v>
      </c>
      <c r="G13" s="121" t="s">
        <v>41</v>
      </c>
      <c r="H13" s="121" t="s">
        <v>41</v>
      </c>
      <c r="I13" s="121" t="s">
        <v>41</v>
      </c>
      <c r="J13" s="121" t="s">
        <v>42</v>
      </c>
      <c r="K13" s="121" t="s">
        <v>42</v>
      </c>
      <c r="L13" s="108" t="s">
        <v>2</v>
      </c>
      <c r="M13" s="120" t="s">
        <v>41</v>
      </c>
      <c r="N13" s="108" t="s">
        <v>2</v>
      </c>
      <c r="O13" s="121" t="s">
        <v>41</v>
      </c>
      <c r="P13" s="121" t="s">
        <v>41</v>
      </c>
      <c r="Q13" s="121" t="s">
        <v>42</v>
      </c>
      <c r="R13" s="19" t="s">
        <v>42</v>
      </c>
      <c r="S13" s="115" t="s">
        <v>37</v>
      </c>
      <c r="T13" s="120" t="s">
        <v>41</v>
      </c>
      <c r="U13" s="111" t="s">
        <v>5</v>
      </c>
      <c r="V13" s="111" t="s">
        <v>5</v>
      </c>
      <c r="W13" s="120" t="s">
        <v>41</v>
      </c>
      <c r="X13" s="118" t="s">
        <v>42</v>
      </c>
      <c r="Y13" s="110" t="s">
        <v>4</v>
      </c>
      <c r="Z13" s="108" t="s">
        <v>2</v>
      </c>
      <c r="AA13" s="134" t="s">
        <v>41</v>
      </c>
      <c r="AB13" s="134" t="s">
        <v>41</v>
      </c>
      <c r="AC13" s="134" t="s">
        <v>41</v>
      </c>
      <c r="AD13" s="134" t="s">
        <v>41</v>
      </c>
      <c r="AE13" s="134" t="s">
        <v>42</v>
      </c>
      <c r="AF13" s="134" t="s">
        <v>42</v>
      </c>
      <c r="AG13" s="108" t="s">
        <v>2</v>
      </c>
      <c r="AH13" s="121" t="s">
        <v>41</v>
      </c>
      <c r="AI13" s="118" t="s">
        <v>42</v>
      </c>
    </row>
    <row r="14" spans="1:35" ht="15" thickBot="1" x14ac:dyDescent="0.4">
      <c r="A14" s="270"/>
      <c r="B14" s="113" t="s">
        <v>22</v>
      </c>
      <c r="C14" s="19" t="s">
        <v>42</v>
      </c>
      <c r="D14" s="110" t="s">
        <v>4</v>
      </c>
      <c r="E14" s="19" t="s">
        <v>41</v>
      </c>
      <c r="F14" s="19" t="s">
        <v>41</v>
      </c>
      <c r="G14" s="19" t="s">
        <v>41</v>
      </c>
      <c r="H14" s="19" t="s">
        <v>41</v>
      </c>
      <c r="I14" s="122" t="s">
        <v>2</v>
      </c>
      <c r="J14" s="122" t="s">
        <v>4</v>
      </c>
      <c r="K14" s="122" t="s">
        <v>5</v>
      </c>
      <c r="L14" s="122" t="s">
        <v>5</v>
      </c>
      <c r="M14" s="122" t="s">
        <v>5</v>
      </c>
      <c r="N14" s="122" t="s">
        <v>5</v>
      </c>
      <c r="O14" s="122" t="s">
        <v>5</v>
      </c>
      <c r="P14" s="121" t="s">
        <v>41</v>
      </c>
      <c r="Q14" s="117" t="s">
        <v>30</v>
      </c>
      <c r="R14" s="114" t="s">
        <v>4</v>
      </c>
      <c r="S14" s="120" t="s">
        <v>42</v>
      </c>
      <c r="T14" s="116" t="s">
        <v>2</v>
      </c>
      <c r="U14" s="133" t="s">
        <v>16</v>
      </c>
      <c r="V14" s="133" t="s">
        <v>16</v>
      </c>
      <c r="W14" s="135" t="s">
        <v>16</v>
      </c>
      <c r="X14" s="135" t="s">
        <v>30</v>
      </c>
      <c r="Y14" s="135" t="s">
        <v>30</v>
      </c>
      <c r="Z14" s="135" t="s">
        <v>16</v>
      </c>
      <c r="AA14" s="108" t="s">
        <v>2</v>
      </c>
      <c r="AB14" s="108" t="s">
        <v>2</v>
      </c>
      <c r="AC14" s="19" t="s">
        <v>41</v>
      </c>
      <c r="AD14" s="19" t="s">
        <v>41</v>
      </c>
      <c r="AE14" s="114" t="s">
        <v>4</v>
      </c>
      <c r="AF14" s="114" t="s">
        <v>4</v>
      </c>
      <c r="AG14" s="19" t="s">
        <v>41</v>
      </c>
      <c r="AH14" s="19" t="s">
        <v>41</v>
      </c>
      <c r="AI14" s="118" t="s">
        <v>42</v>
      </c>
    </row>
    <row r="15" spans="1:35" ht="15" thickBot="1" x14ac:dyDescent="0.4">
      <c r="A15" s="270"/>
      <c r="B15" s="113" t="s">
        <v>124</v>
      </c>
      <c r="C15" s="114" t="s">
        <v>4</v>
      </c>
      <c r="D15" s="114" t="s">
        <v>4</v>
      </c>
      <c r="E15" s="22" t="s">
        <v>16</v>
      </c>
      <c r="F15" s="22" t="s">
        <v>16</v>
      </c>
      <c r="G15" s="22" t="s">
        <v>16</v>
      </c>
      <c r="H15" s="22" t="s">
        <v>16</v>
      </c>
      <c r="I15" s="75" t="s">
        <v>16</v>
      </c>
      <c r="J15" s="114" t="s">
        <v>4</v>
      </c>
      <c r="K15" s="114" t="s">
        <v>4</v>
      </c>
      <c r="L15" s="75" t="s">
        <v>16</v>
      </c>
      <c r="M15" s="75" t="s">
        <v>16</v>
      </c>
      <c r="N15" s="75" t="s">
        <v>16</v>
      </c>
      <c r="O15" s="22" t="s">
        <v>16</v>
      </c>
      <c r="P15" s="22" t="s">
        <v>16</v>
      </c>
      <c r="Q15" s="114" t="s">
        <v>4</v>
      </c>
      <c r="R15" s="114" t="s">
        <v>4</v>
      </c>
      <c r="S15" s="115" t="s">
        <v>37</v>
      </c>
      <c r="T15" s="120" t="s">
        <v>41</v>
      </c>
      <c r="U15" s="120" t="s">
        <v>41</v>
      </c>
      <c r="V15" s="120" t="s">
        <v>41</v>
      </c>
      <c r="W15" s="120" t="s">
        <v>41</v>
      </c>
      <c r="X15" s="114" t="s">
        <v>4</v>
      </c>
      <c r="Y15" s="114" t="s">
        <v>4</v>
      </c>
      <c r="Z15" s="19" t="s">
        <v>41</v>
      </c>
      <c r="AA15" s="19" t="s">
        <v>41</v>
      </c>
      <c r="AB15" s="19" t="s">
        <v>41</v>
      </c>
      <c r="AC15" s="75" t="s">
        <v>16</v>
      </c>
      <c r="AD15" s="133" t="s">
        <v>41</v>
      </c>
      <c r="AE15" s="114" t="s">
        <v>4</v>
      </c>
      <c r="AF15" s="114" t="s">
        <v>4</v>
      </c>
      <c r="AG15" s="19" t="s">
        <v>41</v>
      </c>
      <c r="AH15" s="22" t="s">
        <v>16</v>
      </c>
      <c r="AI15" s="117" t="s">
        <v>30</v>
      </c>
    </row>
    <row r="16" spans="1:35" ht="15" thickBot="1" x14ac:dyDescent="0.4"/>
    <row r="17" spans="1:35" ht="15" thickBot="1" x14ac:dyDescent="0.4">
      <c r="A17" s="271" t="s">
        <v>113</v>
      </c>
      <c r="B17" s="98" t="s">
        <v>1</v>
      </c>
      <c r="C17" s="123" t="s">
        <v>11</v>
      </c>
      <c r="D17" s="123" t="s">
        <v>11</v>
      </c>
      <c r="E17" s="102" t="s">
        <v>2</v>
      </c>
      <c r="F17" s="122" t="s">
        <v>5</v>
      </c>
      <c r="G17" s="75" t="s">
        <v>16</v>
      </c>
      <c r="H17" s="127" t="s">
        <v>10</v>
      </c>
      <c r="I17" s="127" t="s">
        <v>10</v>
      </c>
      <c r="J17" s="124" t="s">
        <v>11</v>
      </c>
      <c r="K17" s="123" t="s">
        <v>11</v>
      </c>
      <c r="L17" s="123" t="s">
        <v>10</v>
      </c>
      <c r="M17" s="115" t="s">
        <v>37</v>
      </c>
      <c r="N17" s="123" t="s">
        <v>10</v>
      </c>
      <c r="O17" s="104" t="s">
        <v>2</v>
      </c>
      <c r="P17" s="124" t="s">
        <v>10</v>
      </c>
      <c r="Q17" s="16" t="s">
        <v>11</v>
      </c>
      <c r="R17" s="123" t="s">
        <v>11</v>
      </c>
      <c r="S17" s="123" t="s">
        <v>11</v>
      </c>
      <c r="T17" s="124" t="s">
        <v>10</v>
      </c>
      <c r="U17" s="124" t="s">
        <v>10</v>
      </c>
      <c r="V17" s="104" t="s">
        <v>2</v>
      </c>
      <c r="W17" s="104" t="s">
        <v>2</v>
      </c>
      <c r="X17" s="124" t="s">
        <v>11</v>
      </c>
      <c r="Y17" s="123" t="s">
        <v>11</v>
      </c>
      <c r="Z17" s="123" t="s">
        <v>10</v>
      </c>
      <c r="AA17" s="123" t="s">
        <v>10</v>
      </c>
      <c r="AB17" s="123" t="s">
        <v>10</v>
      </c>
      <c r="AC17" s="123" t="s">
        <v>10</v>
      </c>
      <c r="AD17" s="104" t="s">
        <v>2</v>
      </c>
      <c r="AE17" s="101" t="s">
        <v>4</v>
      </c>
      <c r="AF17" s="123" t="s">
        <v>11</v>
      </c>
      <c r="AG17" s="123" t="s">
        <v>10</v>
      </c>
      <c r="AH17" s="123" t="s">
        <v>10</v>
      </c>
      <c r="AI17" s="115" t="s">
        <v>37</v>
      </c>
    </row>
    <row r="18" spans="1:35" ht="15" thickBot="1" x14ac:dyDescent="0.4">
      <c r="A18" s="271"/>
      <c r="B18" s="106" t="s">
        <v>18</v>
      </c>
      <c r="C18" s="124" t="s">
        <v>11</v>
      </c>
      <c r="D18" s="119" t="s">
        <v>4</v>
      </c>
      <c r="E18" s="124" t="s">
        <v>10</v>
      </c>
      <c r="F18" s="124" t="s">
        <v>10</v>
      </c>
      <c r="G18" s="124" t="s">
        <v>10</v>
      </c>
      <c r="H18" s="124" t="s">
        <v>10</v>
      </c>
      <c r="I18" s="124" t="s">
        <v>10</v>
      </c>
      <c r="J18" s="101" t="s">
        <v>4</v>
      </c>
      <c r="K18" s="101" t="s">
        <v>4</v>
      </c>
      <c r="L18" s="120" t="s">
        <v>41</v>
      </c>
      <c r="M18" s="123" t="s">
        <v>10</v>
      </c>
      <c r="N18" s="123" t="s">
        <v>10</v>
      </c>
      <c r="O18" s="123" t="s">
        <v>10</v>
      </c>
      <c r="P18" s="124" t="s">
        <v>10</v>
      </c>
      <c r="Q18" s="101" t="s">
        <v>4</v>
      </c>
      <c r="R18" s="101" t="s">
        <v>4</v>
      </c>
      <c r="S18" s="115" t="s">
        <v>37</v>
      </c>
      <c r="T18" s="120" t="s">
        <v>41</v>
      </c>
      <c r="U18" s="22" t="s">
        <v>16</v>
      </c>
      <c r="V18" s="124" t="s">
        <v>10</v>
      </c>
      <c r="W18" s="124" t="s">
        <v>10</v>
      </c>
      <c r="X18" s="101" t="s">
        <v>4</v>
      </c>
      <c r="Y18" s="101" t="s">
        <v>4</v>
      </c>
      <c r="Z18" s="134" t="s">
        <v>41</v>
      </c>
      <c r="AA18" s="134" t="s">
        <v>41</v>
      </c>
      <c r="AB18" s="134" t="s">
        <v>41</v>
      </c>
      <c r="AC18" s="134" t="s">
        <v>41</v>
      </c>
      <c r="AD18" s="124" t="s">
        <v>10</v>
      </c>
      <c r="AE18" s="123" t="s">
        <v>11</v>
      </c>
      <c r="AF18" s="101" t="s">
        <v>4</v>
      </c>
      <c r="AG18" s="102" t="s">
        <v>2</v>
      </c>
      <c r="AH18" s="124" t="s">
        <v>10</v>
      </c>
      <c r="AI18" s="123" t="s">
        <v>11</v>
      </c>
    </row>
    <row r="19" spans="1:35" ht="15" thickBot="1" x14ac:dyDescent="0.4">
      <c r="A19" s="270"/>
      <c r="B19" s="109" t="s">
        <v>68</v>
      </c>
      <c r="C19" s="126" t="s">
        <v>4</v>
      </c>
      <c r="D19" s="127" t="s">
        <v>11</v>
      </c>
      <c r="E19" s="127" t="s">
        <v>10</v>
      </c>
      <c r="F19" s="127" t="s">
        <v>10</v>
      </c>
      <c r="G19" s="127" t="s">
        <v>10</v>
      </c>
      <c r="H19" s="127" t="s">
        <v>10</v>
      </c>
      <c r="I19" s="108" t="s">
        <v>2</v>
      </c>
      <c r="J19" s="110" t="s">
        <v>4</v>
      </c>
      <c r="K19" s="127" t="s">
        <v>11</v>
      </c>
      <c r="L19" s="127" t="s">
        <v>10</v>
      </c>
      <c r="M19" s="123" t="s">
        <v>10</v>
      </c>
      <c r="N19" s="104" t="s">
        <v>2</v>
      </c>
      <c r="O19" s="75" t="s">
        <v>16</v>
      </c>
      <c r="P19" s="75" t="s">
        <v>16</v>
      </c>
      <c r="Q19" s="101" t="s">
        <v>4</v>
      </c>
      <c r="R19" s="123" t="s">
        <v>11</v>
      </c>
      <c r="S19" s="123" t="s">
        <v>11</v>
      </c>
      <c r="T19" s="127" t="s">
        <v>10</v>
      </c>
      <c r="U19" s="127" t="s">
        <v>10</v>
      </c>
      <c r="V19" s="127" t="s">
        <v>10</v>
      </c>
      <c r="W19" s="108" t="s">
        <v>2</v>
      </c>
      <c r="X19" s="110" t="s">
        <v>4</v>
      </c>
      <c r="Y19" s="127" t="s">
        <v>11</v>
      </c>
      <c r="Z19" s="108" t="s">
        <v>2</v>
      </c>
      <c r="AA19" s="16" t="s">
        <v>10</v>
      </c>
      <c r="AB19" s="16" t="s">
        <v>10</v>
      </c>
      <c r="AC19" s="16" t="s">
        <v>10</v>
      </c>
      <c r="AD19" s="16" t="s">
        <v>10</v>
      </c>
      <c r="AE19" s="110" t="s">
        <v>4</v>
      </c>
      <c r="AF19" s="127" t="s">
        <v>11</v>
      </c>
      <c r="AG19" s="127" t="s">
        <v>10</v>
      </c>
      <c r="AH19" s="127" t="s">
        <v>10</v>
      </c>
      <c r="AI19" s="123" t="s">
        <v>11</v>
      </c>
    </row>
    <row r="20" spans="1:35" ht="15" thickBot="1" x14ac:dyDescent="0.4">
      <c r="A20" s="270"/>
      <c r="B20" s="113" t="s">
        <v>43</v>
      </c>
      <c r="C20" s="16" t="s">
        <v>11</v>
      </c>
      <c r="D20" s="28" t="s">
        <v>4</v>
      </c>
      <c r="E20" s="75" t="s">
        <v>41</v>
      </c>
      <c r="F20" s="75" t="s">
        <v>41</v>
      </c>
      <c r="G20" s="75" t="s">
        <v>16</v>
      </c>
      <c r="H20" s="16" t="s">
        <v>10</v>
      </c>
      <c r="I20" s="16" t="s">
        <v>10</v>
      </c>
      <c r="J20" s="16" t="s">
        <v>11</v>
      </c>
      <c r="K20" s="114" t="s">
        <v>4</v>
      </c>
      <c r="L20" s="116" t="s">
        <v>2</v>
      </c>
      <c r="M20" s="16" t="s">
        <v>10</v>
      </c>
      <c r="N20" s="16" t="s">
        <v>10</v>
      </c>
      <c r="O20" s="16" t="s">
        <v>10</v>
      </c>
      <c r="P20" s="104" t="s">
        <v>2</v>
      </c>
      <c r="Q20" s="16" t="s">
        <v>11</v>
      </c>
      <c r="R20" s="114" t="s">
        <v>4</v>
      </c>
      <c r="S20" s="115" t="s">
        <v>37</v>
      </c>
      <c r="T20" s="127" t="s">
        <v>10</v>
      </c>
      <c r="U20" s="127" t="s">
        <v>10</v>
      </c>
      <c r="V20" s="16" t="s">
        <v>10</v>
      </c>
      <c r="W20" s="16" t="s">
        <v>10</v>
      </c>
      <c r="X20" s="16" t="s">
        <v>11</v>
      </c>
      <c r="Y20" s="114" t="s">
        <v>4</v>
      </c>
      <c r="Z20" s="123" t="s">
        <v>10</v>
      </c>
      <c r="AA20" s="16" t="s">
        <v>10</v>
      </c>
      <c r="AB20" s="16" t="s">
        <v>10</v>
      </c>
      <c r="AC20" s="16" t="s">
        <v>10</v>
      </c>
      <c r="AD20" s="104" t="s">
        <v>2</v>
      </c>
      <c r="AE20" s="16" t="s">
        <v>11</v>
      </c>
      <c r="AF20" s="114" t="s">
        <v>4</v>
      </c>
      <c r="AG20" s="116" t="s">
        <v>2</v>
      </c>
      <c r="AH20" s="125" t="s">
        <v>16</v>
      </c>
      <c r="AI20" s="123" t="s">
        <v>11</v>
      </c>
    </row>
    <row r="21" spans="1:35" ht="15" thickBot="1" x14ac:dyDescent="0.4">
      <c r="A21" s="270"/>
      <c r="B21" s="113" t="s">
        <v>60</v>
      </c>
      <c r="C21" s="16" t="s">
        <v>11</v>
      </c>
      <c r="D21" s="16" t="s">
        <v>11</v>
      </c>
      <c r="E21" s="107" t="s">
        <v>2</v>
      </c>
      <c r="F21" s="75" t="s">
        <v>16</v>
      </c>
      <c r="G21" s="107" t="s">
        <v>2</v>
      </c>
      <c r="H21" s="75" t="s">
        <v>16</v>
      </c>
      <c r="I21" s="16" t="s">
        <v>10</v>
      </c>
      <c r="J21" s="16" t="s">
        <v>11</v>
      </c>
      <c r="K21" s="16" t="s">
        <v>11</v>
      </c>
      <c r="L21" s="16" t="s">
        <v>10</v>
      </c>
      <c r="M21" s="104" t="s">
        <v>2</v>
      </c>
      <c r="N21" s="104" t="s">
        <v>2</v>
      </c>
      <c r="O21" s="16" t="s">
        <v>10</v>
      </c>
      <c r="P21" s="16" t="s">
        <v>10</v>
      </c>
      <c r="Q21" s="114" t="s">
        <v>4</v>
      </c>
      <c r="R21" s="16" t="s">
        <v>11</v>
      </c>
      <c r="S21" s="123" t="s">
        <v>11</v>
      </c>
      <c r="T21" s="104" t="s">
        <v>2</v>
      </c>
      <c r="U21" s="104" t="s">
        <v>2</v>
      </c>
      <c r="V21" s="75" t="s">
        <v>16</v>
      </c>
      <c r="W21" s="16" t="s">
        <v>10</v>
      </c>
      <c r="X21" s="16" t="s">
        <v>11</v>
      </c>
      <c r="Y21" s="16" t="s">
        <v>11</v>
      </c>
      <c r="Z21" s="16" t="s">
        <v>10</v>
      </c>
      <c r="AA21" s="104" t="s">
        <v>2</v>
      </c>
      <c r="AB21" s="104" t="s">
        <v>2</v>
      </c>
      <c r="AC21" s="75" t="s">
        <v>16</v>
      </c>
      <c r="AD21" s="16" t="s">
        <v>10</v>
      </c>
      <c r="AE21" s="16" t="s">
        <v>11</v>
      </c>
      <c r="AF21" s="16" t="s">
        <v>11</v>
      </c>
      <c r="AG21" s="16" t="s">
        <v>10</v>
      </c>
      <c r="AH21" s="104" t="s">
        <v>2</v>
      </c>
      <c r="AI21" s="115" t="s">
        <v>37</v>
      </c>
    </row>
    <row r="23" spans="1:35" x14ac:dyDescent="0.35">
      <c r="B23" s="128" t="s">
        <v>125</v>
      </c>
      <c r="C23">
        <f>COUNTIF(C5:C21,"WMS")</f>
        <v>2</v>
      </c>
      <c r="D23">
        <f>COUNTIF(D5:D21,"WMS")</f>
        <v>2</v>
      </c>
      <c r="E23">
        <f>COUNTIF(E5:E21,"MS")</f>
        <v>4</v>
      </c>
      <c r="F23">
        <f>COUNTIF(F5:F21,"MS")</f>
        <v>4</v>
      </c>
      <c r="G23">
        <f t="shared" ref="G23:I23" si="1">COUNTIF(G5:G21,"MS")</f>
        <v>3</v>
      </c>
      <c r="H23">
        <f t="shared" si="1"/>
        <v>4</v>
      </c>
      <c r="I23">
        <f t="shared" si="1"/>
        <v>3</v>
      </c>
      <c r="J23">
        <f>COUNTIF(J5:J21,"WMS")</f>
        <v>2</v>
      </c>
      <c r="K23">
        <f>COUNTIF(K5:K21,"WMS")</f>
        <v>2</v>
      </c>
      <c r="L23">
        <f>COUNTIF(L5:L21,"MS")</f>
        <v>2</v>
      </c>
      <c r="M23">
        <f>COUNTIF(M5:M21,"MS")</f>
        <v>3</v>
      </c>
      <c r="N23">
        <f t="shared" ref="N23:P23" si="2">COUNTIF(N5:N21,"MS")</f>
        <v>2</v>
      </c>
      <c r="O23">
        <f t="shared" si="2"/>
        <v>3</v>
      </c>
      <c r="P23">
        <f t="shared" si="2"/>
        <v>3</v>
      </c>
      <c r="Q23">
        <f>COUNTIF(Q5:Q21,"WMS")</f>
        <v>2</v>
      </c>
      <c r="R23">
        <f>COUNTIF(R5:R21,"WMS")</f>
        <v>2</v>
      </c>
      <c r="S23">
        <f>COUNTIF(S5:S21,"MS")</f>
        <v>0</v>
      </c>
      <c r="T23">
        <f>COUNTIF(T5:T21,"MS")</f>
        <v>3</v>
      </c>
      <c r="U23">
        <f t="shared" ref="U23:W23" si="3">COUNTIF(U5:U21,"MS")</f>
        <v>3</v>
      </c>
      <c r="V23">
        <f t="shared" si="3"/>
        <v>4</v>
      </c>
      <c r="W23">
        <f t="shared" si="3"/>
        <v>3</v>
      </c>
      <c r="X23">
        <f>COUNTIF(X5:X21,"WMS")</f>
        <v>2</v>
      </c>
      <c r="Y23">
        <f>COUNTIF(Y5:Y21,"WMS")</f>
        <v>2</v>
      </c>
      <c r="Z23">
        <f>COUNTIF(Z5:Z21,"MS")</f>
        <v>3</v>
      </c>
      <c r="AA23">
        <f>COUNTIF(AA5:AA21,"MS")</f>
        <v>4</v>
      </c>
      <c r="AB23">
        <f t="shared" ref="AB23:AD23" si="4">COUNTIF(AB5:AB21,"MS")</f>
        <v>4</v>
      </c>
      <c r="AC23">
        <f t="shared" si="4"/>
        <v>3</v>
      </c>
      <c r="AD23">
        <f t="shared" si="4"/>
        <v>3</v>
      </c>
      <c r="AE23">
        <f>COUNTIF(AE5:AE21,"WMS")</f>
        <v>2</v>
      </c>
      <c r="AF23">
        <f>COUNTIF(AF5:AF21,"WMS")</f>
        <v>2</v>
      </c>
      <c r="AG23">
        <f>COUNTIF(AG5:AG21,"MS")</f>
        <v>4</v>
      </c>
      <c r="AH23">
        <f>COUNTIF(AH5:AH21,"MS")</f>
        <v>3</v>
      </c>
      <c r="AI23">
        <f>COUNTIF(AI5:AI21,"*MS")</f>
        <v>3</v>
      </c>
    </row>
    <row r="24" spans="1:35" x14ac:dyDescent="0.35">
      <c r="B24" s="128" t="s">
        <v>126</v>
      </c>
      <c r="C24">
        <f>COUNTIF(C5:C21,"WASS1")</f>
        <v>2</v>
      </c>
      <c r="D24">
        <f>COUNTIF(D5:D21,"WASS1")</f>
        <v>2</v>
      </c>
      <c r="E24">
        <f>COUNTIF(E5:E21,"ASS1")</f>
        <v>4</v>
      </c>
      <c r="F24">
        <f t="shared" ref="F24:I24" si="5">COUNTIF(F5:F21,"ASS1")</f>
        <v>4</v>
      </c>
      <c r="G24">
        <f t="shared" si="5"/>
        <v>3</v>
      </c>
      <c r="H24">
        <f t="shared" si="5"/>
        <v>3</v>
      </c>
      <c r="I24">
        <f t="shared" si="5"/>
        <v>2</v>
      </c>
      <c r="J24">
        <f>COUNTIF(J5:J21,"WASS1")</f>
        <v>2</v>
      </c>
      <c r="K24">
        <f>COUNTIF(K5:K21,"WASS1")</f>
        <v>2</v>
      </c>
      <c r="L24">
        <f>COUNTIF(L5:L21,"ASS1")</f>
        <v>4</v>
      </c>
      <c r="M24">
        <f t="shared" ref="M24:P24" si="6">COUNTIF(M5:M21,"ASS1")</f>
        <v>2</v>
      </c>
      <c r="N24">
        <f t="shared" si="6"/>
        <v>3</v>
      </c>
      <c r="O24">
        <f t="shared" si="6"/>
        <v>2</v>
      </c>
      <c r="P24">
        <f t="shared" si="6"/>
        <v>3</v>
      </c>
      <c r="Q24">
        <f>COUNTIF(Q5:Q21,"WASS1")</f>
        <v>2</v>
      </c>
      <c r="R24">
        <f>COUNTIF(R5:R21,"WASS1")</f>
        <v>2</v>
      </c>
      <c r="S24">
        <f>COUNTIF(S5:S21,"ASS1")</f>
        <v>0</v>
      </c>
      <c r="T24">
        <f t="shared" ref="T24:W24" si="7">COUNTIF(T5:T21,"ASS1")</f>
        <v>4</v>
      </c>
      <c r="U24">
        <f t="shared" si="7"/>
        <v>3</v>
      </c>
      <c r="V24">
        <f t="shared" si="7"/>
        <v>3</v>
      </c>
      <c r="W24">
        <f t="shared" si="7"/>
        <v>4</v>
      </c>
      <c r="X24">
        <f>COUNTIF(X5:X21,"WASS1")</f>
        <v>3</v>
      </c>
      <c r="Y24">
        <f>COUNTIF(Y5:Y21,"WASS1")</f>
        <v>2</v>
      </c>
      <c r="Z24">
        <f>COUNTIF(Z5:Z21,"ASS1")</f>
        <v>4</v>
      </c>
      <c r="AA24">
        <f t="shared" ref="AA24:AD24" si="8">COUNTIF(AA5:AA21,"ASS1")</f>
        <v>4</v>
      </c>
      <c r="AB24">
        <f t="shared" si="8"/>
        <v>4</v>
      </c>
      <c r="AC24">
        <f t="shared" si="8"/>
        <v>4</v>
      </c>
      <c r="AD24">
        <f t="shared" si="8"/>
        <v>4</v>
      </c>
      <c r="AE24">
        <f>COUNTIF(AE5:AE21,"WASS1")</f>
        <v>2</v>
      </c>
      <c r="AF24">
        <f>COUNTIF(AF5:AF21,"WASS1")</f>
        <v>2</v>
      </c>
      <c r="AG24">
        <f>COUNTIF(AG5:AG21,"ASS1")</f>
        <v>3</v>
      </c>
      <c r="AH24">
        <f t="shared" ref="AH24" si="9">COUNTIF(AH5:AH21,"ASS1")</f>
        <v>3</v>
      </c>
      <c r="AI24">
        <f>COUNTIF(AI5:AI21,"*ASS1")</f>
        <v>3</v>
      </c>
    </row>
    <row r="25" spans="1:35" x14ac:dyDescent="0.35">
      <c r="B25" s="128" t="s">
        <v>127</v>
      </c>
      <c r="C25">
        <f>COUNTIF(C5:C21,"WNST7")</f>
        <v>4</v>
      </c>
      <c r="D25">
        <f>COUNTIF(D5:D21,"WNST7")</f>
        <v>3</v>
      </c>
      <c r="E25">
        <f>COUNTIF(E5:E21,"NST7")</f>
        <v>2</v>
      </c>
      <c r="F25">
        <f t="shared" ref="F25:I25" si="10">COUNTIF(F5:F21,"NST7")</f>
        <v>2</v>
      </c>
      <c r="G25">
        <f t="shared" si="10"/>
        <v>2</v>
      </c>
      <c r="H25">
        <f t="shared" si="10"/>
        <v>4</v>
      </c>
      <c r="I25">
        <f t="shared" si="10"/>
        <v>4</v>
      </c>
      <c r="J25">
        <f>COUNTIF(J5:J21,"WNST7")</f>
        <v>3</v>
      </c>
      <c r="K25">
        <f>COUNTIF(K5:K21,"WNST7")</f>
        <v>3</v>
      </c>
      <c r="L25">
        <f>COUNTIF(L5:L21,"NST7")</f>
        <v>3</v>
      </c>
      <c r="M25">
        <f t="shared" ref="M25:P25" si="11">COUNTIF(M5:M21,"NST7")</f>
        <v>3</v>
      </c>
      <c r="N25">
        <f t="shared" si="11"/>
        <v>3</v>
      </c>
      <c r="O25">
        <f t="shared" si="11"/>
        <v>3</v>
      </c>
      <c r="P25">
        <f t="shared" si="11"/>
        <v>3</v>
      </c>
      <c r="Q25">
        <f>COUNTIF(Q5:Q21,"WNST7")</f>
        <v>2</v>
      </c>
      <c r="R25">
        <f>COUNTIF(R5:R21,"WNST7")</f>
        <v>3</v>
      </c>
      <c r="S25">
        <f>COUNTIF(S5:S21,"NST7")</f>
        <v>0</v>
      </c>
      <c r="T25">
        <f t="shared" ref="T25:W25" si="12">COUNTIF(T5:T21,"NST7")</f>
        <v>3</v>
      </c>
      <c r="U25">
        <f t="shared" si="12"/>
        <v>3</v>
      </c>
      <c r="V25">
        <f t="shared" si="12"/>
        <v>3</v>
      </c>
      <c r="W25">
        <f t="shared" si="12"/>
        <v>3</v>
      </c>
      <c r="X25">
        <f>COUNTIF(X5:X21,"WNST7")</f>
        <v>3</v>
      </c>
      <c r="Y25">
        <f>COUNTIF(Y5:Y21,"WNST7")</f>
        <v>3</v>
      </c>
      <c r="Z25">
        <f>COUNTIF(Z5:Z21,"NST7")</f>
        <v>3</v>
      </c>
      <c r="AA25">
        <f t="shared" ref="AA25:AD25" si="13">COUNTIF(AA5:AA21,"NST7")</f>
        <v>3</v>
      </c>
      <c r="AB25">
        <f t="shared" si="13"/>
        <v>3</v>
      </c>
      <c r="AC25">
        <f t="shared" si="13"/>
        <v>3</v>
      </c>
      <c r="AD25">
        <f t="shared" si="13"/>
        <v>3</v>
      </c>
      <c r="AE25">
        <f>COUNTIF(AE5:AE21,"WNST7")</f>
        <v>3</v>
      </c>
      <c r="AF25">
        <f>COUNTIF(AF5:AF21,"WNST7")</f>
        <v>3</v>
      </c>
      <c r="AG25">
        <f>COUNTIF(AG5:AG21,"NST7")</f>
        <v>3</v>
      </c>
      <c r="AH25">
        <f t="shared" ref="AH25" si="14">COUNTIF(AH5:AH21,"NST7")</f>
        <v>3</v>
      </c>
      <c r="AI25">
        <f>COUNTIF(AI5:AI21,"*NST7")</f>
        <v>3</v>
      </c>
    </row>
    <row r="26" spans="1:35" x14ac:dyDescent="0.35">
      <c r="B26" s="128" t="s">
        <v>128</v>
      </c>
      <c r="C26">
        <f>COUNTIF(C5:C21,"WGS")</f>
        <v>1</v>
      </c>
      <c r="D26">
        <f>COUNTIF(D5:D21,"WGS")</f>
        <v>0</v>
      </c>
      <c r="E26">
        <f>COUNTIF(E5:E21,"GS")</f>
        <v>1</v>
      </c>
      <c r="F26">
        <f t="shared" ref="F26:I26" si="15">COUNTIF(F5:F21,"GS")</f>
        <v>2</v>
      </c>
      <c r="G26">
        <f t="shared" si="15"/>
        <v>3</v>
      </c>
      <c r="H26">
        <f t="shared" si="15"/>
        <v>2</v>
      </c>
      <c r="I26">
        <f t="shared" si="15"/>
        <v>2</v>
      </c>
      <c r="J26">
        <f>COUNTIF(J5:J21,"WGS")</f>
        <v>1</v>
      </c>
      <c r="K26">
        <f>COUNTIF(K5:K21,"WGS")</f>
        <v>0</v>
      </c>
      <c r="L26">
        <f>COUNTIF(L5:L21,"GS")</f>
        <v>3</v>
      </c>
      <c r="M26">
        <f t="shared" ref="M26:P26" si="16">COUNTIF(M5:M21,"GS")</f>
        <v>3</v>
      </c>
      <c r="N26">
        <f t="shared" si="16"/>
        <v>2</v>
      </c>
      <c r="O26">
        <f t="shared" si="16"/>
        <v>2</v>
      </c>
      <c r="P26">
        <f t="shared" si="16"/>
        <v>2</v>
      </c>
      <c r="Q26">
        <f>COUNTIF(Q5:Q21,"WGS")</f>
        <v>1</v>
      </c>
      <c r="R26">
        <f>COUNTIF(R5:R21,"WGS")</f>
        <v>0</v>
      </c>
      <c r="S26">
        <f>COUNTIF(S5:S21,"GS")</f>
        <v>0</v>
      </c>
      <c r="T26">
        <f t="shared" ref="T26:W26" si="17">COUNTIF(T5:T21,"GS")</f>
        <v>0</v>
      </c>
      <c r="U26">
        <f t="shared" si="17"/>
        <v>3</v>
      </c>
      <c r="V26">
        <f t="shared" si="17"/>
        <v>2</v>
      </c>
      <c r="W26">
        <f t="shared" si="17"/>
        <v>1</v>
      </c>
      <c r="X26">
        <f>COUNTIF(X5:X21,"WGS")</f>
        <v>1</v>
      </c>
      <c r="Y26">
        <f>COUNTIF(Y5:Y21,"WGS")</f>
        <v>1</v>
      </c>
      <c r="Z26">
        <f>COUNTIF(Z5:Z21,"GS")</f>
        <v>1</v>
      </c>
      <c r="AA26">
        <f t="shared" ref="AA26:AD26" si="18">COUNTIF(AA5:AA21,"GS")</f>
        <v>1</v>
      </c>
      <c r="AB26">
        <f t="shared" si="18"/>
        <v>1</v>
      </c>
      <c r="AC26">
        <f t="shared" si="18"/>
        <v>2</v>
      </c>
      <c r="AD26">
        <f t="shared" si="18"/>
        <v>0</v>
      </c>
      <c r="AE26">
        <f>COUNTIF(AE5:AE21,"WGS")</f>
        <v>1</v>
      </c>
      <c r="AF26">
        <f>COUNTIF(AF5:AF21,"WGS")</f>
        <v>0</v>
      </c>
      <c r="AG26">
        <f>COUNTIF(AG5:AG21,"GS")</f>
        <v>0</v>
      </c>
      <c r="AH26">
        <f t="shared" ref="AH26" si="19">COUNTIF(AH5:AH21,"GS")</f>
        <v>2</v>
      </c>
      <c r="AI26">
        <f>COUNTIF(AI5:AI21,"*GS")</f>
        <v>1</v>
      </c>
    </row>
    <row r="27" spans="1:35" x14ac:dyDescent="0.35">
      <c r="B27" s="128" t="s">
        <v>129</v>
      </c>
      <c r="C27">
        <f>COUNTIF(C5:C21,"WO")</f>
        <v>6</v>
      </c>
      <c r="D27">
        <f>COUNTIF(D5:D21,"WO")</f>
        <v>6</v>
      </c>
      <c r="E27">
        <f>COUNTIF(E5:E21,"C")</f>
        <v>4</v>
      </c>
      <c r="F27">
        <f t="shared" ref="F27:I27" si="20">COUNTIF(F5:F21,"C")</f>
        <v>2</v>
      </c>
      <c r="G27">
        <f t="shared" si="20"/>
        <v>4</v>
      </c>
      <c r="H27">
        <f t="shared" si="20"/>
        <v>2</v>
      </c>
      <c r="I27">
        <f t="shared" si="20"/>
        <v>4</v>
      </c>
      <c r="J27">
        <f>COUNTIF(J5:J21,"WO")</f>
        <v>7</v>
      </c>
      <c r="K27">
        <f>COUNTIF(K5:K21,"WO")</f>
        <v>7</v>
      </c>
      <c r="L27">
        <f>COUNTIF(L5:L21,"C")</f>
        <v>2</v>
      </c>
      <c r="M27">
        <f t="shared" ref="M27:P27" si="21">COUNTIF(M5:M21,"C")</f>
        <v>1</v>
      </c>
      <c r="N27">
        <f t="shared" si="21"/>
        <v>3</v>
      </c>
      <c r="O27">
        <f t="shared" si="21"/>
        <v>3</v>
      </c>
      <c r="P27">
        <f t="shared" si="21"/>
        <v>3</v>
      </c>
      <c r="Q27">
        <f>COUNTIF(Q5:Q21,"WO")</f>
        <v>8</v>
      </c>
      <c r="R27">
        <f>COUNTIF(R5:R21,"WO")</f>
        <v>8</v>
      </c>
      <c r="S27">
        <f>COUNTIF(S5:S21,"C")</f>
        <v>0</v>
      </c>
      <c r="T27">
        <f t="shared" ref="T27:W27" si="22">COUNTIF(T5:T21,"C")</f>
        <v>4</v>
      </c>
      <c r="U27">
        <f t="shared" si="22"/>
        <v>2</v>
      </c>
      <c r="V27">
        <f t="shared" si="22"/>
        <v>1</v>
      </c>
      <c r="W27">
        <f t="shared" si="22"/>
        <v>4</v>
      </c>
      <c r="X27">
        <f>COUNTIF(X5:X21,"WO")</f>
        <v>6</v>
      </c>
      <c r="Y27">
        <f>COUNTIF(Y5:Y21,"WO")</f>
        <v>7</v>
      </c>
      <c r="Z27">
        <f>COUNTIF(Z5:Z21,"C")</f>
        <v>4</v>
      </c>
      <c r="AA27">
        <f t="shared" ref="AA27:AD27" si="23">COUNTIF(AA5:AA21,"C")</f>
        <v>2</v>
      </c>
      <c r="AB27">
        <f t="shared" si="23"/>
        <v>2</v>
      </c>
      <c r="AC27">
        <f t="shared" si="23"/>
        <v>2</v>
      </c>
      <c r="AD27">
        <f t="shared" si="23"/>
        <v>5</v>
      </c>
      <c r="AE27">
        <f>COUNTIF(AE5:AE21,"WO")</f>
        <v>7</v>
      </c>
      <c r="AF27">
        <f>COUNTIF(AF5:AF21,"WO")</f>
        <v>7</v>
      </c>
      <c r="AG27">
        <f>COUNTIF(AG5:AG21,"C")</f>
        <v>4</v>
      </c>
      <c r="AH27">
        <f t="shared" ref="AH27:AI27" si="24">COUNTIF(AH5:AH21,"C")</f>
        <v>2</v>
      </c>
      <c r="AI27">
        <f t="shared" si="24"/>
        <v>0</v>
      </c>
    </row>
    <row r="28" spans="1:35" x14ac:dyDescent="0.35">
      <c r="B28" s="128" t="s">
        <v>130</v>
      </c>
      <c r="C28">
        <f t="shared" ref="C28:AI28" si="25">COUNTIF(C5:C21,"PL")</f>
        <v>0</v>
      </c>
      <c r="D28">
        <f t="shared" si="25"/>
        <v>2</v>
      </c>
      <c r="E28">
        <f t="shared" si="25"/>
        <v>0</v>
      </c>
      <c r="F28">
        <f t="shared" si="25"/>
        <v>1</v>
      </c>
      <c r="G28">
        <f t="shared" si="25"/>
        <v>0</v>
      </c>
      <c r="H28">
        <f t="shared" si="25"/>
        <v>0</v>
      </c>
      <c r="I28">
        <f t="shared" si="25"/>
        <v>0</v>
      </c>
      <c r="J28">
        <f t="shared" si="25"/>
        <v>0</v>
      </c>
      <c r="K28">
        <f t="shared" si="25"/>
        <v>1</v>
      </c>
      <c r="L28">
        <f t="shared" si="25"/>
        <v>1</v>
      </c>
      <c r="M28">
        <f t="shared" si="25"/>
        <v>2</v>
      </c>
      <c r="N28">
        <f t="shared" si="25"/>
        <v>2</v>
      </c>
      <c r="O28">
        <f t="shared" si="25"/>
        <v>2</v>
      </c>
      <c r="P28">
        <f t="shared" si="25"/>
        <v>1</v>
      </c>
      <c r="Q28">
        <f t="shared" si="25"/>
        <v>0</v>
      </c>
      <c r="R28">
        <f t="shared" si="25"/>
        <v>0</v>
      </c>
      <c r="S28">
        <f t="shared" si="25"/>
        <v>0</v>
      </c>
      <c r="T28">
        <f t="shared" si="25"/>
        <v>1</v>
      </c>
      <c r="U28">
        <f t="shared" si="25"/>
        <v>1</v>
      </c>
      <c r="V28">
        <f t="shared" si="25"/>
        <v>2</v>
      </c>
      <c r="W28">
        <f t="shared" si="25"/>
        <v>0</v>
      </c>
      <c r="X28">
        <f t="shared" si="25"/>
        <v>0</v>
      </c>
      <c r="Y28">
        <f t="shared" si="25"/>
        <v>0</v>
      </c>
      <c r="Z28">
        <f t="shared" si="25"/>
        <v>0</v>
      </c>
      <c r="AA28">
        <f t="shared" si="25"/>
        <v>1</v>
      </c>
      <c r="AB28">
        <f t="shared" si="25"/>
        <v>1</v>
      </c>
      <c r="AC28">
        <f t="shared" si="25"/>
        <v>1</v>
      </c>
      <c r="AD28">
        <f t="shared" si="25"/>
        <v>0</v>
      </c>
      <c r="AE28">
        <f t="shared" si="25"/>
        <v>0</v>
      </c>
      <c r="AF28">
        <f t="shared" si="25"/>
        <v>1</v>
      </c>
      <c r="AG28">
        <f t="shared" si="25"/>
        <v>1</v>
      </c>
      <c r="AH28">
        <f t="shared" si="25"/>
        <v>2</v>
      </c>
      <c r="AI28">
        <f t="shared" si="25"/>
        <v>1</v>
      </c>
    </row>
    <row r="29" spans="1:35" x14ac:dyDescent="0.35">
      <c r="B29" s="128" t="s">
        <v>33</v>
      </c>
      <c r="C29">
        <f>COUNTIF(C5:C21,"UPL")</f>
        <v>0</v>
      </c>
      <c r="D29">
        <f>COUNTIF(D5:D21,"UPL")</f>
        <v>0</v>
      </c>
      <c r="E29">
        <f>COUNTIF(E5:E21,"UPL")</f>
        <v>0</v>
      </c>
      <c r="F29">
        <f t="shared" ref="F29:I29" si="26">COUNTIF(F5:F21,"UPL")</f>
        <v>0</v>
      </c>
      <c r="G29">
        <f t="shared" si="26"/>
        <v>0</v>
      </c>
      <c r="H29">
        <f t="shared" si="26"/>
        <v>0</v>
      </c>
      <c r="I29">
        <f t="shared" si="26"/>
        <v>0</v>
      </c>
      <c r="J29">
        <f>COUNTIF(J5:J21,"UPL")</f>
        <v>0</v>
      </c>
      <c r="K29">
        <f>COUNTIF(K5:K21,"UPL")</f>
        <v>0</v>
      </c>
      <c r="L29">
        <f>COUNTIF(L5:L21,"UPL")</f>
        <v>0</v>
      </c>
      <c r="M29">
        <f t="shared" ref="M29:P29" si="27">COUNTIF(M5:M21,"UPL")</f>
        <v>0</v>
      </c>
      <c r="N29">
        <f t="shared" si="27"/>
        <v>0</v>
      </c>
      <c r="O29">
        <f t="shared" si="27"/>
        <v>0</v>
      </c>
      <c r="P29">
        <f t="shared" si="27"/>
        <v>0</v>
      </c>
      <c r="Q29">
        <f>COUNTIF(Q5:Q21,"UPL")</f>
        <v>0</v>
      </c>
      <c r="R29">
        <f>COUNTIF(R5:R21,"UPL")</f>
        <v>0</v>
      </c>
      <c r="S29">
        <f>COUNTIF(S5:S21,"UPL")</f>
        <v>0</v>
      </c>
      <c r="T29">
        <f t="shared" ref="T29:W29" si="28">COUNTIF(T5:T21,"UPL")</f>
        <v>0</v>
      </c>
      <c r="U29">
        <f t="shared" si="28"/>
        <v>0</v>
      </c>
      <c r="V29">
        <f t="shared" si="28"/>
        <v>0</v>
      </c>
      <c r="W29">
        <f t="shared" si="28"/>
        <v>0</v>
      </c>
      <c r="X29">
        <f>COUNTIF(X5:X21,"UPL")</f>
        <v>0</v>
      </c>
      <c r="Y29">
        <f>COUNTIF(Y5:Y21,"UPL")</f>
        <v>0</v>
      </c>
      <c r="Z29">
        <f>COUNTIF(Z5:Z21,"UPL")</f>
        <v>0</v>
      </c>
      <c r="AA29">
        <f t="shared" ref="AA29:AD29" si="29">COUNTIF(AA5:AA21,"UPL")</f>
        <v>0</v>
      </c>
      <c r="AB29">
        <f t="shared" si="29"/>
        <v>0</v>
      </c>
      <c r="AC29">
        <f t="shared" si="29"/>
        <v>0</v>
      </c>
      <c r="AD29">
        <f t="shared" si="29"/>
        <v>0</v>
      </c>
      <c r="AE29">
        <f>COUNTIF(AE5:AE21,"UPL")</f>
        <v>0</v>
      </c>
      <c r="AF29">
        <f>COUNTIF(AF5:AF21,"UPL")</f>
        <v>0</v>
      </c>
      <c r="AG29">
        <f>COUNTIF(AG5:AG21,"UPL")</f>
        <v>0</v>
      </c>
      <c r="AH29">
        <f t="shared" ref="AH29:AI29" si="30">COUNTIF(AH5:AH21,"UPL")</f>
        <v>0</v>
      </c>
      <c r="AI29">
        <f t="shared" si="30"/>
        <v>0</v>
      </c>
    </row>
    <row r="30" spans="1:35" x14ac:dyDescent="0.35">
      <c r="B30" s="128" t="s">
        <v>131</v>
      </c>
      <c r="C30" s="129">
        <f>SUM(C23:C29)</f>
        <v>15</v>
      </c>
      <c r="D30" s="129">
        <f>SUM(D23:D29)</f>
        <v>15</v>
      </c>
      <c r="E30" s="129">
        <f t="shared" ref="E30:AI30" si="31">SUM(E23:E29)</f>
        <v>15</v>
      </c>
      <c r="F30" s="129">
        <f t="shared" si="31"/>
        <v>15</v>
      </c>
      <c r="G30" s="129">
        <f t="shared" si="31"/>
        <v>15</v>
      </c>
      <c r="H30" s="129">
        <f t="shared" si="31"/>
        <v>15</v>
      </c>
      <c r="I30" s="129">
        <f t="shared" si="31"/>
        <v>15</v>
      </c>
      <c r="J30" s="129">
        <f t="shared" si="31"/>
        <v>15</v>
      </c>
      <c r="K30" s="129">
        <f t="shared" si="31"/>
        <v>15</v>
      </c>
      <c r="L30" s="129">
        <f t="shared" si="31"/>
        <v>15</v>
      </c>
      <c r="M30" s="129">
        <f t="shared" si="31"/>
        <v>14</v>
      </c>
      <c r="N30" s="129">
        <f t="shared" si="31"/>
        <v>15</v>
      </c>
      <c r="O30" s="129">
        <f t="shared" si="31"/>
        <v>15</v>
      </c>
      <c r="P30" s="129">
        <f t="shared" si="31"/>
        <v>15</v>
      </c>
      <c r="Q30" s="129">
        <f t="shared" si="31"/>
        <v>15</v>
      </c>
      <c r="R30" s="129">
        <f t="shared" si="31"/>
        <v>15</v>
      </c>
      <c r="S30" s="129">
        <f t="shared" si="31"/>
        <v>0</v>
      </c>
      <c r="T30" s="129">
        <f t="shared" si="31"/>
        <v>15</v>
      </c>
      <c r="U30" s="129">
        <f t="shared" si="31"/>
        <v>15</v>
      </c>
      <c r="V30" s="129">
        <f t="shared" si="31"/>
        <v>15</v>
      </c>
      <c r="W30" s="129">
        <f t="shared" si="31"/>
        <v>15</v>
      </c>
      <c r="X30" s="129">
        <f t="shared" si="31"/>
        <v>15</v>
      </c>
      <c r="Y30" s="129">
        <f t="shared" si="31"/>
        <v>15</v>
      </c>
      <c r="Z30" s="129">
        <f t="shared" si="31"/>
        <v>15</v>
      </c>
      <c r="AA30" s="129">
        <f t="shared" si="31"/>
        <v>15</v>
      </c>
      <c r="AB30" s="129">
        <f t="shared" si="31"/>
        <v>15</v>
      </c>
      <c r="AC30" s="129">
        <f t="shared" si="31"/>
        <v>15</v>
      </c>
      <c r="AD30" s="129">
        <f t="shared" si="31"/>
        <v>15</v>
      </c>
      <c r="AE30" s="129">
        <f t="shared" si="31"/>
        <v>15</v>
      </c>
      <c r="AF30" s="129">
        <f t="shared" si="31"/>
        <v>15</v>
      </c>
      <c r="AG30" s="129">
        <f t="shared" si="31"/>
        <v>15</v>
      </c>
      <c r="AH30" s="129">
        <f t="shared" si="31"/>
        <v>15</v>
      </c>
      <c r="AI30" s="129">
        <f t="shared" si="31"/>
        <v>11</v>
      </c>
    </row>
  </sheetData>
  <mergeCells count="3">
    <mergeCell ref="A4:A9"/>
    <mergeCell ref="A11:A15"/>
    <mergeCell ref="A17:A21"/>
  </mergeCells>
  <conditionalFormatting sqref="C23:D26">
    <cfRule type="cellIs" dxfId="869" priority="4" operator="lessThan">
      <formula>2</formula>
    </cfRule>
  </conditionalFormatting>
  <conditionalFormatting sqref="E23:I26">
    <cfRule type="cellIs" dxfId="868" priority="3" operator="lessThan">
      <formula>3</formula>
    </cfRule>
  </conditionalFormatting>
  <conditionalFormatting sqref="J23:K26 Q23:R26 X23:Y26 AE23:AF26">
    <cfRule type="cellIs" dxfId="867" priority="2" operator="lessThan">
      <formula>2</formula>
    </cfRule>
  </conditionalFormatting>
  <conditionalFormatting sqref="L23:P26 S23:W26 Z23:AC26 AG23:AI26">
    <cfRule type="cellIs" dxfId="866" priority="1" operator="lessThan">
      <formula>3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2:AH41"/>
  <sheetViews>
    <sheetView zoomScale="60" zoomScaleNormal="60" workbookViewId="0"/>
  </sheetViews>
  <sheetFormatPr defaultRowHeight="14.5" x14ac:dyDescent="0.35"/>
  <cols>
    <col min="2" max="2" width="18.26953125" bestFit="1" customWidth="1"/>
    <col min="3" max="5" width="0" hidden="1" customWidth="1"/>
  </cols>
  <sheetData>
    <row r="2" spans="1:34" x14ac:dyDescent="0.35">
      <c r="B2" s="1"/>
      <c r="C2" s="2" t="str">
        <f t="shared" ref="C2:E2" si="0">TEXT(C3,"ddd")</f>
        <v>Mon</v>
      </c>
      <c r="D2" s="2" t="str">
        <f t="shared" si="0"/>
        <v>Tue</v>
      </c>
      <c r="E2" s="2" t="str">
        <f t="shared" si="0"/>
        <v>Wed</v>
      </c>
      <c r="F2" s="2" t="str">
        <f t="shared" ref="F2:AH2" si="1">TEXT(F3,"ddd")</f>
        <v>Thu</v>
      </c>
      <c r="G2" s="2" t="str">
        <f t="shared" si="1"/>
        <v>Fri</v>
      </c>
      <c r="H2" s="2" t="str">
        <f t="shared" si="1"/>
        <v>Sat</v>
      </c>
      <c r="I2" s="2" t="str">
        <f t="shared" si="1"/>
        <v>Sun</v>
      </c>
      <c r="J2" s="2" t="str">
        <f t="shared" si="1"/>
        <v>Mon</v>
      </c>
      <c r="K2" s="2" t="str">
        <f t="shared" si="1"/>
        <v>Tue</v>
      </c>
      <c r="L2" s="2" t="str">
        <f t="shared" si="1"/>
        <v>Wed</v>
      </c>
      <c r="M2" s="2" t="str">
        <f t="shared" si="1"/>
        <v>Thu</v>
      </c>
      <c r="N2" s="2" t="str">
        <f t="shared" si="1"/>
        <v>Fri</v>
      </c>
      <c r="O2" s="2" t="str">
        <f t="shared" si="1"/>
        <v>Sat</v>
      </c>
      <c r="P2" s="2" t="str">
        <f t="shared" si="1"/>
        <v>Sun</v>
      </c>
      <c r="Q2" s="2" t="str">
        <f t="shared" si="1"/>
        <v>Mon</v>
      </c>
      <c r="R2" s="2" t="str">
        <f t="shared" si="1"/>
        <v>Tue</v>
      </c>
      <c r="S2" s="2" t="str">
        <f t="shared" si="1"/>
        <v>Wed</v>
      </c>
      <c r="T2" s="2" t="str">
        <f t="shared" si="1"/>
        <v>Thu</v>
      </c>
      <c r="U2" s="2" t="str">
        <f t="shared" si="1"/>
        <v>Fri</v>
      </c>
      <c r="V2" s="2" t="str">
        <f t="shared" si="1"/>
        <v>Sat</v>
      </c>
      <c r="W2" s="2" t="str">
        <f t="shared" si="1"/>
        <v>Sun</v>
      </c>
      <c r="X2" s="2" t="str">
        <f t="shared" si="1"/>
        <v>Mon</v>
      </c>
      <c r="Y2" s="2" t="str">
        <f t="shared" si="1"/>
        <v>Tue</v>
      </c>
      <c r="Z2" s="2" t="str">
        <f t="shared" si="1"/>
        <v>Wed</v>
      </c>
      <c r="AA2" s="2" t="str">
        <f t="shared" si="1"/>
        <v>Thu</v>
      </c>
      <c r="AB2" s="2" t="str">
        <f t="shared" si="1"/>
        <v>Fri</v>
      </c>
      <c r="AC2" s="2" t="str">
        <f t="shared" si="1"/>
        <v>Sat</v>
      </c>
      <c r="AD2" s="2" t="str">
        <f t="shared" si="1"/>
        <v>Sun</v>
      </c>
      <c r="AE2" s="2" t="str">
        <f t="shared" si="1"/>
        <v>Mon</v>
      </c>
      <c r="AF2" s="2" t="str">
        <f t="shared" si="1"/>
        <v>Tue</v>
      </c>
      <c r="AG2" s="2" t="str">
        <f t="shared" si="1"/>
        <v>Wed</v>
      </c>
      <c r="AH2" s="2" t="str">
        <f t="shared" si="1"/>
        <v>Thu</v>
      </c>
    </row>
    <row r="3" spans="1:34" x14ac:dyDescent="0.35">
      <c r="A3" s="136" t="s">
        <v>110</v>
      </c>
      <c r="B3" s="95" t="s">
        <v>0</v>
      </c>
      <c r="C3" s="29">
        <v>44802</v>
      </c>
      <c r="D3" s="29">
        <v>44803</v>
      </c>
      <c r="E3" s="29">
        <v>44804</v>
      </c>
      <c r="F3" s="29">
        <v>44805</v>
      </c>
      <c r="G3" s="29">
        <v>44806</v>
      </c>
      <c r="H3" s="29">
        <v>44807</v>
      </c>
      <c r="I3" s="29">
        <v>44808</v>
      </c>
      <c r="J3" s="29">
        <v>44809</v>
      </c>
      <c r="K3" s="29">
        <v>44810</v>
      </c>
      <c r="L3" s="29">
        <v>44811</v>
      </c>
      <c r="M3" s="29">
        <v>44812</v>
      </c>
      <c r="N3" s="29">
        <v>44813</v>
      </c>
      <c r="O3" s="29">
        <v>44814</v>
      </c>
      <c r="P3" s="29">
        <v>44815</v>
      </c>
      <c r="Q3" s="29">
        <v>44816</v>
      </c>
      <c r="R3" s="29">
        <v>44817</v>
      </c>
      <c r="S3" s="29">
        <v>44818</v>
      </c>
      <c r="T3" s="29">
        <v>44819</v>
      </c>
      <c r="U3" s="29">
        <v>44820</v>
      </c>
      <c r="V3" s="29">
        <v>44821</v>
      </c>
      <c r="W3" s="29">
        <v>44822</v>
      </c>
      <c r="X3" s="29">
        <v>44823</v>
      </c>
      <c r="Y3" s="29">
        <v>44824</v>
      </c>
      <c r="Z3" s="29">
        <v>44825</v>
      </c>
      <c r="AA3" s="29">
        <v>44826</v>
      </c>
      <c r="AB3" s="29">
        <v>44827</v>
      </c>
      <c r="AC3" s="29">
        <v>44828</v>
      </c>
      <c r="AD3" s="29">
        <v>44829</v>
      </c>
      <c r="AE3" s="29">
        <v>44830</v>
      </c>
      <c r="AF3" s="29">
        <v>44831</v>
      </c>
      <c r="AG3" s="29">
        <v>44832</v>
      </c>
      <c r="AH3" s="29">
        <v>44833</v>
      </c>
    </row>
    <row r="4" spans="1:34" ht="15" thickBot="1" x14ac:dyDescent="0.4">
      <c r="A4" s="271" t="s">
        <v>121</v>
      </c>
      <c r="B4" s="96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</row>
    <row r="5" spans="1:34" x14ac:dyDescent="0.35">
      <c r="A5" s="271"/>
      <c r="B5" s="137" t="s">
        <v>14</v>
      </c>
      <c r="C5" s="100" t="s">
        <v>5</v>
      </c>
      <c r="D5" s="100" t="s">
        <v>5</v>
      </c>
      <c r="E5" s="115" t="s">
        <v>37</v>
      </c>
      <c r="F5" s="103" t="s">
        <v>6</v>
      </c>
      <c r="G5" s="103" t="s">
        <v>6</v>
      </c>
      <c r="H5" s="103" t="s">
        <v>3</v>
      </c>
      <c r="I5" s="99" t="s">
        <v>4</v>
      </c>
      <c r="J5" s="118" t="s">
        <v>41</v>
      </c>
      <c r="K5" s="118" t="s">
        <v>41</v>
      </c>
      <c r="L5" s="100" t="s">
        <v>5</v>
      </c>
      <c r="M5" s="100" t="s">
        <v>5</v>
      </c>
      <c r="N5" s="100" t="s">
        <v>5</v>
      </c>
      <c r="O5" s="19" t="s">
        <v>42</v>
      </c>
      <c r="P5" s="99" t="s">
        <v>4</v>
      </c>
      <c r="Q5" s="104" t="s">
        <v>2</v>
      </c>
      <c r="R5" s="118" t="s">
        <v>41</v>
      </c>
      <c r="S5" s="118" t="s">
        <v>41</v>
      </c>
      <c r="T5" s="118" t="s">
        <v>41</v>
      </c>
      <c r="U5" s="100" t="s">
        <v>5</v>
      </c>
      <c r="V5" s="100" t="s">
        <v>5</v>
      </c>
      <c r="W5" s="99" t="s">
        <v>4</v>
      </c>
      <c r="X5" s="104" t="s">
        <v>2</v>
      </c>
      <c r="Y5" s="118" t="s">
        <v>41</v>
      </c>
      <c r="Z5" s="118" t="s">
        <v>41</v>
      </c>
      <c r="AA5" s="118" t="s">
        <v>41</v>
      </c>
      <c r="AB5" s="118" t="s">
        <v>41</v>
      </c>
      <c r="AC5" s="118" t="s">
        <v>42</v>
      </c>
      <c r="AD5" s="99" t="s">
        <v>4</v>
      </c>
      <c r="AE5" s="118" t="s">
        <v>41</v>
      </c>
      <c r="AF5" s="118" t="s">
        <v>41</v>
      </c>
      <c r="AG5" s="118" t="s">
        <v>41</v>
      </c>
      <c r="AH5" s="118" t="s">
        <v>41</v>
      </c>
    </row>
    <row r="6" spans="1:34" ht="15" thickBot="1" x14ac:dyDescent="0.4">
      <c r="A6" s="271"/>
      <c r="B6" s="138" t="s">
        <v>12</v>
      </c>
      <c r="C6" s="105" t="s">
        <v>6</v>
      </c>
      <c r="D6" s="105" t="s">
        <v>6</v>
      </c>
      <c r="E6" s="112" t="s">
        <v>3</v>
      </c>
      <c r="F6" s="139" t="s">
        <v>16</v>
      </c>
      <c r="G6" s="102" t="s">
        <v>2</v>
      </c>
      <c r="H6" s="101" t="s">
        <v>4</v>
      </c>
      <c r="I6" s="120" t="s">
        <v>42</v>
      </c>
      <c r="J6" s="120" t="s">
        <v>41</v>
      </c>
      <c r="K6" s="120" t="s">
        <v>41</v>
      </c>
      <c r="L6" s="120" t="s">
        <v>41</v>
      </c>
      <c r="M6" s="120" t="s">
        <v>41</v>
      </c>
      <c r="N6" s="120" t="s">
        <v>41</v>
      </c>
      <c r="O6" s="101" t="s">
        <v>4</v>
      </c>
      <c r="P6" s="120" t="s">
        <v>42</v>
      </c>
      <c r="Q6" s="120" t="s">
        <v>41</v>
      </c>
      <c r="R6" s="120" t="s">
        <v>41</v>
      </c>
      <c r="S6" s="102" t="s">
        <v>2</v>
      </c>
      <c r="T6" s="102" t="s">
        <v>2</v>
      </c>
      <c r="U6" s="120" t="s">
        <v>41</v>
      </c>
      <c r="V6" s="120" t="s">
        <v>42</v>
      </c>
      <c r="W6" s="120" t="s">
        <v>42</v>
      </c>
      <c r="X6" s="120" t="s">
        <v>41</v>
      </c>
      <c r="Y6" s="102" t="s">
        <v>2</v>
      </c>
      <c r="Z6" s="107" t="s">
        <v>5</v>
      </c>
      <c r="AA6" s="107" t="s">
        <v>5</v>
      </c>
      <c r="AB6" s="102" t="s">
        <v>2</v>
      </c>
      <c r="AC6" s="101" t="s">
        <v>4</v>
      </c>
      <c r="AD6" s="120" t="s">
        <v>42</v>
      </c>
      <c r="AE6" s="120" t="s">
        <v>41</v>
      </c>
      <c r="AF6" s="120" t="s">
        <v>41</v>
      </c>
      <c r="AG6" s="120" t="s">
        <v>41</v>
      </c>
      <c r="AH6" s="120" t="s">
        <v>41</v>
      </c>
    </row>
    <row r="7" spans="1:34" x14ac:dyDescent="0.35">
      <c r="A7" s="271"/>
      <c r="B7" s="140" t="s">
        <v>69</v>
      </c>
      <c r="C7" s="112" t="s">
        <v>6</v>
      </c>
      <c r="D7" s="112" t="s">
        <v>6</v>
      </c>
      <c r="E7" s="112" t="s">
        <v>3</v>
      </c>
      <c r="F7" s="118" t="s">
        <v>41</v>
      </c>
      <c r="G7" s="108" t="s">
        <v>2</v>
      </c>
      <c r="H7" s="110" t="s">
        <v>4</v>
      </c>
      <c r="I7" s="121" t="s">
        <v>42</v>
      </c>
      <c r="J7" s="121" t="s">
        <v>41</v>
      </c>
      <c r="K7" s="121" t="s">
        <v>41</v>
      </c>
      <c r="L7" s="121" t="s">
        <v>41</v>
      </c>
      <c r="M7" s="121" t="s">
        <v>41</v>
      </c>
      <c r="N7" s="108" t="s">
        <v>2</v>
      </c>
      <c r="O7" s="110" t="s">
        <v>4</v>
      </c>
      <c r="P7" s="121" t="s">
        <v>42</v>
      </c>
      <c r="Q7" s="121" t="s">
        <v>41</v>
      </c>
      <c r="R7" s="121" t="s">
        <v>41</v>
      </c>
      <c r="S7" s="121" t="s">
        <v>41</v>
      </c>
      <c r="T7" s="121" t="s">
        <v>41</v>
      </c>
      <c r="U7" s="108" t="s">
        <v>2</v>
      </c>
      <c r="V7" s="110" t="s">
        <v>4</v>
      </c>
      <c r="W7" s="121" t="s">
        <v>42</v>
      </c>
      <c r="X7" s="121" t="s">
        <v>41</v>
      </c>
      <c r="Y7" s="121" t="s">
        <v>41</v>
      </c>
      <c r="Z7" s="121" t="s">
        <v>41</v>
      </c>
      <c r="AA7" s="121" t="s">
        <v>41</v>
      </c>
      <c r="AB7" s="108" t="s">
        <v>2</v>
      </c>
      <c r="AC7" s="110" t="s">
        <v>4</v>
      </c>
      <c r="AD7" s="111" t="s">
        <v>5</v>
      </c>
      <c r="AE7" s="111" t="s">
        <v>5</v>
      </c>
      <c r="AF7" s="111" t="s">
        <v>5</v>
      </c>
      <c r="AG7" s="111" t="s">
        <v>5</v>
      </c>
      <c r="AH7" s="111" t="s">
        <v>5</v>
      </c>
    </row>
    <row r="8" spans="1:34" ht="15" thickBot="1" x14ac:dyDescent="0.4">
      <c r="A8" s="271"/>
      <c r="B8" s="141" t="s">
        <v>71</v>
      </c>
      <c r="C8" s="25" t="s">
        <v>6</v>
      </c>
      <c r="D8" s="25" t="s">
        <v>6</v>
      </c>
      <c r="E8" s="112" t="s">
        <v>3</v>
      </c>
      <c r="F8" s="116" t="s">
        <v>2</v>
      </c>
      <c r="G8" s="25" t="s">
        <v>6</v>
      </c>
      <c r="H8" s="25" t="s">
        <v>3</v>
      </c>
      <c r="I8" s="114" t="s">
        <v>4</v>
      </c>
      <c r="J8" s="116" t="s">
        <v>2</v>
      </c>
      <c r="K8" s="116" t="s">
        <v>2</v>
      </c>
      <c r="L8" s="19" t="s">
        <v>41</v>
      </c>
      <c r="M8" s="19" t="s">
        <v>41</v>
      </c>
      <c r="N8" s="19" t="s">
        <v>41</v>
      </c>
      <c r="O8" s="19" t="s">
        <v>42</v>
      </c>
      <c r="P8" s="114" t="s">
        <v>4</v>
      </c>
      <c r="Q8" s="116" t="s">
        <v>2</v>
      </c>
      <c r="R8" s="22" t="s">
        <v>16</v>
      </c>
      <c r="S8" s="19" t="s">
        <v>41</v>
      </c>
      <c r="T8" s="19" t="s">
        <v>41</v>
      </c>
      <c r="U8" s="19" t="s">
        <v>41</v>
      </c>
      <c r="V8" s="19" t="s">
        <v>42</v>
      </c>
      <c r="W8" s="114" t="s">
        <v>4</v>
      </c>
      <c r="X8" s="116" t="s">
        <v>2</v>
      </c>
      <c r="Y8" s="19" t="s">
        <v>41</v>
      </c>
      <c r="Z8" s="19" t="s">
        <v>41</v>
      </c>
      <c r="AA8" s="19" t="s">
        <v>41</v>
      </c>
      <c r="AB8" s="19" t="s">
        <v>41</v>
      </c>
      <c r="AC8" s="19" t="s">
        <v>42</v>
      </c>
      <c r="AD8" s="114" t="s">
        <v>4</v>
      </c>
      <c r="AE8" s="116" t="s">
        <v>2</v>
      </c>
      <c r="AF8" s="19" t="s">
        <v>41</v>
      </c>
      <c r="AG8" s="19" t="s">
        <v>41</v>
      </c>
      <c r="AH8" s="19" t="s">
        <v>41</v>
      </c>
    </row>
    <row r="9" spans="1:34" x14ac:dyDescent="0.35">
      <c r="A9" s="271"/>
      <c r="B9" s="141" t="s">
        <v>70</v>
      </c>
      <c r="C9" s="25" t="s">
        <v>6</v>
      </c>
      <c r="D9" s="100" t="s">
        <v>2</v>
      </c>
      <c r="E9" s="115" t="s">
        <v>37</v>
      </c>
      <c r="F9" s="25" t="s">
        <v>6</v>
      </c>
      <c r="G9" s="25" t="s">
        <v>6</v>
      </c>
      <c r="H9" s="117" t="s">
        <v>30</v>
      </c>
      <c r="I9" s="114" t="s">
        <v>4</v>
      </c>
      <c r="J9" s="116" t="s">
        <v>2</v>
      </c>
      <c r="K9" s="22" t="s">
        <v>16</v>
      </c>
      <c r="L9" s="22" t="s">
        <v>16</v>
      </c>
      <c r="M9" s="22" t="s">
        <v>16</v>
      </c>
      <c r="N9" s="19" t="s">
        <v>41</v>
      </c>
      <c r="O9" s="117" t="s">
        <v>30</v>
      </c>
      <c r="P9" s="114" t="s">
        <v>4</v>
      </c>
      <c r="Q9" s="19" t="s">
        <v>41</v>
      </c>
      <c r="R9" s="116" t="s">
        <v>2</v>
      </c>
      <c r="S9" s="22" t="s">
        <v>16</v>
      </c>
      <c r="T9" s="22" t="s">
        <v>16</v>
      </c>
      <c r="U9" s="19" t="s">
        <v>41</v>
      </c>
      <c r="V9" s="114" t="s">
        <v>4</v>
      </c>
      <c r="W9" s="114" t="s">
        <v>4</v>
      </c>
      <c r="X9" s="19" t="s">
        <v>41</v>
      </c>
      <c r="Y9" s="22" t="s">
        <v>16</v>
      </c>
      <c r="Z9" s="22" t="s">
        <v>16</v>
      </c>
      <c r="AA9" s="22" t="s">
        <v>16</v>
      </c>
      <c r="AB9" s="19" t="s">
        <v>41</v>
      </c>
      <c r="AC9" s="114" t="s">
        <v>4</v>
      </c>
      <c r="AD9" s="19" t="s">
        <v>42</v>
      </c>
      <c r="AE9" s="19" t="s">
        <v>41</v>
      </c>
      <c r="AF9" s="22" t="s">
        <v>16</v>
      </c>
      <c r="AG9" s="22" t="s">
        <v>16</v>
      </c>
      <c r="AH9" s="22" t="s">
        <v>16</v>
      </c>
    </row>
    <row r="10" spans="1:34" ht="15" thickBot="1" x14ac:dyDescent="0.4"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</row>
    <row r="11" spans="1:34" ht="15" thickBot="1" x14ac:dyDescent="0.4">
      <c r="A11" s="271" t="s">
        <v>122</v>
      </c>
      <c r="B11" s="137" t="s">
        <v>9</v>
      </c>
      <c r="C11" s="104" t="s">
        <v>2</v>
      </c>
      <c r="D11" s="118" t="s">
        <v>41</v>
      </c>
      <c r="E11" s="118" t="s">
        <v>42</v>
      </c>
      <c r="F11" s="118" t="s">
        <v>41</v>
      </c>
      <c r="G11" s="118" t="s">
        <v>41</v>
      </c>
      <c r="H11" s="118" t="s">
        <v>42</v>
      </c>
      <c r="I11" s="124" t="s">
        <v>11</v>
      </c>
      <c r="J11" s="104" t="s">
        <v>2</v>
      </c>
      <c r="K11" s="123" t="s">
        <v>10</v>
      </c>
      <c r="L11" s="123" t="s">
        <v>10</v>
      </c>
      <c r="M11" s="123" t="s">
        <v>10</v>
      </c>
      <c r="N11" s="104" t="s">
        <v>2</v>
      </c>
      <c r="O11" s="99" t="s">
        <v>4</v>
      </c>
      <c r="P11" s="124" t="s">
        <v>11</v>
      </c>
      <c r="Q11" s="104" t="s">
        <v>2</v>
      </c>
      <c r="R11" s="123" t="s">
        <v>10</v>
      </c>
      <c r="S11" s="123" t="s">
        <v>10</v>
      </c>
      <c r="T11" s="123" t="s">
        <v>10</v>
      </c>
      <c r="U11" s="123" t="s">
        <v>10</v>
      </c>
      <c r="V11" s="123" t="s">
        <v>11</v>
      </c>
      <c r="W11" s="99" t="s">
        <v>4</v>
      </c>
      <c r="X11" s="104" t="s">
        <v>2</v>
      </c>
      <c r="Y11" s="123" t="s">
        <v>10</v>
      </c>
      <c r="Z11" s="123" t="s">
        <v>10</v>
      </c>
      <c r="AA11" s="123" t="s">
        <v>10</v>
      </c>
      <c r="AB11" s="100" t="s">
        <v>5</v>
      </c>
      <c r="AC11" s="100" t="s">
        <v>5</v>
      </c>
      <c r="AD11" s="99" t="s">
        <v>4</v>
      </c>
      <c r="AE11" s="104" t="s">
        <v>2</v>
      </c>
      <c r="AF11" s="123" t="s">
        <v>10</v>
      </c>
      <c r="AG11" s="123" t="s">
        <v>10</v>
      </c>
      <c r="AH11" s="123" t="s">
        <v>10</v>
      </c>
    </row>
    <row r="12" spans="1:34" ht="15" thickBot="1" x14ac:dyDescent="0.4">
      <c r="A12" s="271"/>
      <c r="B12" s="138" t="s">
        <v>15</v>
      </c>
      <c r="C12" s="120" t="s">
        <v>41</v>
      </c>
      <c r="D12" s="100" t="s">
        <v>5</v>
      </c>
      <c r="E12" s="100" t="s">
        <v>5</v>
      </c>
      <c r="F12" s="107" t="s">
        <v>5</v>
      </c>
      <c r="G12" s="102" t="s">
        <v>2</v>
      </c>
      <c r="H12" s="101" t="s">
        <v>4</v>
      </c>
      <c r="I12" s="101" t="s">
        <v>4</v>
      </c>
      <c r="J12" s="124" t="s">
        <v>10</v>
      </c>
      <c r="K12" s="124" t="s">
        <v>10</v>
      </c>
      <c r="L12" s="102" t="s">
        <v>2</v>
      </c>
      <c r="M12" s="102" t="s">
        <v>2</v>
      </c>
      <c r="N12" s="124" t="s">
        <v>10</v>
      </c>
      <c r="O12" s="124" t="s">
        <v>11</v>
      </c>
      <c r="P12" s="124" t="s">
        <v>11</v>
      </c>
      <c r="Q12" s="124" t="s">
        <v>10</v>
      </c>
      <c r="R12" s="124" t="s">
        <v>10</v>
      </c>
      <c r="S12" s="102" t="s">
        <v>2</v>
      </c>
      <c r="T12" s="102" t="s">
        <v>2</v>
      </c>
      <c r="U12" s="124" t="s">
        <v>10</v>
      </c>
      <c r="V12" s="124" t="s">
        <v>11</v>
      </c>
      <c r="W12" s="124" t="s">
        <v>11</v>
      </c>
      <c r="X12" s="124" t="s">
        <v>10</v>
      </c>
      <c r="Y12" s="124" t="s">
        <v>10</v>
      </c>
      <c r="Z12" s="102" t="s">
        <v>2</v>
      </c>
      <c r="AA12" s="102" t="s">
        <v>2</v>
      </c>
      <c r="AB12" s="124" t="s">
        <v>10</v>
      </c>
      <c r="AC12" s="124" t="s">
        <v>11</v>
      </c>
      <c r="AD12" s="124" t="s">
        <v>11</v>
      </c>
      <c r="AE12" s="124" t="s">
        <v>10</v>
      </c>
      <c r="AF12" s="124" t="s">
        <v>10</v>
      </c>
      <c r="AG12" s="102" t="s">
        <v>2</v>
      </c>
      <c r="AH12" s="102" t="s">
        <v>2</v>
      </c>
    </row>
    <row r="13" spans="1:34" ht="15" thickBot="1" x14ac:dyDescent="0.4">
      <c r="A13" s="271"/>
      <c r="B13" s="140" t="s">
        <v>21</v>
      </c>
      <c r="C13" s="108" t="s">
        <v>2</v>
      </c>
      <c r="D13" s="121" t="s">
        <v>41</v>
      </c>
      <c r="E13" s="118" t="s">
        <v>42</v>
      </c>
      <c r="F13" s="25" t="s">
        <v>6</v>
      </c>
      <c r="G13" s="121" t="s">
        <v>41</v>
      </c>
      <c r="H13" s="121" t="s">
        <v>42</v>
      </c>
      <c r="I13" s="110" t="s">
        <v>4</v>
      </c>
      <c r="J13" s="108" t="s">
        <v>2</v>
      </c>
      <c r="K13" s="108" t="s">
        <v>2</v>
      </c>
      <c r="L13" s="127" t="s">
        <v>10</v>
      </c>
      <c r="M13" s="127" t="s">
        <v>10</v>
      </c>
      <c r="N13" s="127" t="s">
        <v>10</v>
      </c>
      <c r="O13" s="127" t="s">
        <v>11</v>
      </c>
      <c r="P13" s="99" t="s">
        <v>4</v>
      </c>
      <c r="Q13" s="108" t="s">
        <v>2</v>
      </c>
      <c r="R13" s="108" t="s">
        <v>2</v>
      </c>
      <c r="S13" s="127" t="s">
        <v>10</v>
      </c>
      <c r="T13" s="127" t="s">
        <v>10</v>
      </c>
      <c r="U13" s="127" t="s">
        <v>10</v>
      </c>
      <c r="V13" s="127" t="s">
        <v>11</v>
      </c>
      <c r="W13" s="110" t="s">
        <v>4</v>
      </c>
      <c r="X13" s="108" t="s">
        <v>2</v>
      </c>
      <c r="Y13" s="127" t="s">
        <v>10</v>
      </c>
      <c r="Z13" s="127" t="s">
        <v>10</v>
      </c>
      <c r="AA13" s="127" t="s">
        <v>10</v>
      </c>
      <c r="AB13" s="127" t="s">
        <v>10</v>
      </c>
      <c r="AC13" s="127" t="s">
        <v>11</v>
      </c>
      <c r="AD13" s="110" t="s">
        <v>4</v>
      </c>
      <c r="AE13" s="108" t="s">
        <v>2</v>
      </c>
      <c r="AF13" s="108" t="s">
        <v>2</v>
      </c>
      <c r="AG13" s="127" t="s">
        <v>10</v>
      </c>
      <c r="AH13" s="127" t="s">
        <v>10</v>
      </c>
    </row>
    <row r="14" spans="1:34" x14ac:dyDescent="0.35">
      <c r="A14" s="271"/>
      <c r="B14" s="141" t="s">
        <v>22</v>
      </c>
      <c r="C14" s="19" t="s">
        <v>41</v>
      </c>
      <c r="D14" s="19" t="s">
        <v>41</v>
      </c>
      <c r="E14" s="118" t="s">
        <v>42</v>
      </c>
      <c r="F14" s="19" t="s">
        <v>41</v>
      </c>
      <c r="G14" s="116" t="s">
        <v>2</v>
      </c>
      <c r="H14" s="114" t="s">
        <v>4</v>
      </c>
      <c r="I14" s="16" t="s">
        <v>11</v>
      </c>
      <c r="J14" s="16" t="s">
        <v>10</v>
      </c>
      <c r="K14" s="16" t="s">
        <v>10</v>
      </c>
      <c r="L14" s="16" t="s">
        <v>10</v>
      </c>
      <c r="M14" s="116" t="s">
        <v>2</v>
      </c>
      <c r="N14" s="114" t="s">
        <v>4</v>
      </c>
      <c r="O14" s="16" t="s">
        <v>11</v>
      </c>
      <c r="P14" s="16" t="s">
        <v>11</v>
      </c>
      <c r="Q14" s="16" t="s">
        <v>10</v>
      </c>
      <c r="R14" s="116" t="s">
        <v>2</v>
      </c>
      <c r="S14" s="16" t="s">
        <v>10</v>
      </c>
      <c r="T14" s="16" t="s">
        <v>10</v>
      </c>
      <c r="U14" s="116" t="s">
        <v>2</v>
      </c>
      <c r="V14" s="114" t="s">
        <v>4</v>
      </c>
      <c r="W14" s="16" t="s">
        <v>11</v>
      </c>
      <c r="X14" s="16" t="s">
        <v>10</v>
      </c>
      <c r="Y14" s="16" t="s">
        <v>10</v>
      </c>
      <c r="Z14" s="16" t="s">
        <v>10</v>
      </c>
      <c r="AA14" s="16" t="s">
        <v>10</v>
      </c>
      <c r="AB14" s="116" t="s">
        <v>2</v>
      </c>
      <c r="AC14" s="114" t="s">
        <v>4</v>
      </c>
      <c r="AD14" s="16" t="s">
        <v>11</v>
      </c>
      <c r="AE14" s="16" t="s">
        <v>10</v>
      </c>
      <c r="AF14" s="16" t="s">
        <v>10</v>
      </c>
      <c r="AG14" s="16" t="s">
        <v>10</v>
      </c>
      <c r="AH14" s="16" t="s">
        <v>10</v>
      </c>
    </row>
    <row r="15" spans="1:34" x14ac:dyDescent="0.35">
      <c r="A15" s="271"/>
      <c r="B15" s="141" t="s">
        <v>124</v>
      </c>
      <c r="C15" s="19" t="s">
        <v>41</v>
      </c>
      <c r="D15" s="22" t="s">
        <v>16</v>
      </c>
      <c r="E15" s="117" t="s">
        <v>30</v>
      </c>
      <c r="F15" s="22" t="s">
        <v>16</v>
      </c>
      <c r="G15" s="19" t="s">
        <v>41</v>
      </c>
      <c r="H15" s="114" t="s">
        <v>4</v>
      </c>
      <c r="I15" s="16" t="s">
        <v>11</v>
      </c>
      <c r="J15" s="16" t="s">
        <v>10</v>
      </c>
      <c r="K15" s="116" t="s">
        <v>2</v>
      </c>
      <c r="L15" s="116" t="s">
        <v>2</v>
      </c>
      <c r="M15" s="16" t="s">
        <v>10</v>
      </c>
      <c r="N15" s="16" t="s">
        <v>10</v>
      </c>
      <c r="O15" s="114" t="s">
        <v>4</v>
      </c>
      <c r="P15" s="114" t="s">
        <v>4</v>
      </c>
      <c r="Q15" s="16" t="s">
        <v>10</v>
      </c>
      <c r="R15" s="16" t="s">
        <v>10</v>
      </c>
      <c r="S15" s="22" t="s">
        <v>16</v>
      </c>
      <c r="T15" s="22" t="s">
        <v>16</v>
      </c>
      <c r="U15" s="22" t="s">
        <v>16</v>
      </c>
      <c r="V15" s="114" t="s">
        <v>4</v>
      </c>
      <c r="W15" s="16" t="s">
        <v>11</v>
      </c>
      <c r="X15" s="16" t="s">
        <v>10</v>
      </c>
      <c r="Y15" s="116" t="s">
        <v>2</v>
      </c>
      <c r="Z15" s="116" t="s">
        <v>2</v>
      </c>
      <c r="AA15" s="22" t="s">
        <v>16</v>
      </c>
      <c r="AB15" s="16" t="s">
        <v>10</v>
      </c>
      <c r="AC15" s="16" t="s">
        <v>11</v>
      </c>
      <c r="AD15" s="16" t="s">
        <v>11</v>
      </c>
      <c r="AE15" s="16" t="s">
        <v>10</v>
      </c>
      <c r="AF15" s="116" t="s">
        <v>2</v>
      </c>
      <c r="AG15" s="116" t="s">
        <v>2</v>
      </c>
      <c r="AH15" s="22" t="s">
        <v>16</v>
      </c>
    </row>
    <row r="16" spans="1:34" ht="15" thickBot="1" x14ac:dyDescent="0.4"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</row>
    <row r="17" spans="1:34" ht="15" thickBot="1" x14ac:dyDescent="0.4">
      <c r="A17" s="271" t="s">
        <v>123</v>
      </c>
      <c r="B17" s="137" t="s">
        <v>1</v>
      </c>
      <c r="C17" s="123" t="s">
        <v>10</v>
      </c>
      <c r="D17" s="123" t="s">
        <v>10</v>
      </c>
      <c r="E17" s="115" t="s">
        <v>37</v>
      </c>
      <c r="F17" s="107" t="s">
        <v>5</v>
      </c>
      <c r="G17" s="123" t="s">
        <v>10</v>
      </c>
      <c r="H17" s="99" t="s">
        <v>4</v>
      </c>
      <c r="I17" s="103" t="s">
        <v>3</v>
      </c>
      <c r="J17" s="103" t="s">
        <v>6</v>
      </c>
      <c r="K17" s="103" t="s">
        <v>6</v>
      </c>
      <c r="L17" s="103" t="s">
        <v>6</v>
      </c>
      <c r="M17" s="103" t="s">
        <v>6</v>
      </c>
      <c r="N17" s="104" t="s">
        <v>2</v>
      </c>
      <c r="O17" s="99" t="s">
        <v>4</v>
      </c>
      <c r="P17" s="103" t="s">
        <v>3</v>
      </c>
      <c r="Q17" s="103" t="s">
        <v>6</v>
      </c>
      <c r="R17" s="103" t="s">
        <v>6</v>
      </c>
      <c r="S17" s="103" t="s">
        <v>6</v>
      </c>
      <c r="T17" s="103" t="s">
        <v>6</v>
      </c>
      <c r="U17" s="104" t="s">
        <v>2</v>
      </c>
      <c r="V17" s="101" t="s">
        <v>4</v>
      </c>
      <c r="W17" s="103" t="s">
        <v>3</v>
      </c>
      <c r="X17" s="102" t="s">
        <v>2</v>
      </c>
      <c r="Y17" s="103" t="s">
        <v>6</v>
      </c>
      <c r="Z17" s="103" t="s">
        <v>6</v>
      </c>
      <c r="AA17" s="104" t="s">
        <v>2</v>
      </c>
      <c r="AB17" s="104" t="s">
        <v>2</v>
      </c>
      <c r="AC17" s="103" t="s">
        <v>3</v>
      </c>
      <c r="AD17" s="103" t="s">
        <v>3</v>
      </c>
      <c r="AE17" s="103" t="s">
        <v>6</v>
      </c>
      <c r="AF17" s="103" t="s">
        <v>6</v>
      </c>
      <c r="AG17" s="103" t="s">
        <v>6</v>
      </c>
      <c r="AH17" s="103" t="s">
        <v>6</v>
      </c>
    </row>
    <row r="18" spans="1:34" ht="15" thickBot="1" x14ac:dyDescent="0.4">
      <c r="A18" s="271"/>
      <c r="B18" s="138" t="s">
        <v>18</v>
      </c>
      <c r="C18" s="102" t="s">
        <v>2</v>
      </c>
      <c r="D18" s="124" t="s">
        <v>10</v>
      </c>
      <c r="E18" s="123" t="s">
        <v>11</v>
      </c>
      <c r="F18" s="107" t="s">
        <v>5</v>
      </c>
      <c r="G18" s="107" t="s">
        <v>5</v>
      </c>
      <c r="H18" s="107" t="s">
        <v>5</v>
      </c>
      <c r="I18" s="101" t="s">
        <v>4</v>
      </c>
      <c r="J18" s="107" t="s">
        <v>5</v>
      </c>
      <c r="K18" s="107" t="s">
        <v>5</v>
      </c>
      <c r="L18" s="107" t="s">
        <v>5</v>
      </c>
      <c r="M18" s="105" t="s">
        <v>6</v>
      </c>
      <c r="N18" s="105" t="s">
        <v>6</v>
      </c>
      <c r="O18" s="105" t="s">
        <v>3</v>
      </c>
      <c r="P18" s="101" t="s">
        <v>4</v>
      </c>
      <c r="Q18" s="102" t="s">
        <v>2</v>
      </c>
      <c r="R18" s="105" t="s">
        <v>6</v>
      </c>
      <c r="S18" s="105" t="s">
        <v>6</v>
      </c>
      <c r="T18" s="105" t="s">
        <v>6</v>
      </c>
      <c r="U18" s="105" t="s">
        <v>6</v>
      </c>
      <c r="V18" s="105" t="s">
        <v>3</v>
      </c>
      <c r="W18" s="101" t="s">
        <v>4</v>
      </c>
      <c r="X18" s="105" t="s">
        <v>6</v>
      </c>
      <c r="Y18" s="105" t="s">
        <v>6</v>
      </c>
      <c r="Z18" s="105" t="s">
        <v>6</v>
      </c>
      <c r="AA18" s="105" t="s">
        <v>6</v>
      </c>
      <c r="AB18" s="105" t="s">
        <v>6</v>
      </c>
      <c r="AC18" s="101" t="s">
        <v>4</v>
      </c>
      <c r="AD18" s="101" t="s">
        <v>4</v>
      </c>
      <c r="AE18" s="102" t="s">
        <v>2</v>
      </c>
      <c r="AF18" s="105" t="s">
        <v>6</v>
      </c>
      <c r="AG18" s="105" t="s">
        <v>6</v>
      </c>
      <c r="AH18" s="105" t="s">
        <v>6</v>
      </c>
    </row>
    <row r="19" spans="1:34" ht="15" thickBot="1" x14ac:dyDescent="0.4">
      <c r="A19" s="271"/>
      <c r="B19" s="140" t="s">
        <v>68</v>
      </c>
      <c r="C19" s="127" t="s">
        <v>10</v>
      </c>
      <c r="D19" s="127" t="s">
        <v>10</v>
      </c>
      <c r="E19" s="123" t="s">
        <v>11</v>
      </c>
      <c r="F19" s="127" t="s">
        <v>10</v>
      </c>
      <c r="G19" s="108" t="s">
        <v>2</v>
      </c>
      <c r="H19" s="110" t="s">
        <v>4</v>
      </c>
      <c r="I19" s="112" t="s">
        <v>3</v>
      </c>
      <c r="J19" s="112" t="s">
        <v>6</v>
      </c>
      <c r="K19" s="112" t="s">
        <v>6</v>
      </c>
      <c r="L19" s="112" t="s">
        <v>6</v>
      </c>
      <c r="M19" s="112" t="s">
        <v>6</v>
      </c>
      <c r="N19" s="112" t="s">
        <v>6</v>
      </c>
      <c r="O19" s="110" t="s">
        <v>4</v>
      </c>
      <c r="P19" s="112" t="s">
        <v>3</v>
      </c>
      <c r="Q19" s="112" t="s">
        <v>6</v>
      </c>
      <c r="R19" s="112" t="s">
        <v>6</v>
      </c>
      <c r="S19" s="112" t="s">
        <v>6</v>
      </c>
      <c r="T19" s="112" t="s">
        <v>6</v>
      </c>
      <c r="U19" s="112" t="s">
        <v>6</v>
      </c>
      <c r="V19" s="105" t="s">
        <v>3</v>
      </c>
      <c r="W19" s="110" t="s">
        <v>4</v>
      </c>
      <c r="X19" s="112" t="s">
        <v>6</v>
      </c>
      <c r="Y19" s="112" t="s">
        <v>6</v>
      </c>
      <c r="Z19" s="112" t="s">
        <v>6</v>
      </c>
      <c r="AA19" s="112" t="s">
        <v>6</v>
      </c>
      <c r="AB19" s="108" t="s">
        <v>2</v>
      </c>
      <c r="AC19" s="110" t="s">
        <v>4</v>
      </c>
      <c r="AD19" s="112" t="s">
        <v>3</v>
      </c>
      <c r="AE19" s="112" t="s">
        <v>6</v>
      </c>
      <c r="AF19" s="112" t="s">
        <v>6</v>
      </c>
      <c r="AG19" s="112" t="s">
        <v>6</v>
      </c>
      <c r="AH19" s="112" t="s">
        <v>6</v>
      </c>
    </row>
    <row r="20" spans="1:34" ht="15" thickBot="1" x14ac:dyDescent="0.4">
      <c r="A20" s="271"/>
      <c r="B20" s="141" t="s">
        <v>43</v>
      </c>
      <c r="C20" s="116" t="s">
        <v>2</v>
      </c>
      <c r="D20" s="125" t="s">
        <v>16</v>
      </c>
      <c r="E20" s="123" t="s">
        <v>11</v>
      </c>
      <c r="F20" s="16" t="s">
        <v>10</v>
      </c>
      <c r="G20" s="16" t="s">
        <v>10</v>
      </c>
      <c r="H20" s="16" t="s">
        <v>11</v>
      </c>
      <c r="I20" s="114" t="s">
        <v>4</v>
      </c>
      <c r="J20" s="25" t="s">
        <v>6</v>
      </c>
      <c r="K20" s="25" t="s">
        <v>6</v>
      </c>
      <c r="L20" s="25" t="s">
        <v>6</v>
      </c>
      <c r="M20" s="122" t="s">
        <v>5</v>
      </c>
      <c r="N20" s="122" t="s">
        <v>5</v>
      </c>
      <c r="O20" s="114" t="s">
        <v>4</v>
      </c>
      <c r="P20" s="114" t="s">
        <v>4</v>
      </c>
      <c r="Q20" s="116" t="s">
        <v>2</v>
      </c>
      <c r="R20" s="122" t="s">
        <v>5</v>
      </c>
      <c r="S20" s="122" t="s">
        <v>5</v>
      </c>
      <c r="T20" s="122" t="s">
        <v>5</v>
      </c>
      <c r="U20" s="122" t="s">
        <v>5</v>
      </c>
      <c r="V20" s="110" t="s">
        <v>4</v>
      </c>
      <c r="W20" s="25" t="s">
        <v>3</v>
      </c>
      <c r="X20" s="25" t="s">
        <v>6</v>
      </c>
      <c r="Y20" s="116" t="s">
        <v>2</v>
      </c>
      <c r="Z20" s="116" t="s">
        <v>2</v>
      </c>
      <c r="AA20" s="25" t="s">
        <v>6</v>
      </c>
      <c r="AB20" s="25" t="s">
        <v>6</v>
      </c>
      <c r="AC20" s="25" t="s">
        <v>3</v>
      </c>
      <c r="AD20" s="114" t="s">
        <v>4</v>
      </c>
      <c r="AE20" s="116" t="s">
        <v>2</v>
      </c>
      <c r="AF20" s="116" t="s">
        <v>2</v>
      </c>
      <c r="AG20" s="25" t="s">
        <v>6</v>
      </c>
      <c r="AH20" s="25" t="s">
        <v>6</v>
      </c>
    </row>
    <row r="21" spans="1:34" x14ac:dyDescent="0.35">
      <c r="A21" s="271"/>
      <c r="B21" s="141" t="s">
        <v>60</v>
      </c>
      <c r="C21" s="16" t="s">
        <v>10</v>
      </c>
      <c r="D21" s="104" t="s">
        <v>2</v>
      </c>
      <c r="E21" s="115" t="s">
        <v>37</v>
      </c>
      <c r="F21" s="16" t="s">
        <v>10</v>
      </c>
      <c r="G21" s="16" t="s">
        <v>10</v>
      </c>
      <c r="H21" s="16" t="s">
        <v>11</v>
      </c>
      <c r="I21" s="114" t="s">
        <v>4</v>
      </c>
      <c r="J21" s="116" t="s">
        <v>2</v>
      </c>
      <c r="K21" s="122" t="s">
        <v>5</v>
      </c>
      <c r="L21" s="22" t="s">
        <v>16</v>
      </c>
      <c r="M21" s="22" t="s">
        <v>16</v>
      </c>
      <c r="N21" s="25" t="s">
        <v>6</v>
      </c>
      <c r="O21" s="25" t="s">
        <v>3</v>
      </c>
      <c r="P21" s="114" t="s">
        <v>4</v>
      </c>
      <c r="Q21" s="25" t="s">
        <v>6</v>
      </c>
      <c r="R21" s="22" t="s">
        <v>16</v>
      </c>
      <c r="S21" s="22" t="s">
        <v>16</v>
      </c>
      <c r="T21" s="22" t="s">
        <v>16</v>
      </c>
      <c r="U21" s="25" t="s">
        <v>6</v>
      </c>
      <c r="V21" s="117" t="s">
        <v>30</v>
      </c>
      <c r="W21" s="114" t="s">
        <v>4</v>
      </c>
      <c r="X21" s="22" t="s">
        <v>16</v>
      </c>
      <c r="Y21" s="22" t="s">
        <v>16</v>
      </c>
      <c r="Z21" s="22" t="s">
        <v>16</v>
      </c>
      <c r="AA21" s="22" t="s">
        <v>16</v>
      </c>
      <c r="AB21" s="25" t="s">
        <v>6</v>
      </c>
      <c r="AC21" s="114" t="s">
        <v>4</v>
      </c>
      <c r="AD21" s="114" t="s">
        <v>4</v>
      </c>
      <c r="AE21" s="25" t="s">
        <v>6</v>
      </c>
      <c r="AF21" s="22" t="s">
        <v>16</v>
      </c>
      <c r="AG21" s="22" t="s">
        <v>16</v>
      </c>
      <c r="AH21" s="22" t="s">
        <v>16</v>
      </c>
    </row>
    <row r="23" spans="1:34" x14ac:dyDescent="0.35">
      <c r="B23" s="128" t="s">
        <v>125</v>
      </c>
      <c r="C23">
        <f>COUNTIF(C5:C21,"MS")</f>
        <v>4</v>
      </c>
      <c r="D23">
        <f>COUNTIF(D5:D21,"MS")</f>
        <v>3</v>
      </c>
      <c r="E23">
        <f t="shared" ref="E23:G23" si="2">COUNTIF(E5:E21,"MS")</f>
        <v>0</v>
      </c>
      <c r="F23">
        <f t="shared" si="2"/>
        <v>3</v>
      </c>
      <c r="G23">
        <f t="shared" si="2"/>
        <v>3</v>
      </c>
      <c r="H23">
        <f>COUNTIF(H5:H21,"WMS")</f>
        <v>2</v>
      </c>
      <c r="I23">
        <f>COUNTIF(I5:I21,"WMS")</f>
        <v>2</v>
      </c>
      <c r="J23">
        <f>COUNTIF(J5:J21,"MS")</f>
        <v>3</v>
      </c>
      <c r="K23">
        <f>COUNTIF(K5:K21,"MS")</f>
        <v>3</v>
      </c>
      <c r="L23">
        <f t="shared" ref="L23:N23" si="3">COUNTIF(L5:L21,"MS")</f>
        <v>3</v>
      </c>
      <c r="M23">
        <f t="shared" si="3"/>
        <v>3</v>
      </c>
      <c r="N23">
        <f t="shared" si="3"/>
        <v>3</v>
      </c>
      <c r="O23">
        <f>COUNTIF(O5:O21,"WMS")</f>
        <v>2</v>
      </c>
      <c r="P23">
        <f>COUNTIF(P5:P21,"WMS")</f>
        <v>2</v>
      </c>
      <c r="Q23">
        <f>COUNTIF(Q5:Q21,"MS")</f>
        <v>3</v>
      </c>
      <c r="R23">
        <f>COUNTIF(R5:R21,"MS")</f>
        <v>3</v>
      </c>
      <c r="S23">
        <f t="shared" ref="S23:U23" si="4">COUNTIF(S5:S21,"MS")</f>
        <v>3</v>
      </c>
      <c r="T23">
        <f t="shared" si="4"/>
        <v>3</v>
      </c>
      <c r="U23">
        <f t="shared" si="4"/>
        <v>3</v>
      </c>
      <c r="V23">
        <f>COUNTIF(V5:V21,"WMS")</f>
        <v>2</v>
      </c>
      <c r="W23">
        <f>COUNTIF(W5:W21,"WMS")</f>
        <v>2</v>
      </c>
      <c r="X23">
        <f>COUNTIF(X5:X21,"MS")</f>
        <v>3</v>
      </c>
      <c r="Y23">
        <f>COUNTIF(Y5:Y21,"MS")</f>
        <v>3</v>
      </c>
      <c r="Z23">
        <f t="shared" ref="Z23:AB23" si="5">COUNTIF(Z5:Z21,"MS")</f>
        <v>3</v>
      </c>
      <c r="AA23">
        <f t="shared" si="5"/>
        <v>3</v>
      </c>
      <c r="AB23">
        <f t="shared" si="5"/>
        <v>3</v>
      </c>
      <c r="AC23">
        <f>COUNTIF(AC5:AC21,"WMS")</f>
        <v>2</v>
      </c>
      <c r="AD23">
        <f>COUNTIF(AD5:AD21,"WMS")</f>
        <v>2</v>
      </c>
      <c r="AE23">
        <f>COUNTIF(AE5:AE21,"MS")</f>
        <v>3</v>
      </c>
      <c r="AF23">
        <f>COUNTIF(AF5:AF21,"MS")</f>
        <v>3</v>
      </c>
      <c r="AG23">
        <f t="shared" ref="AG23:AH23" si="6">COUNTIF(AG5:AG21,"MS")</f>
        <v>4</v>
      </c>
      <c r="AH23">
        <f t="shared" si="6"/>
        <v>4</v>
      </c>
    </row>
    <row r="24" spans="1:34" x14ac:dyDescent="0.35">
      <c r="B24" s="128" t="s">
        <v>126</v>
      </c>
      <c r="C24">
        <f>COUNTIF(C5:C21,"ASS1")</f>
        <v>3</v>
      </c>
      <c r="D24">
        <f t="shared" ref="D24:G24" si="7">COUNTIF(D5:D21,"ASS1")</f>
        <v>3</v>
      </c>
      <c r="E24">
        <f t="shared" si="7"/>
        <v>0</v>
      </c>
      <c r="F24">
        <f t="shared" si="7"/>
        <v>3</v>
      </c>
      <c r="G24">
        <f t="shared" si="7"/>
        <v>3</v>
      </c>
      <c r="H24">
        <f>COUNTIF(H5:H21,"WASS1")</f>
        <v>2</v>
      </c>
      <c r="I24">
        <f>COUNTIF(I5:I21,"WASS1")</f>
        <v>2</v>
      </c>
      <c r="J24">
        <f>COUNTIF(J5:J21,"ASS1")</f>
        <v>3</v>
      </c>
      <c r="K24">
        <f t="shared" ref="K24:N24" si="8">COUNTIF(K5:K21,"ASS1")</f>
        <v>3</v>
      </c>
      <c r="L24">
        <f t="shared" si="8"/>
        <v>3</v>
      </c>
      <c r="M24">
        <f t="shared" si="8"/>
        <v>3</v>
      </c>
      <c r="N24">
        <f t="shared" si="8"/>
        <v>3</v>
      </c>
      <c r="O24">
        <f>COUNTIF(O5:O21,"WASS1")</f>
        <v>2</v>
      </c>
      <c r="P24">
        <f>COUNTIF(P5:P21,"WASS1")</f>
        <v>2</v>
      </c>
      <c r="Q24">
        <f>COUNTIF(Q5:Q21,"ASS1")</f>
        <v>3</v>
      </c>
      <c r="R24">
        <f t="shared" ref="R24:U24" si="9">COUNTIF(R5:R21,"ASS1")</f>
        <v>3</v>
      </c>
      <c r="S24">
        <f t="shared" si="9"/>
        <v>3</v>
      </c>
      <c r="T24">
        <f t="shared" si="9"/>
        <v>3</v>
      </c>
      <c r="U24">
        <f t="shared" si="9"/>
        <v>3</v>
      </c>
      <c r="V24">
        <f>COUNTIF(V5:V21,"WASS1")</f>
        <v>2</v>
      </c>
      <c r="W24">
        <f>COUNTIF(W5:W21,"WASS1")</f>
        <v>2</v>
      </c>
      <c r="X24">
        <f>COUNTIF(X5:X21,"ASS1")</f>
        <v>3</v>
      </c>
      <c r="Y24">
        <f t="shared" ref="Y24:AB24" si="10">COUNTIF(Y5:Y21,"ASS1")</f>
        <v>3</v>
      </c>
      <c r="Z24">
        <f t="shared" si="10"/>
        <v>3</v>
      </c>
      <c r="AA24">
        <f t="shared" si="10"/>
        <v>3</v>
      </c>
      <c r="AB24">
        <f t="shared" si="10"/>
        <v>3</v>
      </c>
      <c r="AC24">
        <f>COUNTIF(AC5:AC21,"WASS1")</f>
        <v>2</v>
      </c>
      <c r="AD24">
        <f>COUNTIF(AD5:AD21,"WASS1")</f>
        <v>2</v>
      </c>
      <c r="AE24">
        <f>COUNTIF(AE5:AE21,"ASS1")</f>
        <v>3</v>
      </c>
      <c r="AF24">
        <f t="shared" ref="AF24:AH24" si="11">COUNTIF(AF5:AF21,"ASS1")</f>
        <v>3</v>
      </c>
      <c r="AG24">
        <f t="shared" si="11"/>
        <v>3</v>
      </c>
      <c r="AH24">
        <f t="shared" si="11"/>
        <v>3</v>
      </c>
    </row>
    <row r="25" spans="1:34" x14ac:dyDescent="0.35">
      <c r="B25" s="128" t="s">
        <v>127</v>
      </c>
      <c r="C25">
        <f>COUNTIF(C5:C21,"NST7")</f>
        <v>3</v>
      </c>
      <c r="D25">
        <f t="shared" ref="D25:G25" si="12">COUNTIF(D5:D21,"NST7")</f>
        <v>3</v>
      </c>
      <c r="E25">
        <f t="shared" si="12"/>
        <v>0</v>
      </c>
      <c r="F25">
        <f t="shared" si="12"/>
        <v>3</v>
      </c>
      <c r="G25">
        <f t="shared" si="12"/>
        <v>3</v>
      </c>
      <c r="H25">
        <f>COUNTIF(H5:H21,"WNST7")</f>
        <v>2</v>
      </c>
      <c r="I25">
        <f>COUNTIF(I5:I21,"WNST7")</f>
        <v>3</v>
      </c>
      <c r="J25">
        <f>COUNTIF(J5:J21,"NST7")</f>
        <v>3</v>
      </c>
      <c r="K25">
        <f t="shared" ref="K25:N25" si="13">COUNTIF(K5:K21,"NST7")</f>
        <v>3</v>
      </c>
      <c r="L25">
        <f t="shared" si="13"/>
        <v>3</v>
      </c>
      <c r="M25">
        <f t="shared" si="13"/>
        <v>3</v>
      </c>
      <c r="N25">
        <f t="shared" si="13"/>
        <v>3</v>
      </c>
      <c r="O25">
        <f>COUNTIF(O5:O21,"WNST7")</f>
        <v>3</v>
      </c>
      <c r="P25">
        <f>COUNTIF(P5:P21,"WNST7")</f>
        <v>3</v>
      </c>
      <c r="Q25">
        <f>COUNTIF(Q5:Q21,"NST7")</f>
        <v>3</v>
      </c>
      <c r="R25">
        <f t="shared" ref="R25:U25" si="14">COUNTIF(R5:R21,"NST7")</f>
        <v>3</v>
      </c>
      <c r="S25">
        <f t="shared" si="14"/>
        <v>3</v>
      </c>
      <c r="T25">
        <f t="shared" si="14"/>
        <v>3</v>
      </c>
      <c r="U25">
        <f t="shared" si="14"/>
        <v>3</v>
      </c>
      <c r="V25">
        <f>COUNTIF(V5:V21,"WNST7")</f>
        <v>3</v>
      </c>
      <c r="W25">
        <f>COUNTIF(W5:W21,"WNST7")</f>
        <v>3</v>
      </c>
      <c r="X25">
        <f>COUNTIF(X5:X21,"NST7")</f>
        <v>3</v>
      </c>
      <c r="Y25">
        <f t="shared" ref="Y25:AB25" si="15">COUNTIF(Y5:Y21,"NST7")</f>
        <v>4</v>
      </c>
      <c r="Z25">
        <f t="shared" si="15"/>
        <v>3</v>
      </c>
      <c r="AA25">
        <f t="shared" si="15"/>
        <v>3</v>
      </c>
      <c r="AB25">
        <f t="shared" si="15"/>
        <v>3</v>
      </c>
      <c r="AC25">
        <f>COUNTIF(AC5:AC21,"WNST7")</f>
        <v>3</v>
      </c>
      <c r="AD25">
        <f>COUNTIF(AD5:AD21,"WNST7")</f>
        <v>3</v>
      </c>
      <c r="AE25">
        <f>COUNTIF(AE5:AE21,"NST7")</f>
        <v>3</v>
      </c>
      <c r="AF25">
        <f t="shared" ref="AF25:AH25" si="16">COUNTIF(AF5:AF21,"NST7")</f>
        <v>3</v>
      </c>
      <c r="AG25">
        <f t="shared" si="16"/>
        <v>3</v>
      </c>
      <c r="AH25">
        <f t="shared" si="16"/>
        <v>3</v>
      </c>
    </row>
    <row r="26" spans="1:34" x14ac:dyDescent="0.35">
      <c r="B26" s="128" t="s">
        <v>128</v>
      </c>
      <c r="C26">
        <f>COUNTIF(C5:C21,"GS")</f>
        <v>0</v>
      </c>
      <c r="D26">
        <f t="shared" ref="D26:G26" si="17">COUNTIF(D5:D21,"GS")</f>
        <v>2</v>
      </c>
      <c r="E26">
        <f t="shared" si="17"/>
        <v>0</v>
      </c>
      <c r="F26">
        <f t="shared" si="17"/>
        <v>2</v>
      </c>
      <c r="G26">
        <f t="shared" si="17"/>
        <v>0</v>
      </c>
      <c r="H26">
        <f>COUNTIF(H4:H21,"WGS")</f>
        <v>1</v>
      </c>
      <c r="I26">
        <f>COUNTIF(I4:I21,"WGS")</f>
        <v>0</v>
      </c>
      <c r="J26">
        <f>COUNTIF(J5:J21,"GS")</f>
        <v>0</v>
      </c>
      <c r="K26">
        <f t="shared" ref="K26:N26" si="18">COUNTIF(K5:K21,"GS")</f>
        <v>1</v>
      </c>
      <c r="L26">
        <f t="shared" si="18"/>
        <v>2</v>
      </c>
      <c r="M26">
        <f t="shared" si="18"/>
        <v>2</v>
      </c>
      <c r="N26">
        <f t="shared" si="18"/>
        <v>0</v>
      </c>
      <c r="O26">
        <f>COUNTIF(O4:O21,"WGS")</f>
        <v>1</v>
      </c>
      <c r="P26">
        <f>COUNTIF(P4:P21,"WGS")</f>
        <v>0</v>
      </c>
      <c r="Q26">
        <f>COUNTIF(Q5:Q21,"GS")</f>
        <v>0</v>
      </c>
      <c r="R26">
        <f t="shared" ref="R26:U26" si="19">COUNTIF(R5:R21,"GS")</f>
        <v>2</v>
      </c>
      <c r="S26">
        <f t="shared" si="19"/>
        <v>3</v>
      </c>
      <c r="T26">
        <f t="shared" si="19"/>
        <v>3</v>
      </c>
      <c r="U26">
        <f t="shared" si="19"/>
        <v>1</v>
      </c>
      <c r="V26">
        <f>COUNTIF(V4:V21,"WGS")</f>
        <v>1</v>
      </c>
      <c r="W26">
        <f>COUNTIF(W4:W21,"WGS")</f>
        <v>0</v>
      </c>
      <c r="X26">
        <f>COUNTIF(X5:X21,"GS")</f>
        <v>1</v>
      </c>
      <c r="Y26">
        <f t="shared" ref="Y26:AB26" si="20">COUNTIF(Y5:Y21,"GS")</f>
        <v>2</v>
      </c>
      <c r="Z26">
        <f t="shared" si="20"/>
        <v>2</v>
      </c>
      <c r="AA26">
        <f t="shared" si="20"/>
        <v>3</v>
      </c>
      <c r="AB26">
        <f t="shared" si="20"/>
        <v>0</v>
      </c>
      <c r="AC26">
        <f>COUNTIF(AC4:AC21,"WGS")</f>
        <v>0</v>
      </c>
      <c r="AD26">
        <f>COUNTIF(AD4:AD21,"WGS")</f>
        <v>0</v>
      </c>
      <c r="AE26">
        <f>COUNTIF(AE5:AE21,"GS")</f>
        <v>0</v>
      </c>
      <c r="AF26">
        <f t="shared" ref="AF26:AH26" si="21">COUNTIF(AF5:AF21,"GS")</f>
        <v>2</v>
      </c>
      <c r="AG26">
        <f t="shared" si="21"/>
        <v>2</v>
      </c>
      <c r="AH26">
        <f t="shared" si="21"/>
        <v>3</v>
      </c>
    </row>
    <row r="27" spans="1:34" x14ac:dyDescent="0.35">
      <c r="B27" s="128" t="s">
        <v>129</v>
      </c>
      <c r="C27">
        <f>COUNTIF(C5:C21,"C")</f>
        <v>4</v>
      </c>
      <c r="D27">
        <f t="shared" ref="D27:G27" si="22">COUNTIF(D5:D21,"C")</f>
        <v>2</v>
      </c>
      <c r="E27">
        <f t="shared" si="22"/>
        <v>0</v>
      </c>
      <c r="F27">
        <f t="shared" si="22"/>
        <v>1</v>
      </c>
      <c r="G27">
        <f t="shared" si="22"/>
        <v>5</v>
      </c>
      <c r="H27">
        <f>COUNTIF(H5:H21,"WO")</f>
        <v>7</v>
      </c>
      <c r="I27">
        <f>COUNTIF(I5:I21,"WO")</f>
        <v>8</v>
      </c>
      <c r="J27">
        <f>COUNTIF(J5:J21,"C")</f>
        <v>5</v>
      </c>
      <c r="K27">
        <f t="shared" ref="K27:N27" si="23">COUNTIF(K5:K21,"C")</f>
        <v>3</v>
      </c>
      <c r="L27">
        <f t="shared" si="23"/>
        <v>2</v>
      </c>
      <c r="M27">
        <f t="shared" si="23"/>
        <v>2</v>
      </c>
      <c r="N27">
        <f t="shared" si="23"/>
        <v>3</v>
      </c>
      <c r="O27">
        <f>COUNTIF(O5:O21,"WO")</f>
        <v>7</v>
      </c>
      <c r="P27">
        <f>COUNTIF(P5:P21,"WO")</f>
        <v>8</v>
      </c>
      <c r="Q27">
        <f>COUNTIF(Q5:Q21,"C")</f>
        <v>6</v>
      </c>
      <c r="R27">
        <f t="shared" ref="R27:U27" si="24">COUNTIF(R5:R21,"C")</f>
        <v>3</v>
      </c>
      <c r="S27">
        <f t="shared" si="24"/>
        <v>2</v>
      </c>
      <c r="T27">
        <f t="shared" si="24"/>
        <v>2</v>
      </c>
      <c r="U27">
        <f t="shared" si="24"/>
        <v>3</v>
      </c>
      <c r="V27">
        <f>COUNTIF(V5:V21,"WO")</f>
        <v>6</v>
      </c>
      <c r="W27">
        <f>COUNTIF(W5:W21,"WO")</f>
        <v>8</v>
      </c>
      <c r="X27">
        <f>COUNTIF(X5:X21,"C")</f>
        <v>5</v>
      </c>
      <c r="Y27">
        <f t="shared" ref="Y27:AB27" si="25">COUNTIF(Y5:Y21,"C")</f>
        <v>3</v>
      </c>
      <c r="Z27">
        <f t="shared" si="25"/>
        <v>3</v>
      </c>
      <c r="AA27">
        <f t="shared" si="25"/>
        <v>2</v>
      </c>
      <c r="AB27">
        <f t="shared" si="25"/>
        <v>5</v>
      </c>
      <c r="AC27">
        <f>COUNTIF(AC5:AC21,"WO")</f>
        <v>7</v>
      </c>
      <c r="AD27">
        <f>COUNTIF(AD5:AD21,"WO")</f>
        <v>7</v>
      </c>
      <c r="AE27">
        <f>COUNTIF(AE5:AE21,"C")</f>
        <v>5</v>
      </c>
      <c r="AF27">
        <f t="shared" ref="AF27:AH27" si="26">COUNTIF(AF5:AF21,"C")</f>
        <v>3</v>
      </c>
      <c r="AG27">
        <f t="shared" si="26"/>
        <v>2</v>
      </c>
      <c r="AH27">
        <f t="shared" si="26"/>
        <v>1</v>
      </c>
    </row>
    <row r="28" spans="1:34" x14ac:dyDescent="0.35">
      <c r="B28" s="128" t="s">
        <v>130</v>
      </c>
      <c r="C28">
        <f t="shared" ref="C28:G28" si="27">COUNTIF(C5:C21,"PL")</f>
        <v>1</v>
      </c>
      <c r="D28">
        <f t="shared" si="27"/>
        <v>2</v>
      </c>
      <c r="E28">
        <f t="shared" si="27"/>
        <v>1</v>
      </c>
      <c r="F28">
        <f t="shared" si="27"/>
        <v>3</v>
      </c>
      <c r="G28">
        <f t="shared" si="27"/>
        <v>1</v>
      </c>
      <c r="H28">
        <f>COUNTIF(H5:H22,"PL")</f>
        <v>1</v>
      </c>
      <c r="I28">
        <f>COUNTIF(I5:I22,"PL")</f>
        <v>0</v>
      </c>
      <c r="J28">
        <f t="shared" ref="J28:N28" si="28">COUNTIF(J5:J21,"PL")</f>
        <v>1</v>
      </c>
      <c r="K28">
        <f t="shared" si="28"/>
        <v>2</v>
      </c>
      <c r="L28">
        <f t="shared" si="28"/>
        <v>2</v>
      </c>
      <c r="M28">
        <f t="shared" si="28"/>
        <v>2</v>
      </c>
      <c r="N28">
        <f t="shared" si="28"/>
        <v>2</v>
      </c>
      <c r="O28">
        <f>COUNTIF(O5:O22,"PL")</f>
        <v>0</v>
      </c>
      <c r="P28">
        <f>COUNTIF(P5:P22,"PL")</f>
        <v>0</v>
      </c>
      <c r="Q28">
        <f t="shared" ref="Q28:U28" si="29">COUNTIF(Q5:Q21,"PL")</f>
        <v>0</v>
      </c>
      <c r="R28">
        <f t="shared" si="29"/>
        <v>1</v>
      </c>
      <c r="S28">
        <f t="shared" si="29"/>
        <v>1</v>
      </c>
      <c r="T28">
        <f t="shared" si="29"/>
        <v>1</v>
      </c>
      <c r="U28">
        <f t="shared" si="29"/>
        <v>2</v>
      </c>
      <c r="V28">
        <f>COUNTIF(V5:V22,"PL")</f>
        <v>1</v>
      </c>
      <c r="W28">
        <f>COUNTIF(W5:W22,"PL")</f>
        <v>0</v>
      </c>
      <c r="X28">
        <f t="shared" ref="X28:AB28" si="30">COUNTIF(X5:X21,"PL")</f>
        <v>0</v>
      </c>
      <c r="Y28">
        <f t="shared" si="30"/>
        <v>0</v>
      </c>
      <c r="Z28">
        <f t="shared" si="30"/>
        <v>1</v>
      </c>
      <c r="AA28">
        <f t="shared" si="30"/>
        <v>1</v>
      </c>
      <c r="AB28">
        <f t="shared" si="30"/>
        <v>1</v>
      </c>
      <c r="AC28">
        <f>COUNTIF(AC5:AC22,"PL")</f>
        <v>1</v>
      </c>
      <c r="AD28">
        <f>COUNTIF(AD5:AD22,"PL")</f>
        <v>1</v>
      </c>
      <c r="AE28">
        <f t="shared" ref="AE28:AH28" si="31">COUNTIF(AE5:AE21,"PL")</f>
        <v>1</v>
      </c>
      <c r="AF28">
        <f t="shared" si="31"/>
        <v>1</v>
      </c>
      <c r="AG28">
        <f t="shared" si="31"/>
        <v>1</v>
      </c>
      <c r="AH28">
        <f t="shared" si="31"/>
        <v>1</v>
      </c>
    </row>
    <row r="29" spans="1:34" x14ac:dyDescent="0.35">
      <c r="B29" s="128" t="s">
        <v>33</v>
      </c>
      <c r="C29">
        <f>COUNTIF(C5:C21,"UPL")</f>
        <v>0</v>
      </c>
      <c r="D29">
        <f t="shared" ref="D29:G29" si="32">COUNTIF(D5:D21,"UPL")</f>
        <v>0</v>
      </c>
      <c r="E29">
        <f t="shared" si="32"/>
        <v>0</v>
      </c>
      <c r="F29">
        <f t="shared" si="32"/>
        <v>0</v>
      </c>
      <c r="G29">
        <f t="shared" si="32"/>
        <v>0</v>
      </c>
      <c r="H29">
        <f>COUNTIF(H5:H21,"UPL")</f>
        <v>0</v>
      </c>
      <c r="I29">
        <f>COUNTIF(I5:I21,"UPL")</f>
        <v>0</v>
      </c>
      <c r="J29">
        <f>COUNTIF(J5:J21,"UPL")</f>
        <v>0</v>
      </c>
      <c r="K29">
        <f t="shared" ref="K29:N29" si="33">COUNTIF(K5:K21,"UPL")</f>
        <v>0</v>
      </c>
      <c r="L29">
        <f t="shared" si="33"/>
        <v>0</v>
      </c>
      <c r="M29">
        <f t="shared" si="33"/>
        <v>0</v>
      </c>
      <c r="N29">
        <f t="shared" si="33"/>
        <v>0</v>
      </c>
      <c r="O29">
        <f>COUNTIF(O5:O21,"UPL")</f>
        <v>0</v>
      </c>
      <c r="P29">
        <f>COUNTIF(P5:P21,"UPL")</f>
        <v>0</v>
      </c>
      <c r="Q29">
        <f>COUNTIF(Q5:Q21,"UPL")</f>
        <v>0</v>
      </c>
      <c r="R29">
        <f t="shared" ref="R29:U29" si="34">COUNTIF(R5:R21,"UPL")</f>
        <v>0</v>
      </c>
      <c r="S29">
        <f t="shared" si="34"/>
        <v>0</v>
      </c>
      <c r="T29">
        <f t="shared" si="34"/>
        <v>0</v>
      </c>
      <c r="U29">
        <f t="shared" si="34"/>
        <v>0</v>
      </c>
      <c r="V29">
        <f>COUNTIF(V5:V21,"UPL")</f>
        <v>0</v>
      </c>
      <c r="W29">
        <f>COUNTIF(W5:W21,"UPL")</f>
        <v>0</v>
      </c>
      <c r="X29">
        <f>COUNTIF(X5:X21,"UPL")</f>
        <v>0</v>
      </c>
      <c r="Y29">
        <f t="shared" ref="Y29:AB29" si="35">COUNTIF(Y5:Y21,"UPL")</f>
        <v>0</v>
      </c>
      <c r="Z29">
        <f t="shared" si="35"/>
        <v>0</v>
      </c>
      <c r="AA29">
        <f t="shared" si="35"/>
        <v>0</v>
      </c>
      <c r="AB29">
        <f t="shared" si="35"/>
        <v>0</v>
      </c>
      <c r="AC29">
        <f>COUNTIF(AC5:AC21,"UPL")</f>
        <v>0</v>
      </c>
      <c r="AD29">
        <f>COUNTIF(AD5:AD21,"UPL")</f>
        <v>0</v>
      </c>
      <c r="AE29">
        <f>COUNTIF(AE5:AE21,"UPL")</f>
        <v>0</v>
      </c>
      <c r="AF29">
        <f t="shared" ref="AF29:AH29" si="36">COUNTIF(AF5:AF21,"UPL")</f>
        <v>0</v>
      </c>
      <c r="AG29">
        <f t="shared" si="36"/>
        <v>0</v>
      </c>
      <c r="AH29">
        <f t="shared" si="36"/>
        <v>0</v>
      </c>
    </row>
    <row r="30" spans="1:34" x14ac:dyDescent="0.35">
      <c r="B30" s="128" t="s">
        <v>131</v>
      </c>
      <c r="C30" s="129">
        <f t="shared" ref="C30:AH30" si="37">SUM(C23:C29)</f>
        <v>15</v>
      </c>
      <c r="D30" s="129">
        <f t="shared" si="37"/>
        <v>15</v>
      </c>
      <c r="E30" s="129">
        <f t="shared" si="37"/>
        <v>1</v>
      </c>
      <c r="F30" s="129">
        <f t="shared" si="37"/>
        <v>15</v>
      </c>
      <c r="G30" s="129">
        <f t="shared" si="37"/>
        <v>15</v>
      </c>
      <c r="H30" s="129">
        <f t="shared" si="37"/>
        <v>15</v>
      </c>
      <c r="I30" s="129">
        <f t="shared" si="37"/>
        <v>15</v>
      </c>
      <c r="J30" s="129">
        <f t="shared" si="37"/>
        <v>15</v>
      </c>
      <c r="K30" s="129">
        <f t="shared" si="37"/>
        <v>15</v>
      </c>
      <c r="L30" s="129">
        <f t="shared" si="37"/>
        <v>15</v>
      </c>
      <c r="M30" s="129">
        <f t="shared" si="37"/>
        <v>15</v>
      </c>
      <c r="N30" s="129">
        <f t="shared" si="37"/>
        <v>14</v>
      </c>
      <c r="O30" s="129">
        <f t="shared" si="37"/>
        <v>15</v>
      </c>
      <c r="P30" s="129">
        <f t="shared" si="37"/>
        <v>15</v>
      </c>
      <c r="Q30" s="129">
        <f t="shared" si="37"/>
        <v>15</v>
      </c>
      <c r="R30" s="129">
        <f t="shared" si="37"/>
        <v>15</v>
      </c>
      <c r="S30" s="129">
        <f t="shared" si="37"/>
        <v>15</v>
      </c>
      <c r="T30" s="129">
        <f t="shared" si="37"/>
        <v>15</v>
      </c>
      <c r="U30" s="129">
        <f t="shared" si="37"/>
        <v>15</v>
      </c>
      <c r="V30" s="129">
        <f t="shared" si="37"/>
        <v>15</v>
      </c>
      <c r="W30" s="129">
        <f t="shared" si="37"/>
        <v>15</v>
      </c>
      <c r="X30" s="129">
        <f t="shared" si="37"/>
        <v>15</v>
      </c>
      <c r="Y30" s="129">
        <f t="shared" si="37"/>
        <v>15</v>
      </c>
      <c r="Z30" s="129">
        <f t="shared" si="37"/>
        <v>15</v>
      </c>
      <c r="AA30" s="129">
        <f t="shared" si="37"/>
        <v>15</v>
      </c>
      <c r="AB30" s="129">
        <f t="shared" si="37"/>
        <v>15</v>
      </c>
      <c r="AC30" s="129">
        <f t="shared" si="37"/>
        <v>15</v>
      </c>
      <c r="AD30" s="129">
        <f t="shared" si="37"/>
        <v>15</v>
      </c>
      <c r="AE30" s="129">
        <f t="shared" si="37"/>
        <v>15</v>
      </c>
      <c r="AF30" s="129">
        <f t="shared" si="37"/>
        <v>15</v>
      </c>
      <c r="AG30" s="129">
        <f t="shared" si="37"/>
        <v>15</v>
      </c>
      <c r="AH30" s="129">
        <f t="shared" si="37"/>
        <v>15</v>
      </c>
    </row>
    <row r="32" spans="1:34" x14ac:dyDescent="0.35">
      <c r="B32" t="s">
        <v>134</v>
      </c>
    </row>
    <row r="33" spans="2:4" ht="15" thickBot="1" x14ac:dyDescent="0.4"/>
    <row r="34" spans="2:4" x14ac:dyDescent="0.35">
      <c r="B34" t="s">
        <v>135</v>
      </c>
      <c r="D34" s="103"/>
    </row>
    <row r="35" spans="2:4" ht="15" thickBot="1" x14ac:dyDescent="0.4">
      <c r="B35" t="s">
        <v>136</v>
      </c>
      <c r="D35" s="120"/>
    </row>
    <row r="36" spans="2:4" ht="15" thickBot="1" x14ac:dyDescent="0.4">
      <c r="B36" t="s">
        <v>137</v>
      </c>
      <c r="D36" s="124"/>
    </row>
    <row r="37" spans="2:4" ht="15" thickBot="1" x14ac:dyDescent="0.4">
      <c r="B37" t="s">
        <v>24</v>
      </c>
      <c r="D37" s="144"/>
    </row>
    <row r="38" spans="2:4" x14ac:dyDescent="0.35">
      <c r="B38" t="s">
        <v>138</v>
      </c>
      <c r="D38" s="145"/>
    </row>
    <row r="39" spans="2:4" x14ac:dyDescent="0.35">
      <c r="B39" t="s">
        <v>32</v>
      </c>
      <c r="D39" s="122"/>
    </row>
    <row r="40" spans="2:4" x14ac:dyDescent="0.35">
      <c r="B40" t="s">
        <v>33</v>
      </c>
      <c r="D40" s="146"/>
    </row>
    <row r="41" spans="2:4" ht="15" thickBot="1" x14ac:dyDescent="0.4">
      <c r="B41" t="s">
        <v>139</v>
      </c>
      <c r="D41" s="147"/>
    </row>
  </sheetData>
  <mergeCells count="3">
    <mergeCell ref="A4:A9"/>
    <mergeCell ref="A11:A15"/>
    <mergeCell ref="A17:A21"/>
  </mergeCells>
  <conditionalFormatting sqref="C23:G26">
    <cfRule type="cellIs" dxfId="865" priority="8" operator="lessThan">
      <formula>3</formula>
    </cfRule>
  </conditionalFormatting>
  <conditionalFormatting sqref="H23:I26">
    <cfRule type="cellIs" dxfId="864" priority="9" operator="lessThan">
      <formula>2</formula>
    </cfRule>
  </conditionalFormatting>
  <conditionalFormatting sqref="J23:N26">
    <cfRule type="cellIs" dxfId="863" priority="6" operator="lessThan">
      <formula>3</formula>
    </cfRule>
  </conditionalFormatting>
  <conditionalFormatting sqref="O23:P26">
    <cfRule type="cellIs" dxfId="862" priority="7" operator="lessThan">
      <formula>2</formula>
    </cfRule>
  </conditionalFormatting>
  <conditionalFormatting sqref="Q23:U26">
    <cfRule type="cellIs" dxfId="861" priority="4" operator="lessThan">
      <formula>3</formula>
    </cfRule>
  </conditionalFormatting>
  <conditionalFormatting sqref="V23:W26">
    <cfRule type="cellIs" dxfId="860" priority="5" operator="lessThan">
      <formula>2</formula>
    </cfRule>
  </conditionalFormatting>
  <conditionalFormatting sqref="X23:AB26">
    <cfRule type="cellIs" dxfId="859" priority="2" operator="lessThan">
      <formula>3</formula>
    </cfRule>
  </conditionalFormatting>
  <conditionalFormatting sqref="AC23:AD26">
    <cfRule type="cellIs" dxfId="858" priority="3" operator="lessThan">
      <formula>2</formula>
    </cfRule>
  </conditionalFormatting>
  <conditionalFormatting sqref="AE23:AH26">
    <cfRule type="cellIs" dxfId="857" priority="1" operator="lessThan">
      <formula>3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2:AK41"/>
  <sheetViews>
    <sheetView topLeftCell="B2" zoomScale="71" zoomScaleNormal="71" workbookViewId="0">
      <pane xSplit="1" topLeftCell="Q1" activePane="topRight" state="frozen"/>
      <selection activeCell="B1" sqref="B1"/>
      <selection pane="topRight" activeCell="AF17" sqref="AF17"/>
    </sheetView>
  </sheetViews>
  <sheetFormatPr defaultRowHeight="14.5" x14ac:dyDescent="0.35"/>
  <cols>
    <col min="1" max="1" width="0" hidden="1" customWidth="1"/>
    <col min="2" max="2" width="21.26953125" bestFit="1" customWidth="1"/>
    <col min="3" max="5" width="8.7265625" hidden="1" customWidth="1"/>
    <col min="6" max="35" width="8.7265625" customWidth="1"/>
    <col min="36" max="37" width="8.7265625" hidden="1" customWidth="1"/>
  </cols>
  <sheetData>
    <row r="2" spans="1:37" x14ac:dyDescent="0.35">
      <c r="B2" s="1"/>
      <c r="C2" s="2" t="str">
        <f t="shared" ref="C2:AK2" si="0">TEXT(C3,"ddd")</f>
        <v>Mon</v>
      </c>
      <c r="D2" s="2" t="str">
        <f t="shared" si="0"/>
        <v>Tue</v>
      </c>
      <c r="E2" s="3" t="str">
        <f t="shared" si="0"/>
        <v>Wed</v>
      </c>
      <c r="F2" s="2" t="str">
        <f t="shared" si="0"/>
        <v>Thu</v>
      </c>
      <c r="G2" s="2" t="str">
        <f t="shared" si="0"/>
        <v>Fri</v>
      </c>
      <c r="H2" s="2" t="str">
        <f t="shared" si="0"/>
        <v>Sat</v>
      </c>
      <c r="I2" s="2" t="str">
        <f t="shared" si="0"/>
        <v>Sun</v>
      </c>
      <c r="J2" s="2" t="str">
        <f t="shared" si="0"/>
        <v>Mon</v>
      </c>
      <c r="K2" s="2" t="str">
        <f t="shared" si="0"/>
        <v>Tue</v>
      </c>
      <c r="L2" s="2" t="str">
        <f t="shared" si="0"/>
        <v>Wed</v>
      </c>
      <c r="M2" s="2" t="str">
        <f t="shared" si="0"/>
        <v>Thu</v>
      </c>
      <c r="N2" s="2" t="str">
        <f t="shared" si="0"/>
        <v>Fri</v>
      </c>
      <c r="O2" s="2" t="str">
        <f t="shared" si="0"/>
        <v>Sat</v>
      </c>
      <c r="P2" s="2" t="str">
        <f t="shared" si="0"/>
        <v>Sun</v>
      </c>
      <c r="Q2" s="2" t="str">
        <f t="shared" si="0"/>
        <v>Mon</v>
      </c>
      <c r="R2" s="2" t="str">
        <f t="shared" si="0"/>
        <v>Tue</v>
      </c>
      <c r="S2" s="2" t="str">
        <f t="shared" si="0"/>
        <v>Wed</v>
      </c>
      <c r="T2" s="2" t="str">
        <f t="shared" si="0"/>
        <v>Thu</v>
      </c>
      <c r="U2" s="2" t="str">
        <f t="shared" si="0"/>
        <v>Fri</v>
      </c>
      <c r="V2" s="2" t="str">
        <f t="shared" si="0"/>
        <v>Sat</v>
      </c>
      <c r="W2" s="2" t="str">
        <f t="shared" si="0"/>
        <v>Sun</v>
      </c>
      <c r="X2" s="2" t="str">
        <f t="shared" si="0"/>
        <v>Mon</v>
      </c>
      <c r="Y2" s="2" t="str">
        <f t="shared" si="0"/>
        <v>Tue</v>
      </c>
      <c r="Z2" s="2" t="str">
        <f t="shared" si="0"/>
        <v>Wed</v>
      </c>
      <c r="AA2" s="2" t="str">
        <f t="shared" si="0"/>
        <v>Thu</v>
      </c>
      <c r="AB2" s="2" t="str">
        <f t="shared" si="0"/>
        <v>Fri</v>
      </c>
      <c r="AC2" s="2" t="str">
        <f t="shared" si="0"/>
        <v>Sat</v>
      </c>
      <c r="AD2" s="2" t="str">
        <f t="shared" si="0"/>
        <v>Sun</v>
      </c>
      <c r="AE2" s="2" t="str">
        <f t="shared" si="0"/>
        <v>Mon</v>
      </c>
      <c r="AF2" s="2" t="str">
        <f t="shared" si="0"/>
        <v>Tue</v>
      </c>
      <c r="AG2" s="2" t="str">
        <f t="shared" si="0"/>
        <v>Wed</v>
      </c>
      <c r="AH2" s="2" t="str">
        <f t="shared" si="0"/>
        <v>Thu</v>
      </c>
      <c r="AI2" s="2" t="str">
        <f t="shared" si="0"/>
        <v>Fri</v>
      </c>
      <c r="AJ2" s="2" t="str">
        <f t="shared" si="0"/>
        <v>Sat</v>
      </c>
      <c r="AK2" s="2" t="str">
        <f t="shared" si="0"/>
        <v>Sun</v>
      </c>
    </row>
    <row r="3" spans="1:37" x14ac:dyDescent="0.35">
      <c r="A3" s="136" t="s">
        <v>110</v>
      </c>
      <c r="B3" s="95" t="s">
        <v>0</v>
      </c>
      <c r="C3" s="29">
        <v>44802</v>
      </c>
      <c r="D3" s="29">
        <v>44803</v>
      </c>
      <c r="E3" s="47">
        <v>44804</v>
      </c>
      <c r="F3" s="29">
        <v>44805</v>
      </c>
      <c r="G3" s="29">
        <v>44806</v>
      </c>
      <c r="H3" s="29">
        <v>44807</v>
      </c>
      <c r="I3" s="29">
        <v>44808</v>
      </c>
      <c r="J3" s="29">
        <v>44809</v>
      </c>
      <c r="K3" s="29">
        <v>44810</v>
      </c>
      <c r="L3" s="29">
        <v>44811</v>
      </c>
      <c r="M3" s="29">
        <v>44812</v>
      </c>
      <c r="N3" s="29">
        <v>44813</v>
      </c>
      <c r="O3" s="29">
        <v>44814</v>
      </c>
      <c r="P3" s="29">
        <v>44815</v>
      </c>
      <c r="Q3" s="29">
        <v>44816</v>
      </c>
      <c r="R3" s="29">
        <v>44817</v>
      </c>
      <c r="S3" s="29">
        <v>44818</v>
      </c>
      <c r="T3" s="29">
        <v>44819</v>
      </c>
      <c r="U3" s="29">
        <v>44820</v>
      </c>
      <c r="V3" s="29">
        <v>44821</v>
      </c>
      <c r="W3" s="29">
        <v>44822</v>
      </c>
      <c r="X3" s="29">
        <v>44823</v>
      </c>
      <c r="Y3" s="29">
        <v>44824</v>
      </c>
      <c r="Z3" s="29">
        <v>44825</v>
      </c>
      <c r="AA3" s="29">
        <v>44826</v>
      </c>
      <c r="AB3" s="29">
        <v>44827</v>
      </c>
      <c r="AC3" s="29">
        <v>44828</v>
      </c>
      <c r="AD3" s="29">
        <v>44829</v>
      </c>
      <c r="AE3" s="29">
        <v>44830</v>
      </c>
      <c r="AF3" s="29">
        <v>44831</v>
      </c>
      <c r="AG3" s="29">
        <v>44832</v>
      </c>
      <c r="AH3" s="29">
        <v>44833</v>
      </c>
      <c r="AI3" s="29">
        <v>44834</v>
      </c>
      <c r="AJ3" s="29">
        <v>44835</v>
      </c>
      <c r="AK3" s="29">
        <v>44836</v>
      </c>
    </row>
    <row r="4" spans="1:37" ht="15" thickBot="1" x14ac:dyDescent="0.4">
      <c r="A4" s="271" t="s">
        <v>121</v>
      </c>
      <c r="B4" s="96"/>
      <c r="C4" s="97"/>
      <c r="D4" s="97"/>
      <c r="E4" s="148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</row>
    <row r="5" spans="1:37" ht="15" thickBot="1" x14ac:dyDescent="0.4">
      <c r="A5" s="271"/>
      <c r="B5" s="137" t="s">
        <v>14</v>
      </c>
      <c r="C5" s="100" t="s">
        <v>5</v>
      </c>
      <c r="D5" s="100" t="s">
        <v>5</v>
      </c>
      <c r="E5" s="115" t="s">
        <v>37</v>
      </c>
      <c r="F5" s="103" t="s">
        <v>6</v>
      </c>
      <c r="G5" s="103" t="s">
        <v>6</v>
      </c>
      <c r="H5" s="103" t="s">
        <v>3</v>
      </c>
      <c r="I5" s="99" t="s">
        <v>4</v>
      </c>
      <c r="J5" s="118" t="s">
        <v>41</v>
      </c>
      <c r="K5" s="118" t="s">
        <v>41</v>
      </c>
      <c r="L5" s="100" t="s">
        <v>5</v>
      </c>
      <c r="M5" s="100" t="s">
        <v>5</v>
      </c>
      <c r="N5" s="100" t="s">
        <v>5</v>
      </c>
      <c r="O5" s="19" t="s">
        <v>42</v>
      </c>
      <c r="P5" s="99" t="s">
        <v>4</v>
      </c>
      <c r="Q5" s="104" t="s">
        <v>2</v>
      </c>
      <c r="R5" s="118" t="s">
        <v>41</v>
      </c>
      <c r="S5" s="118" t="s">
        <v>41</v>
      </c>
      <c r="T5" s="118" t="s">
        <v>41</v>
      </c>
      <c r="U5" s="100" t="s">
        <v>5</v>
      </c>
      <c r="V5" s="100" t="s">
        <v>4</v>
      </c>
      <c r="W5" s="99" t="s">
        <v>4</v>
      </c>
      <c r="X5" s="104" t="s">
        <v>2</v>
      </c>
      <c r="Y5" s="118" t="s">
        <v>41</v>
      </c>
      <c r="Z5" s="118" t="s">
        <v>41</v>
      </c>
      <c r="AA5" s="118" t="s">
        <v>41</v>
      </c>
      <c r="AB5" s="143" t="s">
        <v>41</v>
      </c>
      <c r="AC5" s="101" t="s">
        <v>4</v>
      </c>
      <c r="AD5" s="19" t="s">
        <v>42</v>
      </c>
      <c r="AE5" s="143" t="s">
        <v>41</v>
      </c>
      <c r="AF5" s="143" t="s">
        <v>41</v>
      </c>
      <c r="AG5" s="143" t="s">
        <v>41</v>
      </c>
      <c r="AH5" s="143" t="s">
        <v>41</v>
      </c>
      <c r="AI5" s="143" t="s">
        <v>41</v>
      </c>
      <c r="AJ5" s="150" t="s">
        <v>4</v>
      </c>
      <c r="AK5" s="150" t="s">
        <v>4</v>
      </c>
    </row>
    <row r="6" spans="1:37" ht="15" thickBot="1" x14ac:dyDescent="0.4">
      <c r="A6" s="271"/>
      <c r="B6" s="138" t="s">
        <v>12</v>
      </c>
      <c r="C6" s="105" t="s">
        <v>6</v>
      </c>
      <c r="D6" s="105" t="s">
        <v>6</v>
      </c>
      <c r="E6" s="151" t="s">
        <v>3</v>
      </c>
      <c r="F6" s="103" t="s">
        <v>6</v>
      </c>
      <c r="G6" s="102" t="s">
        <v>2</v>
      </c>
      <c r="H6" s="101" t="s">
        <v>4</v>
      </c>
      <c r="I6" s="120" t="s">
        <v>42</v>
      </c>
      <c r="J6" s="120" t="s">
        <v>41</v>
      </c>
      <c r="K6" s="116" t="s">
        <v>2</v>
      </c>
      <c r="L6" s="120" t="s">
        <v>41</v>
      </c>
      <c r="M6" s="120" t="s">
        <v>41</v>
      </c>
      <c r="N6" s="120" t="s">
        <v>41</v>
      </c>
      <c r="O6" s="101" t="s">
        <v>4</v>
      </c>
      <c r="P6" s="120" t="s">
        <v>42</v>
      </c>
      <c r="Q6" s="120" t="s">
        <v>41</v>
      </c>
      <c r="R6" s="120" t="s">
        <v>41</v>
      </c>
      <c r="S6" s="102" t="s">
        <v>2</v>
      </c>
      <c r="T6" s="102" t="s">
        <v>2</v>
      </c>
      <c r="U6" s="120" t="s">
        <v>41</v>
      </c>
      <c r="V6" s="120" t="s">
        <v>42</v>
      </c>
      <c r="W6" s="120" t="s">
        <v>42</v>
      </c>
      <c r="X6" s="120" t="s">
        <v>41</v>
      </c>
      <c r="Y6" s="107" t="s">
        <v>5</v>
      </c>
      <c r="Z6" s="107" t="s">
        <v>5</v>
      </c>
      <c r="AA6" s="107" t="s">
        <v>5</v>
      </c>
      <c r="AB6" s="107" t="s">
        <v>5</v>
      </c>
      <c r="AC6" s="101" t="s">
        <v>4</v>
      </c>
      <c r="AD6" s="114" t="s">
        <v>4</v>
      </c>
      <c r="AE6" s="111" t="s">
        <v>5</v>
      </c>
      <c r="AF6" s="111" t="s">
        <v>5</v>
      </c>
      <c r="AG6" s="111" t="s">
        <v>5</v>
      </c>
      <c r="AH6" s="111" t="s">
        <v>5</v>
      </c>
      <c r="AI6" s="111" t="s">
        <v>5</v>
      </c>
      <c r="AJ6" s="19" t="s">
        <v>42</v>
      </c>
      <c r="AK6" s="152" t="s">
        <v>11</v>
      </c>
    </row>
    <row r="7" spans="1:37" ht="15" thickBot="1" x14ac:dyDescent="0.4">
      <c r="A7" s="271"/>
      <c r="B7" s="140" t="s">
        <v>69</v>
      </c>
      <c r="C7" s="112" t="s">
        <v>6</v>
      </c>
      <c r="D7" s="112" t="s">
        <v>6</v>
      </c>
      <c r="E7" s="151" t="s">
        <v>3</v>
      </c>
      <c r="F7" s="103" t="s">
        <v>3</v>
      </c>
      <c r="G7" s="108" t="s">
        <v>2</v>
      </c>
      <c r="H7" s="110" t="s">
        <v>4</v>
      </c>
      <c r="I7" s="121" t="s">
        <v>42</v>
      </c>
      <c r="J7" s="121" t="s">
        <v>41</v>
      </c>
      <c r="K7" s="121" t="s">
        <v>41</v>
      </c>
      <c r="L7" s="134" t="s">
        <v>41</v>
      </c>
      <c r="M7" s="134" t="s">
        <v>41</v>
      </c>
      <c r="N7" s="108" t="s">
        <v>2</v>
      </c>
      <c r="O7" s="110" t="s">
        <v>4</v>
      </c>
      <c r="P7" s="121" t="s">
        <v>42</v>
      </c>
      <c r="Q7" s="134" t="s">
        <v>41</v>
      </c>
      <c r="R7" s="134" t="s">
        <v>41</v>
      </c>
      <c r="S7" s="134" t="s">
        <v>41</v>
      </c>
      <c r="T7" s="134" t="s">
        <v>41</v>
      </c>
      <c r="U7" s="108" t="s">
        <v>2</v>
      </c>
      <c r="V7" s="110" t="s">
        <v>4</v>
      </c>
      <c r="W7" s="121" t="s">
        <v>42</v>
      </c>
      <c r="X7" s="121" t="s">
        <v>41</v>
      </c>
      <c r="Y7" s="121" t="s">
        <v>41</v>
      </c>
      <c r="Z7" s="121" t="s">
        <v>41</v>
      </c>
      <c r="AA7" s="121" t="s">
        <v>41</v>
      </c>
      <c r="AB7" s="108" t="s">
        <v>2</v>
      </c>
      <c r="AC7" s="110" t="s">
        <v>4</v>
      </c>
      <c r="AD7" s="19" t="s">
        <v>42</v>
      </c>
      <c r="AE7" s="19" t="s">
        <v>41</v>
      </c>
      <c r="AF7" s="111" t="s">
        <v>5</v>
      </c>
      <c r="AG7" s="111" t="s">
        <v>5</v>
      </c>
      <c r="AH7" s="111" t="s">
        <v>5</v>
      </c>
      <c r="AI7" s="19" t="s">
        <v>41</v>
      </c>
      <c r="AJ7" s="110" t="s">
        <v>4</v>
      </c>
      <c r="AK7" s="127" t="s">
        <v>11</v>
      </c>
    </row>
    <row r="8" spans="1:37" ht="15" thickBot="1" x14ac:dyDescent="0.4">
      <c r="A8" s="271"/>
      <c r="B8" s="141" t="s">
        <v>71</v>
      </c>
      <c r="C8" s="25" t="s">
        <v>6</v>
      </c>
      <c r="D8" s="25" t="s">
        <v>6</v>
      </c>
      <c r="E8" s="151" t="s">
        <v>3</v>
      </c>
      <c r="F8" s="116" t="s">
        <v>2</v>
      </c>
      <c r="G8" s="25" t="s">
        <v>6</v>
      </c>
      <c r="H8" s="25" t="s">
        <v>3</v>
      </c>
      <c r="I8" s="114" t="s">
        <v>4</v>
      </c>
      <c r="J8" s="116" t="s">
        <v>2</v>
      </c>
      <c r="K8" s="121" t="s">
        <v>41</v>
      </c>
      <c r="L8" s="19" t="s">
        <v>41</v>
      </c>
      <c r="M8" s="19" t="s">
        <v>41</v>
      </c>
      <c r="N8" s="19" t="s">
        <v>41</v>
      </c>
      <c r="O8" s="117" t="s">
        <v>30</v>
      </c>
      <c r="P8" s="114" t="s">
        <v>4</v>
      </c>
      <c r="Q8" s="116" t="s">
        <v>2</v>
      </c>
      <c r="R8" s="22" t="s">
        <v>16</v>
      </c>
      <c r="S8" s="19" t="s">
        <v>41</v>
      </c>
      <c r="T8" s="19" t="s">
        <v>41</v>
      </c>
      <c r="U8" s="19" t="s">
        <v>41</v>
      </c>
      <c r="V8" s="19" t="s">
        <v>42</v>
      </c>
      <c r="W8" s="114" t="s">
        <v>4</v>
      </c>
      <c r="X8" s="116" t="s">
        <v>2</v>
      </c>
      <c r="Y8" s="19" t="s">
        <v>41</v>
      </c>
      <c r="Z8" s="19" t="s">
        <v>41</v>
      </c>
      <c r="AA8" s="19" t="s">
        <v>41</v>
      </c>
      <c r="AB8" s="19" t="s">
        <v>41</v>
      </c>
      <c r="AC8" s="19" t="s">
        <v>42</v>
      </c>
      <c r="AD8" s="114" t="s">
        <v>4</v>
      </c>
      <c r="AE8" s="116" t="s">
        <v>2</v>
      </c>
      <c r="AF8" s="19" t="s">
        <v>41</v>
      </c>
      <c r="AG8" s="19" t="s">
        <v>41</v>
      </c>
      <c r="AH8" s="19" t="s">
        <v>41</v>
      </c>
      <c r="AI8" s="19" t="s">
        <v>41</v>
      </c>
      <c r="AJ8" s="19" t="s">
        <v>42</v>
      </c>
      <c r="AK8" s="114" t="s">
        <v>4</v>
      </c>
    </row>
    <row r="9" spans="1:37" ht="15" thickBot="1" x14ac:dyDescent="0.4">
      <c r="A9" s="271"/>
      <c r="B9" s="141" t="s">
        <v>70</v>
      </c>
      <c r="C9" s="25" t="s">
        <v>6</v>
      </c>
      <c r="D9" s="107" t="s">
        <v>2</v>
      </c>
      <c r="E9" s="151" t="s">
        <v>3</v>
      </c>
      <c r="F9" s="25" t="s">
        <v>6</v>
      </c>
      <c r="G9" s="25" t="s">
        <v>6</v>
      </c>
      <c r="H9" s="117" t="s">
        <v>30</v>
      </c>
      <c r="I9" s="114" t="s">
        <v>4</v>
      </c>
      <c r="J9" s="116" t="s">
        <v>2</v>
      </c>
      <c r="K9" s="121" t="s">
        <v>41</v>
      </c>
      <c r="L9" s="22" t="s">
        <v>16</v>
      </c>
      <c r="M9" s="22" t="s">
        <v>16</v>
      </c>
      <c r="N9" s="19" t="s">
        <v>41</v>
      </c>
      <c r="O9" s="19" t="s">
        <v>42</v>
      </c>
      <c r="P9" s="114" t="s">
        <v>4</v>
      </c>
      <c r="Q9" s="19" t="s">
        <v>41</v>
      </c>
      <c r="R9" s="116" t="s">
        <v>2</v>
      </c>
      <c r="S9" s="75" t="s">
        <v>16</v>
      </c>
      <c r="T9" s="75" t="s">
        <v>16</v>
      </c>
      <c r="U9" s="133" t="s">
        <v>41</v>
      </c>
      <c r="V9" s="114" t="s">
        <v>4</v>
      </c>
      <c r="W9" s="114" t="s">
        <v>4</v>
      </c>
      <c r="X9" s="133" t="s">
        <v>41</v>
      </c>
      <c r="Y9" s="75" t="s">
        <v>16</v>
      </c>
      <c r="Z9" s="133" t="s">
        <v>41</v>
      </c>
      <c r="AA9" s="75" t="s">
        <v>16</v>
      </c>
      <c r="AB9" s="133" t="s">
        <v>41</v>
      </c>
      <c r="AC9" s="114" t="s">
        <v>4</v>
      </c>
      <c r="AD9" s="114" t="s">
        <v>4</v>
      </c>
      <c r="AE9" s="19" t="s">
        <v>41</v>
      </c>
      <c r="AF9" s="19" t="s">
        <v>41</v>
      </c>
      <c r="AG9" s="19" t="s">
        <v>41</v>
      </c>
      <c r="AH9" s="19" t="s">
        <v>41</v>
      </c>
      <c r="AI9" s="19" t="s">
        <v>41</v>
      </c>
      <c r="AJ9" s="114" t="s">
        <v>4</v>
      </c>
      <c r="AK9" s="114" t="s">
        <v>4</v>
      </c>
    </row>
    <row r="10" spans="1:37" ht="15" thickBot="1" x14ac:dyDescent="0.4"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</row>
    <row r="11" spans="1:37" ht="15" thickBot="1" x14ac:dyDescent="0.4">
      <c r="A11" s="271" t="s">
        <v>122</v>
      </c>
      <c r="B11" s="137" t="s">
        <v>9</v>
      </c>
      <c r="C11" s="104" t="s">
        <v>2</v>
      </c>
      <c r="D11" s="118" t="s">
        <v>41</v>
      </c>
      <c r="E11" s="153" t="s">
        <v>42</v>
      </c>
      <c r="F11" s="143" t="s">
        <v>41</v>
      </c>
      <c r="G11" s="143" t="s">
        <v>41</v>
      </c>
      <c r="H11" s="114" t="s">
        <v>4</v>
      </c>
      <c r="I11" s="124" t="s">
        <v>11</v>
      </c>
      <c r="J11" s="104" t="s">
        <v>2</v>
      </c>
      <c r="K11" s="123" t="s">
        <v>10</v>
      </c>
      <c r="L11" s="123" t="s">
        <v>10</v>
      </c>
      <c r="M11" s="123" t="s">
        <v>10</v>
      </c>
      <c r="N11" s="104" t="s">
        <v>2</v>
      </c>
      <c r="O11" s="100" t="s">
        <v>5</v>
      </c>
      <c r="P11" s="124" t="s">
        <v>11</v>
      </c>
      <c r="Q11" s="123" t="s">
        <v>10</v>
      </c>
      <c r="R11" s="123" t="s">
        <v>10</v>
      </c>
      <c r="S11" s="123" t="s">
        <v>10</v>
      </c>
      <c r="T11" s="123" t="s">
        <v>10</v>
      </c>
      <c r="U11" s="123" t="s">
        <v>10</v>
      </c>
      <c r="V11" s="114" t="s">
        <v>4</v>
      </c>
      <c r="W11" s="123" t="s">
        <v>11</v>
      </c>
      <c r="X11" s="124" t="s">
        <v>10</v>
      </c>
      <c r="Y11" s="123" t="s">
        <v>10</v>
      </c>
      <c r="Z11" s="123" t="s">
        <v>10</v>
      </c>
      <c r="AA11" s="123" t="s">
        <v>10</v>
      </c>
      <c r="AB11" s="100" t="s">
        <v>5</v>
      </c>
      <c r="AC11" s="100" t="s">
        <v>4</v>
      </c>
      <c r="AD11" s="124" t="s">
        <v>11</v>
      </c>
      <c r="AE11" s="124" t="s">
        <v>10</v>
      </c>
      <c r="AF11" s="123" t="s">
        <v>10</v>
      </c>
      <c r="AG11" s="123" t="s">
        <v>10</v>
      </c>
      <c r="AH11" s="123" t="s">
        <v>10</v>
      </c>
      <c r="AI11" s="123" t="s">
        <v>10</v>
      </c>
      <c r="AJ11" s="150" t="s">
        <v>4</v>
      </c>
      <c r="AK11" s="25" t="s">
        <v>3</v>
      </c>
    </row>
    <row r="12" spans="1:37" ht="15" thickBot="1" x14ac:dyDescent="0.4">
      <c r="A12" s="271"/>
      <c r="B12" s="138" t="s">
        <v>15</v>
      </c>
      <c r="C12" s="120" t="s">
        <v>41</v>
      </c>
      <c r="D12" s="120" t="s">
        <v>41</v>
      </c>
      <c r="E12" s="102" t="s">
        <v>2</v>
      </c>
      <c r="F12" s="107" t="s">
        <v>5</v>
      </c>
      <c r="G12" s="107" t="s">
        <v>2</v>
      </c>
      <c r="H12" s="107" t="s">
        <v>4</v>
      </c>
      <c r="I12" s="107" t="s">
        <v>4</v>
      </c>
      <c r="J12" s="124" t="s">
        <v>10</v>
      </c>
      <c r="K12" s="124" t="s">
        <v>10</v>
      </c>
      <c r="L12" s="102" t="s">
        <v>2</v>
      </c>
      <c r="M12" s="102" t="s">
        <v>2</v>
      </c>
      <c r="N12" s="124" t="s">
        <v>10</v>
      </c>
      <c r="O12" s="124" t="s">
        <v>11</v>
      </c>
      <c r="P12" s="114" t="s">
        <v>4</v>
      </c>
      <c r="Q12" s="124" t="s">
        <v>10</v>
      </c>
      <c r="R12" s="124" t="s">
        <v>10</v>
      </c>
      <c r="S12" s="102" t="s">
        <v>2</v>
      </c>
      <c r="T12" s="124" t="s">
        <v>10</v>
      </c>
      <c r="U12" s="124" t="s">
        <v>10</v>
      </c>
      <c r="V12" s="124" t="s">
        <v>11</v>
      </c>
      <c r="W12" s="114" t="s">
        <v>4</v>
      </c>
      <c r="X12" s="124" t="s">
        <v>10</v>
      </c>
      <c r="Y12" s="124" t="s">
        <v>10</v>
      </c>
      <c r="Z12" s="102" t="s">
        <v>2</v>
      </c>
      <c r="AA12" s="102" t="s">
        <v>2</v>
      </c>
      <c r="AB12" s="124" t="s">
        <v>10</v>
      </c>
      <c r="AC12" s="124" t="s">
        <v>11</v>
      </c>
      <c r="AD12" s="99" t="s">
        <v>4</v>
      </c>
      <c r="AE12" s="124" t="s">
        <v>10</v>
      </c>
      <c r="AF12" s="124" t="s">
        <v>10</v>
      </c>
      <c r="AG12" s="123" t="s">
        <v>10</v>
      </c>
      <c r="AH12" s="102" t="s">
        <v>2</v>
      </c>
      <c r="AI12" s="123" t="s">
        <v>10</v>
      </c>
      <c r="AJ12" s="123" t="s">
        <v>11</v>
      </c>
      <c r="AK12" s="150" t="s">
        <v>4</v>
      </c>
    </row>
    <row r="13" spans="1:37" ht="15" thickBot="1" x14ac:dyDescent="0.4">
      <c r="A13" s="271"/>
      <c r="B13" s="140" t="s">
        <v>21</v>
      </c>
      <c r="C13" s="108" t="s">
        <v>2</v>
      </c>
      <c r="D13" s="108" t="s">
        <v>2</v>
      </c>
      <c r="E13" s="153" t="s">
        <v>42</v>
      </c>
      <c r="F13" s="121" t="s">
        <v>41</v>
      </c>
      <c r="G13" s="121" t="s">
        <v>41</v>
      </c>
      <c r="H13" s="121" t="s">
        <v>42</v>
      </c>
      <c r="I13" s="110" t="s">
        <v>4</v>
      </c>
      <c r="J13" s="108" t="s">
        <v>2</v>
      </c>
      <c r="K13" s="108" t="s">
        <v>2</v>
      </c>
      <c r="L13" s="127" t="s">
        <v>10</v>
      </c>
      <c r="M13" s="127" t="s">
        <v>10</v>
      </c>
      <c r="N13" s="127" t="s">
        <v>10</v>
      </c>
      <c r="O13" s="127" t="s">
        <v>11</v>
      </c>
      <c r="P13" s="114" t="s">
        <v>4</v>
      </c>
      <c r="Q13" s="108" t="s">
        <v>2</v>
      </c>
      <c r="R13" s="108" t="s">
        <v>2</v>
      </c>
      <c r="S13" s="127" t="s">
        <v>10</v>
      </c>
      <c r="T13" s="127" t="s">
        <v>10</v>
      </c>
      <c r="U13" s="127" t="s">
        <v>10</v>
      </c>
      <c r="V13" s="127" t="s">
        <v>11</v>
      </c>
      <c r="W13" s="110" t="s">
        <v>4</v>
      </c>
      <c r="X13" s="108" t="s">
        <v>2</v>
      </c>
      <c r="Y13" s="127" t="s">
        <v>10</v>
      </c>
      <c r="Z13" s="127" t="s">
        <v>10</v>
      </c>
      <c r="AA13" s="127" t="s">
        <v>10</v>
      </c>
      <c r="AB13" s="127" t="s">
        <v>10</v>
      </c>
      <c r="AC13" s="99" t="s">
        <v>4</v>
      </c>
      <c r="AD13" s="127" t="s">
        <v>11</v>
      </c>
      <c r="AE13" s="108" t="s">
        <v>2</v>
      </c>
      <c r="AF13" s="108" t="s">
        <v>2</v>
      </c>
      <c r="AG13" s="111" t="s">
        <v>5</v>
      </c>
      <c r="AH13" s="127" t="s">
        <v>10</v>
      </c>
      <c r="AI13" s="127" t="s">
        <v>10</v>
      </c>
      <c r="AJ13" s="127" t="s">
        <v>11</v>
      </c>
      <c r="AK13" s="110" t="s">
        <v>4</v>
      </c>
    </row>
    <row r="14" spans="1:37" ht="15" thickBot="1" x14ac:dyDescent="0.4">
      <c r="A14" s="271"/>
      <c r="B14" s="141" t="s">
        <v>22</v>
      </c>
      <c r="C14" s="19" t="s">
        <v>41</v>
      </c>
      <c r="D14" s="19" t="s">
        <v>41</v>
      </c>
      <c r="E14" s="153" t="s">
        <v>42</v>
      </c>
      <c r="F14" s="121" t="s">
        <v>41</v>
      </c>
      <c r="G14" s="116" t="s">
        <v>2</v>
      </c>
      <c r="H14" s="121" t="s">
        <v>42</v>
      </c>
      <c r="I14" s="16" t="s">
        <v>11</v>
      </c>
      <c r="J14" s="16" t="s">
        <v>10</v>
      </c>
      <c r="K14" s="16" t="s">
        <v>10</v>
      </c>
      <c r="L14" s="16" t="s">
        <v>10</v>
      </c>
      <c r="M14" s="116" t="s">
        <v>2</v>
      </c>
      <c r="N14" s="116" t="s">
        <v>2</v>
      </c>
      <c r="O14" s="16" t="s">
        <v>11</v>
      </c>
      <c r="P14" s="16" t="s">
        <v>11</v>
      </c>
      <c r="Q14" s="16" t="s">
        <v>10</v>
      </c>
      <c r="R14" s="16" t="s">
        <v>10</v>
      </c>
      <c r="S14" s="16" t="s">
        <v>10</v>
      </c>
      <c r="T14" s="116" t="s">
        <v>2</v>
      </c>
      <c r="U14" s="116" t="s">
        <v>2</v>
      </c>
      <c r="V14" s="124" t="s">
        <v>11</v>
      </c>
      <c r="W14" s="16" t="s">
        <v>11</v>
      </c>
      <c r="X14" s="116" t="s">
        <v>2</v>
      </c>
      <c r="Y14" s="16" t="s">
        <v>10</v>
      </c>
      <c r="Z14" s="16" t="s">
        <v>10</v>
      </c>
      <c r="AA14" s="16" t="s">
        <v>10</v>
      </c>
      <c r="AB14" s="116" t="s">
        <v>2</v>
      </c>
      <c r="AC14" s="16" t="s">
        <v>11</v>
      </c>
      <c r="AD14" s="99" t="s">
        <v>4</v>
      </c>
      <c r="AE14" s="16" t="s">
        <v>10</v>
      </c>
      <c r="AF14" s="16" t="s">
        <v>10</v>
      </c>
      <c r="AG14" s="16" t="s">
        <v>10</v>
      </c>
      <c r="AH14" s="16" t="s">
        <v>10</v>
      </c>
      <c r="AI14" s="108" t="s">
        <v>2</v>
      </c>
      <c r="AJ14" s="101" t="s">
        <v>4</v>
      </c>
      <c r="AK14" s="74" t="s">
        <v>3</v>
      </c>
    </row>
    <row r="15" spans="1:37" x14ac:dyDescent="0.35">
      <c r="A15" s="271"/>
      <c r="B15" s="141" t="s">
        <v>124</v>
      </c>
      <c r="C15" s="19" t="s">
        <v>41</v>
      </c>
      <c r="D15" s="19" t="s">
        <v>41</v>
      </c>
      <c r="E15" s="117" t="s">
        <v>30</v>
      </c>
      <c r="F15" s="75" t="s">
        <v>16</v>
      </c>
      <c r="G15" s="133" t="s">
        <v>41</v>
      </c>
      <c r="H15" s="114" t="s">
        <v>4</v>
      </c>
      <c r="I15" s="16" t="s">
        <v>11</v>
      </c>
      <c r="J15" s="16" t="s">
        <v>10</v>
      </c>
      <c r="K15" s="116" t="s">
        <v>2</v>
      </c>
      <c r="L15" s="116" t="s">
        <v>2</v>
      </c>
      <c r="M15" s="16" t="s">
        <v>10</v>
      </c>
      <c r="N15" s="16" t="s">
        <v>10</v>
      </c>
      <c r="O15" s="114" t="s">
        <v>4</v>
      </c>
      <c r="P15" s="16" t="s">
        <v>11</v>
      </c>
      <c r="Q15" s="16" t="s">
        <v>10</v>
      </c>
      <c r="R15" s="16" t="s">
        <v>10</v>
      </c>
      <c r="S15" s="116" t="s">
        <v>2</v>
      </c>
      <c r="T15" s="16" t="s">
        <v>10</v>
      </c>
      <c r="U15" s="16" t="s">
        <v>10</v>
      </c>
      <c r="V15" s="114" t="s">
        <v>4</v>
      </c>
      <c r="W15" s="16" t="s">
        <v>11</v>
      </c>
      <c r="X15" s="16" t="s">
        <v>10</v>
      </c>
      <c r="Y15" s="116" t="s">
        <v>2</v>
      </c>
      <c r="Z15" s="22" t="s">
        <v>16</v>
      </c>
      <c r="AA15" s="16" t="s">
        <v>10</v>
      </c>
      <c r="AB15" s="16" t="s">
        <v>10</v>
      </c>
      <c r="AC15" s="16" t="s">
        <v>11</v>
      </c>
      <c r="AD15" s="16" t="s">
        <v>11</v>
      </c>
      <c r="AE15" s="16" t="s">
        <v>10</v>
      </c>
      <c r="AF15" s="116" t="s">
        <v>2</v>
      </c>
      <c r="AG15" s="116" t="s">
        <v>2</v>
      </c>
      <c r="AH15" s="134" t="s">
        <v>16</v>
      </c>
      <c r="AI15" s="16" t="s">
        <v>10</v>
      </c>
      <c r="AJ15" s="16" t="s">
        <v>11</v>
      </c>
      <c r="AK15" s="114" t="s">
        <v>4</v>
      </c>
    </row>
    <row r="16" spans="1:37" ht="15" thickBot="1" x14ac:dyDescent="0.4"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</row>
    <row r="17" spans="1:37" ht="15" thickBot="1" x14ac:dyDescent="0.4">
      <c r="A17" s="271" t="s">
        <v>123</v>
      </c>
      <c r="B17" s="137" t="s">
        <v>1</v>
      </c>
      <c r="C17" s="123" t="s">
        <v>10</v>
      </c>
      <c r="D17" s="123" t="s">
        <v>10</v>
      </c>
      <c r="E17" s="115" t="s">
        <v>37</v>
      </c>
      <c r="F17" s="123" t="s">
        <v>10</v>
      </c>
      <c r="G17" s="123" t="s">
        <v>10</v>
      </c>
      <c r="H17" s="99" t="s">
        <v>4</v>
      </c>
      <c r="I17" s="103" t="s">
        <v>3</v>
      </c>
      <c r="J17" s="103" t="s">
        <v>6</v>
      </c>
      <c r="K17" s="103" t="s">
        <v>6</v>
      </c>
      <c r="L17" s="103" t="s">
        <v>6</v>
      </c>
      <c r="M17" s="103" t="s">
        <v>6</v>
      </c>
      <c r="N17" s="104" t="s">
        <v>2</v>
      </c>
      <c r="O17" s="99" t="s">
        <v>4</v>
      </c>
      <c r="P17" s="103" t="s">
        <v>3</v>
      </c>
      <c r="Q17" s="103" t="s">
        <v>6</v>
      </c>
      <c r="R17" s="103" t="s">
        <v>6</v>
      </c>
      <c r="S17" s="103" t="s">
        <v>6</v>
      </c>
      <c r="T17" s="103" t="s">
        <v>6</v>
      </c>
      <c r="U17" s="104" t="s">
        <v>2</v>
      </c>
      <c r="V17" s="103" t="s">
        <v>3</v>
      </c>
      <c r="W17" s="103" t="s">
        <v>3</v>
      </c>
      <c r="X17" s="103" t="s">
        <v>6</v>
      </c>
      <c r="Y17" s="134" t="s">
        <v>6</v>
      </c>
      <c r="Z17" s="134" t="s">
        <v>6</v>
      </c>
      <c r="AA17" s="104" t="s">
        <v>2</v>
      </c>
      <c r="AB17" s="104" t="s">
        <v>2</v>
      </c>
      <c r="AC17" s="19" t="s">
        <v>42</v>
      </c>
      <c r="AD17" s="25" t="s">
        <v>3</v>
      </c>
      <c r="AE17" s="103" t="s">
        <v>6</v>
      </c>
      <c r="AF17" s="131" t="s">
        <v>6</v>
      </c>
      <c r="AG17" s="131" t="s">
        <v>6</v>
      </c>
      <c r="AH17" s="131" t="s">
        <v>6</v>
      </c>
      <c r="AI17" s="104" t="s">
        <v>2</v>
      </c>
      <c r="AJ17" s="105" t="s">
        <v>3</v>
      </c>
      <c r="AK17" s="155" t="s">
        <v>42</v>
      </c>
    </row>
    <row r="18" spans="1:37" ht="15" thickBot="1" x14ac:dyDescent="0.4">
      <c r="A18" s="271"/>
      <c r="B18" s="138" t="s">
        <v>18</v>
      </c>
      <c r="C18" s="102" t="s">
        <v>2</v>
      </c>
      <c r="D18" s="124" t="s">
        <v>10</v>
      </c>
      <c r="E18" s="156" t="s">
        <v>11</v>
      </c>
      <c r="F18" s="107" t="s">
        <v>5</v>
      </c>
      <c r="G18" s="107" t="s">
        <v>5</v>
      </c>
      <c r="H18" s="107" t="s">
        <v>4</v>
      </c>
      <c r="I18" s="107" t="s">
        <v>4</v>
      </c>
      <c r="J18" s="107" t="s">
        <v>5</v>
      </c>
      <c r="K18" s="107" t="s">
        <v>5</v>
      </c>
      <c r="L18" s="107" t="s">
        <v>5</v>
      </c>
      <c r="M18" s="105" t="s">
        <v>6</v>
      </c>
      <c r="N18" s="105" t="s">
        <v>6</v>
      </c>
      <c r="O18" s="105" t="s">
        <v>3</v>
      </c>
      <c r="P18" s="101" t="s">
        <v>4</v>
      </c>
      <c r="Q18" s="105" t="s">
        <v>6</v>
      </c>
      <c r="R18" s="105" t="s">
        <v>6</v>
      </c>
      <c r="S18" s="104" t="s">
        <v>2</v>
      </c>
      <c r="T18" s="105" t="s">
        <v>6</v>
      </c>
      <c r="U18" s="105" t="s">
        <v>6</v>
      </c>
      <c r="V18" s="105" t="s">
        <v>3</v>
      </c>
      <c r="W18" s="101" t="s">
        <v>4</v>
      </c>
      <c r="X18" s="105" t="s">
        <v>6</v>
      </c>
      <c r="Y18" s="105" t="s">
        <v>6</v>
      </c>
      <c r="Z18" s="105" t="s">
        <v>6</v>
      </c>
      <c r="AA18" s="105" t="s">
        <v>6</v>
      </c>
      <c r="AB18" s="105" t="s">
        <v>6</v>
      </c>
      <c r="AC18" s="105" t="s">
        <v>3</v>
      </c>
      <c r="AD18" s="101" t="s">
        <v>4</v>
      </c>
      <c r="AE18" s="102" t="s">
        <v>2</v>
      </c>
      <c r="AF18" s="131" t="s">
        <v>6</v>
      </c>
      <c r="AG18" s="131" t="s">
        <v>6</v>
      </c>
      <c r="AH18" s="131" t="s">
        <v>6</v>
      </c>
      <c r="AI18" s="131" t="s">
        <v>6</v>
      </c>
      <c r="AJ18" s="157" t="s">
        <v>4</v>
      </c>
      <c r="AK18" s="157" t="s">
        <v>4</v>
      </c>
    </row>
    <row r="19" spans="1:37" ht="15" thickBot="1" x14ac:dyDescent="0.4">
      <c r="A19" s="271"/>
      <c r="B19" s="140" t="s">
        <v>68</v>
      </c>
      <c r="C19" s="127" t="s">
        <v>10</v>
      </c>
      <c r="D19" s="127" t="s">
        <v>10</v>
      </c>
      <c r="E19" s="156" t="s">
        <v>11</v>
      </c>
      <c r="F19" s="127" t="s">
        <v>10</v>
      </c>
      <c r="G19" s="108" t="s">
        <v>2</v>
      </c>
      <c r="H19" s="110" t="s">
        <v>4</v>
      </c>
      <c r="I19" s="112" t="s">
        <v>3</v>
      </c>
      <c r="J19" s="112" t="s">
        <v>6</v>
      </c>
      <c r="K19" s="112" t="s">
        <v>6</v>
      </c>
      <c r="L19" s="112" t="s">
        <v>6</v>
      </c>
      <c r="M19" s="112" t="s">
        <v>6</v>
      </c>
      <c r="N19" s="112" t="s">
        <v>6</v>
      </c>
      <c r="O19" s="110" t="s">
        <v>4</v>
      </c>
      <c r="P19" s="114" t="s">
        <v>4</v>
      </c>
      <c r="Q19" s="112" t="s">
        <v>6</v>
      </c>
      <c r="R19" s="112" t="s">
        <v>6</v>
      </c>
      <c r="S19" s="112" t="s">
        <v>6</v>
      </c>
      <c r="T19" s="112" t="s">
        <v>6</v>
      </c>
      <c r="U19" s="112" t="s">
        <v>6</v>
      </c>
      <c r="V19" s="110" t="s">
        <v>4</v>
      </c>
      <c r="W19" s="110" t="s">
        <v>4</v>
      </c>
      <c r="X19" s="112" t="s">
        <v>6</v>
      </c>
      <c r="Y19" s="112" t="s">
        <v>6</v>
      </c>
      <c r="Z19" s="112" t="s">
        <v>6</v>
      </c>
      <c r="AA19" s="112" t="s">
        <v>6</v>
      </c>
      <c r="AB19" s="108" t="s">
        <v>2</v>
      </c>
      <c r="AC19" s="110" t="s">
        <v>4</v>
      </c>
      <c r="AD19" s="132" t="s">
        <v>3</v>
      </c>
      <c r="AE19" s="132" t="s">
        <v>6</v>
      </c>
      <c r="AF19" s="132" t="s">
        <v>6</v>
      </c>
      <c r="AG19" s="132" t="s">
        <v>6</v>
      </c>
      <c r="AH19" s="132" t="s">
        <v>6</v>
      </c>
      <c r="AI19" s="132" t="s">
        <v>6</v>
      </c>
      <c r="AJ19" s="110" t="s">
        <v>4</v>
      </c>
      <c r="AK19" s="121" t="s">
        <v>42</v>
      </c>
    </row>
    <row r="20" spans="1:37" ht="15" thickBot="1" x14ac:dyDescent="0.4">
      <c r="A20" s="271"/>
      <c r="B20" s="141" t="s">
        <v>43</v>
      </c>
      <c r="C20" s="116" t="s">
        <v>2</v>
      </c>
      <c r="D20" s="22" t="s">
        <v>16</v>
      </c>
      <c r="E20" s="156" t="s">
        <v>11</v>
      </c>
      <c r="F20" s="16" t="s">
        <v>10</v>
      </c>
      <c r="G20" s="16" t="s">
        <v>10</v>
      </c>
      <c r="H20" s="16" t="s">
        <v>11</v>
      </c>
      <c r="I20" s="114" t="s">
        <v>4</v>
      </c>
      <c r="J20" s="25" t="s">
        <v>6</v>
      </c>
      <c r="K20" s="25" t="s">
        <v>6</v>
      </c>
      <c r="L20" s="25" t="s">
        <v>6</v>
      </c>
      <c r="M20" s="104" t="s">
        <v>2</v>
      </c>
      <c r="N20" s="22" t="s">
        <v>16</v>
      </c>
      <c r="O20" s="114" t="s">
        <v>4</v>
      </c>
      <c r="P20" s="112" t="s">
        <v>3</v>
      </c>
      <c r="Q20" s="104" t="s">
        <v>2</v>
      </c>
      <c r="R20" s="112" t="s">
        <v>6</v>
      </c>
      <c r="S20" s="112" t="s">
        <v>6</v>
      </c>
      <c r="T20" s="112" t="s">
        <v>6</v>
      </c>
      <c r="U20" s="112" t="s">
        <v>6</v>
      </c>
      <c r="V20" s="114" t="s">
        <v>4</v>
      </c>
      <c r="W20" s="25" t="s">
        <v>3</v>
      </c>
      <c r="X20" s="25" t="s">
        <v>6</v>
      </c>
      <c r="Y20" s="25" t="s">
        <v>6</v>
      </c>
      <c r="Z20" s="25" t="s">
        <v>6</v>
      </c>
      <c r="AA20" s="25" t="s">
        <v>6</v>
      </c>
      <c r="AB20" s="25" t="s">
        <v>6</v>
      </c>
      <c r="AC20" s="25" t="s">
        <v>3</v>
      </c>
      <c r="AD20" s="114" t="s">
        <v>4</v>
      </c>
      <c r="AE20" s="116" t="s">
        <v>2</v>
      </c>
      <c r="AF20" s="25" t="s">
        <v>6</v>
      </c>
      <c r="AG20" s="25" t="s">
        <v>6</v>
      </c>
      <c r="AH20" s="25" t="s">
        <v>6</v>
      </c>
      <c r="AI20" s="25" t="s">
        <v>6</v>
      </c>
      <c r="AJ20" s="105" t="s">
        <v>3</v>
      </c>
      <c r="AK20" s="114" t="s">
        <v>4</v>
      </c>
    </row>
    <row r="21" spans="1:37" ht="15" thickBot="1" x14ac:dyDescent="0.4">
      <c r="A21" s="271"/>
      <c r="B21" s="141" t="s">
        <v>60</v>
      </c>
      <c r="C21" s="16" t="s">
        <v>10</v>
      </c>
      <c r="D21" s="116" t="s">
        <v>2</v>
      </c>
      <c r="E21" s="158" t="s">
        <v>2</v>
      </c>
      <c r="F21" s="16" t="s">
        <v>10</v>
      </c>
      <c r="G21" s="16" t="s">
        <v>10</v>
      </c>
      <c r="H21" s="16" t="s">
        <v>11</v>
      </c>
      <c r="I21" s="114" t="s">
        <v>4</v>
      </c>
      <c r="J21" s="116" t="s">
        <v>2</v>
      </c>
      <c r="K21" s="122" t="s">
        <v>5</v>
      </c>
      <c r="L21" s="22" t="s">
        <v>16</v>
      </c>
      <c r="M21" s="22" t="s">
        <v>16</v>
      </c>
      <c r="N21" s="74" t="s">
        <v>6</v>
      </c>
      <c r="O21" s="25" t="s">
        <v>3</v>
      </c>
      <c r="P21" s="114" t="s">
        <v>4</v>
      </c>
      <c r="Q21" s="74" t="s">
        <v>6</v>
      </c>
      <c r="R21" s="22" t="s">
        <v>16</v>
      </c>
      <c r="S21" s="105" t="s">
        <v>6</v>
      </c>
      <c r="T21" s="116" t="s">
        <v>2</v>
      </c>
      <c r="U21" s="75" t="s">
        <v>16</v>
      </c>
      <c r="V21" s="149" t="s">
        <v>30</v>
      </c>
      <c r="W21" s="114" t="s">
        <v>4</v>
      </c>
      <c r="X21" s="22" t="s">
        <v>16</v>
      </c>
      <c r="Y21" s="22" t="s">
        <v>16</v>
      </c>
      <c r="Z21" s="22" t="s">
        <v>16</v>
      </c>
      <c r="AA21" s="25" t="s">
        <v>6</v>
      </c>
      <c r="AB21" s="74" t="s">
        <v>6</v>
      </c>
      <c r="AC21" s="149" t="s">
        <v>30</v>
      </c>
      <c r="AD21" s="114" t="s">
        <v>4</v>
      </c>
      <c r="AE21" s="74" t="s">
        <v>6</v>
      </c>
      <c r="AF21" s="25" t="s">
        <v>6</v>
      </c>
      <c r="AG21" s="25" t="s">
        <v>6</v>
      </c>
      <c r="AH21" s="22" t="s">
        <v>16</v>
      </c>
      <c r="AI21" s="74" t="s">
        <v>6</v>
      </c>
      <c r="AJ21" s="149" t="s">
        <v>30</v>
      </c>
      <c r="AK21" s="114" t="s">
        <v>4</v>
      </c>
    </row>
    <row r="23" spans="1:37" x14ac:dyDescent="0.35">
      <c r="B23" s="128" t="s">
        <v>125</v>
      </c>
      <c r="C23">
        <f>COUNTIF(C5:C21,"MS")</f>
        <v>4</v>
      </c>
      <c r="D23">
        <f>COUNTIF(D5:D21,"MS")</f>
        <v>3</v>
      </c>
      <c r="E23">
        <f t="shared" ref="E23:G23" si="1">COUNTIF(E5:E21,"MS")</f>
        <v>0</v>
      </c>
      <c r="F23">
        <f t="shared" si="1"/>
        <v>3</v>
      </c>
      <c r="G23">
        <f t="shared" si="1"/>
        <v>3</v>
      </c>
      <c r="H23">
        <f>COUNTIF(H5:H21,"WMS")</f>
        <v>2</v>
      </c>
      <c r="I23">
        <f>COUNTIF(I5:I21,"WMS")</f>
        <v>2</v>
      </c>
      <c r="J23">
        <f>COUNTIF(J5:J21,"MS")</f>
        <v>3</v>
      </c>
      <c r="K23">
        <f>COUNTIF(K5:K21,"MS")</f>
        <v>3</v>
      </c>
      <c r="L23">
        <f t="shared" ref="L23:N23" si="2">COUNTIF(L5:L21,"MS")</f>
        <v>3</v>
      </c>
      <c r="M23">
        <f t="shared" si="2"/>
        <v>3</v>
      </c>
      <c r="N23">
        <f t="shared" si="2"/>
        <v>3</v>
      </c>
      <c r="O23">
        <f>COUNTIF(O5:O21,"WMS")</f>
        <v>2</v>
      </c>
      <c r="P23">
        <f>COUNTIF(P5:P21,"WMS")</f>
        <v>2</v>
      </c>
      <c r="Q23">
        <f>COUNTIF(Q5:Q21,"MS")</f>
        <v>4</v>
      </c>
      <c r="R23">
        <f>COUNTIF(R5:R21,"MS")</f>
        <v>4</v>
      </c>
      <c r="S23">
        <f t="shared" ref="S23:U23" si="3">COUNTIF(S5:S21,"MS")</f>
        <v>4</v>
      </c>
      <c r="T23">
        <f t="shared" si="3"/>
        <v>4</v>
      </c>
      <c r="U23">
        <f t="shared" si="3"/>
        <v>3</v>
      </c>
      <c r="V23">
        <f>COUNTIF(V5:V21,"WMS")</f>
        <v>2</v>
      </c>
      <c r="W23">
        <f>COUNTIF(W5:W21,"WMS")</f>
        <v>2</v>
      </c>
      <c r="X23">
        <f>COUNTIF(X5:X21,"MS")</f>
        <v>4</v>
      </c>
      <c r="Y23">
        <f>COUNTIF(Y5:Y21,"MS")</f>
        <v>4</v>
      </c>
      <c r="Z23">
        <f t="shared" ref="Z23:AB23" si="4">COUNTIF(Z5:Z21,"MS")</f>
        <v>4</v>
      </c>
      <c r="AA23">
        <f t="shared" si="4"/>
        <v>4</v>
      </c>
      <c r="AB23">
        <f t="shared" si="4"/>
        <v>3</v>
      </c>
      <c r="AC23">
        <f>COUNTIF(AC5:AC21,"WMS")</f>
        <v>2</v>
      </c>
      <c r="AD23">
        <f>COUNTIF(AD5:AD21,"WMS")</f>
        <v>2</v>
      </c>
      <c r="AE23">
        <f>COUNTIF(AE5:AE21,"MS")</f>
        <v>3</v>
      </c>
      <c r="AF23">
        <f>COUNTIF(AF5:AF21,"MS")</f>
        <v>5</v>
      </c>
      <c r="AG23">
        <f t="shared" ref="AG23:AI23" si="5">COUNTIF(AG5:AG21,"MS")</f>
        <v>5</v>
      </c>
      <c r="AH23">
        <f t="shared" si="5"/>
        <v>4</v>
      </c>
      <c r="AI23">
        <f t="shared" si="5"/>
        <v>4</v>
      </c>
      <c r="AJ23">
        <f>COUNTIF(AJ5:AJ21,"WMS")</f>
        <v>2</v>
      </c>
      <c r="AK23">
        <f>COUNTIF(AK5:AK21,"WMS")</f>
        <v>2</v>
      </c>
    </row>
    <row r="24" spans="1:37" x14ac:dyDescent="0.35">
      <c r="B24" s="128" t="s">
        <v>126</v>
      </c>
      <c r="C24">
        <f>COUNTIF(C5:C21,"ASS1")</f>
        <v>3</v>
      </c>
      <c r="D24">
        <f t="shared" ref="D24:G24" si="6">COUNTIF(D5:D21,"ASS1")</f>
        <v>4</v>
      </c>
      <c r="E24">
        <f t="shared" si="6"/>
        <v>0</v>
      </c>
      <c r="F24">
        <f t="shared" si="6"/>
        <v>3</v>
      </c>
      <c r="G24">
        <f t="shared" si="6"/>
        <v>3</v>
      </c>
      <c r="H24">
        <f>COUNTIF(H5:H21,"WASS1")</f>
        <v>2</v>
      </c>
      <c r="I24">
        <f>COUNTIF(I5:I21,"WASS1")</f>
        <v>2</v>
      </c>
      <c r="J24">
        <f>COUNTIF(J5:J21,"ASS1")</f>
        <v>3</v>
      </c>
      <c r="K24">
        <f t="shared" ref="K24:N24" si="7">COUNTIF(K5:K21,"ASS1")</f>
        <v>4</v>
      </c>
      <c r="L24">
        <f t="shared" si="7"/>
        <v>3</v>
      </c>
      <c r="M24">
        <f t="shared" si="7"/>
        <v>3</v>
      </c>
      <c r="N24">
        <f t="shared" si="7"/>
        <v>3</v>
      </c>
      <c r="O24">
        <f>COUNTIF(O5:O21,"WASS1")</f>
        <v>2</v>
      </c>
      <c r="P24">
        <f>COUNTIF(P5:P21,"WASS1")</f>
        <v>2</v>
      </c>
      <c r="Q24">
        <f>COUNTIF(Q5:Q21,"ASS1")</f>
        <v>3</v>
      </c>
      <c r="R24">
        <f t="shared" ref="R24:U24" si="8">COUNTIF(R5:R21,"ASS1")</f>
        <v>3</v>
      </c>
      <c r="S24">
        <f t="shared" si="8"/>
        <v>3</v>
      </c>
      <c r="T24">
        <f t="shared" si="8"/>
        <v>3</v>
      </c>
      <c r="U24">
        <f t="shared" si="8"/>
        <v>3</v>
      </c>
      <c r="V24">
        <f>COUNTIF(V5:V21,"WASS1")</f>
        <v>2</v>
      </c>
      <c r="W24">
        <f>COUNTIF(W5:W21,"WASS1")</f>
        <v>2</v>
      </c>
      <c r="X24">
        <f>COUNTIF(X5:X21,"ASS1")</f>
        <v>3</v>
      </c>
      <c r="Y24">
        <f t="shared" ref="Y24:AB24" si="9">COUNTIF(Y5:Y21,"ASS1")</f>
        <v>3</v>
      </c>
      <c r="Z24">
        <f t="shared" si="9"/>
        <v>4</v>
      </c>
      <c r="AA24">
        <f t="shared" si="9"/>
        <v>3</v>
      </c>
      <c r="AB24">
        <f t="shared" si="9"/>
        <v>3</v>
      </c>
      <c r="AC24">
        <f>COUNTIF(AC5:AC21,"WASS1")</f>
        <v>2</v>
      </c>
      <c r="AD24">
        <f>COUNTIF(AD5:AD21,"WASS1")</f>
        <v>2</v>
      </c>
      <c r="AE24">
        <f>COUNTIF(AE5:AE21,"ASS1")</f>
        <v>3</v>
      </c>
      <c r="AF24">
        <f t="shared" ref="AF24:AI24" si="10">COUNTIF(AF5:AF21,"ASS1")</f>
        <v>3</v>
      </c>
      <c r="AG24">
        <f t="shared" si="10"/>
        <v>3</v>
      </c>
      <c r="AH24">
        <f t="shared" si="10"/>
        <v>3</v>
      </c>
      <c r="AI24">
        <f t="shared" si="10"/>
        <v>4</v>
      </c>
      <c r="AJ24">
        <f>COUNTIF(AJ5:AJ21,"WASS1")</f>
        <v>2</v>
      </c>
      <c r="AK24">
        <f>COUNTIF(AK5:AK21,"WASS1")</f>
        <v>2</v>
      </c>
    </row>
    <row r="25" spans="1:37" x14ac:dyDescent="0.35">
      <c r="B25" s="128" t="s">
        <v>127</v>
      </c>
      <c r="C25">
        <f>COUNTIF(C5:C21,"NST7")</f>
        <v>3</v>
      </c>
      <c r="D25">
        <f t="shared" ref="D25:G25" si="11">COUNTIF(D5:D21,"NST7")</f>
        <v>3</v>
      </c>
      <c r="E25">
        <f t="shared" si="11"/>
        <v>0</v>
      </c>
      <c r="F25">
        <f t="shared" si="11"/>
        <v>4</v>
      </c>
      <c r="G25">
        <f t="shared" si="11"/>
        <v>3</v>
      </c>
      <c r="H25">
        <f>COUNTIF(H5:H21,"WNST7")</f>
        <v>2</v>
      </c>
      <c r="I25">
        <f>COUNTIF(I5:I21,"WNST7")</f>
        <v>3</v>
      </c>
      <c r="J25">
        <f>COUNTIF(J5:J21,"NST7")</f>
        <v>3</v>
      </c>
      <c r="K25">
        <f t="shared" ref="K25:N25" si="12">COUNTIF(K5:K21,"NST7")</f>
        <v>3</v>
      </c>
      <c r="L25">
        <f t="shared" si="12"/>
        <v>3</v>
      </c>
      <c r="M25">
        <f t="shared" si="12"/>
        <v>3</v>
      </c>
      <c r="N25">
        <f t="shared" si="12"/>
        <v>3</v>
      </c>
      <c r="O25">
        <f>COUNTIF(O5:O21,"WNST7")</f>
        <v>3</v>
      </c>
      <c r="P25">
        <f>COUNTIF(P5:P21,"WNST7")</f>
        <v>3</v>
      </c>
      <c r="Q25">
        <f>COUNTIF(Q5:Q21,"NST7")</f>
        <v>4</v>
      </c>
      <c r="R25">
        <f t="shared" ref="R25:U25" si="13">COUNTIF(R5:R21,"NST7")</f>
        <v>4</v>
      </c>
      <c r="S25">
        <f t="shared" si="13"/>
        <v>3</v>
      </c>
      <c r="T25">
        <f t="shared" si="13"/>
        <v>4</v>
      </c>
      <c r="U25">
        <f t="shared" si="13"/>
        <v>4</v>
      </c>
      <c r="V25">
        <f>COUNTIF(V5:V21,"WNST7")</f>
        <v>3</v>
      </c>
      <c r="W25">
        <f>COUNTIF(W5:W21,"WNST7")</f>
        <v>3</v>
      </c>
      <c r="X25">
        <f>COUNTIF(X5:X21,"NST7")</f>
        <v>3</v>
      </c>
      <c r="Y25">
        <f t="shared" ref="Y25:AB25" si="14">COUNTIF(Y5:Y21,"NST7")</f>
        <v>4</v>
      </c>
      <c r="Z25">
        <f t="shared" si="14"/>
        <v>3</v>
      </c>
      <c r="AA25">
        <f t="shared" si="14"/>
        <v>4</v>
      </c>
      <c r="AB25">
        <f t="shared" si="14"/>
        <v>3</v>
      </c>
      <c r="AC25">
        <f>COUNTIF(AC5:AC21,"WNST7")</f>
        <v>3</v>
      </c>
      <c r="AD25">
        <f>COUNTIF(AD5:AD21,"WNST7")</f>
        <v>3</v>
      </c>
      <c r="AE25">
        <f>COUNTIF(AE5:AE21,"NST7")</f>
        <v>4</v>
      </c>
      <c r="AF25">
        <f t="shared" ref="AF25:AI25" si="15">COUNTIF(AF5:AF21,"NST7")</f>
        <v>3</v>
      </c>
      <c r="AG25">
        <f t="shared" si="15"/>
        <v>3</v>
      </c>
      <c r="AH25">
        <f t="shared" si="15"/>
        <v>3</v>
      </c>
      <c r="AI25">
        <f t="shared" si="15"/>
        <v>4</v>
      </c>
      <c r="AJ25">
        <f>COUNTIF(AJ5:AJ21,"WNST7")</f>
        <v>3</v>
      </c>
      <c r="AK25">
        <f>COUNTIF(AK5:AK21,"WNST7")</f>
        <v>2</v>
      </c>
    </row>
    <row r="26" spans="1:37" x14ac:dyDescent="0.35">
      <c r="B26" s="128" t="s">
        <v>128</v>
      </c>
      <c r="C26">
        <f>COUNTIF(C5:C21,"GS")</f>
        <v>0</v>
      </c>
      <c r="D26">
        <f t="shared" ref="D26:G26" si="16">COUNTIF(D5:D21,"GS")</f>
        <v>1</v>
      </c>
      <c r="E26">
        <f t="shared" si="16"/>
        <v>0</v>
      </c>
      <c r="F26">
        <f t="shared" si="16"/>
        <v>1</v>
      </c>
      <c r="G26">
        <f t="shared" si="16"/>
        <v>0</v>
      </c>
      <c r="H26">
        <f>COUNTIF(H4:H21,"WGS")</f>
        <v>1</v>
      </c>
      <c r="I26">
        <f>COUNTIF(I4:I21,"WGS")</f>
        <v>0</v>
      </c>
      <c r="J26">
        <f>COUNTIF(J5:J21,"GS")</f>
        <v>0</v>
      </c>
      <c r="K26">
        <f t="shared" ref="K26:N26" si="17">COUNTIF(K5:K21,"GS")</f>
        <v>0</v>
      </c>
      <c r="L26">
        <f t="shared" si="17"/>
        <v>2</v>
      </c>
      <c r="M26">
        <f t="shared" si="17"/>
        <v>2</v>
      </c>
      <c r="N26">
        <f t="shared" si="17"/>
        <v>1</v>
      </c>
      <c r="O26">
        <f>COUNTIF(O4:O21,"WGS")</f>
        <v>1</v>
      </c>
      <c r="P26">
        <f>COUNTIF(P4:P21,"WGS")</f>
        <v>0</v>
      </c>
      <c r="Q26">
        <f>COUNTIF(Q5:Q21,"GS")</f>
        <v>0</v>
      </c>
      <c r="R26">
        <f t="shared" ref="R26:U26" si="18">COUNTIF(R5:R21,"GS")</f>
        <v>2</v>
      </c>
      <c r="S26">
        <f t="shared" si="18"/>
        <v>1</v>
      </c>
      <c r="T26">
        <f t="shared" si="18"/>
        <v>1</v>
      </c>
      <c r="U26">
        <f t="shared" si="18"/>
        <v>1</v>
      </c>
      <c r="V26">
        <f>COUNTIF(V4:V21,"WGS")</f>
        <v>1</v>
      </c>
      <c r="W26">
        <f>COUNTIF(W4:W21,"WGS")</f>
        <v>0</v>
      </c>
      <c r="X26">
        <f>COUNTIF(X5:X21,"GS")</f>
        <v>1</v>
      </c>
      <c r="Y26">
        <f t="shared" ref="Y26:AB26" si="19">COUNTIF(Y5:Y21,"GS")</f>
        <v>2</v>
      </c>
      <c r="Z26">
        <f t="shared" si="19"/>
        <v>2</v>
      </c>
      <c r="AA26">
        <f t="shared" si="19"/>
        <v>1</v>
      </c>
      <c r="AB26">
        <f t="shared" si="19"/>
        <v>0</v>
      </c>
      <c r="AC26">
        <f>COUNTIF(AC4:AC21,"WGS")</f>
        <v>1</v>
      </c>
      <c r="AD26">
        <f>COUNTIF(AD4:AD21,"WGS")</f>
        <v>0</v>
      </c>
      <c r="AE26">
        <f>COUNTIF(AE5:AE21,"GS")</f>
        <v>0</v>
      </c>
      <c r="AF26">
        <f t="shared" ref="AF26:AI26" si="20">COUNTIF(AF5:AF21,"GS")</f>
        <v>0</v>
      </c>
      <c r="AG26">
        <f t="shared" si="20"/>
        <v>0</v>
      </c>
      <c r="AH26">
        <f t="shared" si="20"/>
        <v>2</v>
      </c>
      <c r="AI26">
        <f t="shared" si="20"/>
        <v>0</v>
      </c>
      <c r="AJ26">
        <f>COUNTIF(AJ4:AJ21,"WGS")</f>
        <v>1</v>
      </c>
      <c r="AK26">
        <f>COUNTIF(AK4:AK21,"WGS")</f>
        <v>0</v>
      </c>
    </row>
    <row r="27" spans="1:37" x14ac:dyDescent="0.35">
      <c r="B27" s="128" t="s">
        <v>129</v>
      </c>
      <c r="C27">
        <f>COUNTIF(C5:C21,"C")</f>
        <v>4</v>
      </c>
      <c r="D27">
        <f t="shared" ref="D27:G27" si="21">COUNTIF(D5:D21,"C")</f>
        <v>3</v>
      </c>
      <c r="E27">
        <f t="shared" si="21"/>
        <v>2</v>
      </c>
      <c r="F27">
        <f t="shared" si="21"/>
        <v>1</v>
      </c>
      <c r="G27">
        <f t="shared" si="21"/>
        <v>5</v>
      </c>
      <c r="H27">
        <f>COUNTIF(H5:H21,"WO")</f>
        <v>8</v>
      </c>
      <c r="I27">
        <f>COUNTIF(I5:I21,"WO")</f>
        <v>8</v>
      </c>
      <c r="J27">
        <f>COUNTIF(J5:J21,"C")</f>
        <v>5</v>
      </c>
      <c r="K27">
        <f t="shared" ref="K27:N27" si="22">COUNTIF(K5:K21,"C")</f>
        <v>3</v>
      </c>
      <c r="L27">
        <f t="shared" si="22"/>
        <v>2</v>
      </c>
      <c r="M27">
        <f t="shared" si="22"/>
        <v>3</v>
      </c>
      <c r="N27">
        <f t="shared" si="22"/>
        <v>4</v>
      </c>
      <c r="O27">
        <f>COUNTIF(O5:O21,"WO")</f>
        <v>6</v>
      </c>
      <c r="P27">
        <f>COUNTIF(P5:P21,"WO")</f>
        <v>8</v>
      </c>
      <c r="Q27">
        <f>COUNTIF(Q5:Q21,"C")</f>
        <v>4</v>
      </c>
      <c r="R27">
        <f t="shared" ref="R27:U27" si="23">COUNTIF(R5:R21,"C")</f>
        <v>2</v>
      </c>
      <c r="S27">
        <f t="shared" si="23"/>
        <v>4</v>
      </c>
      <c r="T27">
        <f t="shared" si="23"/>
        <v>3</v>
      </c>
      <c r="U27">
        <f t="shared" si="23"/>
        <v>3</v>
      </c>
      <c r="V27">
        <f>COUNTIF(V5:V21,"WO")</f>
        <v>7</v>
      </c>
      <c r="W27">
        <f>COUNTIF(W5:W21,"WO")</f>
        <v>8</v>
      </c>
      <c r="X27">
        <f>COUNTIF(X5:X21,"C")</f>
        <v>4</v>
      </c>
      <c r="Y27">
        <f t="shared" ref="Y27:AB27" si="24">COUNTIF(Y5:Y21,"C")</f>
        <v>1</v>
      </c>
      <c r="Z27">
        <f t="shared" si="24"/>
        <v>1</v>
      </c>
      <c r="AA27">
        <f t="shared" si="24"/>
        <v>2</v>
      </c>
      <c r="AB27">
        <f t="shared" si="24"/>
        <v>4</v>
      </c>
      <c r="AC27">
        <f>COUNTIF(AC5:AC21,"WO")</f>
        <v>7</v>
      </c>
      <c r="AD27">
        <f>COUNTIF(AD5:AD21,"WO")</f>
        <v>8</v>
      </c>
      <c r="AE27">
        <f>COUNTIF(AE5:AE21,"C")</f>
        <v>4</v>
      </c>
      <c r="AF27">
        <f t="shared" ref="AF27:AI27" si="25">COUNTIF(AF5:AF21,"C")</f>
        <v>2</v>
      </c>
      <c r="AG27">
        <f t="shared" si="25"/>
        <v>1</v>
      </c>
      <c r="AH27">
        <f t="shared" si="25"/>
        <v>1</v>
      </c>
      <c r="AI27">
        <f t="shared" si="25"/>
        <v>2</v>
      </c>
      <c r="AJ27">
        <f>COUNTIF(AJ5:AJ21,"WO")</f>
        <v>7</v>
      </c>
      <c r="AK27">
        <f>COUNTIF(AK5:AK21,"WO")</f>
        <v>9</v>
      </c>
    </row>
    <row r="28" spans="1:37" x14ac:dyDescent="0.35">
      <c r="B28" s="128" t="s">
        <v>130</v>
      </c>
      <c r="C28">
        <f t="shared" ref="C28:G28" si="26">COUNTIF(C5:C21,"PL")</f>
        <v>1</v>
      </c>
      <c r="D28">
        <f t="shared" si="26"/>
        <v>1</v>
      </c>
      <c r="E28">
        <f t="shared" si="26"/>
        <v>0</v>
      </c>
      <c r="F28">
        <f t="shared" si="26"/>
        <v>2</v>
      </c>
      <c r="G28">
        <f t="shared" si="26"/>
        <v>1</v>
      </c>
      <c r="H28">
        <f>COUNTIF(H5:H22,"PL")</f>
        <v>0</v>
      </c>
      <c r="I28">
        <f>COUNTIF(I5:I22,"PL")</f>
        <v>0</v>
      </c>
      <c r="J28">
        <f t="shared" ref="J28:N28" si="27">COUNTIF(J5:J21,"PL")</f>
        <v>1</v>
      </c>
      <c r="K28">
        <f t="shared" si="27"/>
        <v>2</v>
      </c>
      <c r="L28">
        <f t="shared" si="27"/>
        <v>2</v>
      </c>
      <c r="M28">
        <f t="shared" si="27"/>
        <v>1</v>
      </c>
      <c r="N28">
        <f t="shared" si="27"/>
        <v>1</v>
      </c>
      <c r="O28">
        <f>COUNTIF(O5:O22,"PL")</f>
        <v>1</v>
      </c>
      <c r="P28">
        <f>COUNTIF(P5:P22,"PL")</f>
        <v>0</v>
      </c>
      <c r="Q28">
        <f t="shared" ref="Q28:U28" si="28">COUNTIF(Q5:Q21,"PL")</f>
        <v>0</v>
      </c>
      <c r="R28">
        <f t="shared" si="28"/>
        <v>0</v>
      </c>
      <c r="S28">
        <f t="shared" si="28"/>
        <v>0</v>
      </c>
      <c r="T28">
        <f t="shared" si="28"/>
        <v>0</v>
      </c>
      <c r="U28">
        <f t="shared" si="28"/>
        <v>1</v>
      </c>
      <c r="V28">
        <f>COUNTIF(V5:V22,"PL")</f>
        <v>0</v>
      </c>
      <c r="W28">
        <f>COUNTIF(W5:W22,"PL")</f>
        <v>0</v>
      </c>
      <c r="X28">
        <f t="shared" ref="X28:AB28" si="29">COUNTIF(X5:X21,"PL")</f>
        <v>0</v>
      </c>
      <c r="Y28">
        <f t="shared" si="29"/>
        <v>1</v>
      </c>
      <c r="Z28">
        <f t="shared" si="29"/>
        <v>1</v>
      </c>
      <c r="AA28">
        <f t="shared" si="29"/>
        <v>1</v>
      </c>
      <c r="AB28">
        <f t="shared" si="29"/>
        <v>2</v>
      </c>
      <c r="AC28">
        <f>COUNTIF(AC5:AC22,"PL")</f>
        <v>0</v>
      </c>
      <c r="AD28">
        <f>COUNTIF(AD5:AD22,"PL")</f>
        <v>0</v>
      </c>
      <c r="AE28">
        <f t="shared" ref="AE28:AI28" si="30">COUNTIF(AE5:AE21,"PL")</f>
        <v>1</v>
      </c>
      <c r="AF28">
        <f t="shared" si="30"/>
        <v>2</v>
      </c>
      <c r="AG28">
        <f t="shared" si="30"/>
        <v>3</v>
      </c>
      <c r="AH28">
        <f t="shared" si="30"/>
        <v>2</v>
      </c>
      <c r="AI28">
        <f t="shared" si="30"/>
        <v>1</v>
      </c>
      <c r="AJ28">
        <f>COUNTIF(AJ5:AJ22,"PL")</f>
        <v>0</v>
      </c>
      <c r="AK28">
        <f>COUNTIF(AK5:AK22,"PL")</f>
        <v>0</v>
      </c>
    </row>
    <row r="29" spans="1:37" x14ac:dyDescent="0.35">
      <c r="B29" s="128" t="s">
        <v>33</v>
      </c>
      <c r="C29">
        <f>COUNTIF(C5:C21,"UPL")</f>
        <v>0</v>
      </c>
      <c r="D29">
        <f t="shared" ref="D29:G29" si="31">COUNTIF(D5:D21,"UPL")</f>
        <v>0</v>
      </c>
      <c r="E29">
        <f t="shared" si="31"/>
        <v>0</v>
      </c>
      <c r="F29">
        <f t="shared" si="31"/>
        <v>0</v>
      </c>
      <c r="G29">
        <f t="shared" si="31"/>
        <v>0</v>
      </c>
      <c r="H29">
        <f>COUNTIF(H5:H21,"UPL")</f>
        <v>0</v>
      </c>
      <c r="I29">
        <f>COUNTIF(I5:I21,"UPL")</f>
        <v>0</v>
      </c>
      <c r="J29">
        <f>COUNTIF(J5:J21,"UPL")</f>
        <v>0</v>
      </c>
      <c r="K29">
        <f t="shared" ref="K29:N29" si="32">COUNTIF(K5:K21,"UPL")</f>
        <v>0</v>
      </c>
      <c r="L29">
        <f t="shared" si="32"/>
        <v>0</v>
      </c>
      <c r="M29">
        <f t="shared" si="32"/>
        <v>0</v>
      </c>
      <c r="N29">
        <f t="shared" si="32"/>
        <v>0</v>
      </c>
      <c r="O29">
        <f>COUNTIF(O5:O21,"UPL")</f>
        <v>0</v>
      </c>
      <c r="P29">
        <f>COUNTIF(P5:P21,"UPL")</f>
        <v>0</v>
      </c>
      <c r="Q29">
        <f>COUNTIF(Q5:Q21,"UPL")</f>
        <v>0</v>
      </c>
      <c r="R29">
        <f t="shared" ref="R29:U29" si="33">COUNTIF(R5:R21,"UPL")</f>
        <v>0</v>
      </c>
      <c r="S29">
        <f t="shared" si="33"/>
        <v>0</v>
      </c>
      <c r="T29">
        <f t="shared" si="33"/>
        <v>0</v>
      </c>
      <c r="U29">
        <f t="shared" si="33"/>
        <v>0</v>
      </c>
      <c r="V29">
        <f>COUNTIF(V5:V21,"UPL")</f>
        <v>0</v>
      </c>
      <c r="W29">
        <f>COUNTIF(W5:W21,"UPL")</f>
        <v>0</v>
      </c>
      <c r="X29">
        <f>COUNTIF(X5:X21,"UPL")</f>
        <v>0</v>
      </c>
      <c r="Y29">
        <f t="shared" ref="Y29:AB29" si="34">COUNTIF(Y5:Y21,"UPL")</f>
        <v>0</v>
      </c>
      <c r="Z29">
        <f t="shared" si="34"/>
        <v>0</v>
      </c>
      <c r="AA29">
        <f t="shared" si="34"/>
        <v>0</v>
      </c>
      <c r="AB29">
        <f t="shared" si="34"/>
        <v>0</v>
      </c>
      <c r="AC29">
        <f>COUNTIF(AC5:AC21,"UPL")</f>
        <v>0</v>
      </c>
      <c r="AD29">
        <f>COUNTIF(AD5:AD21,"UPL")</f>
        <v>0</v>
      </c>
      <c r="AE29">
        <f>COUNTIF(AE5:AE21,"UPL")</f>
        <v>0</v>
      </c>
      <c r="AF29">
        <f t="shared" ref="AF29:AI29" si="35">COUNTIF(AF5:AF21,"UPL")</f>
        <v>0</v>
      </c>
      <c r="AG29">
        <f t="shared" si="35"/>
        <v>0</v>
      </c>
      <c r="AH29">
        <f t="shared" si="35"/>
        <v>0</v>
      </c>
      <c r="AI29">
        <f t="shared" si="35"/>
        <v>0</v>
      </c>
      <c r="AJ29">
        <f>COUNTIF(AJ5:AJ21,"UPL")</f>
        <v>0</v>
      </c>
      <c r="AK29">
        <f>COUNTIF(AK5:AK21,"UPL")</f>
        <v>0</v>
      </c>
    </row>
    <row r="30" spans="1:37" x14ac:dyDescent="0.35">
      <c r="B30" s="128" t="s">
        <v>131</v>
      </c>
      <c r="C30" s="129">
        <f t="shared" ref="C30:AK30" si="36">SUM(C23:C29)</f>
        <v>15</v>
      </c>
      <c r="D30" s="129">
        <f t="shared" si="36"/>
        <v>15</v>
      </c>
      <c r="E30" s="129">
        <f t="shared" si="36"/>
        <v>2</v>
      </c>
      <c r="F30" s="129">
        <f t="shared" si="36"/>
        <v>14</v>
      </c>
      <c r="G30" s="129">
        <f t="shared" si="36"/>
        <v>15</v>
      </c>
      <c r="H30" s="129">
        <f t="shared" si="36"/>
        <v>15</v>
      </c>
      <c r="I30" s="129">
        <f t="shared" si="36"/>
        <v>15</v>
      </c>
      <c r="J30" s="129">
        <f t="shared" si="36"/>
        <v>15</v>
      </c>
      <c r="K30" s="129">
        <f t="shared" si="36"/>
        <v>15</v>
      </c>
      <c r="L30" s="129">
        <f t="shared" si="36"/>
        <v>15</v>
      </c>
      <c r="M30" s="129">
        <f t="shared" si="36"/>
        <v>15</v>
      </c>
      <c r="N30" s="129">
        <f t="shared" si="36"/>
        <v>15</v>
      </c>
      <c r="O30" s="129">
        <f t="shared" si="36"/>
        <v>15</v>
      </c>
      <c r="P30" s="129">
        <f t="shared" si="36"/>
        <v>15</v>
      </c>
      <c r="Q30" s="129">
        <f t="shared" si="36"/>
        <v>15</v>
      </c>
      <c r="R30" s="129">
        <f t="shared" si="36"/>
        <v>15</v>
      </c>
      <c r="S30" s="129">
        <f t="shared" si="36"/>
        <v>15</v>
      </c>
      <c r="T30" s="129">
        <f t="shared" si="36"/>
        <v>15</v>
      </c>
      <c r="U30" s="129">
        <f t="shared" si="36"/>
        <v>15</v>
      </c>
      <c r="V30" s="129">
        <f t="shared" si="36"/>
        <v>15</v>
      </c>
      <c r="W30" s="129">
        <f t="shared" si="36"/>
        <v>15</v>
      </c>
      <c r="X30" s="129">
        <f t="shared" si="36"/>
        <v>15</v>
      </c>
      <c r="Y30" s="129">
        <f t="shared" si="36"/>
        <v>15</v>
      </c>
      <c r="Z30" s="129">
        <f t="shared" si="36"/>
        <v>15</v>
      </c>
      <c r="AA30" s="129">
        <f t="shared" si="36"/>
        <v>15</v>
      </c>
      <c r="AB30" s="129">
        <f t="shared" si="36"/>
        <v>15</v>
      </c>
      <c r="AC30" s="129">
        <f t="shared" si="36"/>
        <v>15</v>
      </c>
      <c r="AD30" s="129">
        <f t="shared" si="36"/>
        <v>15</v>
      </c>
      <c r="AE30" s="129">
        <f t="shared" si="36"/>
        <v>15</v>
      </c>
      <c r="AF30" s="129">
        <f t="shared" si="36"/>
        <v>15</v>
      </c>
      <c r="AG30" s="129">
        <f t="shared" si="36"/>
        <v>15</v>
      </c>
      <c r="AH30" s="129">
        <f t="shared" si="36"/>
        <v>15</v>
      </c>
      <c r="AI30" s="129">
        <f t="shared" si="36"/>
        <v>15</v>
      </c>
      <c r="AJ30" s="129">
        <f t="shared" si="36"/>
        <v>15</v>
      </c>
      <c r="AK30" s="129">
        <f t="shared" si="36"/>
        <v>15</v>
      </c>
    </row>
    <row r="32" spans="1:37" x14ac:dyDescent="0.35">
      <c r="B32" t="s">
        <v>134</v>
      </c>
    </row>
    <row r="33" spans="2:4" ht="15" thickBot="1" x14ac:dyDescent="0.4"/>
    <row r="34" spans="2:4" x14ac:dyDescent="0.35">
      <c r="B34" t="s">
        <v>135</v>
      </c>
      <c r="D34" s="103"/>
    </row>
    <row r="35" spans="2:4" ht="15" thickBot="1" x14ac:dyDescent="0.4">
      <c r="B35" t="s">
        <v>136</v>
      </c>
      <c r="D35" s="120"/>
    </row>
    <row r="36" spans="2:4" ht="15" thickBot="1" x14ac:dyDescent="0.4">
      <c r="B36" t="s">
        <v>137</v>
      </c>
      <c r="D36" s="124"/>
    </row>
    <row r="37" spans="2:4" ht="15" thickBot="1" x14ac:dyDescent="0.4">
      <c r="B37" t="s">
        <v>24</v>
      </c>
      <c r="D37" s="144"/>
    </row>
    <row r="38" spans="2:4" x14ac:dyDescent="0.35">
      <c r="B38" t="s">
        <v>138</v>
      </c>
      <c r="D38" s="145"/>
    </row>
    <row r="39" spans="2:4" x14ac:dyDescent="0.35">
      <c r="B39" t="s">
        <v>32</v>
      </c>
      <c r="D39" s="122"/>
    </row>
    <row r="40" spans="2:4" x14ac:dyDescent="0.35">
      <c r="B40" t="s">
        <v>33</v>
      </c>
      <c r="D40" s="146"/>
    </row>
    <row r="41" spans="2:4" ht="15" thickBot="1" x14ac:dyDescent="0.4">
      <c r="B41" t="s">
        <v>139</v>
      </c>
      <c r="D41" s="147"/>
    </row>
  </sheetData>
  <mergeCells count="3">
    <mergeCell ref="A4:A9"/>
    <mergeCell ref="A11:A15"/>
    <mergeCell ref="A17:A21"/>
  </mergeCells>
  <conditionalFormatting sqref="C23:G26">
    <cfRule type="cellIs" dxfId="856" priority="9" operator="lessThan">
      <formula>3</formula>
    </cfRule>
  </conditionalFormatting>
  <conditionalFormatting sqref="H23:I26">
    <cfRule type="cellIs" dxfId="855" priority="10" operator="lessThan">
      <formula>2</formula>
    </cfRule>
  </conditionalFormatting>
  <conditionalFormatting sqref="J23:N26">
    <cfRule type="cellIs" dxfId="854" priority="7" operator="lessThan">
      <formula>3</formula>
    </cfRule>
  </conditionalFormatting>
  <conditionalFormatting sqref="O23:P26">
    <cfRule type="cellIs" dxfId="853" priority="8" operator="lessThan">
      <formula>2</formula>
    </cfRule>
  </conditionalFormatting>
  <conditionalFormatting sqref="Q23:U26">
    <cfRule type="cellIs" dxfId="852" priority="5" operator="lessThan">
      <formula>3</formula>
    </cfRule>
  </conditionalFormatting>
  <conditionalFormatting sqref="V23:W26">
    <cfRule type="cellIs" dxfId="851" priority="6" operator="lessThan">
      <formula>2</formula>
    </cfRule>
  </conditionalFormatting>
  <conditionalFormatting sqref="X23:AB26">
    <cfRule type="cellIs" dxfId="850" priority="3" operator="lessThan">
      <formula>3</formula>
    </cfRule>
  </conditionalFormatting>
  <conditionalFormatting sqref="AC23:AD26">
    <cfRule type="cellIs" dxfId="849" priority="4" operator="lessThan">
      <formula>2</formula>
    </cfRule>
  </conditionalFormatting>
  <conditionalFormatting sqref="AE23:AI26">
    <cfRule type="cellIs" dxfId="848" priority="1" operator="lessThan">
      <formula>3</formula>
    </cfRule>
  </conditionalFormatting>
  <conditionalFormatting sqref="AJ23:AK26">
    <cfRule type="cellIs" dxfId="847" priority="2" operator="lessThan">
      <formula>2</formula>
    </cfRule>
  </conditionalFormatting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A1:AN29"/>
  <sheetViews>
    <sheetView zoomScale="77" zoomScaleNormal="78" workbookViewId="0">
      <pane xSplit="1" topLeftCell="B1" activePane="topRight" state="frozen"/>
      <selection pane="topRight" activeCell="C28" sqref="C28"/>
    </sheetView>
  </sheetViews>
  <sheetFormatPr defaultRowHeight="14.5" x14ac:dyDescent="0.35"/>
  <cols>
    <col min="1" max="1" width="17.453125" bestFit="1" customWidth="1"/>
  </cols>
  <sheetData>
    <row r="1" spans="1:40" x14ac:dyDescent="0.35">
      <c r="A1" s="1"/>
      <c r="B1" s="2" t="str">
        <f t="shared" ref="B1:AN1" si="0">TEXT(B2,"ddd")</f>
        <v>Thu</v>
      </c>
      <c r="C1" s="2" t="str">
        <f t="shared" si="0"/>
        <v>Fri</v>
      </c>
      <c r="D1" s="2" t="str">
        <f t="shared" si="0"/>
        <v>Sat</v>
      </c>
      <c r="E1" s="2" t="str">
        <f t="shared" si="0"/>
        <v>Sun</v>
      </c>
      <c r="F1" s="2" t="str">
        <f t="shared" si="0"/>
        <v>Mon</v>
      </c>
      <c r="G1" s="2" t="str">
        <f t="shared" si="0"/>
        <v>Tue</v>
      </c>
      <c r="H1" s="2" t="str">
        <f t="shared" si="0"/>
        <v>Wed</v>
      </c>
      <c r="I1" s="2" t="str">
        <f t="shared" si="0"/>
        <v>Thu</v>
      </c>
      <c r="J1" s="2" t="str">
        <f t="shared" si="0"/>
        <v>Fri</v>
      </c>
      <c r="K1" s="2" t="str">
        <f t="shared" si="0"/>
        <v>Sat</v>
      </c>
      <c r="L1" s="2" t="str">
        <f t="shared" si="0"/>
        <v>Sun</v>
      </c>
      <c r="M1" s="2" t="str">
        <f t="shared" si="0"/>
        <v>Mon</v>
      </c>
      <c r="N1" s="2" t="str">
        <f t="shared" si="0"/>
        <v>Tue</v>
      </c>
      <c r="O1" s="2" t="str">
        <f t="shared" si="0"/>
        <v>Wed</v>
      </c>
      <c r="P1" s="2" t="str">
        <f t="shared" si="0"/>
        <v>Thu</v>
      </c>
      <c r="Q1" s="2" t="str">
        <f t="shared" si="0"/>
        <v>Fri</v>
      </c>
      <c r="R1" s="2" t="str">
        <f t="shared" si="0"/>
        <v>Sat</v>
      </c>
      <c r="S1" s="2" t="str">
        <f t="shared" si="0"/>
        <v>Sun</v>
      </c>
      <c r="T1" s="2" t="str">
        <f t="shared" si="0"/>
        <v>Mon</v>
      </c>
      <c r="U1" s="2" t="str">
        <f t="shared" si="0"/>
        <v>Tue</v>
      </c>
      <c r="V1" s="2" t="str">
        <f t="shared" si="0"/>
        <v>Wed</v>
      </c>
      <c r="W1" s="2" t="str">
        <f t="shared" si="0"/>
        <v>Thu</v>
      </c>
      <c r="X1" s="2" t="str">
        <f t="shared" si="0"/>
        <v>Fri</v>
      </c>
      <c r="Y1" s="2" t="str">
        <f t="shared" si="0"/>
        <v>Sat</v>
      </c>
      <c r="Z1" s="2" t="str">
        <f t="shared" si="0"/>
        <v>Sun</v>
      </c>
      <c r="AA1" s="2" t="str">
        <f t="shared" si="0"/>
        <v>Mon</v>
      </c>
      <c r="AB1" s="2" t="str">
        <f t="shared" si="0"/>
        <v>Tue</v>
      </c>
      <c r="AC1" s="2" t="str">
        <f t="shared" si="0"/>
        <v>Wed</v>
      </c>
      <c r="AD1" s="2" t="str">
        <f t="shared" si="0"/>
        <v>Thu</v>
      </c>
      <c r="AE1" s="2" t="str">
        <f t="shared" si="0"/>
        <v>Fri</v>
      </c>
      <c r="AF1" s="2" t="str">
        <f t="shared" si="0"/>
        <v>Sat</v>
      </c>
      <c r="AG1" s="2" t="str">
        <f t="shared" si="0"/>
        <v>Sun</v>
      </c>
      <c r="AH1" s="2" t="str">
        <f t="shared" si="0"/>
        <v>Mon</v>
      </c>
      <c r="AI1" s="2" t="str">
        <f t="shared" si="0"/>
        <v>Tue</v>
      </c>
      <c r="AJ1" s="2" t="str">
        <f t="shared" si="0"/>
        <v>Wed</v>
      </c>
      <c r="AK1" s="2" t="str">
        <f t="shared" si="0"/>
        <v>Thu</v>
      </c>
      <c r="AL1" s="2" t="str">
        <f t="shared" si="0"/>
        <v>Fri</v>
      </c>
      <c r="AM1" s="2" t="str">
        <f t="shared" si="0"/>
        <v>Sat</v>
      </c>
      <c r="AN1" s="2" t="str">
        <f t="shared" si="0"/>
        <v>Sun</v>
      </c>
    </row>
    <row r="2" spans="1:40" x14ac:dyDescent="0.35">
      <c r="A2" s="95" t="s">
        <v>0</v>
      </c>
      <c r="B2" s="29">
        <v>44833</v>
      </c>
      <c r="C2" s="29">
        <v>44834</v>
      </c>
      <c r="D2" s="29">
        <v>44835</v>
      </c>
      <c r="E2" s="29">
        <v>44836</v>
      </c>
      <c r="F2" s="29">
        <v>44837</v>
      </c>
      <c r="G2" s="29">
        <v>44838</v>
      </c>
      <c r="H2" s="29">
        <v>44839</v>
      </c>
      <c r="I2" s="29">
        <v>44840</v>
      </c>
      <c r="J2" s="29">
        <v>44841</v>
      </c>
      <c r="K2" s="29">
        <v>44842</v>
      </c>
      <c r="L2" s="29">
        <v>44843</v>
      </c>
      <c r="M2" s="29">
        <v>44844</v>
      </c>
      <c r="N2" s="29">
        <v>44845</v>
      </c>
      <c r="O2" s="29">
        <v>44846</v>
      </c>
      <c r="P2" s="29">
        <v>44847</v>
      </c>
      <c r="Q2" s="29">
        <v>44848</v>
      </c>
      <c r="R2" s="29">
        <v>44849</v>
      </c>
      <c r="S2" s="29">
        <v>44850</v>
      </c>
      <c r="T2" s="29">
        <v>44851</v>
      </c>
      <c r="U2" s="29">
        <v>44852</v>
      </c>
      <c r="V2" s="29">
        <v>44853</v>
      </c>
      <c r="W2" s="29">
        <v>44854</v>
      </c>
      <c r="X2" s="29">
        <v>44855</v>
      </c>
      <c r="Y2" s="29">
        <v>44856</v>
      </c>
      <c r="Z2" s="29">
        <v>44857</v>
      </c>
      <c r="AA2" s="29">
        <v>44858</v>
      </c>
      <c r="AB2" s="29">
        <v>44859</v>
      </c>
      <c r="AC2" s="29">
        <v>44860</v>
      </c>
      <c r="AD2" s="29">
        <v>44861</v>
      </c>
      <c r="AE2" s="29">
        <v>44862</v>
      </c>
      <c r="AF2" s="29">
        <v>44863</v>
      </c>
      <c r="AG2" s="29">
        <v>44864</v>
      </c>
      <c r="AH2" s="29">
        <v>44865</v>
      </c>
      <c r="AI2" s="29">
        <v>44866</v>
      </c>
      <c r="AJ2" s="29">
        <v>44867</v>
      </c>
      <c r="AK2" s="29">
        <v>44868</v>
      </c>
      <c r="AL2" s="29">
        <v>44869</v>
      </c>
      <c r="AM2" s="29">
        <v>44870</v>
      </c>
      <c r="AN2" s="29">
        <v>44871</v>
      </c>
    </row>
    <row r="3" spans="1:40" ht="15" thickBot="1" x14ac:dyDescent="0.4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</row>
    <row r="4" spans="1:40" ht="15" thickBot="1" x14ac:dyDescent="0.4">
      <c r="A4" s="137" t="s">
        <v>14</v>
      </c>
      <c r="B4" s="118" t="s">
        <v>41</v>
      </c>
      <c r="C4" s="118" t="s">
        <v>41</v>
      </c>
      <c r="D4" s="118" t="s">
        <v>42</v>
      </c>
      <c r="E4" s="150" t="s">
        <v>4</v>
      </c>
      <c r="F4" s="102" t="s">
        <v>2</v>
      </c>
      <c r="G4" s="100" t="s">
        <v>5</v>
      </c>
      <c r="H4" s="127" t="s">
        <v>11</v>
      </c>
      <c r="I4" s="127" t="s">
        <v>10</v>
      </c>
      <c r="J4" s="127" t="s">
        <v>10</v>
      </c>
      <c r="K4" s="152" t="s">
        <v>11</v>
      </c>
      <c r="L4" s="150" t="s">
        <v>4</v>
      </c>
      <c r="M4" s="127" t="s">
        <v>10</v>
      </c>
      <c r="N4" s="127" t="s">
        <v>10</v>
      </c>
      <c r="O4" s="127" t="s">
        <v>10</v>
      </c>
      <c r="P4" s="100" t="s">
        <v>5</v>
      </c>
      <c r="Q4" s="100" t="s">
        <v>5</v>
      </c>
      <c r="R4" s="100" t="s">
        <v>4</v>
      </c>
      <c r="S4" s="100" t="s">
        <v>4</v>
      </c>
      <c r="T4" s="100" t="s">
        <v>5</v>
      </c>
      <c r="U4" s="100" t="s">
        <v>5</v>
      </c>
      <c r="V4" s="100" t="s">
        <v>5</v>
      </c>
      <c r="W4" s="100" t="s">
        <v>5</v>
      </c>
      <c r="X4" s="100" t="s">
        <v>5</v>
      </c>
      <c r="Y4" s="100" t="s">
        <v>4</v>
      </c>
      <c r="Z4" s="100" t="s">
        <v>4</v>
      </c>
      <c r="AA4" s="127" t="s">
        <v>11</v>
      </c>
      <c r="AB4" s="127" t="s">
        <v>10</v>
      </c>
      <c r="AC4" s="127" t="s">
        <v>10</v>
      </c>
      <c r="AD4" s="127" t="s">
        <v>10</v>
      </c>
      <c r="AE4" s="127" t="s">
        <v>10</v>
      </c>
      <c r="AF4" s="150" t="s">
        <v>4</v>
      </c>
      <c r="AG4" s="112" t="s">
        <v>3</v>
      </c>
      <c r="AH4" s="102" t="s">
        <v>2</v>
      </c>
      <c r="AI4" s="102" t="s">
        <v>2</v>
      </c>
      <c r="AM4" s="150" t="s">
        <v>4</v>
      </c>
      <c r="AN4" s="150" t="s">
        <v>4</v>
      </c>
    </row>
    <row r="5" spans="1:40" ht="15" thickBot="1" x14ac:dyDescent="0.4">
      <c r="A5" s="138" t="s">
        <v>12</v>
      </c>
      <c r="B5" s="120" t="s">
        <v>41</v>
      </c>
      <c r="C5" s="102" t="s">
        <v>2</v>
      </c>
      <c r="D5" s="101" t="s">
        <v>4</v>
      </c>
      <c r="E5" s="152" t="s">
        <v>11</v>
      </c>
      <c r="F5" s="127" t="s">
        <v>10</v>
      </c>
      <c r="G5" s="127" t="s">
        <v>10</v>
      </c>
      <c r="H5" s="127" t="s">
        <v>11</v>
      </c>
      <c r="I5" s="102" t="s">
        <v>2</v>
      </c>
      <c r="J5" s="102" t="s">
        <v>2</v>
      </c>
      <c r="K5" s="102" t="s">
        <v>2</v>
      </c>
      <c r="L5" s="152" t="s">
        <v>11</v>
      </c>
      <c r="M5" s="127" t="s">
        <v>10</v>
      </c>
      <c r="N5" s="127" t="s">
        <v>10</v>
      </c>
      <c r="O5" s="102" t="s">
        <v>2</v>
      </c>
      <c r="P5" s="127" t="s">
        <v>10</v>
      </c>
      <c r="Q5" s="127" t="s">
        <v>10</v>
      </c>
      <c r="R5" s="127" t="s">
        <v>11</v>
      </c>
      <c r="S5" s="127" t="s">
        <v>11</v>
      </c>
      <c r="T5" s="127" t="s">
        <v>10</v>
      </c>
      <c r="U5" s="102" t="s">
        <v>2</v>
      </c>
      <c r="V5" s="102" t="s">
        <v>2</v>
      </c>
      <c r="W5" s="127" t="s">
        <v>10</v>
      </c>
      <c r="X5" s="127" t="s">
        <v>10</v>
      </c>
      <c r="Y5" s="127" t="s">
        <v>11</v>
      </c>
      <c r="Z5" s="127" t="s">
        <v>11</v>
      </c>
      <c r="AA5" s="100" t="s">
        <v>5</v>
      </c>
      <c r="AB5" s="100" t="s">
        <v>5</v>
      </c>
      <c r="AC5" s="100" t="s">
        <v>5</v>
      </c>
      <c r="AD5" s="100" t="s">
        <v>5</v>
      </c>
      <c r="AE5" s="100" t="s">
        <v>5</v>
      </c>
      <c r="AF5" s="127" t="s">
        <v>11</v>
      </c>
      <c r="AG5" s="150" t="s">
        <v>4</v>
      </c>
      <c r="AH5" s="25" t="s">
        <v>6</v>
      </c>
      <c r="AI5" s="25" t="s">
        <v>6</v>
      </c>
      <c r="AM5" s="150" t="s">
        <v>4</v>
      </c>
      <c r="AN5" s="150" t="s">
        <v>4</v>
      </c>
    </row>
    <row r="6" spans="1:40" ht="15" thickBot="1" x14ac:dyDescent="0.4">
      <c r="A6" s="140" t="s">
        <v>69</v>
      </c>
      <c r="B6" s="111" t="s">
        <v>5</v>
      </c>
      <c r="C6" s="108" t="s">
        <v>2</v>
      </c>
      <c r="D6" s="110" t="s">
        <v>4</v>
      </c>
      <c r="E6" s="127" t="s">
        <v>11</v>
      </c>
      <c r="F6" s="127" t="s">
        <v>10</v>
      </c>
      <c r="G6" s="127" t="s">
        <v>10</v>
      </c>
      <c r="H6" s="127" t="s">
        <v>10</v>
      </c>
      <c r="I6" s="102" t="s">
        <v>2</v>
      </c>
      <c r="J6" s="102" t="s">
        <v>2</v>
      </c>
      <c r="K6" s="150" t="s">
        <v>4</v>
      </c>
      <c r="L6" s="152" t="s">
        <v>11</v>
      </c>
      <c r="M6" s="127" t="s">
        <v>10</v>
      </c>
      <c r="N6" s="127" t="s">
        <v>10</v>
      </c>
      <c r="O6" s="127" t="s">
        <v>10</v>
      </c>
      <c r="P6" s="127" t="s">
        <v>10</v>
      </c>
      <c r="Q6" s="102" t="s">
        <v>2</v>
      </c>
      <c r="R6" s="150" t="s">
        <v>4</v>
      </c>
      <c r="S6" s="127" t="s">
        <v>11</v>
      </c>
      <c r="T6" s="127" t="s">
        <v>10</v>
      </c>
      <c r="U6" s="127" t="s">
        <v>10</v>
      </c>
      <c r="V6" s="127" t="s">
        <v>10</v>
      </c>
      <c r="W6" s="127" t="s">
        <v>10</v>
      </c>
      <c r="X6" s="102" t="s">
        <v>2</v>
      </c>
      <c r="Y6" s="127" t="s">
        <v>11</v>
      </c>
      <c r="Z6" s="127" t="s">
        <v>11</v>
      </c>
      <c r="AA6" s="127" t="s">
        <v>11</v>
      </c>
      <c r="AB6" s="127" t="s">
        <v>10</v>
      </c>
      <c r="AC6" s="127" t="s">
        <v>10</v>
      </c>
      <c r="AD6" s="102" t="s">
        <v>2</v>
      </c>
      <c r="AE6" s="102" t="s">
        <v>2</v>
      </c>
      <c r="AF6" s="150" t="s">
        <v>4</v>
      </c>
      <c r="AG6" s="112" t="s">
        <v>3</v>
      </c>
      <c r="AH6" s="25" t="s">
        <v>6</v>
      </c>
      <c r="AM6" s="150" t="s">
        <v>4</v>
      </c>
      <c r="AN6" s="150" t="s">
        <v>4</v>
      </c>
    </row>
    <row r="7" spans="1:40" ht="15" thickBot="1" x14ac:dyDescent="0.4">
      <c r="A7" s="141" t="s">
        <v>71</v>
      </c>
      <c r="B7" s="19" t="s">
        <v>41</v>
      </c>
      <c r="C7" s="19" t="s">
        <v>41</v>
      </c>
      <c r="D7" s="19" t="s">
        <v>42</v>
      </c>
      <c r="E7" s="114" t="s">
        <v>4</v>
      </c>
      <c r="F7" s="22" t="s">
        <v>16</v>
      </c>
      <c r="G7" s="22" t="s">
        <v>16</v>
      </c>
      <c r="H7" s="100" t="s">
        <v>5</v>
      </c>
      <c r="I7" s="127" t="s">
        <v>10</v>
      </c>
      <c r="J7" s="127" t="s">
        <v>10</v>
      </c>
      <c r="K7" s="152" t="s">
        <v>11</v>
      </c>
      <c r="L7" s="150" t="s">
        <v>4</v>
      </c>
      <c r="M7" s="102" t="s">
        <v>2</v>
      </c>
      <c r="N7" s="102" t="s">
        <v>2</v>
      </c>
      <c r="O7" s="127" t="s">
        <v>10</v>
      </c>
      <c r="P7" s="127" t="s">
        <v>10</v>
      </c>
      <c r="Q7" s="127" t="s">
        <v>10</v>
      </c>
      <c r="R7" s="127" t="s">
        <v>11</v>
      </c>
      <c r="S7" s="127" t="s">
        <v>11</v>
      </c>
      <c r="T7" s="102" t="s">
        <v>2</v>
      </c>
      <c r="U7" s="127" t="s">
        <v>10</v>
      </c>
      <c r="V7" s="127" t="s">
        <v>10</v>
      </c>
      <c r="W7" s="127" t="s">
        <v>10</v>
      </c>
      <c r="X7" s="127" t="s">
        <v>10</v>
      </c>
      <c r="Y7" s="100" t="s">
        <v>4</v>
      </c>
      <c r="Z7" s="100" t="s">
        <v>4</v>
      </c>
      <c r="AA7" s="127" t="s">
        <v>11</v>
      </c>
      <c r="AB7" s="102" t="s">
        <v>2</v>
      </c>
      <c r="AC7" s="127" t="s">
        <v>11</v>
      </c>
      <c r="AD7" s="127" t="s">
        <v>10</v>
      </c>
      <c r="AE7" s="127" t="s">
        <v>10</v>
      </c>
      <c r="AF7" s="127" t="s">
        <v>11</v>
      </c>
      <c r="AG7" s="150" t="s">
        <v>4</v>
      </c>
      <c r="AH7" s="102" t="s">
        <v>2</v>
      </c>
      <c r="AM7" s="150" t="s">
        <v>4</v>
      </c>
      <c r="AN7" s="150" t="s">
        <v>4</v>
      </c>
    </row>
    <row r="8" spans="1:40" ht="15" thickBot="1" x14ac:dyDescent="0.4">
      <c r="A8" s="141" t="s">
        <v>70</v>
      </c>
      <c r="B8" s="22" t="s">
        <v>16</v>
      </c>
      <c r="C8" s="19" t="s">
        <v>41</v>
      </c>
      <c r="D8" s="114" t="s">
        <v>4</v>
      </c>
      <c r="E8" s="114" t="s">
        <v>4</v>
      </c>
      <c r="F8" s="127" t="s">
        <v>10</v>
      </c>
      <c r="G8" s="127" t="s">
        <v>10</v>
      </c>
      <c r="H8" s="100" t="s">
        <v>5</v>
      </c>
      <c r="I8" s="127" t="s">
        <v>10</v>
      </c>
      <c r="J8" s="127" t="s">
        <v>10</v>
      </c>
      <c r="K8" s="152" t="s">
        <v>11</v>
      </c>
      <c r="L8" s="152" t="s">
        <v>11</v>
      </c>
      <c r="M8" s="102" t="s">
        <v>2</v>
      </c>
      <c r="N8" s="102" t="s">
        <v>2</v>
      </c>
      <c r="O8" s="22" t="s">
        <v>16</v>
      </c>
      <c r="P8" s="22" t="s">
        <v>16</v>
      </c>
      <c r="Q8" s="127" t="s">
        <v>10</v>
      </c>
      <c r="R8" s="127" t="s">
        <v>11</v>
      </c>
      <c r="S8" s="150" t="s">
        <v>4</v>
      </c>
      <c r="T8" s="127" t="s">
        <v>10</v>
      </c>
      <c r="U8" s="127" t="s">
        <v>10</v>
      </c>
      <c r="V8" s="127" t="s">
        <v>10</v>
      </c>
      <c r="W8" s="102" t="s">
        <v>2</v>
      </c>
      <c r="X8" s="127" t="s">
        <v>10</v>
      </c>
      <c r="Y8" s="127" t="s">
        <v>11</v>
      </c>
      <c r="Z8" s="127" t="s">
        <v>11</v>
      </c>
      <c r="AA8" s="100" t="s">
        <v>5</v>
      </c>
      <c r="AB8" s="127" t="s">
        <v>10</v>
      </c>
      <c r="AC8" s="100" t="s">
        <v>5</v>
      </c>
      <c r="AD8" s="127" t="s">
        <v>10</v>
      </c>
      <c r="AE8" s="127" t="s">
        <v>10</v>
      </c>
      <c r="AF8" s="127" t="s">
        <v>11</v>
      </c>
      <c r="AG8" s="150" t="s">
        <v>4</v>
      </c>
      <c r="AH8" s="25" t="s">
        <v>6</v>
      </c>
      <c r="AM8" s="150" t="s">
        <v>4</v>
      </c>
      <c r="AN8" s="150" t="s">
        <v>4</v>
      </c>
    </row>
    <row r="9" spans="1:40" ht="15" thickBot="1" x14ac:dyDescent="0.4">
      <c r="B9" s="142"/>
      <c r="C9" s="142"/>
      <c r="D9" s="142"/>
    </row>
    <row r="10" spans="1:40" ht="15" thickBot="1" x14ac:dyDescent="0.4">
      <c r="A10" s="137" t="s">
        <v>9</v>
      </c>
      <c r="B10" s="123" t="s">
        <v>10</v>
      </c>
      <c r="C10" s="123" t="s">
        <v>10</v>
      </c>
      <c r="D10" s="110" t="s">
        <v>4</v>
      </c>
      <c r="E10" s="154" t="s">
        <v>3</v>
      </c>
      <c r="F10" s="25" t="s">
        <v>6</v>
      </c>
      <c r="G10" s="154" t="s">
        <v>3</v>
      </c>
      <c r="H10" s="100" t="s">
        <v>5</v>
      </c>
      <c r="I10" s="100" t="s">
        <v>5</v>
      </c>
      <c r="J10" s="100" t="s">
        <v>5</v>
      </c>
      <c r="K10" s="100" t="s">
        <v>4</v>
      </c>
      <c r="L10" s="100" t="s">
        <v>4</v>
      </c>
      <c r="M10" s="25" t="s">
        <v>6</v>
      </c>
      <c r="N10" s="25" t="s">
        <v>6</v>
      </c>
      <c r="O10" s="25" t="s">
        <v>6</v>
      </c>
      <c r="P10" s="102" t="s">
        <v>2</v>
      </c>
      <c r="Q10" s="25" t="s">
        <v>6</v>
      </c>
      <c r="R10" s="25" t="s">
        <v>3</v>
      </c>
      <c r="S10" s="150" t="s">
        <v>4</v>
      </c>
      <c r="T10" s="102" t="s">
        <v>2</v>
      </c>
      <c r="U10" s="102" t="s">
        <v>2</v>
      </c>
      <c r="V10" s="25" t="s">
        <v>6</v>
      </c>
      <c r="W10" s="25" t="s">
        <v>6</v>
      </c>
      <c r="X10" s="102" t="s">
        <v>2</v>
      </c>
      <c r="Y10" s="150" t="s">
        <v>4</v>
      </c>
      <c r="Z10" s="154" t="s">
        <v>3</v>
      </c>
      <c r="AA10" s="154" t="s">
        <v>3</v>
      </c>
      <c r="AB10" s="25" t="s">
        <v>6</v>
      </c>
      <c r="AC10" s="100" t="s">
        <v>5</v>
      </c>
      <c r="AD10" s="25" t="s">
        <v>6</v>
      </c>
      <c r="AE10" s="102" t="s">
        <v>2</v>
      </c>
      <c r="AF10" s="25" t="s">
        <v>3</v>
      </c>
      <c r="AG10" s="150" t="s">
        <v>4</v>
      </c>
      <c r="AH10" s="102" t="s">
        <v>2</v>
      </c>
      <c r="AM10" s="150" t="s">
        <v>4</v>
      </c>
      <c r="AN10" s="150" t="s">
        <v>4</v>
      </c>
    </row>
    <row r="11" spans="1:40" ht="15" thickBot="1" x14ac:dyDescent="0.4">
      <c r="A11" s="138" t="s">
        <v>15</v>
      </c>
      <c r="B11" s="102" t="s">
        <v>2</v>
      </c>
      <c r="C11" s="22" t="s">
        <v>16</v>
      </c>
      <c r="D11" s="123" t="s">
        <v>11</v>
      </c>
      <c r="E11" s="110" t="s">
        <v>4</v>
      </c>
      <c r="F11" s="108" t="s">
        <v>2</v>
      </c>
      <c r="G11" s="25" t="s">
        <v>6</v>
      </c>
      <c r="H11" s="25" t="s">
        <v>3</v>
      </c>
      <c r="I11" s="25" t="s">
        <v>6</v>
      </c>
      <c r="J11" s="25" t="s">
        <v>6</v>
      </c>
      <c r="K11" s="25" t="s">
        <v>3</v>
      </c>
      <c r="L11" s="25" t="s">
        <v>3</v>
      </c>
      <c r="M11" s="108" t="s">
        <v>2</v>
      </c>
      <c r="N11" s="108" t="s">
        <v>2</v>
      </c>
      <c r="O11" s="25" t="s">
        <v>6</v>
      </c>
      <c r="P11" s="25" t="s">
        <v>6</v>
      </c>
      <c r="Q11" s="25" t="s">
        <v>6</v>
      </c>
      <c r="R11" s="150" t="s">
        <v>4</v>
      </c>
      <c r="S11" s="25" t="s">
        <v>3</v>
      </c>
      <c r="T11" s="25" t="s">
        <v>6</v>
      </c>
      <c r="U11" s="25" t="s">
        <v>6</v>
      </c>
      <c r="V11" s="102" t="s">
        <v>2</v>
      </c>
      <c r="W11" s="102" t="s">
        <v>2</v>
      </c>
      <c r="X11" s="25" t="s">
        <v>6</v>
      </c>
      <c r="Y11" s="25" t="s">
        <v>3</v>
      </c>
      <c r="Z11" s="150" t="s">
        <v>4</v>
      </c>
      <c r="AA11" s="115" t="s">
        <v>37</v>
      </c>
      <c r="AB11" s="25" t="s">
        <v>6</v>
      </c>
      <c r="AC11" s="25" t="s">
        <v>6</v>
      </c>
      <c r="AD11" s="100" t="s">
        <v>5</v>
      </c>
      <c r="AE11" s="25" t="s">
        <v>6</v>
      </c>
      <c r="AF11" s="150" t="s">
        <v>4</v>
      </c>
      <c r="AG11" s="19" t="s">
        <v>42</v>
      </c>
      <c r="AH11" s="19" t="s">
        <v>41</v>
      </c>
      <c r="AM11" s="150" t="s">
        <v>4</v>
      </c>
      <c r="AN11" s="150" t="s">
        <v>4</v>
      </c>
    </row>
    <row r="12" spans="1:40" ht="15" thickBot="1" x14ac:dyDescent="0.4">
      <c r="A12" s="140" t="s">
        <v>21</v>
      </c>
      <c r="B12" s="127" t="s">
        <v>10</v>
      </c>
      <c r="C12" s="127" t="s">
        <v>10</v>
      </c>
      <c r="D12" s="127" t="s">
        <v>11</v>
      </c>
      <c r="E12" s="110" t="s">
        <v>4</v>
      </c>
      <c r="F12" s="25" t="s">
        <v>6</v>
      </c>
      <c r="G12" s="100" t="s">
        <v>5</v>
      </c>
      <c r="H12" s="25" t="s">
        <v>3</v>
      </c>
      <c r="I12" s="25" t="s">
        <v>6</v>
      </c>
      <c r="J12" s="25" t="s">
        <v>6</v>
      </c>
      <c r="K12" s="25" t="s">
        <v>3</v>
      </c>
      <c r="L12" s="150" t="s">
        <v>4</v>
      </c>
      <c r="M12" s="108" t="s">
        <v>2</v>
      </c>
      <c r="N12" s="25" t="s">
        <v>6</v>
      </c>
      <c r="O12" s="25" t="s">
        <v>6</v>
      </c>
      <c r="P12" s="100" t="s">
        <v>5</v>
      </c>
      <c r="Q12" s="100" t="s">
        <v>5</v>
      </c>
      <c r="R12" s="150" t="s">
        <v>4</v>
      </c>
      <c r="S12" s="25" t="s">
        <v>3</v>
      </c>
      <c r="T12" s="25" t="s">
        <v>6</v>
      </c>
      <c r="U12" s="25" t="s">
        <v>6</v>
      </c>
      <c r="V12" s="25" t="s">
        <v>6</v>
      </c>
      <c r="W12" s="100" t="s">
        <v>5</v>
      </c>
      <c r="X12" s="100" t="s">
        <v>5</v>
      </c>
      <c r="Y12" s="150" t="s">
        <v>4</v>
      </c>
      <c r="Z12" s="154" t="s">
        <v>3</v>
      </c>
      <c r="AA12" s="154" t="s">
        <v>3</v>
      </c>
      <c r="AB12" s="102" t="s">
        <v>2</v>
      </c>
      <c r="AC12" s="74" t="s">
        <v>6</v>
      </c>
      <c r="AD12" s="74" t="s">
        <v>6</v>
      </c>
      <c r="AE12" s="74" t="s">
        <v>6</v>
      </c>
      <c r="AF12" s="75" t="s">
        <v>30</v>
      </c>
      <c r="AG12" s="133" t="s">
        <v>42</v>
      </c>
      <c r="AH12" s="133" t="s">
        <v>41</v>
      </c>
      <c r="AM12" s="150" t="s">
        <v>4</v>
      </c>
      <c r="AN12" s="150" t="s">
        <v>4</v>
      </c>
    </row>
    <row r="13" spans="1:40" ht="15" thickBot="1" x14ac:dyDescent="0.4">
      <c r="A13" s="141" t="s">
        <v>22</v>
      </c>
      <c r="B13" s="16" t="s">
        <v>10</v>
      </c>
      <c r="C13" s="101" t="s">
        <v>4</v>
      </c>
      <c r="D13" s="101" t="s">
        <v>4</v>
      </c>
      <c r="E13" s="74" t="s">
        <v>3</v>
      </c>
      <c r="F13" s="74" t="s">
        <v>6</v>
      </c>
      <c r="G13" s="74" t="s">
        <v>6</v>
      </c>
      <c r="H13" s="74" t="s">
        <v>3</v>
      </c>
      <c r="I13" s="74" t="s">
        <v>6</v>
      </c>
      <c r="J13" s="100" t="s">
        <v>5</v>
      </c>
      <c r="K13" s="100" t="s">
        <v>4</v>
      </c>
      <c r="L13" s="25" t="s">
        <v>3</v>
      </c>
      <c r="M13" s="25" t="s">
        <v>6</v>
      </c>
      <c r="N13" s="25" t="s">
        <v>6</v>
      </c>
      <c r="O13" s="102" t="s">
        <v>2</v>
      </c>
      <c r="P13" s="25" t="s">
        <v>6</v>
      </c>
      <c r="Q13" s="25" t="s">
        <v>6</v>
      </c>
      <c r="R13" s="25" t="s">
        <v>3</v>
      </c>
      <c r="S13" s="150" t="s">
        <v>4</v>
      </c>
      <c r="T13" s="108" t="s">
        <v>2</v>
      </c>
      <c r="U13" s="25" t="s">
        <v>6</v>
      </c>
      <c r="V13" s="25" t="s">
        <v>6</v>
      </c>
      <c r="W13" s="25" t="s">
        <v>6</v>
      </c>
      <c r="X13" s="25" t="s">
        <v>6</v>
      </c>
      <c r="Y13" s="25" t="s">
        <v>3</v>
      </c>
      <c r="Z13" s="150" t="s">
        <v>4</v>
      </c>
      <c r="AA13" s="100" t="s">
        <v>5</v>
      </c>
      <c r="AB13" s="100" t="s">
        <v>5</v>
      </c>
      <c r="AC13" s="25" t="s">
        <v>6</v>
      </c>
      <c r="AD13" s="25" t="s">
        <v>6</v>
      </c>
      <c r="AE13" s="25" t="s">
        <v>6</v>
      </c>
      <c r="AF13" s="25" t="s">
        <v>3</v>
      </c>
      <c r="AG13" s="150" t="s">
        <v>4</v>
      </c>
      <c r="AH13" s="75" t="s">
        <v>41</v>
      </c>
      <c r="AM13" s="150" t="s">
        <v>4</v>
      </c>
      <c r="AN13" s="150" t="s">
        <v>4</v>
      </c>
    </row>
    <row r="14" spans="1:40" ht="15" thickBot="1" x14ac:dyDescent="0.4">
      <c r="A14" s="141" t="s">
        <v>124</v>
      </c>
      <c r="B14" s="22" t="s">
        <v>16</v>
      </c>
      <c r="C14" s="16" t="s">
        <v>10</v>
      </c>
      <c r="D14" s="16" t="s">
        <v>11</v>
      </c>
      <c r="E14" s="114" t="s">
        <v>4</v>
      </c>
      <c r="F14" s="108" t="s">
        <v>2</v>
      </c>
      <c r="G14" s="25" t="s">
        <v>6</v>
      </c>
      <c r="H14" s="115" t="s">
        <v>37</v>
      </c>
      <c r="I14" s="25" t="s">
        <v>6</v>
      </c>
      <c r="J14" s="25" t="s">
        <v>6</v>
      </c>
      <c r="K14" s="22" t="s">
        <v>30</v>
      </c>
      <c r="L14" s="150" t="s">
        <v>4</v>
      </c>
      <c r="M14" s="25" t="s">
        <v>6</v>
      </c>
      <c r="N14" s="25" t="s">
        <v>6</v>
      </c>
      <c r="O14" s="102" t="s">
        <v>2</v>
      </c>
      <c r="P14" s="25" t="s">
        <v>6</v>
      </c>
      <c r="Q14" s="25" t="s">
        <v>6</v>
      </c>
      <c r="R14" s="22" t="s">
        <v>30</v>
      </c>
      <c r="S14" s="150" t="s">
        <v>4</v>
      </c>
      <c r="T14" s="25" t="s">
        <v>6</v>
      </c>
      <c r="U14" s="25" t="s">
        <v>6</v>
      </c>
      <c r="V14" s="102" t="s">
        <v>2</v>
      </c>
      <c r="W14" s="25" t="s">
        <v>6</v>
      </c>
      <c r="X14" s="25" t="s">
        <v>6</v>
      </c>
      <c r="Y14" s="22" t="s">
        <v>30</v>
      </c>
      <c r="Z14" s="150" t="s">
        <v>4</v>
      </c>
      <c r="AA14" s="154" t="s">
        <v>3</v>
      </c>
      <c r="AB14" s="25" t="s">
        <v>6</v>
      </c>
      <c r="AC14" s="25" t="s">
        <v>6</v>
      </c>
      <c r="AD14" s="100" t="s">
        <v>5</v>
      </c>
      <c r="AE14" s="100" t="s">
        <v>5</v>
      </c>
      <c r="AF14" s="150" t="s">
        <v>4</v>
      </c>
      <c r="AG14" s="150" t="s">
        <v>4</v>
      </c>
      <c r="AH14" s="19" t="s">
        <v>41</v>
      </c>
      <c r="AM14" s="150" t="s">
        <v>4</v>
      </c>
      <c r="AN14" s="150" t="s">
        <v>4</v>
      </c>
    </row>
    <row r="15" spans="1:40" ht="15" thickBot="1" x14ac:dyDescent="0.4">
      <c r="B15" s="142"/>
      <c r="C15" s="142"/>
      <c r="D15" s="142"/>
    </row>
    <row r="16" spans="1:40" ht="15" thickBot="1" x14ac:dyDescent="0.4">
      <c r="A16" s="137" t="s">
        <v>1</v>
      </c>
      <c r="B16" s="103" t="s">
        <v>6</v>
      </c>
      <c r="C16" s="104" t="s">
        <v>2</v>
      </c>
      <c r="D16" s="105" t="s">
        <v>3</v>
      </c>
      <c r="E16" s="155" t="s">
        <v>42</v>
      </c>
      <c r="F16" s="108" t="s">
        <v>2</v>
      </c>
      <c r="G16" s="164" t="s">
        <v>41</v>
      </c>
      <c r="H16" s="155" t="s">
        <v>42</v>
      </c>
      <c r="I16" s="133" t="s">
        <v>41</v>
      </c>
      <c r="J16" s="108" t="s">
        <v>2</v>
      </c>
      <c r="K16" s="155" t="s">
        <v>42</v>
      </c>
      <c r="L16" s="100" t="s">
        <v>4</v>
      </c>
      <c r="M16" s="133" t="s">
        <v>41</v>
      </c>
      <c r="N16" s="133" t="s">
        <v>41</v>
      </c>
      <c r="O16" s="19" t="s">
        <v>41</v>
      </c>
      <c r="P16" s="19" t="s">
        <v>41</v>
      </c>
      <c r="Q16" s="102" t="s">
        <v>2</v>
      </c>
      <c r="R16" s="150" t="s">
        <v>4</v>
      </c>
      <c r="S16" s="155" t="s">
        <v>42</v>
      </c>
      <c r="T16" s="133" t="s">
        <v>41</v>
      </c>
      <c r="U16" s="133" t="s">
        <v>41</v>
      </c>
      <c r="V16" s="19" t="s">
        <v>41</v>
      </c>
      <c r="W16" s="19" t="s">
        <v>41</v>
      </c>
      <c r="X16" s="19" t="s">
        <v>41</v>
      </c>
      <c r="Y16" s="150" t="s">
        <v>4</v>
      </c>
      <c r="Z16" s="155" t="s">
        <v>42</v>
      </c>
      <c r="AA16" s="19" t="s">
        <v>41</v>
      </c>
      <c r="AB16" s="19" t="s">
        <v>41</v>
      </c>
      <c r="AC16" s="19" t="s">
        <v>41</v>
      </c>
      <c r="AD16" s="102" t="s">
        <v>2</v>
      </c>
      <c r="AE16" s="102" t="s">
        <v>2</v>
      </c>
      <c r="AF16" s="155" t="s">
        <v>42</v>
      </c>
      <c r="AG16" s="100" t="s">
        <v>5</v>
      </c>
      <c r="AH16" s="100" t="s">
        <v>5</v>
      </c>
      <c r="AM16" s="150" t="s">
        <v>4</v>
      </c>
      <c r="AN16" s="150" t="s">
        <v>4</v>
      </c>
    </row>
    <row r="17" spans="1:40" ht="15" thickBot="1" x14ac:dyDescent="0.4">
      <c r="A17" s="138" t="s">
        <v>18</v>
      </c>
      <c r="B17" s="105" t="s">
        <v>6</v>
      </c>
      <c r="C17" s="105" t="s">
        <v>6</v>
      </c>
      <c r="D17" s="157" t="s">
        <v>4</v>
      </c>
      <c r="E17" s="157" t="s">
        <v>4</v>
      </c>
      <c r="F17" s="22" t="s">
        <v>16</v>
      </c>
      <c r="G17" s="22" t="s">
        <v>16</v>
      </c>
      <c r="H17" s="115" t="s">
        <v>37</v>
      </c>
      <c r="I17" s="22" t="s">
        <v>16</v>
      </c>
      <c r="J17" s="22" t="s">
        <v>16</v>
      </c>
      <c r="K17" s="150" t="s">
        <v>4</v>
      </c>
      <c r="L17" s="150" t="s">
        <v>4</v>
      </c>
      <c r="M17" s="22" t="s">
        <v>16</v>
      </c>
      <c r="N17" s="22" t="s">
        <v>16</v>
      </c>
      <c r="O17" s="22" t="s">
        <v>16</v>
      </c>
      <c r="P17" s="22" t="s">
        <v>16</v>
      </c>
      <c r="Q17" s="22" t="s">
        <v>16</v>
      </c>
      <c r="R17" s="150" t="s">
        <v>4</v>
      </c>
      <c r="S17" s="150" t="s">
        <v>4</v>
      </c>
      <c r="T17" s="22" t="s">
        <v>16</v>
      </c>
      <c r="U17" s="22" t="s">
        <v>16</v>
      </c>
      <c r="V17" s="22" t="s">
        <v>16</v>
      </c>
      <c r="W17" s="22" t="s">
        <v>16</v>
      </c>
      <c r="X17" s="22" t="s">
        <v>16</v>
      </c>
      <c r="Y17" s="150" t="s">
        <v>4</v>
      </c>
      <c r="Z17" s="150" t="s">
        <v>4</v>
      </c>
      <c r="AA17" s="115" t="s">
        <v>37</v>
      </c>
      <c r="AB17" s="22" t="s">
        <v>16</v>
      </c>
      <c r="AC17" s="159"/>
      <c r="AD17" s="159"/>
      <c r="AE17" s="159"/>
      <c r="AF17" s="150" t="s">
        <v>4</v>
      </c>
      <c r="AG17" s="150" t="s">
        <v>4</v>
      </c>
      <c r="AH17" s="159"/>
      <c r="AM17" s="150" t="s">
        <v>4</v>
      </c>
      <c r="AN17" s="150" t="s">
        <v>4</v>
      </c>
    </row>
    <row r="18" spans="1:40" ht="15" thickBot="1" x14ac:dyDescent="0.4">
      <c r="A18" s="140" t="s">
        <v>68</v>
      </c>
      <c r="B18" s="112" t="s">
        <v>6</v>
      </c>
      <c r="C18" s="108" t="s">
        <v>2</v>
      </c>
      <c r="D18" s="110" t="s">
        <v>4</v>
      </c>
      <c r="E18" s="134" t="s">
        <v>42</v>
      </c>
      <c r="F18" s="133" t="s">
        <v>41</v>
      </c>
      <c r="G18" s="133" t="s">
        <v>41</v>
      </c>
      <c r="H18" s="160" t="s">
        <v>42</v>
      </c>
      <c r="I18" s="133" t="s">
        <v>41</v>
      </c>
      <c r="J18" s="133" t="s">
        <v>41</v>
      </c>
      <c r="K18" s="150" t="s">
        <v>4</v>
      </c>
      <c r="L18" s="19" t="s">
        <v>42</v>
      </c>
      <c r="M18" s="19" t="s">
        <v>41</v>
      </c>
      <c r="N18" s="19" t="s">
        <v>41</v>
      </c>
      <c r="O18" s="102" t="s">
        <v>2</v>
      </c>
      <c r="P18" s="19" t="s">
        <v>41</v>
      </c>
      <c r="Q18" s="19" t="s">
        <v>41</v>
      </c>
      <c r="R18" s="150" t="s">
        <v>4</v>
      </c>
      <c r="S18" s="19" t="s">
        <v>41</v>
      </c>
      <c r="T18" s="102" t="s">
        <v>2</v>
      </c>
      <c r="U18" s="19" t="s">
        <v>41</v>
      </c>
      <c r="V18" s="19" t="s">
        <v>41</v>
      </c>
      <c r="W18" s="19" t="s">
        <v>41</v>
      </c>
      <c r="X18" s="19" t="s">
        <v>41</v>
      </c>
      <c r="Y18" s="155" t="s">
        <v>42</v>
      </c>
      <c r="Z18" s="150" t="s">
        <v>4</v>
      </c>
      <c r="AA18" s="100" t="s">
        <v>5</v>
      </c>
      <c r="AB18" s="100" t="s">
        <v>5</v>
      </c>
      <c r="AC18" s="100" t="s">
        <v>5</v>
      </c>
      <c r="AD18" s="19" t="s">
        <v>41</v>
      </c>
      <c r="AE18" s="19" t="s">
        <v>41</v>
      </c>
      <c r="AF18" s="155" t="s">
        <v>42</v>
      </c>
      <c r="AG18" s="127" t="s">
        <v>11</v>
      </c>
      <c r="AH18" s="127" t="s">
        <v>10</v>
      </c>
      <c r="AM18" s="150" t="s">
        <v>4</v>
      </c>
      <c r="AN18" s="150" t="s">
        <v>4</v>
      </c>
    </row>
    <row r="19" spans="1:40" ht="15" thickBot="1" x14ac:dyDescent="0.4">
      <c r="A19" s="141" t="s">
        <v>43</v>
      </c>
      <c r="B19" s="25" t="s">
        <v>6</v>
      </c>
      <c r="C19" s="25" t="s">
        <v>6</v>
      </c>
      <c r="D19" s="25" t="s">
        <v>3</v>
      </c>
      <c r="E19" s="157" t="s">
        <v>4</v>
      </c>
      <c r="F19" s="19" t="s">
        <v>41</v>
      </c>
      <c r="G19" s="19" t="s">
        <v>41</v>
      </c>
      <c r="H19" s="115" t="s">
        <v>37</v>
      </c>
      <c r="I19" s="19" t="s">
        <v>41</v>
      </c>
      <c r="J19" s="19" t="s">
        <v>41</v>
      </c>
      <c r="K19" s="150" t="s">
        <v>4</v>
      </c>
      <c r="L19" s="19" t="s">
        <v>42</v>
      </c>
      <c r="M19" s="133" t="s">
        <v>41</v>
      </c>
      <c r="N19" s="133" t="s">
        <v>41</v>
      </c>
      <c r="O19" s="133" t="s">
        <v>41</v>
      </c>
      <c r="P19" s="133" t="s">
        <v>41</v>
      </c>
      <c r="Q19" s="133" t="s">
        <v>41</v>
      </c>
      <c r="R19" s="160" t="s">
        <v>42</v>
      </c>
      <c r="S19" s="150" t="s">
        <v>4</v>
      </c>
      <c r="T19" s="19" t="s">
        <v>41</v>
      </c>
      <c r="U19" s="100" t="s">
        <v>5</v>
      </c>
      <c r="V19" s="100" t="s">
        <v>5</v>
      </c>
      <c r="W19" s="100" t="s">
        <v>5</v>
      </c>
      <c r="X19" s="100" t="s">
        <v>5</v>
      </c>
      <c r="Y19" s="155" t="s">
        <v>42</v>
      </c>
      <c r="Z19" s="150" t="s">
        <v>4</v>
      </c>
      <c r="AA19" s="19" t="s">
        <v>41</v>
      </c>
      <c r="AB19" s="19" t="s">
        <v>41</v>
      </c>
      <c r="AC19" s="19" t="s">
        <v>41</v>
      </c>
      <c r="AD19" s="19" t="s">
        <v>41</v>
      </c>
      <c r="AE19" s="19" t="s">
        <v>41</v>
      </c>
      <c r="AF19" s="150" t="s">
        <v>4</v>
      </c>
      <c r="AG19" s="127" t="s">
        <v>11</v>
      </c>
      <c r="AH19" s="127" t="s">
        <v>10</v>
      </c>
      <c r="AM19" s="150" t="s">
        <v>4</v>
      </c>
      <c r="AN19" s="150" t="s">
        <v>4</v>
      </c>
    </row>
    <row r="20" spans="1:40" x14ac:dyDescent="0.35">
      <c r="A20" s="141" t="s">
        <v>60</v>
      </c>
      <c r="B20" s="22" t="s">
        <v>16</v>
      </c>
      <c r="C20" s="25" t="s">
        <v>6</v>
      </c>
      <c r="D20" s="149" t="s">
        <v>30</v>
      </c>
      <c r="E20" s="114" t="s">
        <v>4</v>
      </c>
      <c r="F20" s="19" t="s">
        <v>41</v>
      </c>
      <c r="G20" s="19" t="s">
        <v>41</v>
      </c>
      <c r="H20" s="155" t="s">
        <v>42</v>
      </c>
      <c r="I20" s="100" t="s">
        <v>5</v>
      </c>
      <c r="J20" s="100" t="s">
        <v>5</v>
      </c>
      <c r="K20" s="19" t="s">
        <v>42</v>
      </c>
      <c r="L20" s="150" t="s">
        <v>4</v>
      </c>
      <c r="M20" s="100" t="s">
        <v>5</v>
      </c>
      <c r="N20" s="100" t="s">
        <v>5</v>
      </c>
      <c r="O20" s="75" t="s">
        <v>41</v>
      </c>
      <c r="P20" s="75" t="s">
        <v>41</v>
      </c>
      <c r="Q20" s="19" t="s">
        <v>41</v>
      </c>
      <c r="R20" s="155" t="s">
        <v>42</v>
      </c>
      <c r="S20" s="150" t="s">
        <v>4</v>
      </c>
      <c r="T20" s="19" t="s">
        <v>41</v>
      </c>
      <c r="U20" s="75" t="s">
        <v>41</v>
      </c>
      <c r="V20" s="75" t="s">
        <v>41</v>
      </c>
      <c r="W20" s="75" t="s">
        <v>41</v>
      </c>
      <c r="X20" s="75" t="s">
        <v>41</v>
      </c>
      <c r="Y20" s="150" t="s">
        <v>4</v>
      </c>
      <c r="Z20" s="155" t="s">
        <v>42</v>
      </c>
      <c r="AA20" s="155" t="s">
        <v>42</v>
      </c>
      <c r="AB20" s="19" t="s">
        <v>41</v>
      </c>
      <c r="AC20" s="19" t="s">
        <v>41</v>
      </c>
      <c r="AD20" s="155" t="s">
        <v>42</v>
      </c>
      <c r="AE20" s="19" t="s">
        <v>41</v>
      </c>
      <c r="AF20" s="150" t="s">
        <v>4</v>
      </c>
      <c r="AG20" s="100" t="s">
        <v>5</v>
      </c>
      <c r="AH20" s="127" t="s">
        <v>10</v>
      </c>
      <c r="AM20" s="150" t="s">
        <v>4</v>
      </c>
      <c r="AN20" s="150" t="s">
        <v>4</v>
      </c>
    </row>
    <row r="22" spans="1:40" x14ac:dyDescent="0.35">
      <c r="A22" s="128" t="s">
        <v>125</v>
      </c>
      <c r="B22">
        <f>COUNTIF(B4:B20,"*MS")</f>
        <v>4</v>
      </c>
      <c r="C22">
        <f t="shared" ref="C22:AN22" si="1">COUNTIF(C4:C20,"*MS")</f>
        <v>3</v>
      </c>
      <c r="D22">
        <f t="shared" si="1"/>
        <v>2</v>
      </c>
      <c r="E22">
        <f t="shared" si="1"/>
        <v>2</v>
      </c>
      <c r="F22">
        <f t="shared" si="1"/>
        <v>3</v>
      </c>
      <c r="G22">
        <f t="shared" si="1"/>
        <v>4</v>
      </c>
      <c r="H22">
        <f t="shared" si="1"/>
        <v>3</v>
      </c>
      <c r="I22">
        <f t="shared" si="1"/>
        <v>4</v>
      </c>
      <c r="J22">
        <f t="shared" si="1"/>
        <v>3</v>
      </c>
      <c r="K22">
        <f t="shared" si="1"/>
        <v>2</v>
      </c>
      <c r="L22">
        <f>COUNTIF(L4:L20,"*MS")</f>
        <v>2</v>
      </c>
      <c r="M22">
        <f t="shared" si="1"/>
        <v>3</v>
      </c>
      <c r="N22">
        <f t="shared" si="1"/>
        <v>4</v>
      </c>
      <c r="O22">
        <f t="shared" si="1"/>
        <v>3</v>
      </c>
      <c r="P22">
        <f t="shared" si="1"/>
        <v>3</v>
      </c>
      <c r="Q22">
        <f t="shared" si="1"/>
        <v>4</v>
      </c>
      <c r="R22">
        <f t="shared" si="1"/>
        <v>2</v>
      </c>
      <c r="S22">
        <f t="shared" si="1"/>
        <v>2</v>
      </c>
      <c r="T22">
        <f t="shared" si="1"/>
        <v>3</v>
      </c>
      <c r="U22">
        <f t="shared" si="1"/>
        <v>4</v>
      </c>
      <c r="V22">
        <f t="shared" si="1"/>
        <v>3</v>
      </c>
      <c r="W22">
        <f t="shared" si="1"/>
        <v>3</v>
      </c>
      <c r="X22">
        <f t="shared" si="1"/>
        <v>3</v>
      </c>
      <c r="Y22">
        <f t="shared" si="1"/>
        <v>2</v>
      </c>
      <c r="Z22">
        <f t="shared" si="1"/>
        <v>2</v>
      </c>
      <c r="AA22">
        <f t="shared" si="1"/>
        <v>3</v>
      </c>
      <c r="AB22">
        <f t="shared" si="1"/>
        <v>3</v>
      </c>
      <c r="AC22">
        <f t="shared" si="1"/>
        <v>4</v>
      </c>
      <c r="AD22">
        <f t="shared" si="1"/>
        <v>3</v>
      </c>
      <c r="AE22">
        <f t="shared" si="1"/>
        <v>3</v>
      </c>
      <c r="AF22">
        <f>COUNTIF(AF5:AF20,"*MS")</f>
        <v>2</v>
      </c>
      <c r="AG22">
        <f>COUNTIF(AG4:AG20,"*MS")</f>
        <v>2</v>
      </c>
      <c r="AH22">
        <f t="shared" si="1"/>
        <v>3</v>
      </c>
      <c r="AI22">
        <f t="shared" si="1"/>
        <v>1</v>
      </c>
      <c r="AJ22">
        <f t="shared" si="1"/>
        <v>0</v>
      </c>
      <c r="AK22">
        <f t="shared" si="1"/>
        <v>0</v>
      </c>
      <c r="AL22">
        <f t="shared" si="1"/>
        <v>0</v>
      </c>
      <c r="AM22">
        <f t="shared" si="1"/>
        <v>0</v>
      </c>
      <c r="AN22">
        <f t="shared" si="1"/>
        <v>0</v>
      </c>
    </row>
    <row r="23" spans="1:40" x14ac:dyDescent="0.35">
      <c r="A23" s="128" t="s">
        <v>126</v>
      </c>
      <c r="B23">
        <f>COUNTIF(B4:B20,"*ASS1")</f>
        <v>3</v>
      </c>
      <c r="C23">
        <f t="shared" ref="C23:AN23" si="2">COUNTIF(C4:C20,"*ASS1")</f>
        <v>3</v>
      </c>
      <c r="D23">
        <f t="shared" si="2"/>
        <v>2</v>
      </c>
      <c r="E23">
        <f t="shared" si="2"/>
        <v>2</v>
      </c>
      <c r="F23">
        <f t="shared" si="2"/>
        <v>3</v>
      </c>
      <c r="G23">
        <f t="shared" si="2"/>
        <v>4</v>
      </c>
      <c r="H23">
        <f t="shared" si="2"/>
        <v>3</v>
      </c>
      <c r="I23">
        <f t="shared" si="2"/>
        <v>3</v>
      </c>
      <c r="J23">
        <f t="shared" si="2"/>
        <v>2</v>
      </c>
      <c r="K23">
        <f t="shared" si="2"/>
        <v>2</v>
      </c>
      <c r="L23">
        <f>COUNTIF(L4:L20,"*ASS1")</f>
        <v>2</v>
      </c>
      <c r="M23">
        <f t="shared" si="2"/>
        <v>3</v>
      </c>
      <c r="N23">
        <f t="shared" si="2"/>
        <v>3</v>
      </c>
      <c r="O23">
        <f t="shared" si="2"/>
        <v>3</v>
      </c>
      <c r="P23">
        <f t="shared" si="2"/>
        <v>4</v>
      </c>
      <c r="Q23">
        <f t="shared" si="2"/>
        <v>3</v>
      </c>
      <c r="R23">
        <f t="shared" si="2"/>
        <v>2</v>
      </c>
      <c r="S23">
        <f t="shared" si="2"/>
        <v>2</v>
      </c>
      <c r="T23">
        <f t="shared" si="2"/>
        <v>3</v>
      </c>
      <c r="U23">
        <f t="shared" si="2"/>
        <v>3</v>
      </c>
      <c r="V23">
        <f t="shared" si="2"/>
        <v>3</v>
      </c>
      <c r="W23">
        <f t="shared" si="2"/>
        <v>3</v>
      </c>
      <c r="X23">
        <f t="shared" si="2"/>
        <v>3</v>
      </c>
      <c r="Y23">
        <f t="shared" si="2"/>
        <v>2</v>
      </c>
      <c r="Z23">
        <f t="shared" si="2"/>
        <v>2</v>
      </c>
      <c r="AA23">
        <f t="shared" si="2"/>
        <v>3</v>
      </c>
      <c r="AB23">
        <f t="shared" si="2"/>
        <v>3</v>
      </c>
      <c r="AC23">
        <f t="shared" si="2"/>
        <v>3</v>
      </c>
      <c r="AD23">
        <f t="shared" si="2"/>
        <v>3</v>
      </c>
      <c r="AE23">
        <f t="shared" si="2"/>
        <v>3</v>
      </c>
      <c r="AF23">
        <f>COUNTIF(AF5:AF20,"*ASS1")</f>
        <v>2</v>
      </c>
      <c r="AG23">
        <f>COUNTIF(AG4:AG20,"*ASS1")</f>
        <v>2</v>
      </c>
      <c r="AH23">
        <f t="shared" si="2"/>
        <v>4</v>
      </c>
      <c r="AI23">
        <f t="shared" si="2"/>
        <v>0</v>
      </c>
      <c r="AJ23">
        <f t="shared" si="2"/>
        <v>0</v>
      </c>
      <c r="AK23">
        <f t="shared" si="2"/>
        <v>0</v>
      </c>
      <c r="AL23">
        <f t="shared" si="2"/>
        <v>0</v>
      </c>
      <c r="AM23">
        <f t="shared" si="2"/>
        <v>0</v>
      </c>
      <c r="AN23">
        <f t="shared" si="2"/>
        <v>0</v>
      </c>
    </row>
    <row r="24" spans="1:40" x14ac:dyDescent="0.35">
      <c r="A24" s="128" t="s">
        <v>127</v>
      </c>
      <c r="B24">
        <f>COUNTIF(B4:B20,"*NST7")</f>
        <v>3</v>
      </c>
      <c r="C24">
        <f t="shared" ref="C24:AN24" si="3">COUNTIF(C4:C20,"*NST7")</f>
        <v>3</v>
      </c>
      <c r="D24">
        <f t="shared" si="3"/>
        <v>3</v>
      </c>
      <c r="E24">
        <f t="shared" si="3"/>
        <v>2</v>
      </c>
      <c r="F24">
        <f t="shared" si="3"/>
        <v>3</v>
      </c>
      <c r="G24">
        <f t="shared" si="3"/>
        <v>3</v>
      </c>
      <c r="H24">
        <f t="shared" si="3"/>
        <v>3</v>
      </c>
      <c r="I24">
        <f t="shared" si="3"/>
        <v>3</v>
      </c>
      <c r="J24">
        <f t="shared" si="3"/>
        <v>3</v>
      </c>
      <c r="K24">
        <f t="shared" si="3"/>
        <v>3</v>
      </c>
      <c r="L24">
        <f>COUNTIF(L4:L20,"*NST7")</f>
        <v>3</v>
      </c>
      <c r="M24">
        <f t="shared" si="3"/>
        <v>3</v>
      </c>
      <c r="N24">
        <f t="shared" si="3"/>
        <v>3</v>
      </c>
      <c r="O24">
        <f t="shared" si="3"/>
        <v>3</v>
      </c>
      <c r="P24">
        <f t="shared" si="3"/>
        <v>3</v>
      </c>
      <c r="Q24">
        <f t="shared" si="3"/>
        <v>3</v>
      </c>
      <c r="R24">
        <f t="shared" si="3"/>
        <v>3</v>
      </c>
      <c r="S24">
        <f t="shared" si="3"/>
        <v>3</v>
      </c>
      <c r="T24">
        <f t="shared" si="3"/>
        <v>3</v>
      </c>
      <c r="U24">
        <f t="shared" si="3"/>
        <v>3</v>
      </c>
      <c r="V24">
        <f t="shared" si="3"/>
        <v>3</v>
      </c>
      <c r="W24">
        <f t="shared" si="3"/>
        <v>3</v>
      </c>
      <c r="X24">
        <f t="shared" si="3"/>
        <v>3</v>
      </c>
      <c r="Y24">
        <f t="shared" si="3"/>
        <v>3</v>
      </c>
      <c r="Z24">
        <f t="shared" si="3"/>
        <v>3</v>
      </c>
      <c r="AA24">
        <f t="shared" si="3"/>
        <v>3</v>
      </c>
      <c r="AB24">
        <f t="shared" si="3"/>
        <v>3</v>
      </c>
      <c r="AC24">
        <f t="shared" si="3"/>
        <v>3</v>
      </c>
      <c r="AD24">
        <f t="shared" si="3"/>
        <v>3</v>
      </c>
      <c r="AE24">
        <f t="shared" si="3"/>
        <v>3</v>
      </c>
      <c r="AF24">
        <f>COUNTIF(AF5:AF20,"*NST7")</f>
        <v>3</v>
      </c>
      <c r="AG24">
        <f>COUNTIF(AG4:AG20,"*NST7")</f>
        <v>2</v>
      </c>
      <c r="AH24">
        <f t="shared" si="3"/>
        <v>3</v>
      </c>
      <c r="AI24">
        <f t="shared" si="3"/>
        <v>0</v>
      </c>
      <c r="AJ24">
        <f t="shared" si="3"/>
        <v>0</v>
      </c>
      <c r="AK24">
        <f t="shared" si="3"/>
        <v>0</v>
      </c>
      <c r="AL24">
        <f t="shared" si="3"/>
        <v>0</v>
      </c>
      <c r="AM24">
        <f t="shared" si="3"/>
        <v>0</v>
      </c>
      <c r="AN24">
        <f t="shared" si="3"/>
        <v>0</v>
      </c>
    </row>
    <row r="25" spans="1:40" x14ac:dyDescent="0.35">
      <c r="A25" s="128" t="s">
        <v>128</v>
      </c>
      <c r="B25">
        <f>COUNTIF(B4:B20,"*GS")</f>
        <v>3</v>
      </c>
      <c r="C25">
        <f t="shared" ref="C25:AN25" si="4">COUNTIF(C4:C20,"*GS")</f>
        <v>1</v>
      </c>
      <c r="D25">
        <f t="shared" si="4"/>
        <v>1</v>
      </c>
      <c r="E25">
        <f t="shared" si="4"/>
        <v>0</v>
      </c>
      <c r="F25">
        <f t="shared" si="4"/>
        <v>2</v>
      </c>
      <c r="G25">
        <f t="shared" si="4"/>
        <v>2</v>
      </c>
      <c r="H25">
        <f t="shared" si="4"/>
        <v>0</v>
      </c>
      <c r="I25">
        <f t="shared" si="4"/>
        <v>1</v>
      </c>
      <c r="J25">
        <f t="shared" si="4"/>
        <v>1</v>
      </c>
      <c r="K25">
        <f t="shared" si="4"/>
        <v>1</v>
      </c>
      <c r="L25">
        <f>COUNTIF(L4:L20,"*GS")</f>
        <v>0</v>
      </c>
      <c r="M25">
        <f t="shared" si="4"/>
        <v>1</v>
      </c>
      <c r="N25">
        <f t="shared" si="4"/>
        <v>1</v>
      </c>
      <c r="O25">
        <f t="shared" si="4"/>
        <v>2</v>
      </c>
      <c r="P25">
        <f t="shared" si="4"/>
        <v>2</v>
      </c>
      <c r="Q25">
        <f t="shared" si="4"/>
        <v>1</v>
      </c>
      <c r="R25">
        <f t="shared" si="4"/>
        <v>1</v>
      </c>
      <c r="S25">
        <f t="shared" si="4"/>
        <v>0</v>
      </c>
      <c r="T25">
        <f t="shared" si="4"/>
        <v>1</v>
      </c>
      <c r="U25">
        <f t="shared" si="4"/>
        <v>1</v>
      </c>
      <c r="V25">
        <f t="shared" si="4"/>
        <v>1</v>
      </c>
      <c r="W25">
        <f t="shared" si="4"/>
        <v>1</v>
      </c>
      <c r="X25">
        <f t="shared" si="4"/>
        <v>1</v>
      </c>
      <c r="Y25">
        <f t="shared" si="4"/>
        <v>1</v>
      </c>
      <c r="Z25">
        <f t="shared" si="4"/>
        <v>0</v>
      </c>
      <c r="AA25">
        <f t="shared" si="4"/>
        <v>0</v>
      </c>
      <c r="AB25">
        <f t="shared" si="4"/>
        <v>1</v>
      </c>
      <c r="AC25">
        <f t="shared" si="4"/>
        <v>0</v>
      </c>
      <c r="AD25">
        <f t="shared" si="4"/>
        <v>0</v>
      </c>
      <c r="AE25">
        <f t="shared" si="4"/>
        <v>0</v>
      </c>
      <c r="AF25">
        <f>COUNTIF(AF5:AF20,"*GS")</f>
        <v>1</v>
      </c>
      <c r="AG25">
        <f>COUNTIF(AG4:AG20,"*GS")</f>
        <v>0</v>
      </c>
      <c r="AH25">
        <f t="shared" si="4"/>
        <v>0</v>
      </c>
      <c r="AI25">
        <f t="shared" si="4"/>
        <v>0</v>
      </c>
      <c r="AJ25">
        <f t="shared" si="4"/>
        <v>0</v>
      </c>
      <c r="AK25">
        <f t="shared" si="4"/>
        <v>0</v>
      </c>
      <c r="AL25">
        <f t="shared" si="4"/>
        <v>0</v>
      </c>
      <c r="AM25">
        <f t="shared" si="4"/>
        <v>0</v>
      </c>
      <c r="AN25">
        <f t="shared" si="4"/>
        <v>0</v>
      </c>
    </row>
    <row r="26" spans="1:40" x14ac:dyDescent="0.35">
      <c r="A26" s="128" t="s">
        <v>129</v>
      </c>
      <c r="B26">
        <f>COUNTIF(B4:B20,"C")</f>
        <v>1</v>
      </c>
      <c r="C26">
        <f t="shared" ref="C26:AN26" si="5">COUNTIF(C4:C20,"C")</f>
        <v>4</v>
      </c>
      <c r="D26">
        <f t="shared" si="5"/>
        <v>0</v>
      </c>
      <c r="E26">
        <f t="shared" si="5"/>
        <v>0</v>
      </c>
      <c r="F26">
        <f t="shared" si="5"/>
        <v>4</v>
      </c>
      <c r="G26">
        <f t="shared" si="5"/>
        <v>0</v>
      </c>
      <c r="H26">
        <f t="shared" si="5"/>
        <v>0</v>
      </c>
      <c r="I26">
        <f t="shared" si="5"/>
        <v>2</v>
      </c>
      <c r="J26">
        <f t="shared" si="5"/>
        <v>3</v>
      </c>
      <c r="K26">
        <f t="shared" si="5"/>
        <v>1</v>
      </c>
      <c r="L26">
        <f>COUNTIF(L4:L20,"C")</f>
        <v>0</v>
      </c>
      <c r="M26">
        <f t="shared" si="5"/>
        <v>4</v>
      </c>
      <c r="N26">
        <f t="shared" si="5"/>
        <v>3</v>
      </c>
      <c r="O26">
        <f t="shared" si="5"/>
        <v>4</v>
      </c>
      <c r="P26">
        <f t="shared" si="5"/>
        <v>1</v>
      </c>
      <c r="Q26">
        <f t="shared" si="5"/>
        <v>2</v>
      </c>
      <c r="R26">
        <f t="shared" si="5"/>
        <v>0</v>
      </c>
      <c r="S26">
        <f t="shared" si="5"/>
        <v>0</v>
      </c>
      <c r="T26">
        <f t="shared" si="5"/>
        <v>4</v>
      </c>
      <c r="U26">
        <f t="shared" si="5"/>
        <v>2</v>
      </c>
      <c r="V26">
        <f t="shared" si="5"/>
        <v>3</v>
      </c>
      <c r="W26">
        <f t="shared" si="5"/>
        <v>2</v>
      </c>
      <c r="X26">
        <f t="shared" si="5"/>
        <v>2</v>
      </c>
      <c r="Y26">
        <f t="shared" si="5"/>
        <v>0</v>
      </c>
      <c r="Z26">
        <f t="shared" si="5"/>
        <v>0</v>
      </c>
      <c r="AA26">
        <f t="shared" si="5"/>
        <v>0</v>
      </c>
      <c r="AB26">
        <f t="shared" si="5"/>
        <v>2</v>
      </c>
      <c r="AC26">
        <f t="shared" si="5"/>
        <v>0</v>
      </c>
      <c r="AD26">
        <f t="shared" si="5"/>
        <v>2</v>
      </c>
      <c r="AE26">
        <f t="shared" si="5"/>
        <v>3</v>
      </c>
      <c r="AF26">
        <f>COUNTIF(AF5:AF20,"C")</f>
        <v>0</v>
      </c>
      <c r="AG26">
        <f>COUNTIF(AG4:AG20,"C")</f>
        <v>0</v>
      </c>
      <c r="AH26">
        <f t="shared" si="5"/>
        <v>3</v>
      </c>
      <c r="AI26">
        <f t="shared" si="5"/>
        <v>1</v>
      </c>
      <c r="AJ26">
        <f t="shared" si="5"/>
        <v>0</v>
      </c>
      <c r="AK26">
        <f t="shared" si="5"/>
        <v>0</v>
      </c>
      <c r="AL26">
        <f t="shared" si="5"/>
        <v>0</v>
      </c>
      <c r="AM26">
        <f t="shared" si="5"/>
        <v>0</v>
      </c>
      <c r="AN26">
        <f t="shared" si="5"/>
        <v>0</v>
      </c>
    </row>
    <row r="27" spans="1:40" x14ac:dyDescent="0.35">
      <c r="A27" s="128" t="s">
        <v>130</v>
      </c>
      <c r="B27">
        <f t="shared" ref="B27" si="6">COUNTIF(B4:B20,"PL")</f>
        <v>1</v>
      </c>
      <c r="C27">
        <f t="shared" ref="C27:AN27" si="7">COUNTIF(C4:C20,"PL")</f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2</v>
      </c>
      <c r="H27">
        <f t="shared" si="7"/>
        <v>3</v>
      </c>
      <c r="I27">
        <f t="shared" si="7"/>
        <v>2</v>
      </c>
      <c r="J27">
        <f t="shared" si="7"/>
        <v>3</v>
      </c>
      <c r="K27">
        <f t="shared" si="7"/>
        <v>0</v>
      </c>
      <c r="L27">
        <f>COUNTIF(L4:L20,"PL")</f>
        <v>0</v>
      </c>
      <c r="M27">
        <f t="shared" si="7"/>
        <v>1</v>
      </c>
      <c r="N27">
        <f t="shared" si="7"/>
        <v>1</v>
      </c>
      <c r="O27">
        <f t="shared" si="7"/>
        <v>0</v>
      </c>
      <c r="P27">
        <f t="shared" si="7"/>
        <v>2</v>
      </c>
      <c r="Q27">
        <f t="shared" si="7"/>
        <v>2</v>
      </c>
      <c r="R27">
        <f t="shared" si="7"/>
        <v>0</v>
      </c>
      <c r="S27">
        <f t="shared" si="7"/>
        <v>0</v>
      </c>
      <c r="T27">
        <f t="shared" si="7"/>
        <v>1</v>
      </c>
      <c r="U27">
        <f t="shared" si="7"/>
        <v>2</v>
      </c>
      <c r="V27">
        <f t="shared" si="7"/>
        <v>2</v>
      </c>
      <c r="W27">
        <f t="shared" si="7"/>
        <v>3</v>
      </c>
      <c r="X27">
        <f t="shared" si="7"/>
        <v>3</v>
      </c>
      <c r="Y27">
        <f t="shared" si="7"/>
        <v>0</v>
      </c>
      <c r="Z27">
        <f t="shared" si="7"/>
        <v>0</v>
      </c>
      <c r="AA27">
        <f t="shared" si="7"/>
        <v>4</v>
      </c>
      <c r="AB27">
        <f t="shared" si="7"/>
        <v>3</v>
      </c>
      <c r="AC27">
        <f t="shared" si="7"/>
        <v>4</v>
      </c>
      <c r="AD27">
        <f t="shared" si="7"/>
        <v>3</v>
      </c>
      <c r="AE27">
        <f t="shared" si="7"/>
        <v>2</v>
      </c>
      <c r="AF27">
        <f>COUNTIF(AF5:AF20,"PL")</f>
        <v>0</v>
      </c>
      <c r="AG27">
        <f>COUNTIF(AG4:AG20,"PL")</f>
        <v>2</v>
      </c>
      <c r="AH27">
        <f t="shared" si="7"/>
        <v>1</v>
      </c>
      <c r="AI27">
        <f t="shared" si="7"/>
        <v>0</v>
      </c>
      <c r="AJ27">
        <f t="shared" si="7"/>
        <v>0</v>
      </c>
      <c r="AK27">
        <f t="shared" si="7"/>
        <v>0</v>
      </c>
      <c r="AL27">
        <f t="shared" si="7"/>
        <v>0</v>
      </c>
      <c r="AM27">
        <f t="shared" si="7"/>
        <v>0</v>
      </c>
      <c r="AN27">
        <f t="shared" si="7"/>
        <v>0</v>
      </c>
    </row>
    <row r="28" spans="1:40" x14ac:dyDescent="0.35">
      <c r="A28" s="128" t="s">
        <v>33</v>
      </c>
      <c r="B28">
        <f>COUNTIF(B4:B20,"UPL")</f>
        <v>0</v>
      </c>
      <c r="C28">
        <f t="shared" ref="C28:AN28" si="8">COUNTIF(C4:C20,"UPL")</f>
        <v>0</v>
      </c>
      <c r="D28">
        <f t="shared" si="8"/>
        <v>0</v>
      </c>
      <c r="E28">
        <f t="shared" si="8"/>
        <v>0</v>
      </c>
      <c r="F28">
        <f t="shared" si="8"/>
        <v>0</v>
      </c>
      <c r="G28">
        <f t="shared" si="8"/>
        <v>0</v>
      </c>
      <c r="H28">
        <f t="shared" si="8"/>
        <v>0</v>
      </c>
      <c r="I28">
        <f t="shared" si="8"/>
        <v>0</v>
      </c>
      <c r="J28">
        <f t="shared" si="8"/>
        <v>0</v>
      </c>
      <c r="K28">
        <f t="shared" si="8"/>
        <v>0</v>
      </c>
      <c r="L28">
        <f>COUNTIF(L4:L20,"UPL")</f>
        <v>0</v>
      </c>
      <c r="M28">
        <f t="shared" si="8"/>
        <v>0</v>
      </c>
      <c r="N28">
        <f t="shared" si="8"/>
        <v>0</v>
      </c>
      <c r="O28">
        <f t="shared" si="8"/>
        <v>0</v>
      </c>
      <c r="P28">
        <f t="shared" si="8"/>
        <v>0</v>
      </c>
      <c r="Q28">
        <f t="shared" si="8"/>
        <v>0</v>
      </c>
      <c r="R28">
        <f t="shared" si="8"/>
        <v>0</v>
      </c>
      <c r="S28">
        <f t="shared" si="8"/>
        <v>0</v>
      </c>
      <c r="T28">
        <f t="shared" si="8"/>
        <v>0</v>
      </c>
      <c r="U28">
        <f t="shared" si="8"/>
        <v>0</v>
      </c>
      <c r="V28">
        <f t="shared" si="8"/>
        <v>0</v>
      </c>
      <c r="W28">
        <f t="shared" si="8"/>
        <v>0</v>
      </c>
      <c r="X28">
        <f t="shared" si="8"/>
        <v>0</v>
      </c>
      <c r="Y28">
        <f t="shared" si="8"/>
        <v>0</v>
      </c>
      <c r="Z28">
        <f t="shared" si="8"/>
        <v>0</v>
      </c>
      <c r="AA28">
        <f t="shared" si="8"/>
        <v>0</v>
      </c>
      <c r="AB28">
        <f t="shared" si="8"/>
        <v>0</v>
      </c>
      <c r="AC28">
        <f t="shared" si="8"/>
        <v>0</v>
      </c>
      <c r="AD28">
        <f t="shared" si="8"/>
        <v>0</v>
      </c>
      <c r="AE28">
        <f t="shared" si="8"/>
        <v>0</v>
      </c>
      <c r="AF28">
        <f>COUNTIF(AF5:AF20,"UPL")</f>
        <v>0</v>
      </c>
      <c r="AG28">
        <f>COUNTIF(AG4:AG20,"UPL")</f>
        <v>0</v>
      </c>
      <c r="AH28">
        <f t="shared" si="8"/>
        <v>0</v>
      </c>
      <c r="AI28">
        <f t="shared" si="8"/>
        <v>0</v>
      </c>
      <c r="AJ28">
        <f t="shared" si="8"/>
        <v>0</v>
      </c>
      <c r="AK28">
        <f t="shared" si="8"/>
        <v>0</v>
      </c>
      <c r="AL28">
        <f t="shared" si="8"/>
        <v>0</v>
      </c>
      <c r="AM28">
        <f t="shared" si="8"/>
        <v>0</v>
      </c>
      <c r="AN28">
        <f t="shared" si="8"/>
        <v>0</v>
      </c>
    </row>
    <row r="29" spans="1:40" x14ac:dyDescent="0.35">
      <c r="A29" s="128" t="s">
        <v>131</v>
      </c>
      <c r="B29" s="129">
        <f t="shared" ref="B29" si="9">SUM(B22:B28)</f>
        <v>15</v>
      </c>
      <c r="C29" s="129">
        <f t="shared" ref="C29:AN29" si="10">SUM(C22:C28)</f>
        <v>14</v>
      </c>
      <c r="D29" s="129">
        <f t="shared" si="10"/>
        <v>8</v>
      </c>
      <c r="E29" s="129">
        <f t="shared" si="10"/>
        <v>6</v>
      </c>
      <c r="F29" s="129">
        <f t="shared" si="10"/>
        <v>15</v>
      </c>
      <c r="G29" s="129">
        <f t="shared" si="10"/>
        <v>15</v>
      </c>
      <c r="H29" s="129">
        <f t="shared" si="10"/>
        <v>12</v>
      </c>
      <c r="I29" s="129">
        <f t="shared" si="10"/>
        <v>15</v>
      </c>
      <c r="J29" s="129">
        <f t="shared" si="10"/>
        <v>15</v>
      </c>
      <c r="K29" s="129">
        <f t="shared" si="10"/>
        <v>9</v>
      </c>
      <c r="L29" s="129">
        <f t="shared" si="10"/>
        <v>7</v>
      </c>
      <c r="M29" s="129">
        <f t="shared" si="10"/>
        <v>15</v>
      </c>
      <c r="N29" s="129">
        <f t="shared" si="10"/>
        <v>15</v>
      </c>
      <c r="O29" s="129">
        <f t="shared" si="10"/>
        <v>15</v>
      </c>
      <c r="P29" s="129">
        <f t="shared" si="10"/>
        <v>15</v>
      </c>
      <c r="Q29" s="129">
        <f t="shared" si="10"/>
        <v>15</v>
      </c>
      <c r="R29" s="129">
        <f t="shared" si="10"/>
        <v>8</v>
      </c>
      <c r="S29" s="129">
        <f t="shared" si="10"/>
        <v>7</v>
      </c>
      <c r="T29" s="129">
        <f t="shared" si="10"/>
        <v>15</v>
      </c>
      <c r="U29" s="129">
        <f t="shared" si="10"/>
        <v>15</v>
      </c>
      <c r="V29" s="129">
        <f t="shared" si="10"/>
        <v>15</v>
      </c>
      <c r="W29" s="129">
        <f t="shared" si="10"/>
        <v>15</v>
      </c>
      <c r="X29" s="129">
        <f t="shared" si="10"/>
        <v>15</v>
      </c>
      <c r="Y29" s="129">
        <f t="shared" si="10"/>
        <v>8</v>
      </c>
      <c r="Z29" s="129">
        <f t="shared" si="10"/>
        <v>7</v>
      </c>
      <c r="AA29" s="129">
        <f t="shared" si="10"/>
        <v>13</v>
      </c>
      <c r="AB29" s="129">
        <f t="shared" si="10"/>
        <v>15</v>
      </c>
      <c r="AC29" s="129">
        <f t="shared" si="10"/>
        <v>14</v>
      </c>
      <c r="AD29" s="129">
        <f t="shared" si="10"/>
        <v>14</v>
      </c>
      <c r="AE29" s="129">
        <f t="shared" si="10"/>
        <v>14</v>
      </c>
      <c r="AF29" s="129">
        <f t="shared" si="10"/>
        <v>8</v>
      </c>
      <c r="AG29" s="129">
        <f t="shared" si="10"/>
        <v>8</v>
      </c>
      <c r="AH29" s="129">
        <f t="shared" si="10"/>
        <v>14</v>
      </c>
      <c r="AI29" s="129">
        <f t="shared" si="10"/>
        <v>2</v>
      </c>
      <c r="AJ29" s="129">
        <f t="shared" si="10"/>
        <v>0</v>
      </c>
      <c r="AK29" s="129">
        <f t="shared" si="10"/>
        <v>0</v>
      </c>
      <c r="AL29" s="129">
        <f t="shared" si="10"/>
        <v>0</v>
      </c>
      <c r="AM29" s="129">
        <f t="shared" si="10"/>
        <v>0</v>
      </c>
      <c r="AN29" s="129">
        <f t="shared" si="10"/>
        <v>0</v>
      </c>
    </row>
  </sheetData>
  <autoFilter ref="A1:A20" xr:uid="{00000000-0009-0000-0000-000010000000}"/>
  <conditionalFormatting sqref="B22:AN25">
    <cfRule type="cellIs" dxfId="846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AH30"/>
  <sheetViews>
    <sheetView zoomScale="70" zoomScaleNormal="70" workbookViewId="0">
      <pane xSplit="1" topLeftCell="D1" activePane="topRight" state="frozen"/>
      <selection pane="topRight" activeCell="E18" sqref="E18"/>
    </sheetView>
  </sheetViews>
  <sheetFormatPr defaultRowHeight="14.5" x14ac:dyDescent="0.35"/>
  <cols>
    <col min="1" max="1" width="22.7265625" bestFit="1" customWidth="1"/>
    <col min="2" max="3" width="8.7265625" hidden="1" customWidth="1"/>
    <col min="4" max="34" width="8.7265625" customWidth="1"/>
  </cols>
  <sheetData>
    <row r="1" spans="1:34" x14ac:dyDescent="0.35">
      <c r="A1" s="1"/>
      <c r="B1" s="2" t="str">
        <f t="shared" ref="B1:E1" si="0">TEXT(B2,"ddd")</f>
        <v>Thu</v>
      </c>
      <c r="C1" s="2" t="str">
        <f t="shared" si="0"/>
        <v>Fri</v>
      </c>
      <c r="D1" s="2" t="str">
        <f t="shared" si="0"/>
        <v>Sat</v>
      </c>
      <c r="E1" s="2" t="str">
        <f t="shared" si="0"/>
        <v>Sun</v>
      </c>
      <c r="F1" s="2" t="str">
        <f t="shared" ref="F1:AH1" si="1">TEXT(F2,"ddd")</f>
        <v>Mon</v>
      </c>
      <c r="G1" s="2" t="str">
        <f t="shared" si="1"/>
        <v>Tue</v>
      </c>
      <c r="H1" s="2" t="str">
        <f t="shared" si="1"/>
        <v>Wed</v>
      </c>
      <c r="I1" s="2" t="str">
        <f t="shared" si="1"/>
        <v>Thu</v>
      </c>
      <c r="J1" s="2" t="str">
        <f t="shared" si="1"/>
        <v>Fri</v>
      </c>
      <c r="K1" s="2" t="str">
        <f t="shared" si="1"/>
        <v>Sat</v>
      </c>
      <c r="L1" s="2" t="str">
        <f t="shared" si="1"/>
        <v>Sun</v>
      </c>
      <c r="M1" s="2" t="str">
        <f t="shared" si="1"/>
        <v>Mon</v>
      </c>
      <c r="N1" s="2" t="str">
        <f t="shared" si="1"/>
        <v>Tue</v>
      </c>
      <c r="O1" s="2" t="str">
        <f t="shared" si="1"/>
        <v>Wed</v>
      </c>
      <c r="P1" s="2" t="str">
        <f t="shared" si="1"/>
        <v>Thu</v>
      </c>
      <c r="Q1" s="2" t="str">
        <f t="shared" si="1"/>
        <v>Fri</v>
      </c>
      <c r="R1" s="2" t="str">
        <f t="shared" si="1"/>
        <v>Sat</v>
      </c>
      <c r="S1" s="2" t="str">
        <f t="shared" si="1"/>
        <v>Sun</v>
      </c>
      <c r="T1" s="2" t="str">
        <f t="shared" si="1"/>
        <v>Mon</v>
      </c>
      <c r="U1" s="2" t="str">
        <f t="shared" si="1"/>
        <v>Tue</v>
      </c>
      <c r="V1" s="2" t="str">
        <f t="shared" si="1"/>
        <v>Wed</v>
      </c>
      <c r="W1" s="2" t="str">
        <f t="shared" si="1"/>
        <v>Thu</v>
      </c>
      <c r="X1" s="2" t="str">
        <f t="shared" si="1"/>
        <v>Fri</v>
      </c>
      <c r="Y1" s="2" t="str">
        <f t="shared" si="1"/>
        <v>Sat</v>
      </c>
      <c r="Z1" s="2" t="str">
        <f t="shared" si="1"/>
        <v>Sun</v>
      </c>
      <c r="AA1" s="2" t="str">
        <f t="shared" si="1"/>
        <v>Mon</v>
      </c>
      <c r="AB1" s="2" t="str">
        <f t="shared" si="1"/>
        <v>Tue</v>
      </c>
      <c r="AC1" s="2" t="str">
        <f t="shared" si="1"/>
        <v>Wed</v>
      </c>
      <c r="AD1" s="2" t="str">
        <f t="shared" si="1"/>
        <v>Thu</v>
      </c>
      <c r="AE1" s="2" t="str">
        <f t="shared" si="1"/>
        <v>Fri</v>
      </c>
      <c r="AF1" s="2" t="str">
        <f t="shared" si="1"/>
        <v>Sat</v>
      </c>
      <c r="AG1" s="2" t="str">
        <f t="shared" si="1"/>
        <v>Sun</v>
      </c>
      <c r="AH1" s="2" t="str">
        <f t="shared" si="1"/>
        <v>Mon</v>
      </c>
    </row>
    <row r="2" spans="1:34" x14ac:dyDescent="0.35">
      <c r="A2" s="95" t="s">
        <v>0</v>
      </c>
      <c r="B2" s="29">
        <v>44833</v>
      </c>
      <c r="C2" s="29">
        <v>44834</v>
      </c>
      <c r="D2" s="29">
        <v>44835</v>
      </c>
      <c r="E2" s="29">
        <v>44836</v>
      </c>
      <c r="F2" s="29">
        <v>44837</v>
      </c>
      <c r="G2" s="29">
        <v>44838</v>
      </c>
      <c r="H2" s="29">
        <v>44839</v>
      </c>
      <c r="I2" s="29">
        <v>44840</v>
      </c>
      <c r="J2" s="29">
        <v>44841</v>
      </c>
      <c r="K2" s="29">
        <v>44842</v>
      </c>
      <c r="L2" s="29">
        <v>44843</v>
      </c>
      <c r="M2" s="29">
        <v>44844</v>
      </c>
      <c r="N2" s="29">
        <v>44845</v>
      </c>
      <c r="O2" s="29">
        <v>44846</v>
      </c>
      <c r="P2" s="29">
        <v>44847</v>
      </c>
      <c r="Q2" s="29">
        <v>44848</v>
      </c>
      <c r="R2" s="29">
        <v>44849</v>
      </c>
      <c r="S2" s="29">
        <v>44850</v>
      </c>
      <c r="T2" s="29">
        <v>44851</v>
      </c>
      <c r="U2" s="29">
        <v>44852</v>
      </c>
      <c r="V2" s="29">
        <v>44853</v>
      </c>
      <c r="W2" s="29">
        <v>44854</v>
      </c>
      <c r="X2" s="29">
        <v>44855</v>
      </c>
      <c r="Y2" s="29">
        <v>44856</v>
      </c>
      <c r="Z2" s="29">
        <v>44857</v>
      </c>
      <c r="AA2" s="29">
        <v>44858</v>
      </c>
      <c r="AB2" s="29">
        <v>44859</v>
      </c>
      <c r="AC2" s="29">
        <v>44860</v>
      </c>
      <c r="AD2" s="29">
        <v>44861</v>
      </c>
      <c r="AE2" s="29">
        <v>44862</v>
      </c>
      <c r="AF2" s="29">
        <v>44863</v>
      </c>
      <c r="AG2" s="29">
        <v>44864</v>
      </c>
      <c r="AH2" s="29">
        <v>44865</v>
      </c>
    </row>
    <row r="3" spans="1:34" ht="15" thickBot="1" x14ac:dyDescent="0.4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</row>
    <row r="4" spans="1:34" ht="15" thickBot="1" x14ac:dyDescent="0.4">
      <c r="A4" s="137" t="s">
        <v>14</v>
      </c>
      <c r="B4" s="143" t="s">
        <v>41</v>
      </c>
      <c r="C4" s="143" t="s">
        <v>41</v>
      </c>
      <c r="D4" s="150" t="s">
        <v>4</v>
      </c>
      <c r="E4" s="150" t="s">
        <v>4</v>
      </c>
      <c r="F4" s="100" t="s">
        <v>5</v>
      </c>
      <c r="G4" s="100" t="s">
        <v>5</v>
      </c>
      <c r="H4" s="152" t="s">
        <v>11</v>
      </c>
      <c r="I4" s="123" t="s">
        <v>10</v>
      </c>
      <c r="J4" s="123" t="s">
        <v>10</v>
      </c>
      <c r="K4" s="123" t="s">
        <v>11</v>
      </c>
      <c r="L4" s="99" t="s">
        <v>4</v>
      </c>
      <c r="M4" s="123" t="s">
        <v>10</v>
      </c>
      <c r="N4" s="123" t="s">
        <v>10</v>
      </c>
      <c r="O4" s="123" t="s">
        <v>10</v>
      </c>
      <c r="P4" s="100" t="s">
        <v>5</v>
      </c>
      <c r="Q4" s="100" t="s">
        <v>5</v>
      </c>
      <c r="R4" s="111" t="s">
        <v>4</v>
      </c>
      <c r="S4" s="111" t="s">
        <v>4</v>
      </c>
      <c r="T4" s="100" t="s">
        <v>5</v>
      </c>
      <c r="U4" s="100" t="s">
        <v>5</v>
      </c>
      <c r="V4" s="100" t="s">
        <v>5</v>
      </c>
      <c r="W4" s="100" t="s">
        <v>5</v>
      </c>
      <c r="X4" s="100" t="s">
        <v>5</v>
      </c>
      <c r="Y4" s="111" t="s">
        <v>4</v>
      </c>
      <c r="Z4" s="111" t="s">
        <v>4</v>
      </c>
      <c r="AA4" s="124" t="s">
        <v>11</v>
      </c>
      <c r="AB4" s="123" t="s">
        <v>10</v>
      </c>
      <c r="AC4" s="123" t="s">
        <v>10</v>
      </c>
      <c r="AD4" s="123" t="s">
        <v>10</v>
      </c>
      <c r="AE4" s="123" t="s">
        <v>10</v>
      </c>
      <c r="AF4" s="99" t="s">
        <v>4</v>
      </c>
      <c r="AG4" s="103" t="s">
        <v>3</v>
      </c>
      <c r="AH4" s="161" t="s">
        <v>2</v>
      </c>
    </row>
    <row r="5" spans="1:34" ht="15" thickBot="1" x14ac:dyDescent="0.4">
      <c r="A5" s="138" t="s">
        <v>12</v>
      </c>
      <c r="B5" s="111" t="s">
        <v>5</v>
      </c>
      <c r="C5" s="111" t="s">
        <v>5</v>
      </c>
      <c r="D5" s="19" t="s">
        <v>42</v>
      </c>
      <c r="E5" s="152" t="s">
        <v>11</v>
      </c>
      <c r="F5" s="124" t="s">
        <v>10</v>
      </c>
      <c r="G5" s="124" t="s">
        <v>10</v>
      </c>
      <c r="H5" s="152" t="s">
        <v>11</v>
      </c>
      <c r="I5" s="102" t="s">
        <v>2</v>
      </c>
      <c r="J5" s="102" t="s">
        <v>2</v>
      </c>
      <c r="K5" s="99" t="s">
        <v>4</v>
      </c>
      <c r="L5" s="124" t="s">
        <v>11</v>
      </c>
      <c r="M5" s="124" t="s">
        <v>10</v>
      </c>
      <c r="N5" s="124" t="s">
        <v>10</v>
      </c>
      <c r="O5" s="102" t="s">
        <v>2</v>
      </c>
      <c r="P5" s="124" t="s">
        <v>10</v>
      </c>
      <c r="Q5" s="124" t="s">
        <v>10</v>
      </c>
      <c r="R5" s="124" t="s">
        <v>11</v>
      </c>
      <c r="S5" s="124" t="s">
        <v>11</v>
      </c>
      <c r="T5" s="124" t="s">
        <v>10</v>
      </c>
      <c r="U5" s="102" t="s">
        <v>2</v>
      </c>
      <c r="V5" s="102" t="s">
        <v>2</v>
      </c>
      <c r="W5" s="124" t="s">
        <v>10</v>
      </c>
      <c r="X5" s="124" t="s">
        <v>10</v>
      </c>
      <c r="Y5" s="124" t="s">
        <v>11</v>
      </c>
      <c r="Z5" s="124" t="s">
        <v>11</v>
      </c>
      <c r="AA5" s="147" t="s">
        <v>37</v>
      </c>
      <c r="AB5" s="107" t="s">
        <v>5</v>
      </c>
      <c r="AC5" s="107" t="s">
        <v>5</v>
      </c>
      <c r="AD5" s="107" t="s">
        <v>5</v>
      </c>
      <c r="AE5" s="107" t="s">
        <v>5</v>
      </c>
      <c r="AF5" s="124" t="s">
        <v>11</v>
      </c>
      <c r="AG5" s="101" t="s">
        <v>4</v>
      </c>
      <c r="AH5" s="154" t="s">
        <v>6</v>
      </c>
    </row>
    <row r="6" spans="1:34" ht="15" thickBot="1" x14ac:dyDescent="0.4">
      <c r="A6" s="140" t="s">
        <v>69</v>
      </c>
      <c r="B6" s="111" t="s">
        <v>5</v>
      </c>
      <c r="C6" s="19" t="s">
        <v>41</v>
      </c>
      <c r="D6" s="110" t="s">
        <v>4</v>
      </c>
      <c r="E6" s="127" t="s">
        <v>11</v>
      </c>
      <c r="F6" s="127" t="s">
        <v>10</v>
      </c>
      <c r="G6" s="127" t="s">
        <v>10</v>
      </c>
      <c r="H6" s="152" t="s">
        <v>11</v>
      </c>
      <c r="I6" s="124" t="s">
        <v>10</v>
      </c>
      <c r="J6" s="108" t="s">
        <v>2</v>
      </c>
      <c r="K6" s="110" t="s">
        <v>4</v>
      </c>
      <c r="L6" s="127" t="s">
        <v>11</v>
      </c>
      <c r="M6" s="127" t="s">
        <v>10</v>
      </c>
      <c r="N6" s="127" t="s">
        <v>10</v>
      </c>
      <c r="O6" s="127" t="s">
        <v>10</v>
      </c>
      <c r="P6" s="127" t="s">
        <v>10</v>
      </c>
      <c r="Q6" s="108" t="s">
        <v>2</v>
      </c>
      <c r="R6" s="110" t="s">
        <v>4</v>
      </c>
      <c r="S6" s="124" t="s">
        <v>11</v>
      </c>
      <c r="T6" s="127" t="s">
        <v>10</v>
      </c>
      <c r="U6" s="127" t="s">
        <v>10</v>
      </c>
      <c r="V6" s="127" t="s">
        <v>10</v>
      </c>
      <c r="W6" s="127" t="s">
        <v>10</v>
      </c>
      <c r="X6" s="108" t="s">
        <v>2</v>
      </c>
      <c r="Y6" s="127" t="s">
        <v>11</v>
      </c>
      <c r="Z6" s="127" t="s">
        <v>11</v>
      </c>
      <c r="AA6" s="124" t="s">
        <v>11</v>
      </c>
      <c r="AB6" s="127" t="s">
        <v>10</v>
      </c>
      <c r="AC6" s="127" t="s">
        <v>10</v>
      </c>
      <c r="AD6" s="108" t="s">
        <v>2</v>
      </c>
      <c r="AE6" s="108" t="s">
        <v>2</v>
      </c>
      <c r="AF6" s="110" t="s">
        <v>4</v>
      </c>
      <c r="AG6" s="112" t="s">
        <v>3</v>
      </c>
      <c r="AH6" s="112" t="s">
        <v>6</v>
      </c>
    </row>
    <row r="7" spans="1:34" ht="15" thickBot="1" x14ac:dyDescent="0.4">
      <c r="A7" s="141" t="s">
        <v>71</v>
      </c>
      <c r="B7" s="19" t="s">
        <v>41</v>
      </c>
      <c r="C7" s="19" t="s">
        <v>41</v>
      </c>
      <c r="D7" s="19" t="s">
        <v>42</v>
      </c>
      <c r="E7" s="114" t="s">
        <v>4</v>
      </c>
      <c r="F7" s="104" t="s">
        <v>2</v>
      </c>
      <c r="G7" s="127" t="s">
        <v>10</v>
      </c>
      <c r="H7" s="115" t="s">
        <v>37</v>
      </c>
      <c r="I7" s="124" t="s">
        <v>10</v>
      </c>
      <c r="J7" s="16" t="s">
        <v>10</v>
      </c>
      <c r="K7" s="16" t="s">
        <v>11</v>
      </c>
      <c r="L7" s="114" t="s">
        <v>4</v>
      </c>
      <c r="M7" s="116" t="s">
        <v>2</v>
      </c>
      <c r="N7" s="116" t="s">
        <v>2</v>
      </c>
      <c r="O7" s="16" t="s">
        <v>10</v>
      </c>
      <c r="P7" s="16" t="s">
        <v>10</v>
      </c>
      <c r="Q7" s="16" t="s">
        <v>10</v>
      </c>
      <c r="R7" s="16" t="s">
        <v>11</v>
      </c>
      <c r="S7" s="16" t="s">
        <v>11</v>
      </c>
      <c r="T7" s="116" t="s">
        <v>2</v>
      </c>
      <c r="U7" s="16" t="s">
        <v>10</v>
      </c>
      <c r="V7" s="16" t="s">
        <v>10</v>
      </c>
      <c r="W7" s="16" t="s">
        <v>10</v>
      </c>
      <c r="X7" s="16" t="s">
        <v>10</v>
      </c>
      <c r="Y7" s="111" t="s">
        <v>4</v>
      </c>
      <c r="Z7" s="111" t="s">
        <v>4</v>
      </c>
      <c r="AA7" s="124" t="s">
        <v>11</v>
      </c>
      <c r="AB7" s="116" t="s">
        <v>2</v>
      </c>
      <c r="AC7" s="16" t="s">
        <v>11</v>
      </c>
      <c r="AD7" s="16" t="s">
        <v>10</v>
      </c>
      <c r="AE7" s="16" t="s">
        <v>10</v>
      </c>
      <c r="AF7" s="16" t="s">
        <v>11</v>
      </c>
      <c r="AG7" s="114" t="s">
        <v>4</v>
      </c>
      <c r="AH7" s="116" t="s">
        <v>2</v>
      </c>
    </row>
    <row r="8" spans="1:34" x14ac:dyDescent="0.35">
      <c r="A8" s="141" t="s">
        <v>70</v>
      </c>
      <c r="B8" s="19" t="s">
        <v>41</v>
      </c>
      <c r="C8" s="19" t="s">
        <v>41</v>
      </c>
      <c r="D8" s="114" t="s">
        <v>4</v>
      </c>
      <c r="E8" s="114" t="s">
        <v>4</v>
      </c>
      <c r="F8" s="16" t="s">
        <v>10</v>
      </c>
      <c r="G8" s="16" t="s">
        <v>10</v>
      </c>
      <c r="H8" s="115" t="s">
        <v>37</v>
      </c>
      <c r="I8" s="16" t="s">
        <v>10</v>
      </c>
      <c r="J8" s="16" t="s">
        <v>10</v>
      </c>
      <c r="K8" s="16" t="s">
        <v>11</v>
      </c>
      <c r="L8" s="16" t="s">
        <v>11</v>
      </c>
      <c r="M8" s="116" t="s">
        <v>2</v>
      </c>
      <c r="N8" s="116" t="s">
        <v>2</v>
      </c>
      <c r="O8" s="22" t="s">
        <v>16</v>
      </c>
      <c r="P8" s="16" t="s">
        <v>10</v>
      </c>
      <c r="Q8" s="16" t="s">
        <v>10</v>
      </c>
      <c r="R8" s="16" t="s">
        <v>11</v>
      </c>
      <c r="S8" s="114" t="s">
        <v>4</v>
      </c>
      <c r="T8" s="16" t="s">
        <v>10</v>
      </c>
      <c r="U8" s="16" t="s">
        <v>10</v>
      </c>
      <c r="V8" s="16" t="s">
        <v>10</v>
      </c>
      <c r="W8" s="116" t="s">
        <v>2</v>
      </c>
      <c r="X8" s="16" t="s">
        <v>10</v>
      </c>
      <c r="Y8" s="16" t="s">
        <v>11</v>
      </c>
      <c r="Z8" s="16" t="s">
        <v>11</v>
      </c>
      <c r="AA8" s="115" t="s">
        <v>37</v>
      </c>
      <c r="AB8" s="16" t="s">
        <v>10</v>
      </c>
      <c r="AC8" s="122" t="s">
        <v>5</v>
      </c>
      <c r="AD8" s="16" t="s">
        <v>10</v>
      </c>
      <c r="AE8" s="16" t="s">
        <v>10</v>
      </c>
      <c r="AF8" s="16" t="s">
        <v>11</v>
      </c>
      <c r="AG8" s="114" t="s">
        <v>4</v>
      </c>
      <c r="AH8" s="25" t="s">
        <v>6</v>
      </c>
    </row>
    <row r="9" spans="1:34" ht="15" thickBot="1" x14ac:dyDescent="0.4">
      <c r="A9" s="142"/>
      <c r="B9" s="142"/>
      <c r="C9" s="142"/>
      <c r="D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</row>
    <row r="10" spans="1:34" ht="15" thickBot="1" x14ac:dyDescent="0.4">
      <c r="A10" s="137" t="s">
        <v>9</v>
      </c>
      <c r="B10" s="123" t="s">
        <v>10</v>
      </c>
      <c r="C10" s="123" t="s">
        <v>10</v>
      </c>
      <c r="D10" s="150" t="s">
        <v>4</v>
      </c>
      <c r="E10" s="25" t="s">
        <v>3</v>
      </c>
      <c r="F10" s="105" t="s">
        <v>6</v>
      </c>
      <c r="G10" s="105" t="s">
        <v>3</v>
      </c>
      <c r="H10" s="115" t="s">
        <v>37</v>
      </c>
      <c r="I10" s="100" t="s">
        <v>5</v>
      </c>
      <c r="J10" s="100" t="s">
        <v>5</v>
      </c>
      <c r="K10" s="111" t="s">
        <v>4</v>
      </c>
      <c r="L10" s="111" t="s">
        <v>4</v>
      </c>
      <c r="M10" s="74" t="s">
        <v>6</v>
      </c>
      <c r="N10" s="74" t="s">
        <v>6</v>
      </c>
      <c r="O10" s="74" t="s">
        <v>6</v>
      </c>
      <c r="P10" s="104" t="s">
        <v>2</v>
      </c>
      <c r="Q10" s="74" t="s">
        <v>6</v>
      </c>
      <c r="R10" s="103" t="s">
        <v>3</v>
      </c>
      <c r="S10" s="99" t="s">
        <v>4</v>
      </c>
      <c r="T10" s="104" t="s">
        <v>2</v>
      </c>
      <c r="U10" s="104" t="s">
        <v>2</v>
      </c>
      <c r="V10" s="74" t="s">
        <v>6</v>
      </c>
      <c r="W10" s="74" t="s">
        <v>6</v>
      </c>
      <c r="X10" s="104" t="s">
        <v>2</v>
      </c>
      <c r="Y10" s="105" t="s">
        <v>3</v>
      </c>
      <c r="Z10" s="114" t="s">
        <v>4</v>
      </c>
      <c r="AA10" s="103" t="s">
        <v>3</v>
      </c>
      <c r="AB10" s="103" t="s">
        <v>6</v>
      </c>
      <c r="AC10" s="147" t="s">
        <v>37</v>
      </c>
      <c r="AD10" s="103" t="s">
        <v>6</v>
      </c>
      <c r="AE10" s="120" t="s">
        <v>41</v>
      </c>
      <c r="AF10" s="103" t="s">
        <v>3</v>
      </c>
      <c r="AG10" s="99" t="s">
        <v>4</v>
      </c>
      <c r="AH10" s="161" t="s">
        <v>2</v>
      </c>
    </row>
    <row r="11" spans="1:34" ht="15" thickBot="1" x14ac:dyDescent="0.4">
      <c r="A11" s="138" t="s">
        <v>15</v>
      </c>
      <c r="B11" s="102" t="s">
        <v>2</v>
      </c>
      <c r="C11" s="123" t="s">
        <v>10</v>
      </c>
      <c r="D11" s="123" t="s">
        <v>11</v>
      </c>
      <c r="E11" s="150" t="s">
        <v>4</v>
      </c>
      <c r="F11" s="102" t="s">
        <v>2</v>
      </c>
      <c r="G11" s="105" t="s">
        <v>6</v>
      </c>
      <c r="H11" s="25" t="s">
        <v>3</v>
      </c>
      <c r="I11" s="105" t="s">
        <v>6</v>
      </c>
      <c r="J11" s="105" t="s">
        <v>6</v>
      </c>
      <c r="K11" s="105" t="s">
        <v>3</v>
      </c>
      <c r="L11" s="105" t="s">
        <v>3</v>
      </c>
      <c r="M11" s="102" t="s">
        <v>2</v>
      </c>
      <c r="N11" s="102" t="s">
        <v>2</v>
      </c>
      <c r="O11" s="105" t="s">
        <v>6</v>
      </c>
      <c r="P11" s="105" t="s">
        <v>6</v>
      </c>
      <c r="Q11" s="19" t="s">
        <v>145</v>
      </c>
      <c r="R11" s="101" t="s">
        <v>4</v>
      </c>
      <c r="S11" s="105" t="s">
        <v>3</v>
      </c>
      <c r="T11" s="105" t="s">
        <v>6</v>
      </c>
      <c r="U11" s="105" t="s">
        <v>6</v>
      </c>
      <c r="V11" s="105" t="s">
        <v>6</v>
      </c>
      <c r="W11" s="102" t="s">
        <v>2</v>
      </c>
      <c r="X11" s="105" t="s">
        <v>6</v>
      </c>
      <c r="Y11" s="114" t="s">
        <v>4</v>
      </c>
      <c r="Z11" s="103" t="s">
        <v>3</v>
      </c>
      <c r="AA11" s="147" t="s">
        <v>37</v>
      </c>
      <c r="AB11" s="105" t="s">
        <v>6</v>
      </c>
      <c r="AC11" s="105" t="s">
        <v>6</v>
      </c>
      <c r="AD11" s="107" t="s">
        <v>5</v>
      </c>
      <c r="AE11" s="105" t="s">
        <v>6</v>
      </c>
      <c r="AF11" s="101" t="s">
        <v>4</v>
      </c>
      <c r="AG11" s="120" t="s">
        <v>42</v>
      </c>
      <c r="AH11" s="162" t="s">
        <v>41</v>
      </c>
    </row>
    <row r="12" spans="1:34" x14ac:dyDescent="0.35">
      <c r="A12" s="140" t="s">
        <v>21</v>
      </c>
      <c r="B12" s="127" t="s">
        <v>10</v>
      </c>
      <c r="C12" s="127" t="s">
        <v>10</v>
      </c>
      <c r="D12" s="127" t="s">
        <v>11</v>
      </c>
      <c r="E12" s="110" t="s">
        <v>4</v>
      </c>
      <c r="F12" s="112" t="s">
        <v>6</v>
      </c>
      <c r="G12" s="111" t="s">
        <v>5</v>
      </c>
      <c r="H12" s="25" t="s">
        <v>3</v>
      </c>
      <c r="I12" s="112" t="s">
        <v>6</v>
      </c>
      <c r="J12" s="112" t="s">
        <v>6</v>
      </c>
      <c r="K12" s="112" t="s">
        <v>3</v>
      </c>
      <c r="L12" s="110" t="s">
        <v>4</v>
      </c>
      <c r="M12" s="25" t="s">
        <v>6</v>
      </c>
      <c r="N12" s="112" t="s">
        <v>6</v>
      </c>
      <c r="O12" s="25" t="s">
        <v>6</v>
      </c>
      <c r="P12" s="111" t="s">
        <v>5</v>
      </c>
      <c r="Q12" s="111" t="s">
        <v>5</v>
      </c>
      <c r="R12" s="110" t="s">
        <v>4</v>
      </c>
      <c r="S12" s="110" t="s">
        <v>4</v>
      </c>
      <c r="T12" s="112" t="s">
        <v>6</v>
      </c>
      <c r="U12" s="112" t="s">
        <v>6</v>
      </c>
      <c r="V12" s="111" t="s">
        <v>5</v>
      </c>
      <c r="W12" s="111" t="s">
        <v>5</v>
      </c>
      <c r="X12" s="111" t="s">
        <v>5</v>
      </c>
      <c r="Y12" s="110" t="s">
        <v>4</v>
      </c>
      <c r="Z12" s="112" t="s">
        <v>3</v>
      </c>
      <c r="AA12" s="103" t="s">
        <v>3</v>
      </c>
      <c r="AB12" s="108" t="s">
        <v>2</v>
      </c>
      <c r="AC12" s="74" t="s">
        <v>41</v>
      </c>
      <c r="AD12" s="74" t="s">
        <v>6</v>
      </c>
      <c r="AE12" s="74" t="s">
        <v>6</v>
      </c>
      <c r="AF12" s="74" t="s">
        <v>30</v>
      </c>
      <c r="AG12" s="74" t="s">
        <v>42</v>
      </c>
      <c r="AH12" s="74" t="s">
        <v>41</v>
      </c>
    </row>
    <row r="13" spans="1:34" ht="15" thickBot="1" x14ac:dyDescent="0.4">
      <c r="A13" s="141" t="s">
        <v>22</v>
      </c>
      <c r="B13" s="16" t="s">
        <v>10</v>
      </c>
      <c r="C13" s="108" t="s">
        <v>2</v>
      </c>
      <c r="D13" s="101" t="s">
        <v>4</v>
      </c>
      <c r="E13" s="74" t="s">
        <v>3</v>
      </c>
      <c r="F13" s="74" t="s">
        <v>6</v>
      </c>
      <c r="G13" s="74" t="s">
        <v>6</v>
      </c>
      <c r="H13" s="74" t="s">
        <v>3</v>
      </c>
      <c r="I13" s="74" t="s">
        <v>6</v>
      </c>
      <c r="J13" s="122" t="s">
        <v>5</v>
      </c>
      <c r="K13" s="122" t="s">
        <v>4</v>
      </c>
      <c r="L13" s="25" t="s">
        <v>3</v>
      </c>
      <c r="M13" s="102" t="s">
        <v>2</v>
      </c>
      <c r="N13" s="74" t="s">
        <v>6</v>
      </c>
      <c r="O13" s="74" t="s">
        <v>6</v>
      </c>
      <c r="P13" s="74" t="s">
        <v>6</v>
      </c>
      <c r="Q13" s="74" t="s">
        <v>6</v>
      </c>
      <c r="R13" s="74" t="s">
        <v>3</v>
      </c>
      <c r="S13" s="74" t="s">
        <v>3</v>
      </c>
      <c r="T13" s="116" t="s">
        <v>2</v>
      </c>
      <c r="U13" s="25" t="s">
        <v>6</v>
      </c>
      <c r="V13" s="25" t="s">
        <v>6</v>
      </c>
      <c r="W13" s="25" t="s">
        <v>6</v>
      </c>
      <c r="X13" s="25" t="s">
        <v>6</v>
      </c>
      <c r="Y13" s="25" t="s">
        <v>3</v>
      </c>
      <c r="Z13" s="114" t="s">
        <v>4</v>
      </c>
      <c r="AA13" s="122" t="s">
        <v>5</v>
      </c>
      <c r="AB13" s="122" t="s">
        <v>5</v>
      </c>
      <c r="AC13" s="25" t="s">
        <v>6</v>
      </c>
      <c r="AD13" s="25" t="s">
        <v>6</v>
      </c>
      <c r="AE13" s="25" t="s">
        <v>6</v>
      </c>
      <c r="AF13" s="25" t="s">
        <v>3</v>
      </c>
      <c r="AG13" s="114" t="s">
        <v>4</v>
      </c>
      <c r="AH13" s="74" t="s">
        <v>41</v>
      </c>
    </row>
    <row r="14" spans="1:34" ht="15" thickBot="1" x14ac:dyDescent="0.4">
      <c r="A14" s="141" t="s">
        <v>124</v>
      </c>
      <c r="B14" s="134" t="s">
        <v>16</v>
      </c>
      <c r="C14" s="16" t="s">
        <v>10</v>
      </c>
      <c r="D14" s="16" t="s">
        <v>11</v>
      </c>
      <c r="E14" s="114" t="s">
        <v>4</v>
      </c>
      <c r="F14" s="116" t="s">
        <v>2</v>
      </c>
      <c r="G14" s="74" t="s">
        <v>6</v>
      </c>
      <c r="H14" s="115" t="s">
        <v>37</v>
      </c>
      <c r="I14" s="25" t="s">
        <v>6</v>
      </c>
      <c r="J14" s="25" t="s">
        <v>6</v>
      </c>
      <c r="K14" s="22" t="s">
        <v>30</v>
      </c>
      <c r="L14" s="114" t="s">
        <v>4</v>
      </c>
      <c r="M14" s="74" t="s">
        <v>6</v>
      </c>
      <c r="N14" s="74" t="s">
        <v>6</v>
      </c>
      <c r="O14" s="116" t="s">
        <v>2</v>
      </c>
      <c r="P14" s="25" t="s">
        <v>6</v>
      </c>
      <c r="Q14" s="74" t="s">
        <v>6</v>
      </c>
      <c r="R14" s="22" t="s">
        <v>30</v>
      </c>
      <c r="S14" s="114" t="s">
        <v>4</v>
      </c>
      <c r="T14" s="25" t="s">
        <v>6</v>
      </c>
      <c r="U14" s="25" t="s">
        <v>6</v>
      </c>
      <c r="V14" s="116" t="s">
        <v>2</v>
      </c>
      <c r="W14" s="74" t="s">
        <v>6</v>
      </c>
      <c r="X14" s="74" t="s">
        <v>6</v>
      </c>
      <c r="Y14" s="116" t="s">
        <v>34</v>
      </c>
      <c r="Z14" s="114" t="s">
        <v>4</v>
      </c>
      <c r="AA14" s="103" t="s">
        <v>3</v>
      </c>
      <c r="AB14" s="25" t="s">
        <v>6</v>
      </c>
      <c r="AC14" s="122" t="s">
        <v>5</v>
      </c>
      <c r="AD14" s="122" t="s">
        <v>5</v>
      </c>
      <c r="AE14" s="120" t="s">
        <v>41</v>
      </c>
      <c r="AF14" s="114" t="s">
        <v>4</v>
      </c>
      <c r="AG14" s="114" t="s">
        <v>4</v>
      </c>
      <c r="AH14" s="116" t="s">
        <v>2</v>
      </c>
    </row>
    <row r="15" spans="1:34" ht="15" thickBot="1" x14ac:dyDescent="0.4">
      <c r="A15" s="142"/>
      <c r="B15" s="142"/>
      <c r="C15" s="142"/>
      <c r="D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</row>
    <row r="16" spans="1:34" ht="15" thickBot="1" x14ac:dyDescent="0.4">
      <c r="A16" s="137" t="s">
        <v>1</v>
      </c>
      <c r="B16" s="131" t="s">
        <v>6</v>
      </c>
      <c r="C16" s="104" t="s">
        <v>2</v>
      </c>
      <c r="D16" s="105" t="s">
        <v>3</v>
      </c>
      <c r="E16" s="155" t="s">
        <v>42</v>
      </c>
      <c r="F16" s="104" t="s">
        <v>2</v>
      </c>
      <c r="G16" s="120" t="s">
        <v>41</v>
      </c>
      <c r="H16" s="155" t="s">
        <v>42</v>
      </c>
      <c r="I16" s="120" t="s">
        <v>41</v>
      </c>
      <c r="J16" s="104" t="s">
        <v>2</v>
      </c>
      <c r="K16" s="118" t="s">
        <v>42</v>
      </c>
      <c r="L16" s="111" t="s">
        <v>4</v>
      </c>
      <c r="M16" s="133" t="s">
        <v>41</v>
      </c>
      <c r="N16" s="133" t="s">
        <v>41</v>
      </c>
      <c r="O16" s="133" t="s">
        <v>41</v>
      </c>
      <c r="P16" s="133" t="s">
        <v>41</v>
      </c>
      <c r="Q16" s="104" t="s">
        <v>2</v>
      </c>
      <c r="R16" s="99" t="s">
        <v>4</v>
      </c>
      <c r="S16" s="118" t="s">
        <v>42</v>
      </c>
      <c r="T16" s="133" t="s">
        <v>41</v>
      </c>
      <c r="U16" s="133" t="s">
        <v>41</v>
      </c>
      <c r="V16" s="118" t="s">
        <v>41</v>
      </c>
      <c r="W16" s="118" t="s">
        <v>41</v>
      </c>
      <c r="X16" s="118" t="s">
        <v>41</v>
      </c>
      <c r="Y16" s="99" t="s">
        <v>4</v>
      </c>
      <c r="Z16" s="118" t="s">
        <v>42</v>
      </c>
      <c r="AA16" s="19" t="s">
        <v>42</v>
      </c>
      <c r="AB16" s="118" t="s">
        <v>41</v>
      </c>
      <c r="AC16" s="118" t="s">
        <v>41</v>
      </c>
      <c r="AD16" s="104" t="s">
        <v>2</v>
      </c>
      <c r="AE16" s="104" t="s">
        <v>2</v>
      </c>
      <c r="AF16" s="118" t="s">
        <v>42</v>
      </c>
      <c r="AG16" s="111" t="s">
        <v>4</v>
      </c>
      <c r="AH16" s="163" t="s">
        <v>5</v>
      </c>
    </row>
    <row r="17" spans="1:34" ht="15" thickBot="1" x14ac:dyDescent="0.4">
      <c r="A17" s="138" t="s">
        <v>43</v>
      </c>
      <c r="B17" s="131" t="s">
        <v>6</v>
      </c>
      <c r="C17" s="131" t="s">
        <v>6</v>
      </c>
      <c r="D17" s="25" t="s">
        <v>3</v>
      </c>
      <c r="E17" s="157" t="s">
        <v>4</v>
      </c>
      <c r="F17" s="120" t="s">
        <v>41</v>
      </c>
      <c r="G17" s="120" t="s">
        <v>41</v>
      </c>
      <c r="H17" s="147" t="s">
        <v>37</v>
      </c>
      <c r="I17" s="120" t="s">
        <v>41</v>
      </c>
      <c r="J17" s="120" t="s">
        <v>41</v>
      </c>
      <c r="K17" s="101" t="s">
        <v>4</v>
      </c>
      <c r="L17" s="133" t="s">
        <v>42</v>
      </c>
      <c r="M17" s="133" t="s">
        <v>41</v>
      </c>
      <c r="N17" s="133" t="s">
        <v>41</v>
      </c>
      <c r="O17" s="133" t="s">
        <v>41</v>
      </c>
      <c r="P17" s="133" t="s">
        <v>41</v>
      </c>
      <c r="Q17" s="133" t="s">
        <v>6</v>
      </c>
      <c r="R17" s="101" t="s">
        <v>4</v>
      </c>
      <c r="S17" s="118" t="s">
        <v>42</v>
      </c>
      <c r="T17" s="120" t="s">
        <v>41</v>
      </c>
      <c r="U17" s="107" t="s">
        <v>5</v>
      </c>
      <c r="V17" s="107" t="s">
        <v>5</v>
      </c>
      <c r="W17" s="107" t="s">
        <v>5</v>
      </c>
      <c r="X17" s="107" t="s">
        <v>5</v>
      </c>
      <c r="Y17" s="120" t="s">
        <v>42</v>
      </c>
      <c r="Z17" s="101" t="s">
        <v>4</v>
      </c>
      <c r="AA17" s="19" t="s">
        <v>42</v>
      </c>
      <c r="AB17" s="120" t="s">
        <v>41</v>
      </c>
      <c r="AC17" s="105" t="s">
        <v>6</v>
      </c>
      <c r="AD17" s="120" t="s">
        <v>41</v>
      </c>
      <c r="AE17" s="105" t="s">
        <v>6</v>
      </c>
      <c r="AF17" s="101" t="s">
        <v>4</v>
      </c>
      <c r="AG17" s="124" t="s">
        <v>11</v>
      </c>
      <c r="AH17" s="152" t="s">
        <v>10</v>
      </c>
    </row>
    <row r="18" spans="1:34" ht="15" thickBot="1" x14ac:dyDescent="0.4">
      <c r="A18" s="141" t="s">
        <v>68</v>
      </c>
      <c r="B18" s="25" t="s">
        <v>6</v>
      </c>
      <c r="C18" s="25" t="s">
        <v>6</v>
      </c>
      <c r="D18" s="157" t="s">
        <v>4</v>
      </c>
      <c r="E18" s="133" t="s">
        <v>42</v>
      </c>
      <c r="F18" s="133" t="s">
        <v>41</v>
      </c>
      <c r="G18" s="133" t="s">
        <v>41</v>
      </c>
      <c r="H18" s="133" t="s">
        <v>42</v>
      </c>
      <c r="I18" s="133" t="s">
        <v>41</v>
      </c>
      <c r="J18" s="133" t="s">
        <v>41</v>
      </c>
      <c r="K18" s="114" t="s">
        <v>4</v>
      </c>
      <c r="L18" s="114" t="s">
        <v>4</v>
      </c>
      <c r="M18" s="19" t="s">
        <v>41</v>
      </c>
      <c r="N18" s="19" t="s">
        <v>41</v>
      </c>
      <c r="O18" s="116" t="s">
        <v>2</v>
      </c>
      <c r="P18" s="19" t="s">
        <v>41</v>
      </c>
      <c r="Q18" s="19" t="s">
        <v>41</v>
      </c>
      <c r="R18" s="19" t="s">
        <v>42</v>
      </c>
      <c r="S18" s="110" t="s">
        <v>4</v>
      </c>
      <c r="T18" s="116" t="s">
        <v>2</v>
      </c>
      <c r="U18" s="19" t="s">
        <v>41</v>
      </c>
      <c r="V18" s="19" t="s">
        <v>41</v>
      </c>
      <c r="W18" s="19" t="s">
        <v>41</v>
      </c>
      <c r="X18" s="19" t="s">
        <v>41</v>
      </c>
      <c r="Y18" s="19" t="s">
        <v>42</v>
      </c>
      <c r="Z18" s="114" t="s">
        <v>4</v>
      </c>
      <c r="AA18" s="115" t="s">
        <v>37</v>
      </c>
      <c r="AB18" s="122" t="s">
        <v>5</v>
      </c>
      <c r="AC18" s="122" t="s">
        <v>5</v>
      </c>
      <c r="AD18" s="19" t="s">
        <v>41</v>
      </c>
      <c r="AE18" s="19" t="s">
        <v>41</v>
      </c>
      <c r="AF18" s="19" t="s">
        <v>42</v>
      </c>
      <c r="AG18" s="16" t="s">
        <v>11</v>
      </c>
      <c r="AH18" s="16" t="s">
        <v>10</v>
      </c>
    </row>
    <row r="19" spans="1:34" x14ac:dyDescent="0.35">
      <c r="A19" s="141" t="s">
        <v>60</v>
      </c>
      <c r="B19" s="22" t="s">
        <v>16</v>
      </c>
      <c r="C19" s="74" t="s">
        <v>6</v>
      </c>
      <c r="D19" s="149" t="s">
        <v>30</v>
      </c>
      <c r="E19" s="114" t="s">
        <v>4</v>
      </c>
      <c r="F19" s="19" t="s">
        <v>41</v>
      </c>
      <c r="G19" s="19" t="s">
        <v>41</v>
      </c>
      <c r="H19" s="155" t="s">
        <v>42</v>
      </c>
      <c r="I19" s="122" t="s">
        <v>5</v>
      </c>
      <c r="J19" s="122" t="s">
        <v>5</v>
      </c>
      <c r="K19" s="19" t="s">
        <v>42</v>
      </c>
      <c r="L19" s="19" t="s">
        <v>42</v>
      </c>
      <c r="M19" s="122" t="s">
        <v>5</v>
      </c>
      <c r="N19" s="122" t="s">
        <v>5</v>
      </c>
      <c r="O19" s="133" t="s">
        <v>41</v>
      </c>
      <c r="P19" s="133" t="s">
        <v>41</v>
      </c>
      <c r="Q19" s="19" t="s">
        <v>41</v>
      </c>
      <c r="R19" s="19" t="s">
        <v>42</v>
      </c>
      <c r="S19" s="114" t="s">
        <v>4</v>
      </c>
      <c r="T19" s="19" t="s">
        <v>41</v>
      </c>
      <c r="U19" s="133" t="s">
        <v>41</v>
      </c>
      <c r="V19" s="133" t="s">
        <v>41</v>
      </c>
      <c r="W19" s="133" t="s">
        <v>41</v>
      </c>
      <c r="X19" s="133" t="s">
        <v>41</v>
      </c>
      <c r="Y19" s="22" t="s">
        <v>30</v>
      </c>
      <c r="Z19" s="19" t="s">
        <v>42</v>
      </c>
      <c r="AA19" s="19" t="s">
        <v>42</v>
      </c>
      <c r="AB19" s="19" t="s">
        <v>41</v>
      </c>
      <c r="AC19" s="19" t="s">
        <v>41</v>
      </c>
      <c r="AD19" s="19" t="s">
        <v>41</v>
      </c>
      <c r="AE19" s="104" t="s">
        <v>2</v>
      </c>
      <c r="AF19" s="114" t="s">
        <v>4</v>
      </c>
      <c r="AG19" s="16" t="s">
        <v>11</v>
      </c>
      <c r="AH19" s="16" t="s">
        <v>10</v>
      </c>
    </row>
    <row r="20" spans="1:34" x14ac:dyDescent="0.35">
      <c r="A20" s="141" t="s">
        <v>140</v>
      </c>
      <c r="B20" s="22" t="s">
        <v>16</v>
      </c>
      <c r="C20" s="22" t="s">
        <v>16</v>
      </c>
      <c r="D20" s="114" t="s">
        <v>4</v>
      </c>
      <c r="E20" s="114" t="s">
        <v>4</v>
      </c>
      <c r="F20" s="22" t="s">
        <v>16</v>
      </c>
      <c r="G20" s="22" t="s">
        <v>16</v>
      </c>
      <c r="H20" s="115" t="s">
        <v>37</v>
      </c>
      <c r="I20" s="22" t="s">
        <v>16</v>
      </c>
      <c r="J20" s="22" t="s">
        <v>16</v>
      </c>
      <c r="K20" s="114" t="s">
        <v>4</v>
      </c>
      <c r="L20" s="114" t="s">
        <v>4</v>
      </c>
      <c r="M20" s="22" t="s">
        <v>16</v>
      </c>
      <c r="N20" s="22" t="s">
        <v>16</v>
      </c>
      <c r="O20" s="22" t="s">
        <v>16</v>
      </c>
      <c r="P20" s="22" t="s">
        <v>16</v>
      </c>
      <c r="Q20" s="22" t="s">
        <v>16</v>
      </c>
      <c r="R20" s="114" t="s">
        <v>4</v>
      </c>
      <c r="S20" s="114" t="s">
        <v>4</v>
      </c>
      <c r="T20" s="22" t="s">
        <v>16</v>
      </c>
      <c r="U20" s="22" t="s">
        <v>16</v>
      </c>
      <c r="V20" s="22" t="s">
        <v>16</v>
      </c>
      <c r="W20" s="22" t="s">
        <v>16</v>
      </c>
      <c r="X20" s="22" t="s">
        <v>16</v>
      </c>
      <c r="Y20" s="114" t="s">
        <v>4</v>
      </c>
      <c r="Z20" s="114" t="s">
        <v>4</v>
      </c>
      <c r="AA20" s="115" t="s">
        <v>37</v>
      </c>
      <c r="AB20" s="22" t="s">
        <v>16</v>
      </c>
      <c r="AC20" s="22" t="s">
        <v>16</v>
      </c>
      <c r="AD20" s="22" t="s">
        <v>16</v>
      </c>
      <c r="AE20" s="22" t="s">
        <v>16</v>
      </c>
      <c r="AF20" s="114" t="s">
        <v>4</v>
      </c>
      <c r="AG20" s="114" t="s">
        <v>4</v>
      </c>
      <c r="AH20" s="22" t="s">
        <v>16</v>
      </c>
    </row>
    <row r="22" spans="1:34" x14ac:dyDescent="0.35">
      <c r="A22" s="128" t="s">
        <v>125</v>
      </c>
      <c r="B22">
        <f t="shared" ref="B22:AH22" si="2">COUNTIF(B4:B20,"*MS")</f>
        <v>3</v>
      </c>
      <c r="C22">
        <f t="shared" si="2"/>
        <v>3</v>
      </c>
      <c r="D22">
        <f t="shared" si="2"/>
        <v>2</v>
      </c>
      <c r="E22">
        <f t="shared" si="2"/>
        <v>2</v>
      </c>
      <c r="F22">
        <f t="shared" si="2"/>
        <v>3</v>
      </c>
      <c r="G22">
        <f t="shared" si="2"/>
        <v>4</v>
      </c>
      <c r="H22">
        <f t="shared" si="2"/>
        <v>3</v>
      </c>
      <c r="I22">
        <f t="shared" si="2"/>
        <v>4</v>
      </c>
      <c r="J22">
        <f t="shared" si="2"/>
        <v>3</v>
      </c>
      <c r="K22">
        <f t="shared" si="2"/>
        <v>2</v>
      </c>
      <c r="L22">
        <f t="shared" si="2"/>
        <v>2</v>
      </c>
      <c r="M22">
        <f t="shared" si="2"/>
        <v>3</v>
      </c>
      <c r="N22">
        <f t="shared" si="2"/>
        <v>4</v>
      </c>
      <c r="O22">
        <f t="shared" si="2"/>
        <v>4</v>
      </c>
      <c r="P22">
        <f t="shared" si="2"/>
        <v>3</v>
      </c>
      <c r="Q22">
        <f t="shared" si="2"/>
        <v>4</v>
      </c>
      <c r="R22">
        <f t="shared" si="2"/>
        <v>2</v>
      </c>
      <c r="S22">
        <f t="shared" si="2"/>
        <v>2</v>
      </c>
      <c r="T22">
        <f t="shared" si="2"/>
        <v>3</v>
      </c>
      <c r="U22">
        <f t="shared" si="2"/>
        <v>4</v>
      </c>
      <c r="V22">
        <f t="shared" si="2"/>
        <v>3</v>
      </c>
      <c r="W22">
        <f t="shared" si="2"/>
        <v>3</v>
      </c>
      <c r="X22">
        <f t="shared" si="2"/>
        <v>3</v>
      </c>
      <c r="Y22">
        <f t="shared" si="2"/>
        <v>2</v>
      </c>
      <c r="Z22">
        <f t="shared" si="2"/>
        <v>2</v>
      </c>
      <c r="AA22">
        <f t="shared" si="2"/>
        <v>3</v>
      </c>
      <c r="AB22">
        <f t="shared" si="2"/>
        <v>3</v>
      </c>
      <c r="AC22">
        <f t="shared" si="2"/>
        <v>3</v>
      </c>
      <c r="AD22">
        <f t="shared" si="2"/>
        <v>3</v>
      </c>
      <c r="AE22">
        <f t="shared" si="2"/>
        <v>4</v>
      </c>
      <c r="AF22">
        <f t="shared" si="2"/>
        <v>2</v>
      </c>
      <c r="AG22">
        <f t="shared" si="2"/>
        <v>2</v>
      </c>
      <c r="AH22">
        <f t="shared" si="2"/>
        <v>3</v>
      </c>
    </row>
    <row r="23" spans="1:34" x14ac:dyDescent="0.35">
      <c r="A23" s="128" t="s">
        <v>126</v>
      </c>
      <c r="B23">
        <f t="shared" ref="B23:AH23" si="3">COUNTIF(B4:B20,"*ASS1")</f>
        <v>3</v>
      </c>
      <c r="C23">
        <f t="shared" si="3"/>
        <v>4</v>
      </c>
      <c r="D23">
        <f t="shared" si="3"/>
        <v>2</v>
      </c>
      <c r="E23">
        <f t="shared" si="3"/>
        <v>2</v>
      </c>
      <c r="F23">
        <f t="shared" si="3"/>
        <v>3</v>
      </c>
      <c r="G23">
        <f t="shared" si="3"/>
        <v>4</v>
      </c>
      <c r="H23">
        <f t="shared" si="3"/>
        <v>3</v>
      </c>
      <c r="I23">
        <f t="shared" si="3"/>
        <v>3</v>
      </c>
      <c r="J23">
        <f t="shared" si="3"/>
        <v>2</v>
      </c>
      <c r="K23">
        <f t="shared" si="3"/>
        <v>2</v>
      </c>
      <c r="L23">
        <f t="shared" si="3"/>
        <v>2</v>
      </c>
      <c r="M23">
        <f t="shared" si="3"/>
        <v>3</v>
      </c>
      <c r="N23">
        <f t="shared" si="3"/>
        <v>3</v>
      </c>
      <c r="O23">
        <f t="shared" si="3"/>
        <v>3</v>
      </c>
      <c r="P23">
        <f t="shared" si="3"/>
        <v>4</v>
      </c>
      <c r="Q23">
        <f t="shared" si="3"/>
        <v>2</v>
      </c>
      <c r="R23">
        <f t="shared" si="3"/>
        <v>2</v>
      </c>
      <c r="S23">
        <f t="shared" si="3"/>
        <v>2</v>
      </c>
      <c r="T23">
        <f t="shared" si="3"/>
        <v>3</v>
      </c>
      <c r="U23">
        <f t="shared" si="3"/>
        <v>3</v>
      </c>
      <c r="V23">
        <f t="shared" si="3"/>
        <v>3</v>
      </c>
      <c r="W23">
        <f t="shared" si="3"/>
        <v>3</v>
      </c>
      <c r="X23">
        <f t="shared" si="3"/>
        <v>3</v>
      </c>
      <c r="Y23">
        <f t="shared" si="3"/>
        <v>2</v>
      </c>
      <c r="Z23">
        <f t="shared" si="3"/>
        <v>2</v>
      </c>
      <c r="AA23">
        <f t="shared" si="3"/>
        <v>3</v>
      </c>
      <c r="AB23">
        <f t="shared" si="3"/>
        <v>3</v>
      </c>
      <c r="AC23">
        <f t="shared" si="3"/>
        <v>3</v>
      </c>
      <c r="AD23">
        <f t="shared" si="3"/>
        <v>3</v>
      </c>
      <c r="AE23">
        <f t="shared" si="3"/>
        <v>3</v>
      </c>
      <c r="AF23">
        <f t="shared" si="3"/>
        <v>2</v>
      </c>
      <c r="AG23">
        <f t="shared" si="3"/>
        <v>2</v>
      </c>
      <c r="AH23">
        <f t="shared" si="3"/>
        <v>3</v>
      </c>
    </row>
    <row r="24" spans="1:34" x14ac:dyDescent="0.35">
      <c r="A24" s="128" t="s">
        <v>127</v>
      </c>
      <c r="B24">
        <f t="shared" ref="B24:AH24" si="4">COUNTIF(B4:B20,"*NST7")</f>
        <v>3</v>
      </c>
      <c r="C24">
        <f t="shared" si="4"/>
        <v>4</v>
      </c>
      <c r="D24">
        <f t="shared" si="4"/>
        <v>3</v>
      </c>
      <c r="E24">
        <f t="shared" si="4"/>
        <v>2</v>
      </c>
      <c r="F24">
        <f t="shared" si="4"/>
        <v>3</v>
      </c>
      <c r="G24">
        <f t="shared" si="4"/>
        <v>4</v>
      </c>
      <c r="H24">
        <f t="shared" si="4"/>
        <v>3</v>
      </c>
      <c r="I24">
        <f t="shared" si="4"/>
        <v>4</v>
      </c>
      <c r="J24">
        <f t="shared" si="4"/>
        <v>3</v>
      </c>
      <c r="K24">
        <f t="shared" si="4"/>
        <v>3</v>
      </c>
      <c r="L24">
        <f t="shared" si="4"/>
        <v>3</v>
      </c>
      <c r="M24">
        <f t="shared" si="4"/>
        <v>3</v>
      </c>
      <c r="N24">
        <f t="shared" si="4"/>
        <v>3</v>
      </c>
      <c r="O24">
        <f t="shared" si="4"/>
        <v>3</v>
      </c>
      <c r="P24">
        <f t="shared" si="4"/>
        <v>4</v>
      </c>
      <c r="Q24">
        <f t="shared" si="4"/>
        <v>3</v>
      </c>
      <c r="R24">
        <f t="shared" si="4"/>
        <v>3</v>
      </c>
      <c r="S24">
        <f t="shared" si="4"/>
        <v>3</v>
      </c>
      <c r="T24">
        <f t="shared" si="4"/>
        <v>3</v>
      </c>
      <c r="U24">
        <f t="shared" si="4"/>
        <v>3</v>
      </c>
      <c r="V24">
        <f t="shared" si="4"/>
        <v>3</v>
      </c>
      <c r="W24">
        <f t="shared" si="4"/>
        <v>3</v>
      </c>
      <c r="X24">
        <f t="shared" si="4"/>
        <v>3</v>
      </c>
      <c r="Y24">
        <f t="shared" si="4"/>
        <v>3</v>
      </c>
      <c r="Z24">
        <f t="shared" si="4"/>
        <v>3</v>
      </c>
      <c r="AA24">
        <f t="shared" si="4"/>
        <v>3</v>
      </c>
      <c r="AB24">
        <f t="shared" si="4"/>
        <v>3</v>
      </c>
      <c r="AC24">
        <f t="shared" si="4"/>
        <v>3</v>
      </c>
      <c r="AD24">
        <f t="shared" si="4"/>
        <v>3</v>
      </c>
      <c r="AE24">
        <f t="shared" si="4"/>
        <v>3</v>
      </c>
      <c r="AF24">
        <f t="shared" si="4"/>
        <v>3</v>
      </c>
      <c r="AG24">
        <f t="shared" si="4"/>
        <v>3</v>
      </c>
      <c r="AH24">
        <f t="shared" si="4"/>
        <v>3</v>
      </c>
    </row>
    <row r="25" spans="1:34" x14ac:dyDescent="0.35">
      <c r="A25" s="128" t="s">
        <v>128</v>
      </c>
      <c r="B25">
        <f t="shared" ref="B25:AH25" si="5">COUNTIF(B4:B20,"*GS")</f>
        <v>3</v>
      </c>
      <c r="C25">
        <f t="shared" si="5"/>
        <v>1</v>
      </c>
      <c r="D25">
        <f t="shared" si="5"/>
        <v>1</v>
      </c>
      <c r="E25">
        <f t="shared" si="5"/>
        <v>0</v>
      </c>
      <c r="F25">
        <f t="shared" si="5"/>
        <v>1</v>
      </c>
      <c r="G25">
        <f t="shared" si="5"/>
        <v>1</v>
      </c>
      <c r="H25">
        <f t="shared" si="5"/>
        <v>0</v>
      </c>
      <c r="I25">
        <f t="shared" si="5"/>
        <v>1</v>
      </c>
      <c r="J25">
        <f t="shared" si="5"/>
        <v>1</v>
      </c>
      <c r="K25">
        <f t="shared" si="5"/>
        <v>1</v>
      </c>
      <c r="L25">
        <f t="shared" si="5"/>
        <v>0</v>
      </c>
      <c r="M25">
        <f t="shared" si="5"/>
        <v>1</v>
      </c>
      <c r="N25">
        <f t="shared" si="5"/>
        <v>1</v>
      </c>
      <c r="O25">
        <f t="shared" si="5"/>
        <v>2</v>
      </c>
      <c r="P25">
        <f t="shared" si="5"/>
        <v>1</v>
      </c>
      <c r="Q25">
        <f t="shared" si="5"/>
        <v>1</v>
      </c>
      <c r="R25">
        <f t="shared" si="5"/>
        <v>1</v>
      </c>
      <c r="S25">
        <f t="shared" si="5"/>
        <v>0</v>
      </c>
      <c r="T25">
        <f t="shared" si="5"/>
        <v>1</v>
      </c>
      <c r="U25">
        <f t="shared" si="5"/>
        <v>1</v>
      </c>
      <c r="V25">
        <f t="shared" si="5"/>
        <v>1</v>
      </c>
      <c r="W25">
        <f t="shared" si="5"/>
        <v>1</v>
      </c>
      <c r="X25">
        <f t="shared" si="5"/>
        <v>1</v>
      </c>
      <c r="Y25">
        <f t="shared" si="5"/>
        <v>1</v>
      </c>
      <c r="Z25">
        <f t="shared" si="5"/>
        <v>0</v>
      </c>
      <c r="AA25">
        <f t="shared" si="5"/>
        <v>0</v>
      </c>
      <c r="AB25">
        <f t="shared" si="5"/>
        <v>1</v>
      </c>
      <c r="AC25">
        <f t="shared" si="5"/>
        <v>1</v>
      </c>
      <c r="AD25">
        <f t="shared" si="5"/>
        <v>1</v>
      </c>
      <c r="AE25">
        <f t="shared" si="5"/>
        <v>1</v>
      </c>
      <c r="AF25">
        <f t="shared" si="5"/>
        <v>1</v>
      </c>
      <c r="AG25">
        <f t="shared" si="5"/>
        <v>0</v>
      </c>
      <c r="AH25">
        <f t="shared" si="5"/>
        <v>1</v>
      </c>
    </row>
    <row r="26" spans="1:34" x14ac:dyDescent="0.35">
      <c r="A26" s="128" t="s">
        <v>129</v>
      </c>
      <c r="B26">
        <f>COUNTIF(B4:B20,"C")</f>
        <v>1</v>
      </c>
      <c r="C26">
        <f>COUNTIF(C4:C20,"C")</f>
        <v>2</v>
      </c>
      <c r="D26">
        <f>COUNTIF(D4:D20,"WO")</f>
        <v>7</v>
      </c>
      <c r="E26">
        <f>COUNTIF(E4:E20,"WO")</f>
        <v>9</v>
      </c>
      <c r="F26">
        <f>COUNTIF(F4:F20,"C")</f>
        <v>4</v>
      </c>
      <c r="G26">
        <f>COUNTIF(G4:G20,"C")</f>
        <v>0</v>
      </c>
      <c r="H26">
        <f>COUNTIF(H4:H20,"C")</f>
        <v>0</v>
      </c>
      <c r="I26">
        <f>COUNTIF(I4:I20,"C")</f>
        <v>1</v>
      </c>
      <c r="J26">
        <f>COUNTIF(J4:J20,"C")</f>
        <v>3</v>
      </c>
      <c r="K26">
        <f>COUNTIF(K4:K20,"WO")</f>
        <v>7</v>
      </c>
      <c r="L26">
        <f>COUNTIF(L4:L20,"WO")</f>
        <v>8</v>
      </c>
      <c r="M26">
        <f>COUNTIF(M4:M20,"C")</f>
        <v>4</v>
      </c>
      <c r="N26">
        <f>COUNTIF(N4:N20,"C")</f>
        <v>3</v>
      </c>
      <c r="O26">
        <f>COUNTIF(O4:O20,"C")</f>
        <v>3</v>
      </c>
      <c r="P26">
        <f>COUNTIF(P4:P20,"C")</f>
        <v>1</v>
      </c>
      <c r="Q26">
        <f>COUNTIF(Q4:Q20,"C")</f>
        <v>2</v>
      </c>
      <c r="R26">
        <f>COUNTIF(R4:R20,"WO")</f>
        <v>7</v>
      </c>
      <c r="S26">
        <f>COUNTIF(S4:S20,"WO")</f>
        <v>8</v>
      </c>
      <c r="T26">
        <f>COUNTIF(T4:T20,"C")</f>
        <v>4</v>
      </c>
      <c r="U26">
        <f>COUNTIF(U4:U20,"C")</f>
        <v>2</v>
      </c>
      <c r="V26">
        <f>COUNTIF(V4:V20,"C")</f>
        <v>2</v>
      </c>
      <c r="W26">
        <f>COUNTIF(W4:W20,"C")</f>
        <v>2</v>
      </c>
      <c r="X26">
        <f>COUNTIF(X4:X20,"C")</f>
        <v>2</v>
      </c>
      <c r="Y26">
        <f>COUNTIF(Y4:Y20,"WO")</f>
        <v>6</v>
      </c>
      <c r="Z26">
        <f>COUNTIF(Z4:Z20,"WO")</f>
        <v>8</v>
      </c>
      <c r="AA26">
        <f>COUNTIF(AA4:AA20,"C")</f>
        <v>0</v>
      </c>
      <c r="AB26">
        <f>COUNTIF(AB4:AB20,"C")</f>
        <v>2</v>
      </c>
      <c r="AC26">
        <f>COUNTIF(AC4:AC20,"C")</f>
        <v>0</v>
      </c>
      <c r="AD26">
        <f>COUNTIF(AD4:AD20,"C")</f>
        <v>2</v>
      </c>
      <c r="AE26">
        <f>COUNTIF(AE4:AE20,"C")</f>
        <v>3</v>
      </c>
      <c r="AF26">
        <f>COUNTIF(AF4:AF20,"WO")</f>
        <v>7</v>
      </c>
      <c r="AG26">
        <f>COUNTIF(AG4:AG20,"WO")</f>
        <v>8</v>
      </c>
      <c r="AH26">
        <f>COUNTIF(AH4:AH20,"C")</f>
        <v>4</v>
      </c>
    </row>
    <row r="27" spans="1:34" x14ac:dyDescent="0.35">
      <c r="A27" s="128" t="s">
        <v>130</v>
      </c>
      <c r="B27">
        <f t="shared" ref="B27:AH27" si="6">COUNTIF(B4:B20,"PL")</f>
        <v>2</v>
      </c>
      <c r="C27">
        <f t="shared" si="6"/>
        <v>1</v>
      </c>
      <c r="D27">
        <f t="shared" si="6"/>
        <v>0</v>
      </c>
      <c r="E27">
        <f t="shared" si="6"/>
        <v>0</v>
      </c>
      <c r="F27">
        <f t="shared" si="6"/>
        <v>1</v>
      </c>
      <c r="G27">
        <f t="shared" si="6"/>
        <v>2</v>
      </c>
      <c r="H27">
        <f t="shared" si="6"/>
        <v>0</v>
      </c>
      <c r="I27">
        <f t="shared" si="6"/>
        <v>2</v>
      </c>
      <c r="J27">
        <f t="shared" si="6"/>
        <v>3</v>
      </c>
      <c r="K27">
        <f t="shared" si="6"/>
        <v>0</v>
      </c>
      <c r="L27">
        <f t="shared" si="6"/>
        <v>0</v>
      </c>
      <c r="M27">
        <f t="shared" si="6"/>
        <v>1</v>
      </c>
      <c r="N27">
        <f t="shared" si="6"/>
        <v>1</v>
      </c>
      <c r="O27">
        <f t="shared" si="6"/>
        <v>0</v>
      </c>
      <c r="P27">
        <f t="shared" si="6"/>
        <v>2</v>
      </c>
      <c r="Q27">
        <f t="shared" si="6"/>
        <v>2</v>
      </c>
      <c r="R27">
        <f t="shared" si="6"/>
        <v>0</v>
      </c>
      <c r="S27">
        <f t="shared" si="6"/>
        <v>0</v>
      </c>
      <c r="T27">
        <f t="shared" si="6"/>
        <v>1</v>
      </c>
      <c r="U27">
        <f t="shared" si="6"/>
        <v>2</v>
      </c>
      <c r="V27">
        <f t="shared" si="6"/>
        <v>3</v>
      </c>
      <c r="W27">
        <f t="shared" si="6"/>
        <v>3</v>
      </c>
      <c r="X27">
        <f t="shared" si="6"/>
        <v>3</v>
      </c>
      <c r="Y27">
        <f t="shared" si="6"/>
        <v>0</v>
      </c>
      <c r="Z27">
        <f t="shared" si="6"/>
        <v>0</v>
      </c>
      <c r="AA27">
        <f t="shared" si="6"/>
        <v>1</v>
      </c>
      <c r="AB27">
        <f t="shared" si="6"/>
        <v>3</v>
      </c>
      <c r="AC27">
        <f t="shared" si="6"/>
        <v>4</v>
      </c>
      <c r="AD27">
        <f t="shared" si="6"/>
        <v>3</v>
      </c>
      <c r="AE27">
        <f t="shared" si="6"/>
        <v>1</v>
      </c>
      <c r="AF27">
        <f t="shared" si="6"/>
        <v>0</v>
      </c>
      <c r="AG27">
        <f t="shared" si="6"/>
        <v>0</v>
      </c>
      <c r="AH27">
        <f t="shared" si="6"/>
        <v>1</v>
      </c>
    </row>
    <row r="28" spans="1:34" x14ac:dyDescent="0.35">
      <c r="A28" s="128" t="s">
        <v>33</v>
      </c>
      <c r="B28">
        <f t="shared" ref="B28:AH28" si="7">COUNTIF(B4:B20,"UPL")</f>
        <v>0</v>
      </c>
      <c r="C28">
        <f t="shared" si="7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7"/>
        <v>0</v>
      </c>
      <c r="I28">
        <f t="shared" si="7"/>
        <v>0</v>
      </c>
      <c r="J28">
        <f t="shared" si="7"/>
        <v>0</v>
      </c>
      <c r="K28">
        <f t="shared" si="7"/>
        <v>0</v>
      </c>
      <c r="L28">
        <f t="shared" si="7"/>
        <v>0</v>
      </c>
      <c r="M28">
        <f t="shared" si="7"/>
        <v>0</v>
      </c>
      <c r="N28">
        <f t="shared" si="7"/>
        <v>0</v>
      </c>
      <c r="O28">
        <f t="shared" si="7"/>
        <v>0</v>
      </c>
      <c r="P28">
        <f t="shared" si="7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 t="shared" si="7"/>
        <v>0</v>
      </c>
      <c r="U28">
        <f t="shared" si="7"/>
        <v>0</v>
      </c>
      <c r="V28">
        <f t="shared" si="7"/>
        <v>0</v>
      </c>
      <c r="W28">
        <f t="shared" si="7"/>
        <v>0</v>
      </c>
      <c r="X28">
        <f t="shared" si="7"/>
        <v>0</v>
      </c>
      <c r="Y28">
        <f t="shared" si="7"/>
        <v>1</v>
      </c>
      <c r="Z28">
        <f t="shared" si="7"/>
        <v>0</v>
      </c>
      <c r="AA28">
        <f t="shared" si="7"/>
        <v>0</v>
      </c>
      <c r="AB28">
        <f t="shared" si="7"/>
        <v>0</v>
      </c>
      <c r="AC28">
        <f t="shared" si="7"/>
        <v>0</v>
      </c>
      <c r="AD28">
        <f t="shared" si="7"/>
        <v>0</v>
      </c>
      <c r="AE28">
        <f t="shared" si="7"/>
        <v>0</v>
      </c>
      <c r="AF28">
        <f t="shared" si="7"/>
        <v>0</v>
      </c>
      <c r="AG28">
        <f t="shared" si="7"/>
        <v>0</v>
      </c>
      <c r="AH28">
        <f t="shared" si="7"/>
        <v>0</v>
      </c>
    </row>
    <row r="29" spans="1:34" x14ac:dyDescent="0.35">
      <c r="A29" s="128" t="s">
        <v>141</v>
      </c>
      <c r="B29">
        <f t="shared" ref="B29:AH29" si="8">COUNTIF(B4:B20,"H")</f>
        <v>0</v>
      </c>
      <c r="C29">
        <f t="shared" si="8"/>
        <v>0</v>
      </c>
      <c r="D29">
        <f t="shared" si="8"/>
        <v>0</v>
      </c>
      <c r="E29">
        <f t="shared" si="8"/>
        <v>0</v>
      </c>
      <c r="F29">
        <f t="shared" si="8"/>
        <v>0</v>
      </c>
      <c r="G29">
        <f t="shared" si="8"/>
        <v>0</v>
      </c>
      <c r="H29">
        <f t="shared" si="8"/>
        <v>6</v>
      </c>
      <c r="I29">
        <f t="shared" si="8"/>
        <v>0</v>
      </c>
      <c r="J29">
        <f t="shared" si="8"/>
        <v>0</v>
      </c>
      <c r="K29">
        <f t="shared" si="8"/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5</v>
      </c>
      <c r="AB29">
        <f t="shared" si="8"/>
        <v>0</v>
      </c>
      <c r="AC29">
        <f t="shared" si="8"/>
        <v>1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  <c r="AH29">
        <f t="shared" si="8"/>
        <v>0</v>
      </c>
    </row>
    <row r="30" spans="1:34" x14ac:dyDescent="0.35">
      <c r="A30" s="128" t="s">
        <v>131</v>
      </c>
      <c r="B30" s="129">
        <f>SUM(B22:B29)</f>
        <v>15</v>
      </c>
      <c r="C30" s="129">
        <f t="shared" ref="C30:AH30" si="9">SUM(C22:C29)</f>
        <v>15</v>
      </c>
      <c r="D30" s="129">
        <f t="shared" si="9"/>
        <v>15</v>
      </c>
      <c r="E30" s="129">
        <f t="shared" si="9"/>
        <v>15</v>
      </c>
      <c r="F30" s="129">
        <f t="shared" si="9"/>
        <v>15</v>
      </c>
      <c r="G30" s="129">
        <f t="shared" si="9"/>
        <v>15</v>
      </c>
      <c r="H30" s="129">
        <f t="shared" si="9"/>
        <v>15</v>
      </c>
      <c r="I30" s="129">
        <f t="shared" si="9"/>
        <v>15</v>
      </c>
      <c r="J30" s="129">
        <f t="shared" si="9"/>
        <v>15</v>
      </c>
      <c r="K30" s="129">
        <f t="shared" si="9"/>
        <v>15</v>
      </c>
      <c r="L30" s="129">
        <f t="shared" si="9"/>
        <v>15</v>
      </c>
      <c r="M30" s="129">
        <f t="shared" si="9"/>
        <v>15</v>
      </c>
      <c r="N30" s="129">
        <f t="shared" si="9"/>
        <v>15</v>
      </c>
      <c r="O30" s="129">
        <f t="shared" si="9"/>
        <v>15</v>
      </c>
      <c r="P30" s="129">
        <f t="shared" si="9"/>
        <v>15</v>
      </c>
      <c r="Q30" s="129">
        <f t="shared" si="9"/>
        <v>14</v>
      </c>
      <c r="R30" s="129">
        <f t="shared" si="9"/>
        <v>15</v>
      </c>
      <c r="S30" s="129">
        <f t="shared" si="9"/>
        <v>15</v>
      </c>
      <c r="T30" s="129">
        <f t="shared" si="9"/>
        <v>15</v>
      </c>
      <c r="U30" s="129">
        <f t="shared" si="9"/>
        <v>15</v>
      </c>
      <c r="V30" s="129">
        <f t="shared" si="9"/>
        <v>15</v>
      </c>
      <c r="W30" s="129">
        <f t="shared" si="9"/>
        <v>15</v>
      </c>
      <c r="X30" s="129">
        <f t="shared" si="9"/>
        <v>15</v>
      </c>
      <c r="Y30" s="129">
        <f t="shared" si="9"/>
        <v>15</v>
      </c>
      <c r="Z30" s="129">
        <f t="shared" si="9"/>
        <v>15</v>
      </c>
      <c r="AA30" s="129">
        <f t="shared" si="9"/>
        <v>15</v>
      </c>
      <c r="AB30" s="129">
        <f t="shared" si="9"/>
        <v>15</v>
      </c>
      <c r="AC30" s="129">
        <f t="shared" si="9"/>
        <v>15</v>
      </c>
      <c r="AD30" s="129">
        <f t="shared" si="9"/>
        <v>15</v>
      </c>
      <c r="AE30" s="129">
        <f t="shared" si="9"/>
        <v>15</v>
      </c>
      <c r="AF30" s="129">
        <f t="shared" si="9"/>
        <v>15</v>
      </c>
      <c r="AG30" s="129">
        <f t="shared" si="9"/>
        <v>15</v>
      </c>
      <c r="AH30" s="129">
        <f t="shared" si="9"/>
        <v>15</v>
      </c>
    </row>
  </sheetData>
  <conditionalFormatting sqref="B22:AH25">
    <cfRule type="cellIs" dxfId="845" priority="1" operator="lessThan">
      <formula>3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A1:AL30"/>
  <sheetViews>
    <sheetView zoomScale="80" zoomScaleNormal="80" workbookViewId="0">
      <pane xSplit="1" topLeftCell="Q1" activePane="topRight" state="frozen"/>
      <selection pane="topRight" activeCell="AH5" sqref="AH5"/>
    </sheetView>
  </sheetViews>
  <sheetFormatPr defaultRowHeight="14.5" x14ac:dyDescent="0.35"/>
  <cols>
    <col min="1" max="1" width="23.08984375" customWidth="1"/>
    <col min="2" max="3" width="6.90625" customWidth="1"/>
    <col min="4" max="4" width="6.453125" customWidth="1"/>
    <col min="5" max="5" width="6.90625" customWidth="1"/>
    <col min="6" max="38" width="8.7265625" customWidth="1"/>
  </cols>
  <sheetData>
    <row r="1" spans="1:38" x14ac:dyDescent="0.35">
      <c r="A1" s="1"/>
      <c r="B1" s="2" t="str">
        <f t="shared" ref="B1:D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ref="E1:AL1" si="1">TEXT(E2,"ddd")</f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  <c r="AH1" s="2" t="str">
        <f t="shared" si="1"/>
        <v>Wed</v>
      </c>
      <c r="AI1" s="2" t="str">
        <f t="shared" si="1"/>
        <v>Thu</v>
      </c>
      <c r="AJ1" s="2" t="str">
        <f t="shared" si="1"/>
        <v>Fri</v>
      </c>
      <c r="AK1" s="2" t="str">
        <f t="shared" si="1"/>
        <v>Sat</v>
      </c>
      <c r="AL1" s="2" t="str">
        <f t="shared" si="1"/>
        <v>Sun</v>
      </c>
    </row>
    <row r="2" spans="1:38" x14ac:dyDescent="0.35">
      <c r="A2" s="95" t="s">
        <v>0</v>
      </c>
      <c r="B2" s="29">
        <v>44863</v>
      </c>
      <c r="C2" s="29">
        <v>44864</v>
      </c>
      <c r="D2" s="29">
        <v>44865</v>
      </c>
      <c r="E2" s="29">
        <v>44866</v>
      </c>
      <c r="F2" s="29">
        <v>44867</v>
      </c>
      <c r="G2" s="29">
        <v>44868</v>
      </c>
      <c r="H2" s="29">
        <v>44869</v>
      </c>
      <c r="I2" s="29">
        <v>44870</v>
      </c>
      <c r="J2" s="29">
        <v>44871</v>
      </c>
      <c r="K2" s="29">
        <v>44872</v>
      </c>
      <c r="L2" s="29">
        <v>44873</v>
      </c>
      <c r="M2" s="29">
        <v>44874</v>
      </c>
      <c r="N2" s="29">
        <v>44875</v>
      </c>
      <c r="O2" s="29">
        <v>44876</v>
      </c>
      <c r="P2" s="29">
        <v>44877</v>
      </c>
      <c r="Q2" s="29">
        <v>44878</v>
      </c>
      <c r="R2" s="29">
        <v>44879</v>
      </c>
      <c r="S2" s="29">
        <v>44880</v>
      </c>
      <c r="T2" s="29">
        <v>44881</v>
      </c>
      <c r="U2" s="29">
        <v>44882</v>
      </c>
      <c r="V2" s="29">
        <v>44883</v>
      </c>
      <c r="W2" s="29">
        <v>44884</v>
      </c>
      <c r="X2" s="29">
        <v>44885</v>
      </c>
      <c r="Y2" s="29">
        <v>44886</v>
      </c>
      <c r="Z2" s="29">
        <v>44887</v>
      </c>
      <c r="AA2" s="29">
        <v>44888</v>
      </c>
      <c r="AB2" s="29">
        <v>44889</v>
      </c>
      <c r="AC2" s="29">
        <v>44890</v>
      </c>
      <c r="AD2" s="29">
        <v>44891</v>
      </c>
      <c r="AE2" s="29">
        <v>44892</v>
      </c>
      <c r="AF2" s="29">
        <v>44893</v>
      </c>
      <c r="AG2" s="29">
        <v>44894</v>
      </c>
      <c r="AH2" s="29">
        <v>44895</v>
      </c>
      <c r="AI2" s="29">
        <v>44896</v>
      </c>
      <c r="AJ2" s="29">
        <v>44897</v>
      </c>
      <c r="AK2" s="29">
        <v>44898</v>
      </c>
      <c r="AL2" s="29">
        <v>44899</v>
      </c>
    </row>
    <row r="3" spans="1:38" ht="15" thickBot="1" x14ac:dyDescent="0.4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</row>
    <row r="4" spans="1:38" ht="15" thickBot="1" x14ac:dyDescent="0.4">
      <c r="A4" s="137" t="s">
        <v>14</v>
      </c>
      <c r="B4" s="99" t="s">
        <v>4</v>
      </c>
      <c r="C4" s="103" t="s">
        <v>3</v>
      </c>
      <c r="D4" s="161" t="s">
        <v>2</v>
      </c>
      <c r="E4" s="154" t="s">
        <v>6</v>
      </c>
      <c r="F4" s="154" t="s">
        <v>6</v>
      </c>
      <c r="G4" s="154" t="s">
        <v>6</v>
      </c>
      <c r="H4" s="163" t="s">
        <v>5</v>
      </c>
      <c r="I4" s="114" t="s">
        <v>4</v>
      </c>
      <c r="J4" s="114" t="s">
        <v>4</v>
      </c>
      <c r="K4" s="163" t="s">
        <v>5</v>
      </c>
      <c r="L4" s="154" t="s">
        <v>6</v>
      </c>
      <c r="M4" s="154" t="s">
        <v>6</v>
      </c>
      <c r="N4" s="154" t="s">
        <v>6</v>
      </c>
      <c r="O4" s="154" t="s">
        <v>6</v>
      </c>
      <c r="P4" s="154" t="s">
        <v>3</v>
      </c>
      <c r="Q4" s="114" t="s">
        <v>4</v>
      </c>
      <c r="R4" s="161" t="s">
        <v>2</v>
      </c>
      <c r="S4" s="154" t="s">
        <v>6</v>
      </c>
      <c r="T4" s="154" t="s">
        <v>6</v>
      </c>
      <c r="U4" s="154" t="s">
        <v>6</v>
      </c>
      <c r="V4" s="154" t="s">
        <v>6</v>
      </c>
      <c r="W4" s="154" t="s">
        <v>3</v>
      </c>
      <c r="X4" s="114" t="s">
        <v>4</v>
      </c>
      <c r="Y4" s="74" t="s">
        <v>6</v>
      </c>
      <c r="Z4" s="74" t="s">
        <v>6</v>
      </c>
      <c r="AA4" s="74" t="s">
        <v>6</v>
      </c>
      <c r="AB4" s="74" t="s">
        <v>6</v>
      </c>
      <c r="AC4" s="74" t="s">
        <v>6</v>
      </c>
      <c r="AD4" s="154" t="s">
        <v>3</v>
      </c>
      <c r="AE4" s="114" t="s">
        <v>4</v>
      </c>
      <c r="AF4" s="116" t="s">
        <v>2</v>
      </c>
      <c r="AG4" s="25" t="s">
        <v>6</v>
      </c>
      <c r="AH4" s="74" t="s">
        <v>6</v>
      </c>
      <c r="AI4" s="19" t="s">
        <v>41</v>
      </c>
      <c r="AJ4" s="19" t="s">
        <v>41</v>
      </c>
      <c r="AK4" s="19" t="s">
        <v>42</v>
      </c>
      <c r="AL4" s="114" t="s">
        <v>4</v>
      </c>
    </row>
    <row r="5" spans="1:38" ht="15" thickBot="1" x14ac:dyDescent="0.4">
      <c r="A5" s="138" t="s">
        <v>12</v>
      </c>
      <c r="B5" s="124" t="s">
        <v>11</v>
      </c>
      <c r="C5" s="101" t="s">
        <v>4</v>
      </c>
      <c r="D5" s="154" t="s">
        <v>6</v>
      </c>
      <c r="E5" s="154" t="s">
        <v>6</v>
      </c>
      <c r="F5" s="161" t="s">
        <v>2</v>
      </c>
      <c r="G5" s="161" t="s">
        <v>2</v>
      </c>
      <c r="H5" s="154" t="s">
        <v>6</v>
      </c>
      <c r="I5" s="154" t="s">
        <v>3</v>
      </c>
      <c r="J5" s="154" t="s">
        <v>3</v>
      </c>
      <c r="K5" s="154" t="s">
        <v>6</v>
      </c>
      <c r="L5" s="161" t="s">
        <v>2</v>
      </c>
      <c r="M5" s="154" t="s">
        <v>6</v>
      </c>
      <c r="N5" s="154" t="s">
        <v>6</v>
      </c>
      <c r="O5" s="154" t="s">
        <v>6</v>
      </c>
      <c r="P5" s="114" t="s">
        <v>4</v>
      </c>
      <c r="Q5" s="154" t="s">
        <v>3</v>
      </c>
      <c r="R5" s="154" t="s">
        <v>6</v>
      </c>
      <c r="S5" s="161" t="s">
        <v>2</v>
      </c>
      <c r="T5" s="154" t="s">
        <v>6</v>
      </c>
      <c r="U5" s="154" t="s">
        <v>6</v>
      </c>
      <c r="V5" s="161" t="s">
        <v>2</v>
      </c>
      <c r="W5" s="114" t="s">
        <v>4</v>
      </c>
      <c r="X5" s="154" t="s">
        <v>3</v>
      </c>
      <c r="Y5" s="163" t="s">
        <v>5</v>
      </c>
      <c r="Z5" s="163" t="s">
        <v>5</v>
      </c>
      <c r="AA5" s="163" t="s">
        <v>5</v>
      </c>
      <c r="AB5" s="163" t="s">
        <v>5</v>
      </c>
      <c r="AC5" s="74" t="s">
        <v>6</v>
      </c>
      <c r="AD5" s="74" t="s">
        <v>3</v>
      </c>
      <c r="AE5" s="74" t="s">
        <v>3</v>
      </c>
      <c r="AF5" s="74" t="s">
        <v>6</v>
      </c>
      <c r="AG5" s="74" t="s">
        <v>6</v>
      </c>
      <c r="AH5" s="116" t="s">
        <v>2</v>
      </c>
      <c r="AI5" s="122" t="s">
        <v>5</v>
      </c>
      <c r="AJ5" s="116" t="s">
        <v>2</v>
      </c>
      <c r="AK5" s="114" t="s">
        <v>4</v>
      </c>
      <c r="AL5" s="19" t="s">
        <v>42</v>
      </c>
    </row>
    <row r="6" spans="1:38" ht="15" thickBot="1" x14ac:dyDescent="0.4">
      <c r="A6" s="140" t="s">
        <v>69</v>
      </c>
      <c r="B6" s="110" t="s">
        <v>4</v>
      </c>
      <c r="C6" s="112" t="s">
        <v>6</v>
      </c>
      <c r="D6" s="162" t="s">
        <v>41</v>
      </c>
      <c r="E6" s="112" t="s">
        <v>6</v>
      </c>
      <c r="F6" s="154" t="s">
        <v>6</v>
      </c>
      <c r="G6" s="154" t="s">
        <v>6</v>
      </c>
      <c r="H6" s="161" t="s">
        <v>2</v>
      </c>
      <c r="I6" s="114" t="s">
        <v>4</v>
      </c>
      <c r="J6" s="154" t="s">
        <v>3</v>
      </c>
      <c r="K6" s="154" t="s">
        <v>6</v>
      </c>
      <c r="L6" s="163" t="s">
        <v>5</v>
      </c>
      <c r="M6" s="163" t="s">
        <v>5</v>
      </c>
      <c r="N6" s="163" t="s">
        <v>5</v>
      </c>
      <c r="O6" s="163" t="s">
        <v>5</v>
      </c>
      <c r="P6" s="114" t="s">
        <v>4</v>
      </c>
      <c r="Q6" s="154" t="s">
        <v>3</v>
      </c>
      <c r="R6" s="154" t="s">
        <v>6</v>
      </c>
      <c r="S6" s="154" t="s">
        <v>6</v>
      </c>
      <c r="T6" s="154" t="s">
        <v>6</v>
      </c>
      <c r="U6" s="161" t="s">
        <v>2</v>
      </c>
      <c r="V6" s="154" t="s">
        <v>6</v>
      </c>
      <c r="W6" s="154" t="s">
        <v>3</v>
      </c>
      <c r="X6" s="114" t="s">
        <v>4</v>
      </c>
      <c r="Y6" s="154" t="s">
        <v>6</v>
      </c>
      <c r="Z6" s="154" t="s">
        <v>6</v>
      </c>
      <c r="AA6" s="154" t="s">
        <v>6</v>
      </c>
      <c r="AB6" s="154" t="s">
        <v>6</v>
      </c>
      <c r="AC6" s="161" t="s">
        <v>2</v>
      </c>
      <c r="AD6" s="114" t="s">
        <v>4</v>
      </c>
      <c r="AE6" s="154" t="s">
        <v>3</v>
      </c>
      <c r="AF6" s="25" t="s">
        <v>6</v>
      </c>
      <c r="AG6" s="25" t="s">
        <v>6</v>
      </c>
      <c r="AH6" s="25" t="s">
        <v>6</v>
      </c>
      <c r="AI6" s="19" t="s">
        <v>41</v>
      </c>
      <c r="AJ6" s="19" t="s">
        <v>41</v>
      </c>
      <c r="AK6" s="114" t="s">
        <v>4</v>
      </c>
      <c r="AL6" s="19" t="s">
        <v>42</v>
      </c>
    </row>
    <row r="7" spans="1:38" ht="15" thickBot="1" x14ac:dyDescent="0.4">
      <c r="A7" s="141" t="s">
        <v>71</v>
      </c>
      <c r="B7" s="16" t="s">
        <v>11</v>
      </c>
      <c r="C7" s="114" t="s">
        <v>4</v>
      </c>
      <c r="D7" s="116" t="s">
        <v>2</v>
      </c>
      <c r="E7" s="154" t="s">
        <v>6</v>
      </c>
      <c r="F7" s="154" t="s">
        <v>6</v>
      </c>
      <c r="G7" s="154" t="s">
        <v>6</v>
      </c>
      <c r="H7" s="154" t="s">
        <v>6</v>
      </c>
      <c r="I7" s="154" t="s">
        <v>3</v>
      </c>
      <c r="J7" s="114" t="s">
        <v>4</v>
      </c>
      <c r="K7" s="161" t="s">
        <v>2</v>
      </c>
      <c r="L7" s="154" t="s">
        <v>6</v>
      </c>
      <c r="M7" s="154" t="s">
        <v>6</v>
      </c>
      <c r="N7" s="154" t="s">
        <v>6</v>
      </c>
      <c r="O7" s="154" t="s">
        <v>6</v>
      </c>
      <c r="P7" s="154" t="s">
        <v>3</v>
      </c>
      <c r="Q7" s="114" t="s">
        <v>4</v>
      </c>
      <c r="R7" s="161" t="s">
        <v>2</v>
      </c>
      <c r="S7" s="163" t="s">
        <v>5</v>
      </c>
      <c r="T7" s="163" t="s">
        <v>5</v>
      </c>
      <c r="U7" s="163" t="s">
        <v>5</v>
      </c>
      <c r="V7" s="163" t="s">
        <v>5</v>
      </c>
      <c r="W7" s="114" t="s">
        <v>4</v>
      </c>
      <c r="X7" s="154" t="s">
        <v>3</v>
      </c>
      <c r="Y7" s="74" t="s">
        <v>6</v>
      </c>
      <c r="Z7" s="74" t="s">
        <v>6</v>
      </c>
      <c r="AA7" s="74" t="s">
        <v>6</v>
      </c>
      <c r="AB7" s="74" t="s">
        <v>6</v>
      </c>
      <c r="AC7" s="74" t="s">
        <v>6</v>
      </c>
      <c r="AD7" s="114" t="s">
        <v>4</v>
      </c>
      <c r="AE7" s="114" t="s">
        <v>4</v>
      </c>
      <c r="AF7" s="25" t="s">
        <v>6</v>
      </c>
      <c r="AG7" s="25" t="s">
        <v>6</v>
      </c>
      <c r="AH7" s="25" t="s">
        <v>6</v>
      </c>
      <c r="AI7" s="122" t="s">
        <v>5</v>
      </c>
      <c r="AJ7" s="122" t="s">
        <v>5</v>
      </c>
      <c r="AK7" s="19" t="s">
        <v>42</v>
      </c>
      <c r="AL7" s="122" t="s">
        <v>4</v>
      </c>
    </row>
    <row r="8" spans="1:38" ht="15" thickBot="1" x14ac:dyDescent="0.4">
      <c r="A8" s="141" t="s">
        <v>70</v>
      </c>
      <c r="B8" s="16" t="s">
        <v>11</v>
      </c>
      <c r="C8" s="114" t="s">
        <v>4</v>
      </c>
      <c r="D8" s="25" t="s">
        <v>6</v>
      </c>
      <c r="E8" s="161" t="s">
        <v>2</v>
      </c>
      <c r="F8" s="154" t="s">
        <v>6</v>
      </c>
      <c r="G8" s="154" t="s">
        <v>6</v>
      </c>
      <c r="H8" s="154" t="s">
        <v>6</v>
      </c>
      <c r="I8" s="22" t="s">
        <v>30</v>
      </c>
      <c r="J8" s="114" t="s">
        <v>4</v>
      </c>
      <c r="K8" s="154" t="s">
        <v>6</v>
      </c>
      <c r="L8" s="154" t="s">
        <v>6</v>
      </c>
      <c r="M8" s="154" t="s">
        <v>6</v>
      </c>
      <c r="N8" s="161" t="s">
        <v>2</v>
      </c>
      <c r="O8" s="154" t="s">
        <v>6</v>
      </c>
      <c r="P8" s="114" t="s">
        <v>4</v>
      </c>
      <c r="Q8" s="114" t="s">
        <v>4</v>
      </c>
      <c r="R8" s="161" t="s">
        <v>34</v>
      </c>
      <c r="S8" s="154" t="s">
        <v>6</v>
      </c>
      <c r="T8" s="161" t="s">
        <v>2</v>
      </c>
      <c r="U8" s="154" t="s">
        <v>6</v>
      </c>
      <c r="V8" s="154" t="s">
        <v>6</v>
      </c>
      <c r="W8" s="22" t="s">
        <v>30</v>
      </c>
      <c r="X8" s="114" t="s">
        <v>4</v>
      </c>
      <c r="Y8" s="74" t="s">
        <v>6</v>
      </c>
      <c r="Z8" s="74" t="s">
        <v>6</v>
      </c>
      <c r="AA8" s="74" t="s">
        <v>6</v>
      </c>
      <c r="AB8" s="74" t="s">
        <v>6</v>
      </c>
      <c r="AC8" s="74" t="s">
        <v>6</v>
      </c>
      <c r="AD8" s="74" t="s">
        <v>30</v>
      </c>
      <c r="AE8" s="114" t="s">
        <v>4</v>
      </c>
      <c r="AF8" s="116" t="s">
        <v>2</v>
      </c>
      <c r="AG8" s="25" t="s">
        <v>6</v>
      </c>
      <c r="AH8" s="25" t="s">
        <v>6</v>
      </c>
      <c r="AI8" s="19" t="s">
        <v>41</v>
      </c>
      <c r="AJ8" s="19" t="s">
        <v>41</v>
      </c>
      <c r="AK8" s="22" t="s">
        <v>30</v>
      </c>
      <c r="AL8" s="114" t="s">
        <v>4</v>
      </c>
    </row>
    <row r="9" spans="1:38" ht="15" thickBot="1" x14ac:dyDescent="0.4">
      <c r="A9" s="142"/>
      <c r="B9" s="142"/>
      <c r="C9" s="142"/>
      <c r="D9" s="142"/>
      <c r="AF9" s="1"/>
      <c r="AG9" s="1"/>
      <c r="AH9" s="1"/>
      <c r="AI9" s="1"/>
      <c r="AJ9" s="1"/>
      <c r="AK9" s="1"/>
      <c r="AL9" s="1"/>
    </row>
    <row r="10" spans="1:38" ht="15" thickBot="1" x14ac:dyDescent="0.4">
      <c r="A10" s="137" t="s">
        <v>9</v>
      </c>
      <c r="B10" s="103" t="s">
        <v>3</v>
      </c>
      <c r="C10" s="99" t="s">
        <v>4</v>
      </c>
      <c r="D10" s="161" t="s">
        <v>2</v>
      </c>
      <c r="E10" s="161" t="s">
        <v>2</v>
      </c>
      <c r="F10" s="161" t="s">
        <v>2</v>
      </c>
      <c r="G10" s="162" t="s">
        <v>41</v>
      </c>
      <c r="H10" s="162" t="s">
        <v>41</v>
      </c>
      <c r="I10" s="162" t="s">
        <v>42</v>
      </c>
      <c r="J10" s="114" t="s">
        <v>4</v>
      </c>
      <c r="K10" s="161" t="s">
        <v>2</v>
      </c>
      <c r="L10" s="163" t="s">
        <v>5</v>
      </c>
      <c r="M10" s="163" t="s">
        <v>5</v>
      </c>
      <c r="N10" s="163" t="s">
        <v>5</v>
      </c>
      <c r="O10" s="163" t="s">
        <v>5</v>
      </c>
      <c r="P10" s="162" t="s">
        <v>42</v>
      </c>
      <c r="Q10" s="162" t="s">
        <v>42</v>
      </c>
      <c r="R10" s="161" t="s">
        <v>2</v>
      </c>
      <c r="S10" s="163" t="s">
        <v>5</v>
      </c>
      <c r="T10" s="163" t="s">
        <v>5</v>
      </c>
      <c r="U10" s="163" t="s">
        <v>5</v>
      </c>
      <c r="V10" s="163" t="s">
        <v>5</v>
      </c>
      <c r="W10" s="162" t="s">
        <v>42</v>
      </c>
      <c r="X10" s="162" t="s">
        <v>42</v>
      </c>
      <c r="Y10" s="161" t="s">
        <v>2</v>
      </c>
      <c r="Z10" s="163" t="s">
        <v>5</v>
      </c>
      <c r="AA10" s="163" t="s">
        <v>5</v>
      </c>
      <c r="AB10" s="163" t="s">
        <v>5</v>
      </c>
      <c r="AC10" s="22" t="s">
        <v>16</v>
      </c>
      <c r="AD10" s="162" t="s">
        <v>42</v>
      </c>
      <c r="AE10" s="162" t="s">
        <v>42</v>
      </c>
      <c r="AF10" s="116" t="s">
        <v>2</v>
      </c>
      <c r="AG10" s="116" t="s">
        <v>2</v>
      </c>
      <c r="AH10" s="22" t="s">
        <v>16</v>
      </c>
      <c r="AI10" s="16" t="s">
        <v>10</v>
      </c>
      <c r="AJ10" s="16" t="s">
        <v>10</v>
      </c>
      <c r="AK10" s="16" t="s">
        <v>11</v>
      </c>
      <c r="AL10" s="16" t="s">
        <v>11</v>
      </c>
    </row>
    <row r="11" spans="1:38" ht="15" thickBot="1" x14ac:dyDescent="0.4">
      <c r="A11" s="138" t="s">
        <v>15</v>
      </c>
      <c r="B11" s="101" t="s">
        <v>4</v>
      </c>
      <c r="C11" s="120" t="s">
        <v>42</v>
      </c>
      <c r="D11" s="162" t="s">
        <v>41</v>
      </c>
      <c r="E11" s="162" t="s">
        <v>41</v>
      </c>
      <c r="F11" s="162" t="s">
        <v>41</v>
      </c>
      <c r="G11" s="162" t="s">
        <v>41</v>
      </c>
      <c r="H11" s="161" t="s">
        <v>2</v>
      </c>
      <c r="I11" s="114" t="s">
        <v>4</v>
      </c>
      <c r="J11" s="162" t="s">
        <v>42</v>
      </c>
      <c r="K11" s="162" t="s">
        <v>41</v>
      </c>
      <c r="L11" s="162" t="s">
        <v>41</v>
      </c>
      <c r="M11" s="162" t="s">
        <v>41</v>
      </c>
      <c r="N11" s="162" t="s">
        <v>41</v>
      </c>
      <c r="O11" s="162" t="s">
        <v>41</v>
      </c>
      <c r="P11" s="114" t="s">
        <v>4</v>
      </c>
      <c r="Q11" s="114" t="s">
        <v>4</v>
      </c>
      <c r="R11" s="162" t="s">
        <v>41</v>
      </c>
      <c r="S11" s="162" t="s">
        <v>41</v>
      </c>
      <c r="T11" s="162" t="s">
        <v>41</v>
      </c>
      <c r="U11" s="162" t="s">
        <v>41</v>
      </c>
      <c r="V11" s="162" t="s">
        <v>41</v>
      </c>
      <c r="W11" s="114" t="s">
        <v>4</v>
      </c>
      <c r="X11" s="114" t="s">
        <v>4</v>
      </c>
      <c r="Y11" s="162" t="s">
        <v>41</v>
      </c>
      <c r="Z11" s="162" t="s">
        <v>41</v>
      </c>
      <c r="AA11" s="162" t="s">
        <v>41</v>
      </c>
      <c r="AB11" s="162" t="s">
        <v>41</v>
      </c>
      <c r="AC11" s="162" t="s">
        <v>41</v>
      </c>
      <c r="AD11" s="114" t="s">
        <v>4</v>
      </c>
      <c r="AE11" s="114" t="s">
        <v>4</v>
      </c>
      <c r="AF11" s="19" t="s">
        <v>41</v>
      </c>
      <c r="AG11" s="19" t="s">
        <v>41</v>
      </c>
      <c r="AH11" s="19" t="s">
        <v>41</v>
      </c>
      <c r="AI11" s="22" t="s">
        <v>16</v>
      </c>
      <c r="AJ11" s="116" t="s">
        <v>2</v>
      </c>
      <c r="AK11" s="114" t="s">
        <v>4</v>
      </c>
      <c r="AL11" s="114" t="s">
        <v>4</v>
      </c>
    </row>
    <row r="12" spans="1:38" ht="15" thickBot="1" x14ac:dyDescent="0.4">
      <c r="A12" s="140" t="s">
        <v>21</v>
      </c>
      <c r="B12" s="74" t="s">
        <v>30</v>
      </c>
      <c r="C12" s="120" t="s">
        <v>42</v>
      </c>
      <c r="D12" s="154" t="s">
        <v>6</v>
      </c>
      <c r="E12" s="162" t="s">
        <v>41</v>
      </c>
      <c r="F12" s="161" t="s">
        <v>34</v>
      </c>
      <c r="G12" s="161" t="s">
        <v>34</v>
      </c>
      <c r="H12" s="161" t="s">
        <v>2</v>
      </c>
      <c r="I12" s="162" t="s">
        <v>42</v>
      </c>
      <c r="J12" s="162" t="s">
        <v>42</v>
      </c>
      <c r="K12" s="162" t="s">
        <v>41</v>
      </c>
      <c r="L12" s="162" t="s">
        <v>41</v>
      </c>
      <c r="M12" s="162" t="s">
        <v>41</v>
      </c>
      <c r="N12" s="162" t="s">
        <v>41</v>
      </c>
      <c r="O12" s="162" t="s">
        <v>41</v>
      </c>
      <c r="P12" s="22" t="s">
        <v>30</v>
      </c>
      <c r="Q12" s="162" t="s">
        <v>42</v>
      </c>
      <c r="R12" s="162" t="s">
        <v>41</v>
      </c>
      <c r="S12" s="162" t="s">
        <v>41</v>
      </c>
      <c r="T12" s="161" t="s">
        <v>2</v>
      </c>
      <c r="U12" s="162" t="s">
        <v>41</v>
      </c>
      <c r="V12" s="162" t="s">
        <v>41</v>
      </c>
      <c r="W12" s="114" t="s">
        <v>4</v>
      </c>
      <c r="X12" s="114" t="s">
        <v>4</v>
      </c>
      <c r="Y12" s="162" t="s">
        <v>41</v>
      </c>
      <c r="Z12" s="162" t="s">
        <v>41</v>
      </c>
      <c r="AA12" s="161" t="s">
        <v>2</v>
      </c>
      <c r="AB12" s="74" t="s">
        <v>41</v>
      </c>
      <c r="AC12" s="74" t="s">
        <v>41</v>
      </c>
      <c r="AD12" s="74" t="s">
        <v>42</v>
      </c>
      <c r="AE12" s="114" t="s">
        <v>4</v>
      </c>
      <c r="AF12" s="122" t="s">
        <v>5</v>
      </c>
      <c r="AG12" s="122" t="s">
        <v>5</v>
      </c>
      <c r="AH12" s="122" t="s">
        <v>5</v>
      </c>
      <c r="AI12" s="16" t="s">
        <v>10</v>
      </c>
      <c r="AJ12" s="16" t="s">
        <v>10</v>
      </c>
      <c r="AK12" s="16" t="s">
        <v>11</v>
      </c>
      <c r="AL12" s="114" t="s">
        <v>4</v>
      </c>
    </row>
    <row r="13" spans="1:38" ht="15" thickBot="1" x14ac:dyDescent="0.4">
      <c r="A13" s="141" t="s">
        <v>22</v>
      </c>
      <c r="B13" s="25" t="s">
        <v>3</v>
      </c>
      <c r="C13" s="114" t="s">
        <v>4</v>
      </c>
      <c r="D13" s="74" t="s">
        <v>41</v>
      </c>
      <c r="E13" s="162" t="s">
        <v>41</v>
      </c>
      <c r="F13" s="162" t="s">
        <v>41</v>
      </c>
      <c r="G13" s="162" t="s">
        <v>41</v>
      </c>
      <c r="H13" s="162" t="s">
        <v>41</v>
      </c>
      <c r="I13" s="114" t="s">
        <v>4</v>
      </c>
      <c r="J13" s="114" t="s">
        <v>4</v>
      </c>
      <c r="K13" s="163" t="s">
        <v>5</v>
      </c>
      <c r="L13" s="162" t="s">
        <v>41</v>
      </c>
      <c r="M13" s="162" t="s">
        <v>41</v>
      </c>
      <c r="N13" s="162" t="s">
        <v>41</v>
      </c>
      <c r="O13" s="162" t="s">
        <v>41</v>
      </c>
      <c r="P13" s="162" t="s">
        <v>42</v>
      </c>
      <c r="Q13" s="114" t="s">
        <v>4</v>
      </c>
      <c r="R13" s="161" t="s">
        <v>2</v>
      </c>
      <c r="S13" s="162" t="s">
        <v>41</v>
      </c>
      <c r="T13" s="162" t="s">
        <v>41</v>
      </c>
      <c r="U13" s="162" t="s">
        <v>41</v>
      </c>
      <c r="V13" s="162" t="s">
        <v>41</v>
      </c>
      <c r="W13" s="162" t="s">
        <v>42</v>
      </c>
      <c r="X13" s="162" t="s">
        <v>42</v>
      </c>
      <c r="Y13" s="161" t="s">
        <v>2</v>
      </c>
      <c r="Z13" s="162" t="s">
        <v>41</v>
      </c>
      <c r="AA13" s="162" t="s">
        <v>41</v>
      </c>
      <c r="AB13" s="162" t="s">
        <v>41</v>
      </c>
      <c r="AC13" s="162" t="s">
        <v>41</v>
      </c>
      <c r="AD13" s="114" t="s">
        <v>4</v>
      </c>
      <c r="AE13" s="162" t="s">
        <v>42</v>
      </c>
      <c r="AF13" s="19" t="s">
        <v>41</v>
      </c>
      <c r="AG13" s="19" t="s">
        <v>41</v>
      </c>
      <c r="AH13" s="116" t="s">
        <v>2</v>
      </c>
      <c r="AI13" s="16" t="s">
        <v>10</v>
      </c>
      <c r="AJ13" s="16" t="s">
        <v>10</v>
      </c>
      <c r="AK13" s="114" t="s">
        <v>4</v>
      </c>
      <c r="AL13" s="16" t="s">
        <v>11</v>
      </c>
    </row>
    <row r="14" spans="1:38" ht="15" thickBot="1" x14ac:dyDescent="0.4">
      <c r="A14" s="141" t="s">
        <v>124</v>
      </c>
      <c r="B14" s="114" t="s">
        <v>4</v>
      </c>
      <c r="C14" s="114" t="s">
        <v>4</v>
      </c>
      <c r="D14" s="116" t="s">
        <v>2</v>
      </c>
      <c r="E14" s="19" t="s">
        <v>41</v>
      </c>
      <c r="F14" s="19" t="s">
        <v>41</v>
      </c>
      <c r="G14" s="19" t="s">
        <v>41</v>
      </c>
      <c r="H14" s="19" t="s">
        <v>41</v>
      </c>
      <c r="I14" s="114" t="s">
        <v>4</v>
      </c>
      <c r="J14" s="114" t="s">
        <v>4</v>
      </c>
      <c r="K14" s="19" t="s">
        <v>41</v>
      </c>
      <c r="L14" s="19" t="s">
        <v>41</v>
      </c>
      <c r="M14" s="161" t="s">
        <v>2</v>
      </c>
      <c r="N14" s="19" t="s">
        <v>41</v>
      </c>
      <c r="O14" s="19" t="s">
        <v>41</v>
      </c>
      <c r="P14" s="114" t="s">
        <v>4</v>
      </c>
      <c r="Q14" s="114" t="s">
        <v>4</v>
      </c>
      <c r="R14" s="19" t="s">
        <v>41</v>
      </c>
      <c r="S14" s="19" t="s">
        <v>41</v>
      </c>
      <c r="T14" s="162" t="s">
        <v>41</v>
      </c>
      <c r="U14" s="162" t="s">
        <v>41</v>
      </c>
      <c r="V14" s="19" t="s">
        <v>41</v>
      </c>
      <c r="W14" s="114" t="s">
        <v>4</v>
      </c>
      <c r="X14" s="114" t="s">
        <v>4</v>
      </c>
      <c r="Y14" s="19" t="s">
        <v>41</v>
      </c>
      <c r="Z14" s="19" t="s">
        <v>41</v>
      </c>
      <c r="AA14" s="162" t="s">
        <v>41</v>
      </c>
      <c r="AB14" s="19" t="s">
        <v>41</v>
      </c>
      <c r="AC14" s="19" t="s">
        <v>41</v>
      </c>
      <c r="AD14" s="114" t="s">
        <v>4</v>
      </c>
      <c r="AE14" s="114" t="s">
        <v>4</v>
      </c>
      <c r="AF14" s="19" t="s">
        <v>41</v>
      </c>
      <c r="AG14" s="19" t="s">
        <v>41</v>
      </c>
      <c r="AH14" s="19" t="s">
        <v>41</v>
      </c>
      <c r="AI14" s="22" t="s">
        <v>16</v>
      </c>
      <c r="AJ14" s="22" t="s">
        <v>16</v>
      </c>
      <c r="AK14" s="16" t="s">
        <v>11</v>
      </c>
      <c r="AL14" s="114" t="s">
        <v>4</v>
      </c>
    </row>
    <row r="15" spans="1:38" ht="15" thickBot="1" x14ac:dyDescent="0.4">
      <c r="A15" s="142"/>
      <c r="B15" s="142"/>
      <c r="C15" s="142"/>
      <c r="D15" s="142"/>
      <c r="AF15" s="1"/>
      <c r="AG15" s="1"/>
      <c r="AH15" s="1"/>
      <c r="AI15" s="1"/>
      <c r="AJ15" s="1"/>
      <c r="AK15" s="1"/>
      <c r="AL15" s="1"/>
    </row>
    <row r="16" spans="1:38" ht="15" thickBot="1" x14ac:dyDescent="0.4">
      <c r="A16" s="137" t="s">
        <v>1</v>
      </c>
      <c r="B16" s="118" t="s">
        <v>42</v>
      </c>
      <c r="C16" s="111" t="s">
        <v>4</v>
      </c>
      <c r="D16" s="163" t="s">
        <v>5</v>
      </c>
      <c r="E16" s="152" t="s">
        <v>10</v>
      </c>
      <c r="F16" s="152" t="s">
        <v>10</v>
      </c>
      <c r="G16" s="152" t="s">
        <v>10</v>
      </c>
      <c r="H16" s="152" t="s">
        <v>10</v>
      </c>
      <c r="I16" s="152" t="s">
        <v>11</v>
      </c>
      <c r="J16" s="114" t="s">
        <v>4</v>
      </c>
      <c r="K16" s="152" t="s">
        <v>10</v>
      </c>
      <c r="L16" s="163" t="s">
        <v>5</v>
      </c>
      <c r="M16" s="163" t="s">
        <v>5</v>
      </c>
      <c r="N16" s="152" t="s">
        <v>10</v>
      </c>
      <c r="O16" s="152" t="s">
        <v>10</v>
      </c>
      <c r="P16" s="152" t="s">
        <v>11</v>
      </c>
      <c r="Q16" s="152" t="s">
        <v>11</v>
      </c>
      <c r="R16" s="152" t="s">
        <v>10</v>
      </c>
      <c r="S16" s="152" t="s">
        <v>10</v>
      </c>
      <c r="T16" s="163" t="s">
        <v>5</v>
      </c>
      <c r="U16" s="163" t="s">
        <v>5</v>
      </c>
      <c r="V16" s="152" t="s">
        <v>10</v>
      </c>
      <c r="W16" s="152" t="s">
        <v>11</v>
      </c>
      <c r="X16" s="152" t="s">
        <v>11</v>
      </c>
      <c r="Y16" s="152" t="s">
        <v>10</v>
      </c>
      <c r="Z16" s="152" t="s">
        <v>10</v>
      </c>
      <c r="AA16" s="163" t="s">
        <v>5</v>
      </c>
      <c r="AB16" s="163" t="s">
        <v>5</v>
      </c>
      <c r="AC16" s="152" t="s">
        <v>10</v>
      </c>
      <c r="AD16" s="152" t="s">
        <v>11</v>
      </c>
      <c r="AE16" s="152" t="s">
        <v>11</v>
      </c>
      <c r="AF16" s="16" t="s">
        <v>10</v>
      </c>
      <c r="AG16" s="16" t="s">
        <v>10</v>
      </c>
      <c r="AH16" s="16" t="s">
        <v>10</v>
      </c>
      <c r="AI16" s="116" t="s">
        <v>2</v>
      </c>
      <c r="AJ16" s="116" t="s">
        <v>2</v>
      </c>
      <c r="AK16" s="25" t="s">
        <v>3</v>
      </c>
      <c r="AL16" s="114" t="s">
        <v>4</v>
      </c>
    </row>
    <row r="17" spans="1:38" ht="15" thickBot="1" x14ac:dyDescent="0.4">
      <c r="A17" s="138" t="s">
        <v>43</v>
      </c>
      <c r="B17" s="101" t="s">
        <v>4</v>
      </c>
      <c r="C17" s="124" t="s">
        <v>11</v>
      </c>
      <c r="D17" s="152" t="s">
        <v>10</v>
      </c>
      <c r="E17" s="152" t="s">
        <v>10</v>
      </c>
      <c r="F17" s="161" t="s">
        <v>2</v>
      </c>
      <c r="G17" s="161" t="s">
        <v>2</v>
      </c>
      <c r="H17" s="152" t="s">
        <v>10</v>
      </c>
      <c r="I17" s="114" t="s">
        <v>4</v>
      </c>
      <c r="J17" s="152" t="s">
        <v>11</v>
      </c>
      <c r="K17" s="161" t="s">
        <v>2</v>
      </c>
      <c r="L17" s="152" t="s">
        <v>10</v>
      </c>
      <c r="M17" s="152" t="s">
        <v>10</v>
      </c>
      <c r="N17" s="152" t="s">
        <v>10</v>
      </c>
      <c r="O17" s="152" t="s">
        <v>10</v>
      </c>
      <c r="P17" s="152" t="s">
        <v>11</v>
      </c>
      <c r="Q17" s="152" t="s">
        <v>11</v>
      </c>
      <c r="R17" s="152" t="s">
        <v>10</v>
      </c>
      <c r="S17" s="152" t="s">
        <v>10</v>
      </c>
      <c r="T17" s="152" t="s">
        <v>10</v>
      </c>
      <c r="U17" s="152" t="s">
        <v>10</v>
      </c>
      <c r="V17" s="161" t="s">
        <v>2</v>
      </c>
      <c r="W17" s="114" t="s">
        <v>4</v>
      </c>
      <c r="X17" s="152" t="s">
        <v>11</v>
      </c>
      <c r="Y17" s="161" t="s">
        <v>2</v>
      </c>
      <c r="Z17" s="152" t="s">
        <v>10</v>
      </c>
      <c r="AA17" s="152" t="s">
        <v>10</v>
      </c>
      <c r="AB17" s="152" t="s">
        <v>10</v>
      </c>
      <c r="AC17" s="152" t="s">
        <v>10</v>
      </c>
      <c r="AD17" s="152" t="s">
        <v>11</v>
      </c>
      <c r="AE17" s="152" t="s">
        <v>11</v>
      </c>
      <c r="AF17" s="116" t="s">
        <v>2</v>
      </c>
      <c r="AG17" s="22" t="s">
        <v>16</v>
      </c>
      <c r="AH17" s="19" t="s">
        <v>41</v>
      </c>
      <c r="AI17" s="25" t="s">
        <v>6</v>
      </c>
      <c r="AJ17" s="25" t="s">
        <v>6</v>
      </c>
      <c r="AK17" s="114" t="s">
        <v>4</v>
      </c>
      <c r="AL17" s="25" t="s">
        <v>3</v>
      </c>
    </row>
    <row r="18" spans="1:38" ht="15" thickBot="1" x14ac:dyDescent="0.4">
      <c r="A18" s="141" t="s">
        <v>68</v>
      </c>
      <c r="B18" s="19" t="s">
        <v>42</v>
      </c>
      <c r="C18" s="16" t="s">
        <v>11</v>
      </c>
      <c r="D18" s="16" t="s">
        <v>10</v>
      </c>
      <c r="E18" s="161" t="s">
        <v>2</v>
      </c>
      <c r="F18" s="161" t="s">
        <v>2</v>
      </c>
      <c r="G18" s="16" t="s">
        <v>10</v>
      </c>
      <c r="H18" s="16" t="s">
        <v>10</v>
      </c>
      <c r="I18" s="152" t="s">
        <v>11</v>
      </c>
      <c r="J18" s="152" t="s">
        <v>11</v>
      </c>
      <c r="K18" s="16" t="s">
        <v>10</v>
      </c>
      <c r="L18" s="16" t="s">
        <v>10</v>
      </c>
      <c r="M18" s="16" t="s">
        <v>10</v>
      </c>
      <c r="N18" s="16" t="s">
        <v>10</v>
      </c>
      <c r="O18" s="16" t="s">
        <v>10</v>
      </c>
      <c r="P18" s="114" t="s">
        <v>4</v>
      </c>
      <c r="Q18" s="114" t="s">
        <v>4</v>
      </c>
      <c r="R18" s="152" t="s">
        <v>10</v>
      </c>
      <c r="S18" s="161" t="s">
        <v>2</v>
      </c>
      <c r="T18" s="152" t="s">
        <v>10</v>
      </c>
      <c r="U18" s="152" t="s">
        <v>10</v>
      </c>
      <c r="V18" s="152" t="s">
        <v>10</v>
      </c>
      <c r="W18" s="114" t="s">
        <v>4</v>
      </c>
      <c r="X18" s="114" t="s">
        <v>4</v>
      </c>
      <c r="Y18" s="152" t="s">
        <v>10</v>
      </c>
      <c r="Z18" s="161" t="s">
        <v>2</v>
      </c>
      <c r="AA18" s="152" t="s">
        <v>10</v>
      </c>
      <c r="AB18" s="152" t="s">
        <v>10</v>
      </c>
      <c r="AC18" s="152" t="s">
        <v>10</v>
      </c>
      <c r="AD18" s="114" t="s">
        <v>4</v>
      </c>
      <c r="AE18" s="114" t="s">
        <v>4</v>
      </c>
      <c r="AF18" s="16" t="s">
        <v>10</v>
      </c>
      <c r="AG18" s="16" t="s">
        <v>10</v>
      </c>
      <c r="AH18" s="16" t="s">
        <v>10</v>
      </c>
      <c r="AI18" s="116" t="s">
        <v>2</v>
      </c>
      <c r="AJ18" s="25" t="s">
        <v>6</v>
      </c>
      <c r="AK18" s="25" t="s">
        <v>3</v>
      </c>
      <c r="AL18" s="114" t="s">
        <v>4</v>
      </c>
    </row>
    <row r="19" spans="1:38" ht="15" thickBot="1" x14ac:dyDescent="0.4">
      <c r="A19" s="141" t="s">
        <v>60</v>
      </c>
      <c r="B19" s="114" t="s">
        <v>4</v>
      </c>
      <c r="C19" s="16" t="s">
        <v>11</v>
      </c>
      <c r="D19" s="16" t="s">
        <v>10</v>
      </c>
      <c r="E19" s="152" t="s">
        <v>10</v>
      </c>
      <c r="F19" s="152" t="s">
        <v>10</v>
      </c>
      <c r="G19" s="152" t="s">
        <v>10</v>
      </c>
      <c r="H19" s="161" t="s">
        <v>2</v>
      </c>
      <c r="I19" s="114" t="s">
        <v>4</v>
      </c>
      <c r="J19" s="152" t="s">
        <v>11</v>
      </c>
      <c r="K19" s="152" t="s">
        <v>10</v>
      </c>
      <c r="L19" s="152" t="s">
        <v>10</v>
      </c>
      <c r="M19" s="163" t="s">
        <v>5</v>
      </c>
      <c r="N19" s="163" t="s">
        <v>5</v>
      </c>
      <c r="O19" s="163" t="s">
        <v>5</v>
      </c>
      <c r="P19" s="163" t="s">
        <v>5</v>
      </c>
      <c r="Q19" s="163" t="s">
        <v>5</v>
      </c>
      <c r="R19" s="163" t="s">
        <v>5</v>
      </c>
      <c r="S19" s="163" t="s">
        <v>5</v>
      </c>
      <c r="T19" s="163" t="s">
        <v>5</v>
      </c>
      <c r="U19" s="163" t="s">
        <v>5</v>
      </c>
      <c r="V19" s="152" t="s">
        <v>10</v>
      </c>
      <c r="W19" s="152" t="s">
        <v>11</v>
      </c>
      <c r="X19" s="114" t="s">
        <v>4</v>
      </c>
      <c r="Y19" s="152" t="s">
        <v>10</v>
      </c>
      <c r="Z19" s="152" t="s">
        <v>10</v>
      </c>
      <c r="AA19" s="152" t="s">
        <v>10</v>
      </c>
      <c r="AB19" s="152" t="s">
        <v>10</v>
      </c>
      <c r="AC19" s="161" t="s">
        <v>2</v>
      </c>
      <c r="AD19" s="114" t="s">
        <v>4</v>
      </c>
      <c r="AE19" s="114" t="s">
        <v>4</v>
      </c>
      <c r="AF19" s="16" t="s">
        <v>10</v>
      </c>
      <c r="AG19" s="116" t="s">
        <v>2</v>
      </c>
      <c r="AH19" s="116" t="s">
        <v>2</v>
      </c>
      <c r="AI19" s="25" t="s">
        <v>6</v>
      </c>
      <c r="AJ19" s="25" t="s">
        <v>6</v>
      </c>
      <c r="AK19" s="114" t="s">
        <v>4</v>
      </c>
      <c r="AL19" s="25" t="s">
        <v>3</v>
      </c>
    </row>
    <row r="20" spans="1:38" ht="15" thickBot="1" x14ac:dyDescent="0.4">
      <c r="A20" s="141" t="s">
        <v>140</v>
      </c>
      <c r="B20" s="114" t="s">
        <v>4</v>
      </c>
      <c r="C20" s="114" t="s">
        <v>4</v>
      </c>
      <c r="D20" s="22" t="s">
        <v>16</v>
      </c>
      <c r="E20" s="22" t="s">
        <v>16</v>
      </c>
      <c r="F20" s="152" t="s">
        <v>10</v>
      </c>
      <c r="G20" s="152" t="s">
        <v>10</v>
      </c>
      <c r="H20" s="152" t="s">
        <v>10</v>
      </c>
      <c r="I20" s="152" t="s">
        <v>11</v>
      </c>
      <c r="J20" s="114" t="s">
        <v>4</v>
      </c>
      <c r="K20" s="161" t="s">
        <v>2</v>
      </c>
      <c r="L20" s="152" t="s">
        <v>10</v>
      </c>
      <c r="M20" s="152" t="s">
        <v>10</v>
      </c>
      <c r="N20" s="152" t="s">
        <v>10</v>
      </c>
      <c r="O20" s="163" t="s">
        <v>5</v>
      </c>
      <c r="P20" s="114" t="s">
        <v>4</v>
      </c>
      <c r="Q20" s="114" t="s">
        <v>4</v>
      </c>
      <c r="R20" s="163" t="s">
        <v>5</v>
      </c>
      <c r="S20" s="152" t="s">
        <v>10</v>
      </c>
      <c r="T20" s="152" t="s">
        <v>10</v>
      </c>
      <c r="U20" s="152" t="s">
        <v>10</v>
      </c>
      <c r="V20" s="152" t="s">
        <v>10</v>
      </c>
      <c r="W20" s="152" t="s">
        <v>11</v>
      </c>
      <c r="X20" s="114" t="s">
        <v>4</v>
      </c>
      <c r="Y20" s="161" t="s">
        <v>2</v>
      </c>
      <c r="Z20" s="22" t="s">
        <v>16</v>
      </c>
      <c r="AA20" s="22" t="s">
        <v>16</v>
      </c>
      <c r="AB20" s="22" t="s">
        <v>16</v>
      </c>
      <c r="AC20" s="152" t="s">
        <v>10</v>
      </c>
      <c r="AD20" s="152" t="s">
        <v>11</v>
      </c>
      <c r="AE20" s="114" t="s">
        <v>4</v>
      </c>
      <c r="AF20" s="22" t="s">
        <v>16</v>
      </c>
      <c r="AG20" s="16" t="s">
        <v>10</v>
      </c>
      <c r="AH20" s="116" t="s">
        <v>2</v>
      </c>
      <c r="AI20" s="25" t="s">
        <v>6</v>
      </c>
      <c r="AJ20" s="25" t="s">
        <v>6</v>
      </c>
      <c r="AK20" s="114" t="s">
        <v>4</v>
      </c>
      <c r="AL20" s="114" t="s">
        <v>4</v>
      </c>
    </row>
    <row r="22" spans="1:38" x14ac:dyDescent="0.35">
      <c r="A22" s="128" t="s">
        <v>125</v>
      </c>
      <c r="B22">
        <f>COUNTIF(B4:B20,"*MS")</f>
        <v>2</v>
      </c>
      <c r="C22">
        <f>COUNTIF(C4:C20,"*MS")</f>
        <v>2</v>
      </c>
      <c r="D22">
        <f>COUNTIF(D4:D20,"*MS")</f>
        <v>3</v>
      </c>
      <c r="E22">
        <f>COUNTIF(E4:E20,"*MS")</f>
        <v>4</v>
      </c>
      <c r="F22">
        <f t="shared" ref="F22:AL22" si="2">COUNTIF(F4:F20,"*MS")</f>
        <v>4</v>
      </c>
      <c r="G22">
        <f t="shared" si="2"/>
        <v>4</v>
      </c>
      <c r="H22">
        <f t="shared" si="2"/>
        <v>3</v>
      </c>
      <c r="I22">
        <f t="shared" si="2"/>
        <v>2</v>
      </c>
      <c r="J22">
        <f t="shared" si="2"/>
        <v>2</v>
      </c>
      <c r="K22">
        <f t="shared" si="2"/>
        <v>3</v>
      </c>
      <c r="L22">
        <f t="shared" si="2"/>
        <v>3</v>
      </c>
      <c r="M22">
        <f t="shared" si="2"/>
        <v>4</v>
      </c>
      <c r="N22">
        <f t="shared" si="2"/>
        <v>3</v>
      </c>
      <c r="O22">
        <f t="shared" si="2"/>
        <v>4</v>
      </c>
      <c r="P22">
        <f t="shared" si="2"/>
        <v>2</v>
      </c>
      <c r="Q22">
        <f t="shared" si="2"/>
        <v>2</v>
      </c>
      <c r="R22">
        <f t="shared" si="2"/>
        <v>2</v>
      </c>
      <c r="S22">
        <f t="shared" si="2"/>
        <v>3</v>
      </c>
      <c r="T22">
        <f t="shared" si="2"/>
        <v>3</v>
      </c>
      <c r="U22">
        <f t="shared" si="2"/>
        <v>3</v>
      </c>
      <c r="V22">
        <f t="shared" si="2"/>
        <v>3</v>
      </c>
      <c r="W22">
        <f>COUNTIF(W4:W20,"*MS")</f>
        <v>2</v>
      </c>
      <c r="X22">
        <f>COUNTIF(X4:X20,"*MS")</f>
        <v>2</v>
      </c>
      <c r="Y22">
        <f>COUNTIF(Y5:Y20,"*MS")</f>
        <v>3</v>
      </c>
      <c r="Z22">
        <f>COUNTIF(Z5:Z20,"*MS")</f>
        <v>3</v>
      </c>
      <c r="AA22">
        <f>COUNTIF(AA5:AA20,"*MS")</f>
        <v>3</v>
      </c>
      <c r="AB22">
        <f>COUNTIF(AB5:AB20,"*MS")</f>
        <v>3</v>
      </c>
      <c r="AC22">
        <f>COUNTIF(AC5:AC20,"*MS")</f>
        <v>3</v>
      </c>
      <c r="AD22">
        <f>COUNTIF(AD4:AD20,"*MS")</f>
        <v>2</v>
      </c>
      <c r="AE22">
        <f t="shared" si="2"/>
        <v>2</v>
      </c>
      <c r="AF22">
        <f t="shared" si="2"/>
        <v>3</v>
      </c>
      <c r="AG22">
        <f t="shared" si="2"/>
        <v>5</v>
      </c>
      <c r="AH22">
        <f t="shared" si="2"/>
        <v>4</v>
      </c>
      <c r="AI22">
        <f t="shared" si="2"/>
        <v>3</v>
      </c>
      <c r="AJ22">
        <f t="shared" si="2"/>
        <v>4</v>
      </c>
      <c r="AK22">
        <f t="shared" si="2"/>
        <v>2</v>
      </c>
      <c r="AL22">
        <f t="shared" si="2"/>
        <v>2</v>
      </c>
    </row>
    <row r="23" spans="1:38" x14ac:dyDescent="0.35">
      <c r="A23" s="128" t="s">
        <v>126</v>
      </c>
      <c r="B23">
        <f>COUNTIF(B4:B20,"*ASS1")</f>
        <v>2</v>
      </c>
      <c r="C23">
        <f>COUNTIF(C4:C20,"*ASS1")</f>
        <v>2</v>
      </c>
      <c r="D23">
        <f>COUNTIF(D4:D20,"*ASS1")</f>
        <v>3</v>
      </c>
      <c r="E23">
        <f>COUNTIF(E4:E20,"*ASS1")</f>
        <v>4</v>
      </c>
      <c r="F23">
        <f t="shared" ref="F23:AL23" si="3">COUNTIF(F4:F20,"*ASS1")</f>
        <v>3</v>
      </c>
      <c r="G23">
        <f t="shared" si="3"/>
        <v>4</v>
      </c>
      <c r="H23">
        <f t="shared" si="3"/>
        <v>3</v>
      </c>
      <c r="I23">
        <f t="shared" si="3"/>
        <v>2</v>
      </c>
      <c r="J23">
        <f t="shared" si="3"/>
        <v>2</v>
      </c>
      <c r="K23">
        <f t="shared" si="3"/>
        <v>3</v>
      </c>
      <c r="L23">
        <f t="shared" si="3"/>
        <v>4</v>
      </c>
      <c r="M23">
        <f t="shared" si="3"/>
        <v>3</v>
      </c>
      <c r="N23">
        <f t="shared" si="3"/>
        <v>4</v>
      </c>
      <c r="O23">
        <f t="shared" si="3"/>
        <v>4</v>
      </c>
      <c r="P23">
        <f t="shared" si="3"/>
        <v>2</v>
      </c>
      <c r="Q23">
        <f t="shared" si="3"/>
        <v>2</v>
      </c>
      <c r="R23">
        <f t="shared" si="3"/>
        <v>3</v>
      </c>
      <c r="S23">
        <f t="shared" si="3"/>
        <v>4</v>
      </c>
      <c r="T23">
        <f t="shared" si="3"/>
        <v>3</v>
      </c>
      <c r="U23">
        <f t="shared" si="3"/>
        <v>4</v>
      </c>
      <c r="V23">
        <f t="shared" si="3"/>
        <v>4</v>
      </c>
      <c r="W23">
        <f>COUNTIF(W4:W20,"*ASS1")</f>
        <v>2</v>
      </c>
      <c r="X23">
        <f>COUNTIF(X4:X20,"*ASS1")</f>
        <v>2</v>
      </c>
      <c r="Y23">
        <f>COUNTIF(Y5:Y20,"*ASS1")</f>
        <v>3</v>
      </c>
      <c r="Z23">
        <f>COUNTIF(Z5:Z20,"*ASS1")</f>
        <v>4</v>
      </c>
      <c r="AA23">
        <f>COUNTIF(AA5:AA20,"*ASS1")</f>
        <v>3</v>
      </c>
      <c r="AB23">
        <f>COUNTIF(AB5:AB20,"*ASS1")</f>
        <v>4</v>
      </c>
      <c r="AC23">
        <f>COUNTIF(AC5:AC20,"*ASS1")</f>
        <v>4</v>
      </c>
      <c r="AD23">
        <f>COUNTIF(AD4:AD20,"*ASS1")</f>
        <v>2</v>
      </c>
      <c r="AE23">
        <f t="shared" si="3"/>
        <v>2</v>
      </c>
      <c r="AF23">
        <f t="shared" si="3"/>
        <v>3</v>
      </c>
      <c r="AG23">
        <f t="shared" si="3"/>
        <v>3</v>
      </c>
      <c r="AH23">
        <f t="shared" si="3"/>
        <v>3</v>
      </c>
      <c r="AI23">
        <f t="shared" si="3"/>
        <v>3</v>
      </c>
      <c r="AJ23">
        <f t="shared" si="3"/>
        <v>3</v>
      </c>
      <c r="AK23">
        <f t="shared" si="3"/>
        <v>2</v>
      </c>
      <c r="AL23">
        <f t="shared" si="3"/>
        <v>2</v>
      </c>
    </row>
    <row r="24" spans="1:38" x14ac:dyDescent="0.35">
      <c r="A24" s="128" t="s">
        <v>127</v>
      </c>
      <c r="B24">
        <f>COUNTIF(B4:B20,"*NST7")</f>
        <v>3</v>
      </c>
      <c r="C24">
        <f>COUNTIF(C4:C20,"*NST7")</f>
        <v>3</v>
      </c>
      <c r="D24">
        <f>COUNTIF(D4:D20,"*NST7")</f>
        <v>3</v>
      </c>
      <c r="E24">
        <f>COUNTIF(E4:E20,"*NST7")</f>
        <v>3</v>
      </c>
      <c r="F24">
        <f t="shared" ref="F24:AL24" si="4">COUNTIF(F4:F20,"*NST7")</f>
        <v>3</v>
      </c>
      <c r="G24">
        <f t="shared" si="4"/>
        <v>4</v>
      </c>
      <c r="H24">
        <f t="shared" si="4"/>
        <v>4</v>
      </c>
      <c r="I24">
        <f t="shared" si="4"/>
        <v>3</v>
      </c>
      <c r="J24">
        <f t="shared" si="4"/>
        <v>3</v>
      </c>
      <c r="K24">
        <f t="shared" si="4"/>
        <v>3</v>
      </c>
      <c r="L24">
        <f t="shared" si="4"/>
        <v>4</v>
      </c>
      <c r="M24">
        <f t="shared" si="4"/>
        <v>3</v>
      </c>
      <c r="N24">
        <f t="shared" si="4"/>
        <v>4</v>
      </c>
      <c r="O24">
        <f t="shared" si="4"/>
        <v>3</v>
      </c>
      <c r="P24">
        <f t="shared" si="4"/>
        <v>2</v>
      </c>
      <c r="Q24">
        <f t="shared" si="4"/>
        <v>2</v>
      </c>
      <c r="R24">
        <f t="shared" si="4"/>
        <v>3</v>
      </c>
      <c r="S24">
        <f t="shared" si="4"/>
        <v>3</v>
      </c>
      <c r="T24">
        <f t="shared" si="4"/>
        <v>3</v>
      </c>
      <c r="U24">
        <f t="shared" si="4"/>
        <v>3</v>
      </c>
      <c r="V24">
        <f t="shared" si="4"/>
        <v>4</v>
      </c>
      <c r="W24">
        <f>COUNTIF(W4:W20,"*NST7")</f>
        <v>3</v>
      </c>
      <c r="X24">
        <f>COUNTIF(X4:X20,"*NST7")</f>
        <v>2</v>
      </c>
      <c r="Y24">
        <f>COUNTIF(Y5:Y20,"*NST7")</f>
        <v>3</v>
      </c>
      <c r="Z24">
        <f>COUNTIF(Z5:Z20,"*NST7")</f>
        <v>3</v>
      </c>
      <c r="AA24">
        <f>COUNTIF(AA5:AA20,"*NST7")</f>
        <v>3</v>
      </c>
      <c r="AB24">
        <f>COUNTIF(AB5:AB20,"*NST7")</f>
        <v>3</v>
      </c>
      <c r="AC24">
        <f>COUNTIF(AC5:AC20,"*NST7")</f>
        <v>4</v>
      </c>
      <c r="AD24">
        <f>COUNTIF(AD4:AD20,"*NST7")</f>
        <v>3</v>
      </c>
      <c r="AE24">
        <f t="shared" si="4"/>
        <v>2</v>
      </c>
      <c r="AF24">
        <f t="shared" si="4"/>
        <v>3</v>
      </c>
      <c r="AG24">
        <f t="shared" si="4"/>
        <v>3</v>
      </c>
      <c r="AH24">
        <f t="shared" si="4"/>
        <v>2</v>
      </c>
      <c r="AI24">
        <f t="shared" si="4"/>
        <v>3</v>
      </c>
      <c r="AJ24">
        <f t="shared" si="4"/>
        <v>3</v>
      </c>
      <c r="AK24">
        <f t="shared" si="4"/>
        <v>3</v>
      </c>
      <c r="AL24">
        <f t="shared" si="4"/>
        <v>2</v>
      </c>
    </row>
    <row r="25" spans="1:38" x14ac:dyDescent="0.35">
      <c r="A25" s="128" t="s">
        <v>128</v>
      </c>
      <c r="B25">
        <f>COUNTIF(B4:B20,"*GS")</f>
        <v>1</v>
      </c>
      <c r="C25">
        <f>COUNTIF(C4:C20,"*GS")</f>
        <v>0</v>
      </c>
      <c r="D25">
        <f>COUNTIF(D4:D20,"*GS")</f>
        <v>1</v>
      </c>
      <c r="E25">
        <f>COUNTIF(E4:E20,"*GS")</f>
        <v>1</v>
      </c>
      <c r="F25">
        <f t="shared" ref="F25:AL25" si="5">COUNTIF(F4:F20,"*GS")</f>
        <v>0</v>
      </c>
      <c r="G25">
        <f t="shared" si="5"/>
        <v>0</v>
      </c>
      <c r="H25">
        <f t="shared" si="5"/>
        <v>0</v>
      </c>
      <c r="I25">
        <f t="shared" si="5"/>
        <v>1</v>
      </c>
      <c r="J25">
        <f t="shared" si="5"/>
        <v>0</v>
      </c>
      <c r="K25">
        <f t="shared" si="5"/>
        <v>0</v>
      </c>
      <c r="L25">
        <f t="shared" si="5"/>
        <v>0</v>
      </c>
      <c r="M25">
        <f t="shared" si="5"/>
        <v>0</v>
      </c>
      <c r="N25">
        <f t="shared" si="5"/>
        <v>0</v>
      </c>
      <c r="O25">
        <f t="shared" si="5"/>
        <v>0</v>
      </c>
      <c r="P25">
        <f t="shared" si="5"/>
        <v>1</v>
      </c>
      <c r="Q25">
        <f t="shared" si="5"/>
        <v>0</v>
      </c>
      <c r="R25">
        <f t="shared" si="5"/>
        <v>0</v>
      </c>
      <c r="S25">
        <f t="shared" si="5"/>
        <v>0</v>
      </c>
      <c r="T25">
        <f t="shared" si="5"/>
        <v>0</v>
      </c>
      <c r="U25">
        <f t="shared" si="5"/>
        <v>0</v>
      </c>
      <c r="V25">
        <f t="shared" si="5"/>
        <v>0</v>
      </c>
      <c r="W25">
        <f>COUNTIF(W4:W20,"*GS")</f>
        <v>1</v>
      </c>
      <c r="X25">
        <f>COUNTIF(X4:X20,"*GS")</f>
        <v>0</v>
      </c>
      <c r="Y25">
        <f>COUNTIF(Y5:Y20,"*GS")</f>
        <v>0</v>
      </c>
      <c r="Z25">
        <f>COUNTIF(Z5:Z20,"*GS")</f>
        <v>1</v>
      </c>
      <c r="AA25">
        <f>COUNTIF(AA5:AA20,"*GS")</f>
        <v>1</v>
      </c>
      <c r="AB25">
        <f>COUNTIF(AB5:AB20,"*GS")</f>
        <v>1</v>
      </c>
      <c r="AC25">
        <f>COUNTIF(AC5:AC20,"*GS")</f>
        <v>1</v>
      </c>
      <c r="AD25">
        <f>COUNTIF(AD4:AD20,"*GS")</f>
        <v>1</v>
      </c>
      <c r="AE25">
        <f t="shared" si="5"/>
        <v>0</v>
      </c>
      <c r="AF25">
        <f t="shared" si="5"/>
        <v>1</v>
      </c>
      <c r="AG25">
        <f t="shared" si="5"/>
        <v>1</v>
      </c>
      <c r="AH25">
        <f t="shared" si="5"/>
        <v>1</v>
      </c>
      <c r="AI25">
        <f t="shared" si="5"/>
        <v>2</v>
      </c>
      <c r="AJ25">
        <f t="shared" si="5"/>
        <v>1</v>
      </c>
      <c r="AK25">
        <f t="shared" si="5"/>
        <v>1</v>
      </c>
      <c r="AL25">
        <f t="shared" si="5"/>
        <v>0</v>
      </c>
    </row>
    <row r="26" spans="1:38" x14ac:dyDescent="0.35">
      <c r="A26" s="128" t="s">
        <v>129</v>
      </c>
      <c r="B26">
        <f>COUNTIF(B4:B20,"WO")</f>
        <v>7</v>
      </c>
      <c r="C26">
        <f>COUNTIF(C4:C20,"WO")</f>
        <v>8</v>
      </c>
      <c r="D26">
        <f>COUNTIF(D4:D20,"C")</f>
        <v>4</v>
      </c>
      <c r="E26">
        <f>COUNTIF(E4:E20,"C")</f>
        <v>3</v>
      </c>
      <c r="F26">
        <f t="shared" ref="F26:AL26" si="6">COUNTIF(F4:F20,"C")</f>
        <v>4</v>
      </c>
      <c r="G26">
        <f t="shared" si="6"/>
        <v>2</v>
      </c>
      <c r="H26">
        <f t="shared" si="6"/>
        <v>4</v>
      </c>
      <c r="I26">
        <f t="shared" si="6"/>
        <v>0</v>
      </c>
      <c r="J26">
        <f t="shared" si="6"/>
        <v>0</v>
      </c>
      <c r="K26">
        <f t="shared" si="6"/>
        <v>4</v>
      </c>
      <c r="L26">
        <f t="shared" si="6"/>
        <v>1</v>
      </c>
      <c r="M26">
        <f t="shared" si="6"/>
        <v>1</v>
      </c>
      <c r="N26">
        <f t="shared" si="6"/>
        <v>1</v>
      </c>
      <c r="O26">
        <f t="shared" si="6"/>
        <v>0</v>
      </c>
      <c r="P26">
        <f t="shared" si="6"/>
        <v>0</v>
      </c>
      <c r="Q26">
        <f t="shared" si="6"/>
        <v>0</v>
      </c>
      <c r="R26">
        <f t="shared" si="6"/>
        <v>4</v>
      </c>
      <c r="S26">
        <f t="shared" si="6"/>
        <v>2</v>
      </c>
      <c r="T26">
        <f t="shared" si="6"/>
        <v>2</v>
      </c>
      <c r="U26">
        <f t="shared" si="6"/>
        <v>1</v>
      </c>
      <c r="V26">
        <f t="shared" si="6"/>
        <v>2</v>
      </c>
      <c r="W26">
        <f>COUNTIF(W4:W20,"C")</f>
        <v>0</v>
      </c>
      <c r="X26">
        <f>COUNTIF(X4:X20,"C")</f>
        <v>0</v>
      </c>
      <c r="Y26">
        <f>COUNTIF(Y5:Y20,"C")</f>
        <v>4</v>
      </c>
      <c r="Z26">
        <f>COUNTIF(Z5:Z20,"C")</f>
        <v>1</v>
      </c>
      <c r="AA26">
        <f>COUNTIF(AA5:AA20,"C")</f>
        <v>1</v>
      </c>
      <c r="AB26">
        <f>COUNTIF(AB5:AB20,"C")</f>
        <v>0</v>
      </c>
      <c r="AC26">
        <f>COUNTIF(AC5:AC20,"C")</f>
        <v>2</v>
      </c>
      <c r="AD26">
        <f>COUNTIF(AD4:AD20,"C")</f>
        <v>0</v>
      </c>
      <c r="AE26">
        <f t="shared" si="6"/>
        <v>0</v>
      </c>
      <c r="AF26">
        <f t="shared" si="6"/>
        <v>4</v>
      </c>
      <c r="AG26">
        <f t="shared" si="6"/>
        <v>2</v>
      </c>
      <c r="AH26">
        <f t="shared" si="6"/>
        <v>4</v>
      </c>
      <c r="AI26">
        <f t="shared" si="6"/>
        <v>2</v>
      </c>
      <c r="AJ26">
        <f t="shared" si="6"/>
        <v>3</v>
      </c>
      <c r="AK26">
        <f t="shared" si="6"/>
        <v>0</v>
      </c>
      <c r="AL26">
        <f t="shared" si="6"/>
        <v>0</v>
      </c>
    </row>
    <row r="27" spans="1:38" x14ac:dyDescent="0.35">
      <c r="A27" s="128" t="s">
        <v>130</v>
      </c>
      <c r="B27">
        <f>COUNTIF(B4:B20,"PL")</f>
        <v>0</v>
      </c>
      <c r="C27">
        <f>COUNTIF(C4:C20,"PL")</f>
        <v>0</v>
      </c>
      <c r="D27">
        <f>COUNTIF(D4:D20,"PL")</f>
        <v>1</v>
      </c>
      <c r="E27">
        <f>COUNTIF(E4:E20,"PL")</f>
        <v>0</v>
      </c>
      <c r="F27">
        <f t="shared" ref="F27:AL27" si="7">COUNTIF(F4:F20,"PL")</f>
        <v>0</v>
      </c>
      <c r="G27">
        <f t="shared" si="7"/>
        <v>0</v>
      </c>
      <c r="H27">
        <f t="shared" si="7"/>
        <v>1</v>
      </c>
      <c r="I27">
        <f t="shared" si="7"/>
        <v>0</v>
      </c>
      <c r="J27">
        <f t="shared" si="7"/>
        <v>0</v>
      </c>
      <c r="K27">
        <f t="shared" si="7"/>
        <v>2</v>
      </c>
      <c r="L27">
        <f t="shared" si="7"/>
        <v>3</v>
      </c>
      <c r="M27">
        <f t="shared" si="7"/>
        <v>4</v>
      </c>
      <c r="N27">
        <f t="shared" si="7"/>
        <v>3</v>
      </c>
      <c r="O27">
        <f t="shared" si="7"/>
        <v>4</v>
      </c>
      <c r="P27">
        <f t="shared" si="7"/>
        <v>1</v>
      </c>
      <c r="Q27">
        <f t="shared" si="7"/>
        <v>1</v>
      </c>
      <c r="R27">
        <f t="shared" si="7"/>
        <v>2</v>
      </c>
      <c r="S27">
        <f t="shared" si="7"/>
        <v>3</v>
      </c>
      <c r="T27">
        <f t="shared" si="7"/>
        <v>4</v>
      </c>
      <c r="U27">
        <f t="shared" si="7"/>
        <v>4</v>
      </c>
      <c r="V27">
        <f t="shared" si="7"/>
        <v>2</v>
      </c>
      <c r="W27">
        <f>COUNTIF(W4:W20,"PL")</f>
        <v>0</v>
      </c>
      <c r="X27">
        <f>COUNTIF(X4:X20,"PL")</f>
        <v>0</v>
      </c>
      <c r="Y27">
        <f>COUNTIF(Y5:Y20,"PL")</f>
        <v>1</v>
      </c>
      <c r="Z27">
        <f>COUNTIF(Z5:Z20,"PL")</f>
        <v>2</v>
      </c>
      <c r="AA27">
        <f>COUNTIF(AA5:AA20,"PL")</f>
        <v>3</v>
      </c>
      <c r="AB27">
        <f>COUNTIF(AB5:AB20,"PL")</f>
        <v>3</v>
      </c>
      <c r="AC27">
        <f>COUNTIF(AC5:AC20,"PL")</f>
        <v>0</v>
      </c>
      <c r="AD27">
        <f>COUNTIF(AD4:AD20,"PL")</f>
        <v>0</v>
      </c>
      <c r="AE27">
        <f t="shared" si="7"/>
        <v>0</v>
      </c>
      <c r="AF27">
        <f t="shared" si="7"/>
        <v>1</v>
      </c>
      <c r="AG27">
        <f t="shared" si="7"/>
        <v>1</v>
      </c>
      <c r="AH27">
        <f t="shared" si="7"/>
        <v>1</v>
      </c>
      <c r="AI27">
        <f t="shared" si="7"/>
        <v>2</v>
      </c>
      <c r="AJ27">
        <f t="shared" si="7"/>
        <v>1</v>
      </c>
      <c r="AK27">
        <f t="shared" si="7"/>
        <v>0</v>
      </c>
      <c r="AL27">
        <f t="shared" si="7"/>
        <v>0</v>
      </c>
    </row>
    <row r="28" spans="1:38" x14ac:dyDescent="0.35">
      <c r="A28" s="128" t="s">
        <v>33</v>
      </c>
      <c r="B28">
        <f>COUNTIF(B4:B20,"UPL")</f>
        <v>0</v>
      </c>
      <c r="C28">
        <f>COUNTIF(C4:C20,"UPL")</f>
        <v>0</v>
      </c>
      <c r="D28">
        <f>COUNTIF(D4:D20,"UPL")</f>
        <v>0</v>
      </c>
      <c r="E28">
        <f>COUNTIF(E4:E20,"UPL")</f>
        <v>0</v>
      </c>
      <c r="F28">
        <f t="shared" ref="F28:AL28" si="8">COUNTIF(F4:F20,"UPL")</f>
        <v>1</v>
      </c>
      <c r="G28">
        <f t="shared" si="8"/>
        <v>1</v>
      </c>
      <c r="H28">
        <f t="shared" si="8"/>
        <v>0</v>
      </c>
      <c r="I28">
        <f t="shared" si="8"/>
        <v>0</v>
      </c>
      <c r="J28">
        <f t="shared" si="8"/>
        <v>0</v>
      </c>
      <c r="K28">
        <f t="shared" si="8"/>
        <v>0</v>
      </c>
      <c r="L28">
        <f t="shared" si="8"/>
        <v>0</v>
      </c>
      <c r="M28">
        <f t="shared" si="8"/>
        <v>0</v>
      </c>
      <c r="N28">
        <f t="shared" si="8"/>
        <v>0</v>
      </c>
      <c r="O28">
        <f t="shared" si="8"/>
        <v>0</v>
      </c>
      <c r="P28">
        <f t="shared" si="8"/>
        <v>0</v>
      </c>
      <c r="Q28">
        <f t="shared" si="8"/>
        <v>0</v>
      </c>
      <c r="R28">
        <f t="shared" si="8"/>
        <v>1</v>
      </c>
      <c r="S28">
        <f t="shared" si="8"/>
        <v>0</v>
      </c>
      <c r="T28">
        <f t="shared" si="8"/>
        <v>0</v>
      </c>
      <c r="U28">
        <f t="shared" si="8"/>
        <v>0</v>
      </c>
      <c r="V28">
        <f t="shared" si="8"/>
        <v>0</v>
      </c>
      <c r="W28">
        <f>COUNTIF(W4:W20,"UPL")</f>
        <v>0</v>
      </c>
      <c r="X28">
        <f>COUNTIF(X4:X20,"UPL")</f>
        <v>0</v>
      </c>
      <c r="Y28">
        <f>COUNTIF(Y5:Y20,"UPL")</f>
        <v>0</v>
      </c>
      <c r="Z28">
        <f>COUNTIF(Z5:Z20,"UPL")</f>
        <v>0</v>
      </c>
      <c r="AA28">
        <f>COUNTIF(AA5:AA20,"UPL")</f>
        <v>0</v>
      </c>
      <c r="AB28">
        <f>COUNTIF(AB5:AB20,"UPL")</f>
        <v>0</v>
      </c>
      <c r="AC28">
        <f>COUNTIF(AC5:AC20,"UPL")</f>
        <v>0</v>
      </c>
      <c r="AD28">
        <f>COUNTIF(AD4:AD20,"UPL")</f>
        <v>0</v>
      </c>
      <c r="AE28">
        <f t="shared" si="8"/>
        <v>0</v>
      </c>
      <c r="AF28">
        <f t="shared" si="8"/>
        <v>0</v>
      </c>
      <c r="AG28">
        <f t="shared" si="8"/>
        <v>0</v>
      </c>
      <c r="AH28">
        <f t="shared" si="8"/>
        <v>0</v>
      </c>
      <c r="AI28">
        <f t="shared" si="8"/>
        <v>0</v>
      </c>
      <c r="AJ28">
        <f t="shared" si="8"/>
        <v>0</v>
      </c>
      <c r="AK28">
        <f t="shared" si="8"/>
        <v>0</v>
      </c>
      <c r="AL28">
        <f t="shared" si="8"/>
        <v>0</v>
      </c>
    </row>
    <row r="29" spans="1:38" x14ac:dyDescent="0.35">
      <c r="A29" s="128" t="s">
        <v>141</v>
      </c>
      <c r="B29">
        <f>COUNTIF(B4:B20,"H")</f>
        <v>0</v>
      </c>
      <c r="C29">
        <f>COUNTIF(C4:C20,"H")</f>
        <v>0</v>
      </c>
      <c r="D29">
        <f>COUNTIF(D4:D20,"H")</f>
        <v>0</v>
      </c>
      <c r="E29">
        <f>COUNTIF(E4:E20,"H")</f>
        <v>0</v>
      </c>
      <c r="F29">
        <f t="shared" ref="F29:AL29" si="9">COUNTIF(F4:F20,"H")</f>
        <v>0</v>
      </c>
      <c r="G29">
        <f t="shared" si="9"/>
        <v>0</v>
      </c>
      <c r="H29">
        <f t="shared" si="9"/>
        <v>0</v>
      </c>
      <c r="I29">
        <f t="shared" si="9"/>
        <v>0</v>
      </c>
      <c r="J29">
        <f t="shared" si="9"/>
        <v>0</v>
      </c>
      <c r="K29">
        <f t="shared" si="9"/>
        <v>0</v>
      </c>
      <c r="L29">
        <f t="shared" si="9"/>
        <v>0</v>
      </c>
      <c r="M29">
        <f t="shared" si="9"/>
        <v>0</v>
      </c>
      <c r="N29">
        <f t="shared" si="9"/>
        <v>0</v>
      </c>
      <c r="O29">
        <f t="shared" si="9"/>
        <v>0</v>
      </c>
      <c r="P29">
        <f t="shared" si="9"/>
        <v>0</v>
      </c>
      <c r="Q29">
        <f t="shared" si="9"/>
        <v>0</v>
      </c>
      <c r="R29">
        <f t="shared" si="9"/>
        <v>0</v>
      </c>
      <c r="S29">
        <f t="shared" si="9"/>
        <v>0</v>
      </c>
      <c r="T29">
        <f t="shared" si="9"/>
        <v>0</v>
      </c>
      <c r="U29">
        <f t="shared" si="9"/>
        <v>0</v>
      </c>
      <c r="V29">
        <f t="shared" si="9"/>
        <v>0</v>
      </c>
      <c r="W29">
        <f>COUNTIF(W4:W20,"H")</f>
        <v>0</v>
      </c>
      <c r="X29">
        <f>COUNTIF(X4:X20,"H")</f>
        <v>0</v>
      </c>
      <c r="Y29">
        <f>COUNTIF(Y5:Y20,"H")</f>
        <v>0</v>
      </c>
      <c r="Z29">
        <f>COUNTIF(Z5:Z20,"H")</f>
        <v>0</v>
      </c>
      <c r="AA29">
        <f>COUNTIF(AA5:AA20,"H")</f>
        <v>0</v>
      </c>
      <c r="AB29">
        <f>COUNTIF(AB5:AB20,"H")</f>
        <v>0</v>
      </c>
      <c r="AC29">
        <f>COUNTIF(AC5:AC20,"H")</f>
        <v>0</v>
      </c>
      <c r="AD29">
        <f>COUNTIF(AD4:AD20,"H")</f>
        <v>0</v>
      </c>
      <c r="AE29">
        <f t="shared" si="9"/>
        <v>0</v>
      </c>
      <c r="AF29">
        <f t="shared" si="9"/>
        <v>0</v>
      </c>
      <c r="AG29">
        <f t="shared" si="9"/>
        <v>0</v>
      </c>
      <c r="AH29">
        <f t="shared" si="9"/>
        <v>0</v>
      </c>
      <c r="AI29">
        <f t="shared" si="9"/>
        <v>0</v>
      </c>
      <c r="AJ29">
        <f t="shared" si="9"/>
        <v>0</v>
      </c>
      <c r="AK29">
        <f t="shared" si="9"/>
        <v>0</v>
      </c>
      <c r="AL29">
        <f t="shared" si="9"/>
        <v>0</v>
      </c>
    </row>
    <row r="30" spans="1:38" x14ac:dyDescent="0.35">
      <c r="A30" s="128" t="s">
        <v>131</v>
      </c>
      <c r="B30" s="129">
        <f t="shared" ref="B30:D30" si="10">SUM(B22:B29)</f>
        <v>15</v>
      </c>
      <c r="C30" s="129">
        <f t="shared" si="10"/>
        <v>15</v>
      </c>
      <c r="D30" s="129">
        <f t="shared" si="10"/>
        <v>15</v>
      </c>
      <c r="E30" s="129">
        <f t="shared" ref="E30:AL30" si="11">SUM(E22:E29)</f>
        <v>15</v>
      </c>
      <c r="F30" s="129">
        <f t="shared" si="11"/>
        <v>15</v>
      </c>
      <c r="G30" s="129">
        <f t="shared" si="11"/>
        <v>15</v>
      </c>
      <c r="H30" s="129">
        <f t="shared" si="11"/>
        <v>15</v>
      </c>
      <c r="I30" s="129">
        <f t="shared" si="11"/>
        <v>8</v>
      </c>
      <c r="J30" s="129">
        <f t="shared" si="11"/>
        <v>7</v>
      </c>
      <c r="K30" s="129">
        <f t="shared" si="11"/>
        <v>15</v>
      </c>
      <c r="L30" s="129">
        <f t="shared" si="11"/>
        <v>15</v>
      </c>
      <c r="M30" s="129">
        <f t="shared" si="11"/>
        <v>15</v>
      </c>
      <c r="N30" s="129">
        <f t="shared" si="11"/>
        <v>15</v>
      </c>
      <c r="O30" s="129">
        <f t="shared" si="11"/>
        <v>15</v>
      </c>
      <c r="P30" s="129">
        <f t="shared" si="11"/>
        <v>8</v>
      </c>
      <c r="Q30" s="129">
        <f t="shared" si="11"/>
        <v>7</v>
      </c>
      <c r="R30" s="129">
        <f t="shared" si="11"/>
        <v>15</v>
      </c>
      <c r="S30" s="129">
        <f t="shared" si="11"/>
        <v>15</v>
      </c>
      <c r="T30" s="129">
        <f t="shared" si="11"/>
        <v>15</v>
      </c>
      <c r="U30" s="129">
        <f t="shared" si="11"/>
        <v>15</v>
      </c>
      <c r="V30" s="129">
        <f t="shared" si="11"/>
        <v>15</v>
      </c>
      <c r="W30" s="129">
        <f t="shared" si="11"/>
        <v>8</v>
      </c>
      <c r="X30" s="129">
        <f t="shared" si="11"/>
        <v>6</v>
      </c>
      <c r="Y30" s="129">
        <f t="shared" si="11"/>
        <v>14</v>
      </c>
      <c r="Z30" s="129">
        <f t="shared" si="11"/>
        <v>14</v>
      </c>
      <c r="AA30" s="129">
        <f t="shared" si="11"/>
        <v>14</v>
      </c>
      <c r="AB30" s="129">
        <f t="shared" si="11"/>
        <v>14</v>
      </c>
      <c r="AC30" s="129">
        <f t="shared" si="11"/>
        <v>14</v>
      </c>
      <c r="AD30" s="129">
        <f t="shared" si="11"/>
        <v>8</v>
      </c>
      <c r="AE30" s="129">
        <f t="shared" si="11"/>
        <v>6</v>
      </c>
      <c r="AF30" s="129">
        <f t="shared" si="11"/>
        <v>15</v>
      </c>
      <c r="AG30" s="129">
        <f t="shared" si="11"/>
        <v>15</v>
      </c>
      <c r="AH30" s="129">
        <f t="shared" si="11"/>
        <v>15</v>
      </c>
      <c r="AI30" s="129">
        <f t="shared" si="11"/>
        <v>15</v>
      </c>
      <c r="AJ30" s="129">
        <f t="shared" si="11"/>
        <v>15</v>
      </c>
      <c r="AK30" s="129">
        <f t="shared" si="11"/>
        <v>8</v>
      </c>
      <c r="AL30" s="129">
        <f t="shared" si="11"/>
        <v>6</v>
      </c>
    </row>
  </sheetData>
  <conditionalFormatting sqref="B22:AL25">
    <cfRule type="cellIs" dxfId="844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AI30"/>
  <sheetViews>
    <sheetView zoomScale="62" zoomScaleNormal="62" workbookViewId="0">
      <pane xSplit="1" topLeftCell="J1" activePane="topRight" state="frozen"/>
      <selection pane="topRight" activeCell="AK10" sqref="AK10"/>
    </sheetView>
  </sheetViews>
  <sheetFormatPr defaultRowHeight="14.5" x14ac:dyDescent="0.35"/>
  <cols>
    <col min="1" max="1" width="23.81640625" bestFit="1" customWidth="1"/>
    <col min="2" max="4" width="8.7265625" hidden="1" customWidth="1"/>
    <col min="5" max="35" width="8.7265625" customWidth="1"/>
  </cols>
  <sheetData>
    <row r="1" spans="1:35" x14ac:dyDescent="0.35">
      <c r="A1" s="1"/>
      <c r="B1" s="2" t="str">
        <f t="shared" ref="B1:AI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H1" s="2" t="str">
        <f t="shared" si="0"/>
        <v>Fri</v>
      </c>
      <c r="AI1" s="2" t="str">
        <f t="shared" si="0"/>
        <v>Sat</v>
      </c>
    </row>
    <row r="2" spans="1:35" x14ac:dyDescent="0.35">
      <c r="A2" s="95" t="s">
        <v>0</v>
      </c>
      <c r="B2" s="29">
        <v>44893</v>
      </c>
      <c r="C2" s="29">
        <v>44894</v>
      </c>
      <c r="D2" s="29">
        <v>44895</v>
      </c>
      <c r="E2" s="29">
        <v>44896</v>
      </c>
      <c r="F2" s="29">
        <v>44897</v>
      </c>
      <c r="G2" s="29">
        <v>44898</v>
      </c>
      <c r="H2" s="29">
        <v>44899</v>
      </c>
      <c r="I2" s="29">
        <v>44900</v>
      </c>
      <c r="J2" s="29">
        <v>44901</v>
      </c>
      <c r="K2" s="29">
        <v>44902</v>
      </c>
      <c r="L2" s="29">
        <v>44903</v>
      </c>
      <c r="M2" s="29">
        <v>44904</v>
      </c>
      <c r="N2" s="29">
        <v>44905</v>
      </c>
      <c r="O2" s="29">
        <v>44906</v>
      </c>
      <c r="P2" s="29">
        <v>44907</v>
      </c>
      <c r="Q2" s="29">
        <v>44908</v>
      </c>
      <c r="R2" s="29">
        <v>44909</v>
      </c>
      <c r="S2" s="29">
        <v>44910</v>
      </c>
      <c r="T2" s="29">
        <v>44911</v>
      </c>
      <c r="U2" s="29">
        <v>44912</v>
      </c>
      <c r="V2" s="29">
        <v>44913</v>
      </c>
      <c r="W2" s="29">
        <v>44914</v>
      </c>
      <c r="X2" s="29">
        <v>44915</v>
      </c>
      <c r="Y2" s="29">
        <v>44916</v>
      </c>
      <c r="Z2" s="29">
        <v>44917</v>
      </c>
      <c r="AA2" s="29">
        <v>44918</v>
      </c>
      <c r="AB2" s="29">
        <v>44919</v>
      </c>
      <c r="AC2" s="29">
        <v>44920</v>
      </c>
      <c r="AD2" s="29">
        <v>44921</v>
      </c>
      <c r="AE2" s="29">
        <v>44922</v>
      </c>
      <c r="AF2" s="29">
        <v>44923</v>
      </c>
      <c r="AG2" s="29">
        <v>44924</v>
      </c>
      <c r="AH2" s="29">
        <v>44925</v>
      </c>
      <c r="AI2" s="29">
        <v>44926</v>
      </c>
    </row>
    <row r="3" spans="1:35" ht="15" thickBot="1" x14ac:dyDescent="0.4">
      <c r="A3" s="96"/>
      <c r="B3" s="30"/>
      <c r="C3" s="30"/>
      <c r="D3" s="30"/>
      <c r="E3" s="97"/>
      <c r="F3" s="97"/>
      <c r="G3" s="97"/>
      <c r="H3" s="97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</row>
    <row r="4" spans="1:35" x14ac:dyDescent="0.35">
      <c r="A4" s="137" t="s">
        <v>14</v>
      </c>
      <c r="B4" s="116" t="s">
        <v>2</v>
      </c>
      <c r="C4" s="25" t="s">
        <v>6</v>
      </c>
      <c r="D4" s="74" t="s">
        <v>6</v>
      </c>
      <c r="E4" s="19" t="s">
        <v>41</v>
      </c>
      <c r="F4" s="19" t="s">
        <v>41</v>
      </c>
      <c r="G4" s="114" t="s">
        <v>4</v>
      </c>
      <c r="H4" s="19" t="s">
        <v>42</v>
      </c>
      <c r="I4" s="116" t="s">
        <v>2</v>
      </c>
      <c r="J4" s="116" t="s">
        <v>2</v>
      </c>
      <c r="K4" s="19" t="s">
        <v>41</v>
      </c>
      <c r="L4" s="19" t="s">
        <v>41</v>
      </c>
      <c r="M4" s="19" t="s">
        <v>41</v>
      </c>
      <c r="N4" s="19" t="s">
        <v>42</v>
      </c>
      <c r="O4" s="19" t="s">
        <v>42</v>
      </c>
      <c r="P4" s="116" t="s">
        <v>2</v>
      </c>
      <c r="Q4" s="19" t="s">
        <v>41</v>
      </c>
      <c r="R4" s="19" t="s">
        <v>41</v>
      </c>
      <c r="S4" s="19" t="s">
        <v>41</v>
      </c>
      <c r="T4" s="19" t="s">
        <v>41</v>
      </c>
      <c r="U4" s="114" t="s">
        <v>4</v>
      </c>
      <c r="V4" s="114" t="s">
        <v>4</v>
      </c>
      <c r="W4" s="19" t="s">
        <v>41</v>
      </c>
      <c r="X4" s="19" t="s">
        <v>41</v>
      </c>
      <c r="Y4" s="19" t="s">
        <v>41</v>
      </c>
      <c r="Z4" s="19" t="s">
        <v>41</v>
      </c>
      <c r="AA4" s="116" t="s">
        <v>2</v>
      </c>
      <c r="AB4" s="114" t="s">
        <v>4</v>
      </c>
      <c r="AC4" s="19" t="s">
        <v>42</v>
      </c>
      <c r="AD4" s="19" t="s">
        <v>41</v>
      </c>
      <c r="AE4" s="116" t="s">
        <v>2</v>
      </c>
      <c r="AF4" s="19" t="s">
        <v>41</v>
      </c>
      <c r="AG4" s="19" t="s">
        <v>41</v>
      </c>
      <c r="AH4" s="19" t="s">
        <v>41</v>
      </c>
      <c r="AI4" s="114" t="s">
        <v>4</v>
      </c>
    </row>
    <row r="5" spans="1:35" ht="15" thickBot="1" x14ac:dyDescent="0.4">
      <c r="A5" s="138" t="s">
        <v>12</v>
      </c>
      <c r="B5" s="74" t="s">
        <v>6</v>
      </c>
      <c r="C5" s="74" t="s">
        <v>6</v>
      </c>
      <c r="D5" s="74" t="s">
        <v>6</v>
      </c>
      <c r="E5" s="122" t="s">
        <v>5</v>
      </c>
      <c r="F5" s="116" t="s">
        <v>2</v>
      </c>
      <c r="G5" s="19" t="s">
        <v>42</v>
      </c>
      <c r="H5" s="114" t="s">
        <v>4</v>
      </c>
      <c r="I5" s="19" t="s">
        <v>41</v>
      </c>
      <c r="J5" s="19" t="s">
        <v>41</v>
      </c>
      <c r="K5" s="122" t="s">
        <v>5</v>
      </c>
      <c r="L5" s="122" t="s">
        <v>5</v>
      </c>
      <c r="M5" s="122" t="s">
        <v>5</v>
      </c>
      <c r="N5" s="122" t="s">
        <v>4</v>
      </c>
      <c r="O5" s="122" t="s">
        <v>4</v>
      </c>
      <c r="P5" s="122" t="s">
        <v>5</v>
      </c>
      <c r="Q5" s="122" t="s">
        <v>5</v>
      </c>
      <c r="R5" s="122" t="s">
        <v>5</v>
      </c>
      <c r="S5" s="122" t="s">
        <v>5</v>
      </c>
      <c r="T5" s="122" t="s">
        <v>5</v>
      </c>
      <c r="U5" s="19" t="s">
        <v>42</v>
      </c>
      <c r="V5" s="19" t="s">
        <v>42</v>
      </c>
      <c r="W5" s="19" t="s">
        <v>41</v>
      </c>
      <c r="X5" s="116" t="s">
        <v>2</v>
      </c>
      <c r="Y5" s="116" t="s">
        <v>2</v>
      </c>
      <c r="Z5" s="19" t="s">
        <v>41</v>
      </c>
      <c r="AA5" s="19" t="s">
        <v>41</v>
      </c>
      <c r="AB5" s="19" t="s">
        <v>42</v>
      </c>
      <c r="AC5" s="114" t="s">
        <v>4</v>
      </c>
      <c r="AD5" s="116" t="s">
        <v>2</v>
      </c>
      <c r="AE5" s="19" t="s">
        <v>41</v>
      </c>
      <c r="AF5" s="19" t="s">
        <v>41</v>
      </c>
      <c r="AG5" s="19" t="s">
        <v>41</v>
      </c>
      <c r="AH5" s="116" t="s">
        <v>2</v>
      </c>
      <c r="AI5" s="19" t="s">
        <v>42</v>
      </c>
    </row>
    <row r="6" spans="1:35" x14ac:dyDescent="0.35">
      <c r="A6" s="140" t="s">
        <v>69</v>
      </c>
      <c r="B6" s="25" t="s">
        <v>6</v>
      </c>
      <c r="C6" s="122" t="s">
        <v>5</v>
      </c>
      <c r="D6" s="122" t="s">
        <v>5</v>
      </c>
      <c r="E6" s="19" t="s">
        <v>41</v>
      </c>
      <c r="F6" s="25" t="s">
        <v>6</v>
      </c>
      <c r="G6" s="114" t="s">
        <v>4</v>
      </c>
      <c r="H6" s="19" t="s">
        <v>42</v>
      </c>
      <c r="I6" s="19" t="s">
        <v>41</v>
      </c>
      <c r="J6" s="19" t="s">
        <v>41</v>
      </c>
      <c r="K6" s="19" t="s">
        <v>41</v>
      </c>
      <c r="L6" s="19" t="s">
        <v>41</v>
      </c>
      <c r="M6" s="116" t="s">
        <v>2</v>
      </c>
      <c r="N6" s="114" t="s">
        <v>4</v>
      </c>
      <c r="O6" s="25" t="s">
        <v>3</v>
      </c>
      <c r="P6" s="19" t="s">
        <v>41</v>
      </c>
      <c r="Q6" s="19" t="s">
        <v>41</v>
      </c>
      <c r="R6" s="19" t="s">
        <v>41</v>
      </c>
      <c r="S6" s="19" t="s">
        <v>41</v>
      </c>
      <c r="T6" s="116" t="s">
        <v>2</v>
      </c>
      <c r="U6" s="114" t="s">
        <v>4</v>
      </c>
      <c r="V6" s="19" t="s">
        <v>42</v>
      </c>
      <c r="W6" s="19" t="s">
        <v>41</v>
      </c>
      <c r="X6" s="19" t="s">
        <v>41</v>
      </c>
      <c r="Y6" s="19" t="s">
        <v>41</v>
      </c>
      <c r="Z6" s="22" t="s">
        <v>16</v>
      </c>
      <c r="AA6" s="122" t="s">
        <v>5</v>
      </c>
      <c r="AB6" s="122" t="s">
        <v>4</v>
      </c>
      <c r="AC6" s="122" t="s">
        <v>4</v>
      </c>
      <c r="AD6" s="19" t="s">
        <v>41</v>
      </c>
      <c r="AE6" s="19" t="s">
        <v>41</v>
      </c>
      <c r="AF6" s="19" t="s">
        <v>41</v>
      </c>
      <c r="AG6" s="122" t="s">
        <v>5</v>
      </c>
      <c r="AH6" s="122" t="s">
        <v>5</v>
      </c>
      <c r="AI6" s="122" t="s">
        <v>4</v>
      </c>
    </row>
    <row r="7" spans="1:35" x14ac:dyDescent="0.35">
      <c r="A7" s="141" t="s">
        <v>71</v>
      </c>
      <c r="B7" s="25" t="s">
        <v>6</v>
      </c>
      <c r="C7" s="25" t="s">
        <v>6</v>
      </c>
      <c r="D7" s="25" t="s">
        <v>6</v>
      </c>
      <c r="E7" s="122" t="s">
        <v>5</v>
      </c>
      <c r="F7" s="122" t="s">
        <v>5</v>
      </c>
      <c r="G7" s="19" t="s">
        <v>42</v>
      </c>
      <c r="H7" s="122" t="s">
        <v>4</v>
      </c>
      <c r="I7" s="122" t="s">
        <v>5</v>
      </c>
      <c r="J7" s="122" t="s">
        <v>5</v>
      </c>
      <c r="K7" s="122" t="s">
        <v>5</v>
      </c>
      <c r="L7" s="19" t="s">
        <v>41</v>
      </c>
      <c r="M7" s="19" t="s">
        <v>41</v>
      </c>
      <c r="N7" s="19" t="s">
        <v>42</v>
      </c>
      <c r="O7" s="114" t="s">
        <v>4</v>
      </c>
      <c r="P7" s="19" t="s">
        <v>41</v>
      </c>
      <c r="Q7" s="19" t="s">
        <v>41</v>
      </c>
      <c r="R7" s="116" t="s">
        <v>2</v>
      </c>
      <c r="S7" s="116" t="s">
        <v>2</v>
      </c>
      <c r="T7" s="19" t="s">
        <v>41</v>
      </c>
      <c r="U7" s="19" t="s">
        <v>42</v>
      </c>
      <c r="V7" s="114" t="s">
        <v>4</v>
      </c>
      <c r="W7" s="19" t="s">
        <v>41</v>
      </c>
      <c r="X7" s="19" t="s">
        <v>41</v>
      </c>
      <c r="Y7" s="19" t="s">
        <v>41</v>
      </c>
      <c r="Z7" s="116" t="s">
        <v>2</v>
      </c>
      <c r="AA7" s="19" t="s">
        <v>41</v>
      </c>
      <c r="AB7" s="19" t="s">
        <v>42</v>
      </c>
      <c r="AC7" s="114" t="s">
        <v>4</v>
      </c>
      <c r="AD7" s="19" t="s">
        <v>41</v>
      </c>
      <c r="AE7" s="19" t="s">
        <v>41</v>
      </c>
      <c r="AF7" s="19" t="s">
        <v>41</v>
      </c>
      <c r="AG7" s="116" t="s">
        <v>2</v>
      </c>
      <c r="AH7" s="19" t="s">
        <v>41</v>
      </c>
      <c r="AI7" s="19" t="s">
        <v>42</v>
      </c>
    </row>
    <row r="8" spans="1:35" x14ac:dyDescent="0.35">
      <c r="A8" s="141" t="s">
        <v>70</v>
      </c>
      <c r="B8" s="116" t="s">
        <v>2</v>
      </c>
      <c r="C8" s="25" t="s">
        <v>6</v>
      </c>
      <c r="D8" s="25" t="s">
        <v>6</v>
      </c>
      <c r="E8" s="19" t="s">
        <v>41</v>
      </c>
      <c r="F8" s="19" t="s">
        <v>41</v>
      </c>
      <c r="G8" s="22" t="s">
        <v>30</v>
      </c>
      <c r="H8" s="114" t="s">
        <v>4</v>
      </c>
      <c r="I8" s="19" t="s">
        <v>41</v>
      </c>
      <c r="J8" s="19" t="s">
        <v>41</v>
      </c>
      <c r="K8" s="116" t="s">
        <v>34</v>
      </c>
      <c r="L8" s="116" t="s">
        <v>2</v>
      </c>
      <c r="M8" s="25" t="s">
        <v>6</v>
      </c>
      <c r="N8" s="114" t="s">
        <v>4</v>
      </c>
      <c r="O8" s="114" t="s">
        <v>4</v>
      </c>
      <c r="P8" s="19" t="s">
        <v>41</v>
      </c>
      <c r="Q8" s="122" t="s">
        <v>5</v>
      </c>
      <c r="R8" s="19" t="s">
        <v>41</v>
      </c>
      <c r="S8" s="19" t="s">
        <v>41</v>
      </c>
      <c r="T8" s="19" t="s">
        <v>41</v>
      </c>
      <c r="U8" s="122" t="s">
        <v>4</v>
      </c>
      <c r="V8" s="122" t="s">
        <v>4</v>
      </c>
      <c r="W8" s="122" t="s">
        <v>5</v>
      </c>
      <c r="X8" s="19" t="s">
        <v>41</v>
      </c>
      <c r="Y8" s="22" t="s">
        <v>16</v>
      </c>
      <c r="Z8" s="19" t="s">
        <v>41</v>
      </c>
      <c r="AA8" s="19" t="s">
        <v>41</v>
      </c>
      <c r="AB8" s="114" t="s">
        <v>4</v>
      </c>
      <c r="AC8" s="19" t="s">
        <v>42</v>
      </c>
      <c r="AD8" s="19" t="s">
        <v>41</v>
      </c>
      <c r="AE8" s="19" t="s">
        <v>41</v>
      </c>
      <c r="AF8" s="116" t="s">
        <v>2</v>
      </c>
      <c r="AG8" s="19" t="s">
        <v>41</v>
      </c>
      <c r="AH8" s="19" t="s">
        <v>41</v>
      </c>
      <c r="AI8" s="114" t="s">
        <v>4</v>
      </c>
    </row>
    <row r="9" spans="1:35" ht="15" thickBot="1" x14ac:dyDescent="0.4">
      <c r="A9" s="14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137" t="s">
        <v>9</v>
      </c>
      <c r="B10" s="116" t="s">
        <v>2</v>
      </c>
      <c r="C10" s="116" t="s">
        <v>2</v>
      </c>
      <c r="D10" s="19" t="s">
        <v>41</v>
      </c>
      <c r="E10" s="16" t="s">
        <v>10</v>
      </c>
      <c r="F10" s="16" t="s">
        <v>10</v>
      </c>
      <c r="G10" s="16" t="s">
        <v>11</v>
      </c>
      <c r="H10" s="16" t="s">
        <v>11</v>
      </c>
      <c r="I10" s="122" t="s">
        <v>5</v>
      </c>
      <c r="J10" s="122" t="s">
        <v>5</v>
      </c>
      <c r="K10" s="122" t="s">
        <v>5</v>
      </c>
      <c r="L10" s="122" t="s">
        <v>5</v>
      </c>
      <c r="M10" s="122" t="s">
        <v>5</v>
      </c>
      <c r="N10" s="122" t="s">
        <v>4</v>
      </c>
      <c r="O10" s="16" t="s">
        <v>11</v>
      </c>
      <c r="P10" s="16" t="s">
        <v>10</v>
      </c>
      <c r="Q10" s="16" t="s">
        <v>10</v>
      </c>
      <c r="R10" s="16" t="s">
        <v>10</v>
      </c>
      <c r="S10" s="16" t="s">
        <v>10</v>
      </c>
      <c r="T10" s="16" t="s">
        <v>10</v>
      </c>
      <c r="U10" s="16" t="s">
        <v>11</v>
      </c>
      <c r="V10" s="114" t="s">
        <v>4</v>
      </c>
      <c r="W10" s="16" t="s">
        <v>10</v>
      </c>
      <c r="X10" s="16" t="s">
        <v>10</v>
      </c>
      <c r="Y10" s="16" t="s">
        <v>10</v>
      </c>
      <c r="Z10" s="16" t="s">
        <v>10</v>
      </c>
      <c r="AA10" s="16" t="s">
        <v>10</v>
      </c>
      <c r="AB10" s="16" t="s">
        <v>11</v>
      </c>
      <c r="AC10" s="16" t="s">
        <v>11</v>
      </c>
      <c r="AD10" s="116" t="s">
        <v>2</v>
      </c>
      <c r="AE10" s="16" t="s">
        <v>10</v>
      </c>
      <c r="AF10" s="16" t="s">
        <v>10</v>
      </c>
      <c r="AG10" s="16" t="s">
        <v>10</v>
      </c>
      <c r="AH10" s="16" t="s">
        <v>10</v>
      </c>
      <c r="AI10" s="16" t="s">
        <v>11</v>
      </c>
    </row>
    <row r="11" spans="1:35" ht="15" thickBot="1" x14ac:dyDescent="0.4">
      <c r="A11" s="138" t="s">
        <v>15</v>
      </c>
      <c r="B11" s="19" t="s">
        <v>41</v>
      </c>
      <c r="C11" s="19" t="s">
        <v>41</v>
      </c>
      <c r="D11" s="19" t="s">
        <v>41</v>
      </c>
      <c r="E11" s="22" t="s">
        <v>16</v>
      </c>
      <c r="F11" s="116" t="s">
        <v>2</v>
      </c>
      <c r="G11" s="114" t="s">
        <v>4</v>
      </c>
      <c r="H11" s="114" t="s">
        <v>4</v>
      </c>
      <c r="I11" s="16" t="s">
        <v>10</v>
      </c>
      <c r="J11" s="16" t="s">
        <v>10</v>
      </c>
      <c r="K11" s="16" t="s">
        <v>10</v>
      </c>
      <c r="L11" s="16" t="s">
        <v>10</v>
      </c>
      <c r="M11" s="16" t="s">
        <v>10</v>
      </c>
      <c r="N11" s="16" t="s">
        <v>11</v>
      </c>
      <c r="O11" s="114" t="s">
        <v>4</v>
      </c>
      <c r="P11" s="116" t="s">
        <v>2</v>
      </c>
      <c r="Q11" s="16" t="s">
        <v>10</v>
      </c>
      <c r="R11" s="16" t="s">
        <v>10</v>
      </c>
      <c r="S11" s="16" t="s">
        <v>10</v>
      </c>
      <c r="T11" s="16" t="s">
        <v>10</v>
      </c>
      <c r="U11" s="114" t="s">
        <v>4</v>
      </c>
      <c r="V11" s="16" t="s">
        <v>11</v>
      </c>
      <c r="W11" s="16" t="s">
        <v>10</v>
      </c>
      <c r="X11" s="16" t="s">
        <v>10</v>
      </c>
      <c r="Y11" s="16" t="s">
        <v>10</v>
      </c>
      <c r="Z11" s="16" t="s">
        <v>10</v>
      </c>
      <c r="AA11" s="116" t="s">
        <v>2</v>
      </c>
      <c r="AB11" s="114" t="s">
        <v>4</v>
      </c>
      <c r="AC11" s="16" t="s">
        <v>11</v>
      </c>
      <c r="AD11" s="16" t="s">
        <v>10</v>
      </c>
      <c r="AE11" s="16" t="s">
        <v>10</v>
      </c>
      <c r="AF11" s="16" t="s">
        <v>10</v>
      </c>
      <c r="AG11" s="16" t="s">
        <v>10</v>
      </c>
      <c r="AH11" s="16" t="s">
        <v>10</v>
      </c>
      <c r="AI11" s="122" t="s">
        <v>4</v>
      </c>
    </row>
    <row r="12" spans="1:35" x14ac:dyDescent="0.35">
      <c r="A12" s="140" t="s">
        <v>21</v>
      </c>
      <c r="B12" s="122" t="s">
        <v>5</v>
      </c>
      <c r="C12" s="122" t="s">
        <v>5</v>
      </c>
      <c r="D12" s="122" t="s">
        <v>5</v>
      </c>
      <c r="E12" s="16" t="s">
        <v>10</v>
      </c>
      <c r="F12" s="16" t="s">
        <v>10</v>
      </c>
      <c r="G12" s="16" t="s">
        <v>11</v>
      </c>
      <c r="H12" s="114" t="s">
        <v>4</v>
      </c>
      <c r="I12" s="116" t="s">
        <v>2</v>
      </c>
      <c r="J12" s="16" t="s">
        <v>10</v>
      </c>
      <c r="K12" s="16" t="s">
        <v>10</v>
      </c>
      <c r="L12" s="16" t="s">
        <v>10</v>
      </c>
      <c r="M12" s="16" t="s">
        <v>10</v>
      </c>
      <c r="N12" s="16" t="s">
        <v>11</v>
      </c>
      <c r="O12" s="114" t="s">
        <v>4</v>
      </c>
      <c r="P12" s="16" t="s">
        <v>10</v>
      </c>
      <c r="Q12" s="116" t="s">
        <v>2</v>
      </c>
      <c r="R12" s="116" t="s">
        <v>2</v>
      </c>
      <c r="S12" s="19" t="s">
        <v>41</v>
      </c>
      <c r="T12" s="19" t="s">
        <v>41</v>
      </c>
      <c r="U12" s="16" t="s">
        <v>11</v>
      </c>
      <c r="V12" s="16" t="s">
        <v>11</v>
      </c>
      <c r="W12" s="116" t="s">
        <v>2</v>
      </c>
      <c r="X12" s="116" t="s">
        <v>2</v>
      </c>
      <c r="Y12" s="19" t="s">
        <v>41</v>
      </c>
      <c r="Z12" s="19" t="s">
        <v>41</v>
      </c>
      <c r="AA12" s="16" t="s">
        <v>10</v>
      </c>
      <c r="AB12" s="16" t="s">
        <v>11</v>
      </c>
      <c r="AC12" s="114" t="s">
        <v>4</v>
      </c>
      <c r="AD12" s="122" t="s">
        <v>5</v>
      </c>
      <c r="AE12" s="122" t="s">
        <v>5</v>
      </c>
      <c r="AF12" s="122" t="s">
        <v>5</v>
      </c>
      <c r="AG12" s="19" t="s">
        <v>41</v>
      </c>
      <c r="AH12" s="19" t="s">
        <v>41</v>
      </c>
      <c r="AI12" s="16" t="s">
        <v>11</v>
      </c>
    </row>
    <row r="13" spans="1:35" x14ac:dyDescent="0.35">
      <c r="A13" s="141" t="s">
        <v>22</v>
      </c>
      <c r="B13" s="19" t="s">
        <v>41</v>
      </c>
      <c r="C13" s="19" t="s">
        <v>41</v>
      </c>
      <c r="D13" s="116" t="s">
        <v>2</v>
      </c>
      <c r="E13" s="16" t="s">
        <v>10</v>
      </c>
      <c r="F13" s="16" t="s">
        <v>10</v>
      </c>
      <c r="G13" s="114" t="s">
        <v>4</v>
      </c>
      <c r="H13" s="16" t="s">
        <v>11</v>
      </c>
      <c r="I13" s="16" t="s">
        <v>10</v>
      </c>
      <c r="J13" s="16" t="s">
        <v>10</v>
      </c>
      <c r="K13" s="16" t="s">
        <v>10</v>
      </c>
      <c r="L13" s="16" t="s">
        <v>10</v>
      </c>
      <c r="M13" s="116" t="s">
        <v>2</v>
      </c>
      <c r="N13" s="114" t="s">
        <v>4</v>
      </c>
      <c r="O13" s="16" t="s">
        <v>11</v>
      </c>
      <c r="P13" s="16" t="s">
        <v>10</v>
      </c>
      <c r="Q13" s="16" t="s">
        <v>10</v>
      </c>
      <c r="R13" s="16" t="s">
        <v>10</v>
      </c>
      <c r="S13" s="16" t="s">
        <v>10</v>
      </c>
      <c r="T13" s="16" t="s">
        <v>10</v>
      </c>
      <c r="U13" s="114" t="s">
        <v>4</v>
      </c>
      <c r="V13" s="114" t="s">
        <v>4</v>
      </c>
      <c r="W13" s="16" t="s">
        <v>10</v>
      </c>
      <c r="X13" s="16" t="s">
        <v>10</v>
      </c>
      <c r="Y13" s="122" t="s">
        <v>5</v>
      </c>
      <c r="Z13" s="122" t="s">
        <v>5</v>
      </c>
      <c r="AA13" s="122" t="s">
        <v>5</v>
      </c>
      <c r="AB13" s="122" t="s">
        <v>4</v>
      </c>
      <c r="AC13" s="122" t="s">
        <v>4</v>
      </c>
      <c r="AD13" s="16" t="s">
        <v>10</v>
      </c>
      <c r="AE13" s="16" t="s">
        <v>10</v>
      </c>
      <c r="AF13" s="16" t="s">
        <v>10</v>
      </c>
      <c r="AG13" s="16" t="s">
        <v>10</v>
      </c>
      <c r="AH13" s="116" t="s">
        <v>2</v>
      </c>
      <c r="AI13" s="114" t="s">
        <v>4</v>
      </c>
    </row>
    <row r="14" spans="1:35" x14ac:dyDescent="0.35">
      <c r="A14" s="141" t="s">
        <v>124</v>
      </c>
      <c r="B14" s="19" t="s">
        <v>41</v>
      </c>
      <c r="C14" s="19" t="s">
        <v>41</v>
      </c>
      <c r="D14" s="19" t="s">
        <v>41</v>
      </c>
      <c r="E14" s="22" t="s">
        <v>16</v>
      </c>
      <c r="F14" s="22" t="s">
        <v>16</v>
      </c>
      <c r="G14" s="16" t="s">
        <v>11</v>
      </c>
      <c r="H14" s="114" t="s">
        <v>4</v>
      </c>
      <c r="I14" s="16" t="s">
        <v>10</v>
      </c>
      <c r="J14" s="16" t="s">
        <v>10</v>
      </c>
      <c r="K14" s="16" t="s">
        <v>10</v>
      </c>
      <c r="L14" s="16" t="s">
        <v>10</v>
      </c>
      <c r="M14" s="16" t="s">
        <v>10</v>
      </c>
      <c r="N14" s="16" t="s">
        <v>11</v>
      </c>
      <c r="O14" s="114" t="s">
        <v>4</v>
      </c>
      <c r="P14" s="16" t="s">
        <v>10</v>
      </c>
      <c r="Q14" s="16" t="s">
        <v>10</v>
      </c>
      <c r="R14" s="16" t="s">
        <v>10</v>
      </c>
      <c r="S14" s="16" t="s">
        <v>10</v>
      </c>
      <c r="T14" s="116" t="s">
        <v>2</v>
      </c>
      <c r="U14" s="122" t="s">
        <v>4</v>
      </c>
      <c r="V14" s="122" t="s">
        <v>4</v>
      </c>
      <c r="W14" s="16" t="s">
        <v>10</v>
      </c>
      <c r="X14" s="16" t="s">
        <v>10</v>
      </c>
      <c r="Y14" s="16" t="s">
        <v>10</v>
      </c>
      <c r="Z14" s="16" t="s">
        <v>10</v>
      </c>
      <c r="AA14" s="16" t="s">
        <v>10</v>
      </c>
      <c r="AB14" s="16" t="s">
        <v>11</v>
      </c>
      <c r="AC14" s="114" t="s">
        <v>4</v>
      </c>
      <c r="AD14" s="16" t="s">
        <v>10</v>
      </c>
      <c r="AE14" s="16" t="s">
        <v>10</v>
      </c>
      <c r="AF14" s="116" t="s">
        <v>2</v>
      </c>
      <c r="AG14" s="16" t="s">
        <v>10</v>
      </c>
      <c r="AH14" s="16" t="s">
        <v>10</v>
      </c>
      <c r="AI14" s="114" t="s">
        <v>4</v>
      </c>
    </row>
    <row r="15" spans="1:35" ht="15" thickBot="1" x14ac:dyDescent="0.4">
      <c r="A15" s="14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35">
      <c r="A16" s="137" t="s">
        <v>1</v>
      </c>
      <c r="B16" s="16" t="s">
        <v>10</v>
      </c>
      <c r="C16" s="16" t="s">
        <v>10</v>
      </c>
      <c r="D16" s="16" t="s">
        <v>10</v>
      </c>
      <c r="E16" s="116" t="s">
        <v>2</v>
      </c>
      <c r="F16" s="116" t="s">
        <v>2</v>
      </c>
      <c r="G16" s="25" t="s">
        <v>3</v>
      </c>
      <c r="H16" s="114" t="s">
        <v>4</v>
      </c>
      <c r="I16" s="25" t="s">
        <v>6</v>
      </c>
      <c r="J16" s="25" t="s">
        <v>6</v>
      </c>
      <c r="K16" s="25" t="s">
        <v>6</v>
      </c>
      <c r="L16" s="25" t="s">
        <v>6</v>
      </c>
      <c r="M16" s="116" t="s">
        <v>2</v>
      </c>
      <c r="N16" s="25" t="s">
        <v>3</v>
      </c>
      <c r="O16" s="25" t="s">
        <v>3</v>
      </c>
      <c r="P16" s="25" t="s">
        <v>6</v>
      </c>
      <c r="Q16" s="25" t="s">
        <v>6</v>
      </c>
      <c r="R16" s="25" t="s">
        <v>6</v>
      </c>
      <c r="S16" s="122" t="s">
        <v>5</v>
      </c>
      <c r="T16" s="122" t="s">
        <v>5</v>
      </c>
      <c r="U16" s="122" t="s">
        <v>4</v>
      </c>
      <c r="V16" s="122" t="s">
        <v>4</v>
      </c>
      <c r="W16" s="122" t="s">
        <v>5</v>
      </c>
      <c r="X16" s="122" t="s">
        <v>5</v>
      </c>
      <c r="Y16" s="122" t="s">
        <v>5</v>
      </c>
      <c r="Z16" s="122" t="s">
        <v>5</v>
      </c>
      <c r="AA16" s="122" t="s">
        <v>5</v>
      </c>
      <c r="AB16" s="25" t="s">
        <v>3</v>
      </c>
      <c r="AC16" s="25" t="s">
        <v>3</v>
      </c>
      <c r="AD16" s="116" t="s">
        <v>2</v>
      </c>
      <c r="AE16" s="25" t="s">
        <v>6</v>
      </c>
      <c r="AF16" s="25" t="s">
        <v>6</v>
      </c>
      <c r="AG16" s="116" t="s">
        <v>2</v>
      </c>
      <c r="AH16" s="116" t="s">
        <v>2</v>
      </c>
      <c r="AI16" s="22" t="s">
        <v>30</v>
      </c>
    </row>
    <row r="17" spans="1:35" ht="15" thickBot="1" x14ac:dyDescent="0.4">
      <c r="A17" s="138" t="s">
        <v>43</v>
      </c>
      <c r="B17" s="116" t="s">
        <v>2</v>
      </c>
      <c r="C17" s="22" t="s">
        <v>16</v>
      </c>
      <c r="D17" s="22" t="s">
        <v>16</v>
      </c>
      <c r="E17" s="25" t="s">
        <v>6</v>
      </c>
      <c r="F17" s="25" t="s">
        <v>6</v>
      </c>
      <c r="G17" s="114" t="s">
        <v>4</v>
      </c>
      <c r="H17" s="25" t="s">
        <v>3</v>
      </c>
      <c r="I17" s="122" t="s">
        <v>5</v>
      </c>
      <c r="J17" s="122" t="s">
        <v>5</v>
      </c>
      <c r="K17" s="122" t="s">
        <v>5</v>
      </c>
      <c r="L17" s="122" t="s">
        <v>5</v>
      </c>
      <c r="M17" s="122" t="s">
        <v>5</v>
      </c>
      <c r="N17" s="122" t="s">
        <v>4</v>
      </c>
      <c r="O17" s="122" t="s">
        <v>4</v>
      </c>
      <c r="P17" s="122" t="s">
        <v>5</v>
      </c>
      <c r="Q17" s="122" t="s">
        <v>5</v>
      </c>
      <c r="R17" s="122" t="s">
        <v>5</v>
      </c>
      <c r="S17" s="25" t="s">
        <v>6</v>
      </c>
      <c r="T17" s="25" t="s">
        <v>6</v>
      </c>
      <c r="U17" s="25" t="s">
        <v>3</v>
      </c>
      <c r="V17" s="25" t="s">
        <v>3</v>
      </c>
      <c r="W17" s="25" t="s">
        <v>6</v>
      </c>
      <c r="X17" s="25" t="s">
        <v>6</v>
      </c>
      <c r="Y17" s="25" t="s">
        <v>6</v>
      </c>
      <c r="Z17" s="25" t="s">
        <v>6</v>
      </c>
      <c r="AA17" s="25" t="s">
        <v>6</v>
      </c>
      <c r="AB17" s="114" t="s">
        <v>4</v>
      </c>
      <c r="AC17" s="25" t="s">
        <v>3</v>
      </c>
      <c r="AD17" s="25" t="s">
        <v>6</v>
      </c>
      <c r="AE17" s="25" t="s">
        <v>6</v>
      </c>
      <c r="AF17" s="116" t="s">
        <v>2</v>
      </c>
      <c r="AG17" s="25" t="s">
        <v>6</v>
      </c>
      <c r="AH17" s="25" t="s">
        <v>6</v>
      </c>
      <c r="AI17" s="25" t="s">
        <v>3</v>
      </c>
    </row>
    <row r="18" spans="1:35" x14ac:dyDescent="0.35">
      <c r="A18" s="141" t="s">
        <v>68</v>
      </c>
      <c r="B18" s="16" t="s">
        <v>10</v>
      </c>
      <c r="C18" s="16" t="s">
        <v>10</v>
      </c>
      <c r="D18" s="16" t="s">
        <v>10</v>
      </c>
      <c r="E18" s="116" t="s">
        <v>2</v>
      </c>
      <c r="F18" s="25" t="s">
        <v>6</v>
      </c>
      <c r="G18" s="25" t="s">
        <v>3</v>
      </c>
      <c r="H18" s="114" t="s">
        <v>4</v>
      </c>
      <c r="I18" s="25" t="s">
        <v>6</v>
      </c>
      <c r="J18" s="25" t="s">
        <v>6</v>
      </c>
      <c r="K18" s="25" t="s">
        <v>6</v>
      </c>
      <c r="L18" s="25" t="s">
        <v>6</v>
      </c>
      <c r="M18" s="25" t="s">
        <v>6</v>
      </c>
      <c r="N18" s="114" t="s">
        <v>4</v>
      </c>
      <c r="O18" s="19" t="s">
        <v>42</v>
      </c>
      <c r="P18" s="25" t="s">
        <v>6</v>
      </c>
      <c r="Q18" s="25" t="s">
        <v>6</v>
      </c>
      <c r="R18" s="25" t="s">
        <v>6</v>
      </c>
      <c r="S18" s="25" t="s">
        <v>6</v>
      </c>
      <c r="T18" s="116" t="s">
        <v>2</v>
      </c>
      <c r="U18" s="114" t="s">
        <v>4</v>
      </c>
      <c r="V18" s="25" t="s">
        <v>3</v>
      </c>
      <c r="W18" s="25" t="s">
        <v>6</v>
      </c>
      <c r="X18" s="25" t="s">
        <v>6</v>
      </c>
      <c r="Y18" s="25" t="s">
        <v>6</v>
      </c>
      <c r="Z18" s="25" t="s">
        <v>6</v>
      </c>
      <c r="AA18" s="25" t="s">
        <v>6</v>
      </c>
      <c r="AB18" s="114" t="s">
        <v>4</v>
      </c>
      <c r="AC18" s="114" t="s">
        <v>4</v>
      </c>
      <c r="AD18" s="122" t="s">
        <v>5</v>
      </c>
      <c r="AE18" s="122" t="s">
        <v>5</v>
      </c>
      <c r="AF18" s="122" t="s">
        <v>5</v>
      </c>
      <c r="AG18" s="122" t="s">
        <v>5</v>
      </c>
      <c r="AH18" s="122" t="s">
        <v>5</v>
      </c>
      <c r="AI18" s="122" t="s">
        <v>4</v>
      </c>
    </row>
    <row r="19" spans="1:35" x14ac:dyDescent="0.35">
      <c r="A19" s="141" t="s">
        <v>60</v>
      </c>
      <c r="B19" s="16" t="s">
        <v>10</v>
      </c>
      <c r="C19" s="116" t="s">
        <v>2</v>
      </c>
      <c r="D19" s="116" t="s">
        <v>2</v>
      </c>
      <c r="E19" s="25" t="s">
        <v>6</v>
      </c>
      <c r="F19" s="19" t="s">
        <v>41</v>
      </c>
      <c r="G19" s="114" t="s">
        <v>4</v>
      </c>
      <c r="H19" s="25" t="s">
        <v>3</v>
      </c>
      <c r="I19" s="116" t="s">
        <v>2</v>
      </c>
      <c r="J19" s="122" t="s">
        <v>5</v>
      </c>
      <c r="K19" s="122" t="s">
        <v>5</v>
      </c>
      <c r="L19" s="122" t="s">
        <v>5</v>
      </c>
      <c r="M19" s="19" t="s">
        <v>41</v>
      </c>
      <c r="N19" s="25" t="s">
        <v>3</v>
      </c>
      <c r="O19" s="114" t="s">
        <v>4</v>
      </c>
      <c r="P19" s="116" t="s">
        <v>2</v>
      </c>
      <c r="Q19" s="25" t="s">
        <v>6</v>
      </c>
      <c r="R19" s="25" t="s">
        <v>6</v>
      </c>
      <c r="S19" s="25" t="s">
        <v>6</v>
      </c>
      <c r="T19" s="25" t="s">
        <v>6</v>
      </c>
      <c r="U19" s="25" t="s">
        <v>3</v>
      </c>
      <c r="V19" s="114" t="s">
        <v>4</v>
      </c>
      <c r="W19" s="116" t="s">
        <v>2</v>
      </c>
      <c r="X19" s="122" t="s">
        <v>5</v>
      </c>
      <c r="Y19" s="122" t="s">
        <v>5</v>
      </c>
      <c r="Z19" s="122" t="s">
        <v>5</v>
      </c>
      <c r="AA19" s="122" t="s">
        <v>5</v>
      </c>
      <c r="AB19" s="25" t="s">
        <v>3</v>
      </c>
      <c r="AC19" s="114" t="s">
        <v>4</v>
      </c>
      <c r="AD19" s="25" t="s">
        <v>6</v>
      </c>
      <c r="AE19" s="25" t="s">
        <v>6</v>
      </c>
      <c r="AF19" s="25" t="s">
        <v>6</v>
      </c>
      <c r="AG19" s="25" t="s">
        <v>6</v>
      </c>
      <c r="AH19" s="25" t="s">
        <v>6</v>
      </c>
      <c r="AI19" s="25" t="s">
        <v>3</v>
      </c>
    </row>
    <row r="20" spans="1:35" x14ac:dyDescent="0.35">
      <c r="A20" s="141" t="s">
        <v>140</v>
      </c>
      <c r="B20" s="22" t="s">
        <v>16</v>
      </c>
      <c r="C20" s="16" t="s">
        <v>10</v>
      </c>
      <c r="D20" s="116" t="s">
        <v>2</v>
      </c>
      <c r="E20" s="25" t="s">
        <v>6</v>
      </c>
      <c r="F20" s="25" t="s">
        <v>6</v>
      </c>
      <c r="G20" s="114" t="s">
        <v>4</v>
      </c>
      <c r="H20" s="114" t="s">
        <v>4</v>
      </c>
      <c r="I20" s="25" t="s">
        <v>6</v>
      </c>
      <c r="J20" s="25" t="s">
        <v>6</v>
      </c>
      <c r="K20" s="25" t="s">
        <v>6</v>
      </c>
      <c r="L20" s="25" t="s">
        <v>6</v>
      </c>
      <c r="M20" s="25" t="s">
        <v>6</v>
      </c>
      <c r="N20" s="22" t="s">
        <v>30</v>
      </c>
      <c r="O20" s="114" t="s">
        <v>4</v>
      </c>
      <c r="P20" s="25" t="s">
        <v>6</v>
      </c>
      <c r="Q20" s="25" t="s">
        <v>6</v>
      </c>
      <c r="R20" s="116" t="s">
        <v>2</v>
      </c>
      <c r="S20" s="25" t="s">
        <v>6</v>
      </c>
      <c r="T20" s="25" t="s">
        <v>6</v>
      </c>
      <c r="U20" s="22" t="s">
        <v>30</v>
      </c>
      <c r="V20" s="114" t="s">
        <v>4</v>
      </c>
      <c r="W20" s="25" t="s">
        <v>6</v>
      </c>
      <c r="X20" s="25" t="s">
        <v>6</v>
      </c>
      <c r="Y20" s="25" t="s">
        <v>6</v>
      </c>
      <c r="Z20" s="25" t="s">
        <v>6</v>
      </c>
      <c r="AA20" s="25" t="s">
        <v>6</v>
      </c>
      <c r="AB20" s="22" t="s">
        <v>30</v>
      </c>
      <c r="AC20" s="114" t="s">
        <v>4</v>
      </c>
      <c r="AD20" s="25" t="s">
        <v>6</v>
      </c>
      <c r="AE20" s="116" t="s">
        <v>2</v>
      </c>
      <c r="AF20" s="25" t="s">
        <v>6</v>
      </c>
      <c r="AG20" s="25" t="s">
        <v>6</v>
      </c>
      <c r="AH20" s="25" t="s">
        <v>6</v>
      </c>
      <c r="AI20" s="114" t="s">
        <v>4</v>
      </c>
    </row>
    <row r="22" spans="1:35" x14ac:dyDescent="0.35">
      <c r="A22" s="128" t="s">
        <v>125</v>
      </c>
      <c r="B22">
        <f t="shared" ref="B22:H22" si="1">COUNTIF(B4:B20,"*MS")</f>
        <v>3</v>
      </c>
      <c r="C22">
        <f t="shared" si="1"/>
        <v>4</v>
      </c>
      <c r="D22">
        <f t="shared" si="1"/>
        <v>4</v>
      </c>
      <c r="E22">
        <f t="shared" si="1"/>
        <v>3</v>
      </c>
      <c r="F22">
        <f t="shared" si="1"/>
        <v>4</v>
      </c>
      <c r="G22">
        <f>COUNTIF(G4:G20,"*MS")</f>
        <v>2</v>
      </c>
      <c r="H22">
        <f t="shared" si="1"/>
        <v>2</v>
      </c>
      <c r="I22">
        <f t="shared" ref="I22:AI22" si="2">COUNTIF(I4:I20,"*MS")</f>
        <v>3</v>
      </c>
      <c r="J22">
        <f t="shared" si="2"/>
        <v>3</v>
      </c>
      <c r="K22">
        <f t="shared" si="2"/>
        <v>3</v>
      </c>
      <c r="L22">
        <f t="shared" si="2"/>
        <v>3</v>
      </c>
      <c r="M22">
        <f t="shared" si="2"/>
        <v>3</v>
      </c>
      <c r="N22">
        <f t="shared" si="2"/>
        <v>2</v>
      </c>
      <c r="O22">
        <f t="shared" si="2"/>
        <v>2</v>
      </c>
      <c r="P22">
        <f t="shared" si="2"/>
        <v>3</v>
      </c>
      <c r="Q22">
        <f t="shared" si="2"/>
        <v>4</v>
      </c>
      <c r="R22">
        <f t="shared" ref="R22:AA22" si="3">COUNTIF(R4:R20,"*MS")</f>
        <v>3</v>
      </c>
      <c r="S22">
        <f t="shared" si="3"/>
        <v>4</v>
      </c>
      <c r="T22">
        <f t="shared" si="3"/>
        <v>3</v>
      </c>
      <c r="U22">
        <f t="shared" si="3"/>
        <v>2</v>
      </c>
      <c r="V22">
        <f t="shared" si="3"/>
        <v>2</v>
      </c>
      <c r="W22">
        <f>COUNTIF(W4:W20,"*MS")</f>
        <v>3</v>
      </c>
      <c r="X22">
        <f t="shared" si="3"/>
        <v>3</v>
      </c>
      <c r="Y22">
        <f t="shared" si="3"/>
        <v>3</v>
      </c>
      <c r="Z22">
        <f t="shared" si="3"/>
        <v>3</v>
      </c>
      <c r="AA22">
        <f t="shared" si="3"/>
        <v>3</v>
      </c>
      <c r="AB22">
        <f>COUNTIF(AB4:AB20,"*MS")</f>
        <v>2</v>
      </c>
      <c r="AC22">
        <f t="shared" si="2"/>
        <v>2</v>
      </c>
      <c r="AD22">
        <f t="shared" si="2"/>
        <v>3</v>
      </c>
      <c r="AE22">
        <f t="shared" si="2"/>
        <v>3</v>
      </c>
      <c r="AF22">
        <f t="shared" si="2"/>
        <v>3</v>
      </c>
      <c r="AG22">
        <f t="shared" si="2"/>
        <v>3</v>
      </c>
      <c r="AH22">
        <f t="shared" si="2"/>
        <v>3</v>
      </c>
      <c r="AI22">
        <f t="shared" si="2"/>
        <v>2</v>
      </c>
    </row>
    <row r="23" spans="1:35" x14ac:dyDescent="0.35">
      <c r="A23" s="128" t="s">
        <v>126</v>
      </c>
      <c r="B23">
        <f t="shared" ref="B23:H23" si="4">COUNTIF(B4:B20,"*ASS1")</f>
        <v>3</v>
      </c>
      <c r="C23">
        <f t="shared" si="4"/>
        <v>3</v>
      </c>
      <c r="D23">
        <f t="shared" si="4"/>
        <v>3</v>
      </c>
      <c r="E23">
        <f t="shared" si="4"/>
        <v>3</v>
      </c>
      <c r="F23">
        <f t="shared" si="4"/>
        <v>3</v>
      </c>
      <c r="G23">
        <f>COUNTIF(G4:G20,"*ASS1")</f>
        <v>2</v>
      </c>
      <c r="H23">
        <f t="shared" si="4"/>
        <v>2</v>
      </c>
      <c r="I23">
        <f t="shared" ref="I23:AI23" si="5">COUNTIF(I4:I20,"*ASS1")</f>
        <v>3</v>
      </c>
      <c r="J23">
        <f t="shared" si="5"/>
        <v>3</v>
      </c>
      <c r="K23">
        <f t="shared" si="5"/>
        <v>2</v>
      </c>
      <c r="L23">
        <f t="shared" si="5"/>
        <v>3</v>
      </c>
      <c r="M23">
        <f t="shared" si="5"/>
        <v>3</v>
      </c>
      <c r="N23">
        <f t="shared" si="5"/>
        <v>2</v>
      </c>
      <c r="O23">
        <f t="shared" si="5"/>
        <v>2</v>
      </c>
      <c r="P23">
        <f t="shared" si="5"/>
        <v>3</v>
      </c>
      <c r="Q23">
        <f t="shared" si="5"/>
        <v>3</v>
      </c>
      <c r="R23">
        <f t="shared" ref="R23:AA23" si="6">COUNTIF(R4:R20,"*ASS1")</f>
        <v>3</v>
      </c>
      <c r="S23">
        <f t="shared" si="6"/>
        <v>4</v>
      </c>
      <c r="T23">
        <f t="shared" si="6"/>
        <v>4</v>
      </c>
      <c r="U23">
        <f t="shared" si="6"/>
        <v>2</v>
      </c>
      <c r="V23">
        <f t="shared" si="6"/>
        <v>2</v>
      </c>
      <c r="W23">
        <f t="shared" si="6"/>
        <v>4</v>
      </c>
      <c r="X23">
        <f t="shared" si="6"/>
        <v>4</v>
      </c>
      <c r="Y23">
        <f t="shared" si="6"/>
        <v>4</v>
      </c>
      <c r="Z23">
        <f t="shared" si="6"/>
        <v>4</v>
      </c>
      <c r="AA23">
        <f t="shared" si="6"/>
        <v>3</v>
      </c>
      <c r="AB23">
        <f>COUNTIF(AB4:AB20,"*ASS1")</f>
        <v>2</v>
      </c>
      <c r="AC23">
        <f t="shared" si="5"/>
        <v>2</v>
      </c>
      <c r="AD23">
        <f t="shared" si="5"/>
        <v>4</v>
      </c>
      <c r="AE23">
        <f t="shared" si="5"/>
        <v>4</v>
      </c>
      <c r="AF23">
        <f t="shared" si="5"/>
        <v>4</v>
      </c>
      <c r="AG23">
        <f t="shared" si="5"/>
        <v>4</v>
      </c>
      <c r="AH23">
        <f t="shared" si="5"/>
        <v>4</v>
      </c>
      <c r="AI23">
        <f t="shared" si="5"/>
        <v>2</v>
      </c>
    </row>
    <row r="24" spans="1:35" x14ac:dyDescent="0.35">
      <c r="A24" s="128" t="s">
        <v>127</v>
      </c>
      <c r="B24">
        <f t="shared" ref="B24:H24" si="7">COUNTIF(B4:B20,"*NST7")</f>
        <v>3</v>
      </c>
      <c r="C24">
        <f t="shared" si="7"/>
        <v>3</v>
      </c>
      <c r="D24">
        <f t="shared" si="7"/>
        <v>2</v>
      </c>
      <c r="E24">
        <f t="shared" si="7"/>
        <v>3</v>
      </c>
      <c r="F24">
        <f t="shared" si="7"/>
        <v>3</v>
      </c>
      <c r="G24">
        <f>COUNTIF(G4:G20,"*NST7")</f>
        <v>3</v>
      </c>
      <c r="H24">
        <f t="shared" si="7"/>
        <v>2</v>
      </c>
      <c r="I24">
        <f t="shared" ref="I24:AI24" si="8">COUNTIF(I4:I20,"*NST7")</f>
        <v>3</v>
      </c>
      <c r="J24">
        <f t="shared" si="8"/>
        <v>4</v>
      </c>
      <c r="K24">
        <f t="shared" si="8"/>
        <v>4</v>
      </c>
      <c r="L24">
        <f t="shared" si="8"/>
        <v>4</v>
      </c>
      <c r="M24">
        <f t="shared" si="8"/>
        <v>3</v>
      </c>
      <c r="N24">
        <f t="shared" si="8"/>
        <v>3</v>
      </c>
      <c r="O24">
        <f t="shared" si="8"/>
        <v>2</v>
      </c>
      <c r="P24">
        <f t="shared" si="8"/>
        <v>4</v>
      </c>
      <c r="Q24">
        <f t="shared" si="8"/>
        <v>4</v>
      </c>
      <c r="R24">
        <f t="shared" ref="R24:AA24" si="9">COUNTIF(R4:R20,"*NST7")</f>
        <v>4</v>
      </c>
      <c r="S24">
        <f t="shared" si="9"/>
        <v>4</v>
      </c>
      <c r="T24">
        <f t="shared" si="9"/>
        <v>3</v>
      </c>
      <c r="U24">
        <f t="shared" si="9"/>
        <v>2</v>
      </c>
      <c r="V24">
        <f t="shared" si="9"/>
        <v>2</v>
      </c>
      <c r="W24">
        <f t="shared" si="9"/>
        <v>4</v>
      </c>
      <c r="X24">
        <f t="shared" si="9"/>
        <v>4</v>
      </c>
      <c r="Y24">
        <f t="shared" si="9"/>
        <v>3</v>
      </c>
      <c r="Z24">
        <f t="shared" si="9"/>
        <v>3</v>
      </c>
      <c r="AA24">
        <f t="shared" si="9"/>
        <v>3</v>
      </c>
      <c r="AB24">
        <f>COUNTIF(AB4:AB20,"*NST7")</f>
        <v>3</v>
      </c>
      <c r="AC24">
        <f t="shared" si="8"/>
        <v>2</v>
      </c>
      <c r="AD24">
        <f t="shared" si="8"/>
        <v>3</v>
      </c>
      <c r="AE24">
        <f t="shared" si="8"/>
        <v>4</v>
      </c>
      <c r="AF24">
        <f t="shared" si="8"/>
        <v>3</v>
      </c>
      <c r="AG24">
        <f t="shared" si="8"/>
        <v>4</v>
      </c>
      <c r="AH24">
        <f t="shared" si="8"/>
        <v>3</v>
      </c>
      <c r="AI24">
        <f t="shared" si="8"/>
        <v>2</v>
      </c>
    </row>
    <row r="25" spans="1:35" x14ac:dyDescent="0.35">
      <c r="A25" s="128" t="s">
        <v>128</v>
      </c>
      <c r="B25">
        <f t="shared" ref="B25:H25" si="10">COUNTIF(B4:B20,"*GS")</f>
        <v>1</v>
      </c>
      <c r="C25">
        <f t="shared" si="10"/>
        <v>1</v>
      </c>
      <c r="D25">
        <f t="shared" si="10"/>
        <v>1</v>
      </c>
      <c r="E25">
        <f t="shared" si="10"/>
        <v>2</v>
      </c>
      <c r="F25">
        <f t="shared" si="10"/>
        <v>1</v>
      </c>
      <c r="G25">
        <f>COUNTIF(G4:G20,"*GS")</f>
        <v>1</v>
      </c>
      <c r="H25">
        <f t="shared" si="10"/>
        <v>0</v>
      </c>
      <c r="I25">
        <f t="shared" ref="I25:AI25" si="11">COUNTIF(I4:I20,"*GS")</f>
        <v>0</v>
      </c>
      <c r="J25">
        <f t="shared" si="11"/>
        <v>0</v>
      </c>
      <c r="K25">
        <f t="shared" si="11"/>
        <v>0</v>
      </c>
      <c r="L25">
        <f t="shared" si="11"/>
        <v>0</v>
      </c>
      <c r="M25">
        <f t="shared" si="11"/>
        <v>0</v>
      </c>
      <c r="N25">
        <f t="shared" si="11"/>
        <v>1</v>
      </c>
      <c r="O25">
        <f t="shared" si="11"/>
        <v>0</v>
      </c>
      <c r="P25">
        <f t="shared" si="11"/>
        <v>0</v>
      </c>
      <c r="Q25">
        <f t="shared" si="11"/>
        <v>0</v>
      </c>
      <c r="R25">
        <f t="shared" ref="R25:AA25" si="12">COUNTIF(R4:R20,"*GS")</f>
        <v>0</v>
      </c>
      <c r="S25">
        <f t="shared" si="12"/>
        <v>0</v>
      </c>
      <c r="T25">
        <f t="shared" si="12"/>
        <v>0</v>
      </c>
      <c r="U25">
        <f t="shared" si="12"/>
        <v>1</v>
      </c>
      <c r="V25">
        <f t="shared" si="12"/>
        <v>0</v>
      </c>
      <c r="W25">
        <f t="shared" si="12"/>
        <v>0</v>
      </c>
      <c r="X25">
        <f t="shared" si="12"/>
        <v>0</v>
      </c>
      <c r="Y25">
        <f t="shared" si="12"/>
        <v>1</v>
      </c>
      <c r="Z25">
        <f t="shared" si="12"/>
        <v>1</v>
      </c>
      <c r="AA25">
        <f t="shared" si="12"/>
        <v>0</v>
      </c>
      <c r="AB25">
        <f>COUNTIF(AB4:AB20,"*GS")</f>
        <v>1</v>
      </c>
      <c r="AC25">
        <f t="shared" si="11"/>
        <v>0</v>
      </c>
      <c r="AD25">
        <f t="shared" si="11"/>
        <v>0</v>
      </c>
      <c r="AE25">
        <f t="shared" si="11"/>
        <v>0</v>
      </c>
      <c r="AF25">
        <f t="shared" si="11"/>
        <v>0</v>
      </c>
      <c r="AG25">
        <f t="shared" si="11"/>
        <v>0</v>
      </c>
      <c r="AH25">
        <f t="shared" si="11"/>
        <v>0</v>
      </c>
      <c r="AI25">
        <f t="shared" si="11"/>
        <v>1</v>
      </c>
    </row>
    <row r="26" spans="1:35" x14ac:dyDescent="0.35">
      <c r="A26" s="128" t="s">
        <v>129</v>
      </c>
      <c r="B26">
        <f t="shared" ref="B26:F26" si="13">COUNTIF(B4:B20,"C")</f>
        <v>4</v>
      </c>
      <c r="C26">
        <f t="shared" si="13"/>
        <v>2</v>
      </c>
      <c r="D26">
        <f t="shared" si="13"/>
        <v>3</v>
      </c>
      <c r="E26">
        <f t="shared" si="13"/>
        <v>2</v>
      </c>
      <c r="F26">
        <f t="shared" si="13"/>
        <v>3</v>
      </c>
      <c r="G26">
        <f t="shared" ref="G26:H26" si="14">COUNTIF(G4:G20,"WO")</f>
        <v>7</v>
      </c>
      <c r="H26">
        <f t="shared" si="14"/>
        <v>9</v>
      </c>
      <c r="I26">
        <f t="shared" ref="I26:AH26" si="15">COUNTIF(I4:I20,"C")</f>
        <v>3</v>
      </c>
      <c r="J26">
        <f t="shared" si="15"/>
        <v>1</v>
      </c>
      <c r="K26">
        <f t="shared" si="15"/>
        <v>0</v>
      </c>
      <c r="L26">
        <f t="shared" si="15"/>
        <v>1</v>
      </c>
      <c r="M26">
        <f t="shared" si="15"/>
        <v>3</v>
      </c>
      <c r="N26">
        <f>COUNTIF(N4:N20,"WO")</f>
        <v>7</v>
      </c>
      <c r="O26">
        <f>COUNTIF(O4:O20,"WO")</f>
        <v>9</v>
      </c>
      <c r="P26">
        <f t="shared" si="15"/>
        <v>3</v>
      </c>
      <c r="Q26">
        <f t="shared" si="15"/>
        <v>1</v>
      </c>
      <c r="R26">
        <f t="shared" ref="R26:AA26" si="16">COUNTIF(R4:R20,"C")</f>
        <v>3</v>
      </c>
      <c r="S26">
        <f t="shared" si="16"/>
        <v>1</v>
      </c>
      <c r="T26">
        <f>COUNTIF(T4:T20,"C")</f>
        <v>3</v>
      </c>
      <c r="U26">
        <f>COUNTIF(U4:U20,"WO")</f>
        <v>8</v>
      </c>
      <c r="V26">
        <f t="shared" ref="V26" si="17">COUNTIF(V4:V20,"WO")</f>
        <v>9</v>
      </c>
      <c r="W26">
        <f t="shared" si="16"/>
        <v>2</v>
      </c>
      <c r="X26">
        <f t="shared" si="16"/>
        <v>2</v>
      </c>
      <c r="Y26">
        <f t="shared" si="16"/>
        <v>1</v>
      </c>
      <c r="Z26">
        <f t="shared" si="16"/>
        <v>1</v>
      </c>
      <c r="AA26">
        <f t="shared" si="16"/>
        <v>2</v>
      </c>
      <c r="AB26">
        <f>COUNTIF(AB4:AB20,"WO")</f>
        <v>7</v>
      </c>
      <c r="AC26">
        <f t="shared" ref="AC26" si="18">COUNTIF(AC4:AC20,"WO")</f>
        <v>9</v>
      </c>
      <c r="AD26">
        <f t="shared" si="15"/>
        <v>3</v>
      </c>
      <c r="AE26">
        <f t="shared" si="15"/>
        <v>2</v>
      </c>
      <c r="AF26">
        <f t="shared" si="15"/>
        <v>3</v>
      </c>
      <c r="AG26">
        <f t="shared" si="15"/>
        <v>2</v>
      </c>
      <c r="AH26">
        <f t="shared" si="15"/>
        <v>3</v>
      </c>
      <c r="AI26">
        <f t="shared" ref="AI26" si="19">COUNTIF(AI4:AI20,"WO")</f>
        <v>8</v>
      </c>
    </row>
    <row r="27" spans="1:35" x14ac:dyDescent="0.35">
      <c r="A27" s="128" t="s">
        <v>130</v>
      </c>
      <c r="B27">
        <f t="shared" ref="B27:H27" si="20">COUNTIF(B4:B20,"PL")</f>
        <v>1</v>
      </c>
      <c r="C27">
        <f t="shared" si="20"/>
        <v>2</v>
      </c>
      <c r="D27">
        <f t="shared" si="20"/>
        <v>2</v>
      </c>
      <c r="E27">
        <f t="shared" si="20"/>
        <v>2</v>
      </c>
      <c r="F27">
        <f t="shared" si="20"/>
        <v>1</v>
      </c>
      <c r="G27">
        <f>COUNTIF(G4:G20,"PL")</f>
        <v>0</v>
      </c>
      <c r="H27">
        <f t="shared" si="20"/>
        <v>0</v>
      </c>
      <c r="I27">
        <f t="shared" ref="I27:AI27" si="21">COUNTIF(I4:I20,"PL")</f>
        <v>3</v>
      </c>
      <c r="J27">
        <f t="shared" si="21"/>
        <v>4</v>
      </c>
      <c r="K27">
        <f t="shared" si="21"/>
        <v>5</v>
      </c>
      <c r="L27">
        <f t="shared" si="21"/>
        <v>4</v>
      </c>
      <c r="M27">
        <f t="shared" si="21"/>
        <v>3</v>
      </c>
      <c r="N27">
        <f t="shared" si="21"/>
        <v>0</v>
      </c>
      <c r="O27">
        <f t="shared" si="21"/>
        <v>0</v>
      </c>
      <c r="P27">
        <f t="shared" si="21"/>
        <v>2</v>
      </c>
      <c r="Q27">
        <f t="shared" si="21"/>
        <v>3</v>
      </c>
      <c r="R27">
        <f t="shared" ref="R27:AA27" si="22">COUNTIF(R4:R20,"PL")</f>
        <v>2</v>
      </c>
      <c r="S27">
        <f t="shared" si="22"/>
        <v>2</v>
      </c>
      <c r="T27">
        <f t="shared" si="22"/>
        <v>2</v>
      </c>
      <c r="U27">
        <f t="shared" si="22"/>
        <v>0</v>
      </c>
      <c r="V27">
        <f t="shared" si="22"/>
        <v>0</v>
      </c>
      <c r="W27">
        <f t="shared" si="22"/>
        <v>2</v>
      </c>
      <c r="X27">
        <f t="shared" si="22"/>
        <v>2</v>
      </c>
      <c r="Y27">
        <f t="shared" si="22"/>
        <v>3</v>
      </c>
      <c r="Z27">
        <f t="shared" si="22"/>
        <v>3</v>
      </c>
      <c r="AA27">
        <f t="shared" si="22"/>
        <v>4</v>
      </c>
      <c r="AB27">
        <f>COUNTIF(AB4:AB20,"PL")</f>
        <v>0</v>
      </c>
      <c r="AC27">
        <f t="shared" si="21"/>
        <v>0</v>
      </c>
      <c r="AD27">
        <f t="shared" si="21"/>
        <v>2</v>
      </c>
      <c r="AE27">
        <f t="shared" si="21"/>
        <v>2</v>
      </c>
      <c r="AF27">
        <f t="shared" si="21"/>
        <v>2</v>
      </c>
      <c r="AG27">
        <f t="shared" si="21"/>
        <v>2</v>
      </c>
      <c r="AH27">
        <f t="shared" si="21"/>
        <v>2</v>
      </c>
      <c r="AI27">
        <f t="shared" si="21"/>
        <v>0</v>
      </c>
    </row>
    <row r="28" spans="1:35" x14ac:dyDescent="0.35">
      <c r="A28" s="128" t="s">
        <v>33</v>
      </c>
      <c r="B28">
        <f t="shared" ref="B28:H28" si="23">COUNTIF(B4:B20,"UPL")</f>
        <v>0</v>
      </c>
      <c r="C28">
        <f t="shared" si="23"/>
        <v>0</v>
      </c>
      <c r="D28">
        <f t="shared" si="23"/>
        <v>0</v>
      </c>
      <c r="E28">
        <f t="shared" si="23"/>
        <v>0</v>
      </c>
      <c r="F28">
        <f t="shared" si="23"/>
        <v>0</v>
      </c>
      <c r="G28">
        <f>COUNTIF(G4:G20,"UPL")</f>
        <v>0</v>
      </c>
      <c r="H28">
        <f t="shared" si="23"/>
        <v>0</v>
      </c>
      <c r="I28">
        <f t="shared" ref="I28:AI28" si="24">COUNTIF(I4:I20,"UPL")</f>
        <v>0</v>
      </c>
      <c r="J28">
        <f t="shared" si="24"/>
        <v>0</v>
      </c>
      <c r="K28">
        <f t="shared" si="24"/>
        <v>1</v>
      </c>
      <c r="L28">
        <f t="shared" si="24"/>
        <v>0</v>
      </c>
      <c r="M28">
        <f t="shared" si="24"/>
        <v>0</v>
      </c>
      <c r="N28">
        <f t="shared" si="24"/>
        <v>0</v>
      </c>
      <c r="O28">
        <f t="shared" si="24"/>
        <v>0</v>
      </c>
      <c r="P28">
        <f t="shared" si="24"/>
        <v>0</v>
      </c>
      <c r="Q28">
        <f t="shared" si="24"/>
        <v>0</v>
      </c>
      <c r="R28">
        <f t="shared" ref="R28:AA28" si="25">COUNTIF(R4:R20,"UPL")</f>
        <v>0</v>
      </c>
      <c r="S28">
        <f t="shared" si="25"/>
        <v>0</v>
      </c>
      <c r="T28">
        <f t="shared" si="25"/>
        <v>0</v>
      </c>
      <c r="U28">
        <f t="shared" si="25"/>
        <v>0</v>
      </c>
      <c r="V28">
        <f t="shared" si="25"/>
        <v>0</v>
      </c>
      <c r="W28">
        <f t="shared" si="25"/>
        <v>0</v>
      </c>
      <c r="X28">
        <f t="shared" si="25"/>
        <v>0</v>
      </c>
      <c r="Y28">
        <f t="shared" si="25"/>
        <v>0</v>
      </c>
      <c r="Z28">
        <f t="shared" si="25"/>
        <v>0</v>
      </c>
      <c r="AA28">
        <f t="shared" si="25"/>
        <v>0</v>
      </c>
      <c r="AB28">
        <f>COUNTIF(AB4:AB20,"UPL")</f>
        <v>0</v>
      </c>
      <c r="AC28">
        <f t="shared" si="24"/>
        <v>0</v>
      </c>
      <c r="AD28">
        <f t="shared" si="24"/>
        <v>0</v>
      </c>
      <c r="AE28">
        <f t="shared" si="24"/>
        <v>0</v>
      </c>
      <c r="AF28">
        <f t="shared" si="24"/>
        <v>0</v>
      </c>
      <c r="AG28">
        <f t="shared" si="24"/>
        <v>0</v>
      </c>
      <c r="AH28">
        <f t="shared" si="24"/>
        <v>0</v>
      </c>
      <c r="AI28">
        <f t="shared" si="24"/>
        <v>0</v>
      </c>
    </row>
    <row r="29" spans="1:35" x14ac:dyDescent="0.35">
      <c r="A29" s="128" t="s">
        <v>141</v>
      </c>
      <c r="B29">
        <f t="shared" ref="B29:H29" si="26">COUNTIF(B4:B20,"H")</f>
        <v>0</v>
      </c>
      <c r="C29">
        <f t="shared" si="26"/>
        <v>0</v>
      </c>
      <c r="D29">
        <f t="shared" si="26"/>
        <v>0</v>
      </c>
      <c r="E29">
        <f t="shared" si="26"/>
        <v>0</v>
      </c>
      <c r="F29">
        <f t="shared" si="26"/>
        <v>0</v>
      </c>
      <c r="G29">
        <f>COUNTIF(G4:G20,"H")</f>
        <v>0</v>
      </c>
      <c r="H29">
        <f t="shared" si="26"/>
        <v>0</v>
      </c>
      <c r="I29">
        <f t="shared" ref="I29:AI29" si="27">COUNTIF(I4:I20,"H")</f>
        <v>0</v>
      </c>
      <c r="J29">
        <f t="shared" si="27"/>
        <v>0</v>
      </c>
      <c r="K29">
        <f t="shared" si="27"/>
        <v>0</v>
      </c>
      <c r="L29">
        <f t="shared" si="27"/>
        <v>0</v>
      </c>
      <c r="M29">
        <f t="shared" si="27"/>
        <v>0</v>
      </c>
      <c r="N29">
        <f t="shared" si="27"/>
        <v>0</v>
      </c>
      <c r="O29">
        <f t="shared" si="27"/>
        <v>0</v>
      </c>
      <c r="P29">
        <f t="shared" si="27"/>
        <v>0</v>
      </c>
      <c r="Q29">
        <f t="shared" si="27"/>
        <v>0</v>
      </c>
      <c r="R29">
        <f t="shared" ref="R29:AA29" si="28">COUNTIF(R4:R20,"H")</f>
        <v>0</v>
      </c>
      <c r="S29">
        <f t="shared" si="28"/>
        <v>0</v>
      </c>
      <c r="T29">
        <f t="shared" si="28"/>
        <v>0</v>
      </c>
      <c r="U29">
        <f t="shared" si="28"/>
        <v>0</v>
      </c>
      <c r="V29">
        <f t="shared" si="28"/>
        <v>0</v>
      </c>
      <c r="W29">
        <f t="shared" si="28"/>
        <v>0</v>
      </c>
      <c r="X29">
        <f t="shared" si="28"/>
        <v>0</v>
      </c>
      <c r="Y29">
        <f t="shared" si="28"/>
        <v>0</v>
      </c>
      <c r="Z29">
        <f t="shared" si="28"/>
        <v>0</v>
      </c>
      <c r="AA29">
        <f t="shared" si="28"/>
        <v>0</v>
      </c>
      <c r="AB29">
        <f>COUNTIF(AB4:AB20,"H")</f>
        <v>0</v>
      </c>
      <c r="AC29">
        <f t="shared" si="27"/>
        <v>0</v>
      </c>
      <c r="AD29">
        <f t="shared" si="27"/>
        <v>0</v>
      </c>
      <c r="AE29">
        <f t="shared" si="27"/>
        <v>0</v>
      </c>
      <c r="AF29">
        <f t="shared" si="27"/>
        <v>0</v>
      </c>
      <c r="AG29">
        <f t="shared" si="27"/>
        <v>0</v>
      </c>
      <c r="AH29">
        <f t="shared" si="27"/>
        <v>0</v>
      </c>
      <c r="AI29">
        <f t="shared" si="27"/>
        <v>0</v>
      </c>
    </row>
    <row r="30" spans="1:35" x14ac:dyDescent="0.35">
      <c r="A30" s="128" t="s">
        <v>131</v>
      </c>
      <c r="B30" s="129">
        <f t="shared" ref="B30:H30" si="29">SUM(B22:B29)</f>
        <v>15</v>
      </c>
      <c r="C30" s="129">
        <f t="shared" si="29"/>
        <v>15</v>
      </c>
      <c r="D30" s="129">
        <f t="shared" si="29"/>
        <v>15</v>
      </c>
      <c r="E30" s="129">
        <f t="shared" si="29"/>
        <v>15</v>
      </c>
      <c r="F30" s="129">
        <f t="shared" si="29"/>
        <v>15</v>
      </c>
      <c r="G30" s="129">
        <f>SUM(G22:G29)</f>
        <v>15</v>
      </c>
      <c r="H30" s="129">
        <f t="shared" si="29"/>
        <v>15</v>
      </c>
      <c r="I30" s="129">
        <f t="shared" ref="I30:AI30" si="30">SUM(I22:I29)</f>
        <v>15</v>
      </c>
      <c r="J30" s="129">
        <f t="shared" si="30"/>
        <v>15</v>
      </c>
      <c r="K30" s="129">
        <f t="shared" si="30"/>
        <v>15</v>
      </c>
      <c r="L30" s="129">
        <f t="shared" si="30"/>
        <v>15</v>
      </c>
      <c r="M30" s="129">
        <f t="shared" si="30"/>
        <v>15</v>
      </c>
      <c r="N30" s="129">
        <f t="shared" si="30"/>
        <v>15</v>
      </c>
      <c r="O30" s="129">
        <f t="shared" si="30"/>
        <v>15</v>
      </c>
      <c r="P30" s="129">
        <f t="shared" si="30"/>
        <v>15</v>
      </c>
      <c r="Q30" s="129">
        <f t="shared" si="30"/>
        <v>15</v>
      </c>
      <c r="R30" s="129">
        <f t="shared" si="30"/>
        <v>15</v>
      </c>
      <c r="S30" s="129">
        <f t="shared" si="30"/>
        <v>15</v>
      </c>
      <c r="T30" s="129">
        <f t="shared" si="30"/>
        <v>15</v>
      </c>
      <c r="U30" s="129">
        <f t="shared" si="30"/>
        <v>15</v>
      </c>
      <c r="V30" s="129">
        <f t="shared" si="30"/>
        <v>15</v>
      </c>
      <c r="W30" s="129">
        <f t="shared" si="30"/>
        <v>15</v>
      </c>
      <c r="X30" s="129">
        <f t="shared" si="30"/>
        <v>15</v>
      </c>
      <c r="Y30" s="129">
        <f t="shared" si="30"/>
        <v>15</v>
      </c>
      <c r="Z30" s="129">
        <f t="shared" si="30"/>
        <v>15</v>
      </c>
      <c r="AA30" s="129">
        <f t="shared" si="30"/>
        <v>15</v>
      </c>
      <c r="AB30" s="129">
        <f t="shared" si="30"/>
        <v>15</v>
      </c>
      <c r="AC30" s="129">
        <f t="shared" si="30"/>
        <v>15</v>
      </c>
      <c r="AD30" s="129">
        <f t="shared" si="30"/>
        <v>15</v>
      </c>
      <c r="AE30" s="129">
        <f t="shared" si="30"/>
        <v>15</v>
      </c>
      <c r="AF30" s="129">
        <f t="shared" si="30"/>
        <v>15</v>
      </c>
      <c r="AG30" s="129">
        <f t="shared" si="30"/>
        <v>15</v>
      </c>
      <c r="AH30" s="129">
        <f t="shared" si="30"/>
        <v>15</v>
      </c>
      <c r="AI30" s="129">
        <f t="shared" si="30"/>
        <v>15</v>
      </c>
    </row>
  </sheetData>
  <conditionalFormatting sqref="B22:AI25">
    <cfRule type="cellIs" dxfId="843" priority="1" operator="lessThan">
      <formula>3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/>
  <dimension ref="A1:AG31"/>
  <sheetViews>
    <sheetView zoomScale="54" zoomScaleNormal="54" workbookViewId="0">
      <pane xSplit="1" topLeftCell="B1" activePane="topRight" state="frozen"/>
      <selection pane="topRight" activeCell="AA5" sqref="AA5"/>
    </sheetView>
  </sheetViews>
  <sheetFormatPr defaultRowHeight="14.5" x14ac:dyDescent="0.35"/>
  <cols>
    <col min="1" max="1" width="23.81640625" bestFit="1" customWidth="1"/>
    <col min="2" max="32" width="8.7265625" customWidth="1"/>
    <col min="33" max="33" width="8.7265625" hidden="1" customWidth="1"/>
  </cols>
  <sheetData>
    <row r="1" spans="1:33" x14ac:dyDescent="0.35">
      <c r="A1" s="1"/>
      <c r="B1" s="2" t="str">
        <f t="shared" ref="B1:AG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  <c r="AG1" s="2" t="str">
        <f t="shared" si="0"/>
        <v>Wed</v>
      </c>
    </row>
    <row r="2" spans="1:33" x14ac:dyDescent="0.35">
      <c r="A2" s="95" t="s">
        <v>0</v>
      </c>
      <c r="B2" s="29">
        <v>44927</v>
      </c>
      <c r="C2" s="29">
        <v>44928</v>
      </c>
      <c r="D2" s="29">
        <v>44929</v>
      </c>
      <c r="E2" s="29">
        <v>44930</v>
      </c>
      <c r="F2" s="29">
        <v>44931</v>
      </c>
      <c r="G2" s="29">
        <v>44932</v>
      </c>
      <c r="H2" s="29">
        <v>44933</v>
      </c>
      <c r="I2" s="29">
        <v>44934</v>
      </c>
      <c r="J2" s="29">
        <v>44935</v>
      </c>
      <c r="K2" s="29">
        <v>44936</v>
      </c>
      <c r="L2" s="29">
        <v>44937</v>
      </c>
      <c r="M2" s="29">
        <v>44938</v>
      </c>
      <c r="N2" s="29">
        <v>44939</v>
      </c>
      <c r="O2" s="29">
        <v>44940</v>
      </c>
      <c r="P2" s="29">
        <v>44941</v>
      </c>
      <c r="Q2" s="29">
        <v>44942</v>
      </c>
      <c r="R2" s="29">
        <v>44943</v>
      </c>
      <c r="S2" s="29">
        <v>44944</v>
      </c>
      <c r="T2" s="29">
        <v>44945</v>
      </c>
      <c r="U2" s="29">
        <v>44946</v>
      </c>
      <c r="V2" s="29">
        <v>44947</v>
      </c>
      <c r="W2" s="29">
        <v>44948</v>
      </c>
      <c r="X2" s="29">
        <v>44949</v>
      </c>
      <c r="Y2" s="29">
        <v>44950</v>
      </c>
      <c r="Z2" s="29">
        <v>44951</v>
      </c>
      <c r="AA2" s="29">
        <v>44952</v>
      </c>
      <c r="AB2" s="29">
        <v>44953</v>
      </c>
      <c r="AC2" s="29">
        <v>44954</v>
      </c>
      <c r="AD2" s="29">
        <v>44955</v>
      </c>
      <c r="AE2" s="29">
        <v>44956</v>
      </c>
      <c r="AF2" s="29">
        <v>44957</v>
      </c>
      <c r="AG2" s="29">
        <v>44958</v>
      </c>
    </row>
    <row r="3" spans="1:33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</row>
    <row r="4" spans="1:33" x14ac:dyDescent="0.35">
      <c r="A4" s="165" t="s">
        <v>12</v>
      </c>
      <c r="B4" s="16" t="s">
        <v>11</v>
      </c>
      <c r="C4" s="16" t="s">
        <v>10</v>
      </c>
      <c r="D4" s="16" t="s">
        <v>10</v>
      </c>
      <c r="E4" s="16" t="s">
        <v>10</v>
      </c>
      <c r="F4" s="16" t="s">
        <v>10</v>
      </c>
      <c r="G4" s="116" t="s">
        <v>2</v>
      </c>
      <c r="H4" s="114" t="s">
        <v>4</v>
      </c>
      <c r="I4" s="16" t="s">
        <v>11</v>
      </c>
      <c r="J4" s="16" t="s">
        <v>10</v>
      </c>
      <c r="K4" s="16" t="s">
        <v>10</v>
      </c>
      <c r="L4" s="16" t="s">
        <v>10</v>
      </c>
      <c r="M4" s="116" t="s">
        <v>2</v>
      </c>
      <c r="N4" s="16" t="s">
        <v>10</v>
      </c>
      <c r="O4" s="16" t="s">
        <v>11</v>
      </c>
      <c r="P4" s="16" t="s">
        <v>11</v>
      </c>
      <c r="Q4" s="16" t="s">
        <v>10</v>
      </c>
      <c r="R4" s="122" t="s">
        <v>5</v>
      </c>
      <c r="S4" s="122" t="s">
        <v>5</v>
      </c>
      <c r="T4" s="122" t="s">
        <v>5</v>
      </c>
      <c r="U4" s="122" t="s">
        <v>5</v>
      </c>
      <c r="V4" s="16" t="s">
        <v>11</v>
      </c>
      <c r="W4" s="16" t="s">
        <v>11</v>
      </c>
      <c r="X4" s="16" t="s">
        <v>10</v>
      </c>
      <c r="Y4" s="16" t="s">
        <v>10</v>
      </c>
      <c r="Z4" s="16" t="s">
        <v>10</v>
      </c>
      <c r="AA4" s="16" t="s">
        <v>11</v>
      </c>
      <c r="AB4" s="116" t="s">
        <v>2</v>
      </c>
      <c r="AC4" s="114" t="s">
        <v>4</v>
      </c>
      <c r="AD4" s="16" t="s">
        <v>11</v>
      </c>
      <c r="AE4" s="16" t="s">
        <v>10</v>
      </c>
      <c r="AF4" s="16" t="s">
        <v>10</v>
      </c>
      <c r="AG4" s="116" t="s">
        <v>2</v>
      </c>
    </row>
    <row r="5" spans="1:33" x14ac:dyDescent="0.35">
      <c r="A5" s="141" t="s">
        <v>21</v>
      </c>
      <c r="B5" s="114" t="s">
        <v>4</v>
      </c>
      <c r="C5" s="116" t="s">
        <v>2</v>
      </c>
      <c r="D5" s="16" t="s">
        <v>10</v>
      </c>
      <c r="E5" s="16" t="s">
        <v>10</v>
      </c>
      <c r="F5" s="16" t="s">
        <v>10</v>
      </c>
      <c r="G5" s="16" t="s">
        <v>10</v>
      </c>
      <c r="H5" s="16" t="s">
        <v>11</v>
      </c>
      <c r="I5" s="114" t="s">
        <v>4</v>
      </c>
      <c r="J5" s="116" t="s">
        <v>2</v>
      </c>
      <c r="K5" s="16" t="s">
        <v>10</v>
      </c>
      <c r="L5" s="16" t="s">
        <v>10</v>
      </c>
      <c r="M5" s="16" t="s">
        <v>10</v>
      </c>
      <c r="N5" s="122" t="s">
        <v>5</v>
      </c>
      <c r="O5" s="122" t="s">
        <v>4</v>
      </c>
      <c r="P5" s="122" t="s">
        <v>4</v>
      </c>
      <c r="Q5" s="122" t="s">
        <v>5</v>
      </c>
      <c r="R5" s="16" t="s">
        <v>10</v>
      </c>
      <c r="S5" s="16" t="s">
        <v>10</v>
      </c>
      <c r="T5" s="16" t="s">
        <v>10</v>
      </c>
      <c r="U5" s="16" t="s">
        <v>10</v>
      </c>
      <c r="V5" s="16" t="s">
        <v>11</v>
      </c>
      <c r="W5" s="114" t="s">
        <v>4</v>
      </c>
      <c r="X5" s="116" t="s">
        <v>2</v>
      </c>
      <c r="Y5" s="16" t="s">
        <v>10</v>
      </c>
      <c r="Z5" s="16" t="s">
        <v>10</v>
      </c>
      <c r="AA5" s="16" t="s">
        <v>11</v>
      </c>
      <c r="AB5" s="16" t="s">
        <v>10</v>
      </c>
      <c r="AC5" s="16" t="s">
        <v>11</v>
      </c>
      <c r="AD5" s="114" t="s">
        <v>4</v>
      </c>
      <c r="AE5" s="116" t="s">
        <v>2</v>
      </c>
      <c r="AF5" s="19" t="s">
        <v>41</v>
      </c>
      <c r="AG5" s="25" t="s">
        <v>6</v>
      </c>
    </row>
    <row r="6" spans="1:33" x14ac:dyDescent="0.35">
      <c r="A6" s="141" t="s">
        <v>69</v>
      </c>
      <c r="B6" s="16" t="s">
        <v>11</v>
      </c>
      <c r="C6" s="16" t="s">
        <v>10</v>
      </c>
      <c r="D6" s="16" t="s">
        <v>10</v>
      </c>
      <c r="E6" s="116" t="s">
        <v>2</v>
      </c>
      <c r="F6" s="16" t="s">
        <v>10</v>
      </c>
      <c r="G6" s="16" t="s">
        <v>10</v>
      </c>
      <c r="H6" s="16" t="s">
        <v>11</v>
      </c>
      <c r="I6" s="114" t="s">
        <v>4</v>
      </c>
      <c r="J6" s="16" t="s">
        <v>10</v>
      </c>
      <c r="K6" s="16" t="s">
        <v>10</v>
      </c>
      <c r="L6" s="116" t="s">
        <v>2</v>
      </c>
      <c r="M6" s="16" t="s">
        <v>10</v>
      </c>
      <c r="N6" s="16" t="s">
        <v>10</v>
      </c>
      <c r="O6" s="114" t="s">
        <v>4</v>
      </c>
      <c r="P6" s="16" t="s">
        <v>11</v>
      </c>
      <c r="Q6" s="16" t="s">
        <v>10</v>
      </c>
      <c r="R6" s="16" t="s">
        <v>10</v>
      </c>
      <c r="S6" s="116" t="s">
        <v>2</v>
      </c>
      <c r="T6" s="16" t="s">
        <v>10</v>
      </c>
      <c r="U6" s="16" t="s">
        <v>10</v>
      </c>
      <c r="V6" s="114" t="s">
        <v>4</v>
      </c>
      <c r="W6" s="16" t="s">
        <v>11</v>
      </c>
      <c r="X6" s="16" t="s">
        <v>10</v>
      </c>
      <c r="Y6" s="116" t="s">
        <v>2</v>
      </c>
      <c r="Z6" s="16" t="s">
        <v>10</v>
      </c>
      <c r="AA6" s="115" t="s">
        <v>37</v>
      </c>
      <c r="AB6" s="16" t="s">
        <v>10</v>
      </c>
      <c r="AC6" s="114" t="s">
        <v>4</v>
      </c>
      <c r="AD6" s="16" t="s">
        <v>11</v>
      </c>
      <c r="AE6" s="16" t="s">
        <v>10</v>
      </c>
      <c r="AF6" s="16" t="s">
        <v>10</v>
      </c>
      <c r="AG6" s="25" t="s">
        <v>6</v>
      </c>
    </row>
    <row r="7" spans="1:33" x14ac:dyDescent="0.35">
      <c r="A7" s="141" t="s">
        <v>71</v>
      </c>
      <c r="B7" s="114" t="s">
        <v>4</v>
      </c>
      <c r="C7" s="116" t="s">
        <v>2</v>
      </c>
      <c r="D7" s="16" t="s">
        <v>10</v>
      </c>
      <c r="E7" s="16" t="s">
        <v>10</v>
      </c>
      <c r="F7" s="16" t="s">
        <v>10</v>
      </c>
      <c r="G7" s="16" t="s">
        <v>10</v>
      </c>
      <c r="H7" s="16" t="s">
        <v>11</v>
      </c>
      <c r="I7" s="114" t="s">
        <v>4</v>
      </c>
      <c r="J7" s="116" t="s">
        <v>2</v>
      </c>
      <c r="K7" s="122" t="s">
        <v>5</v>
      </c>
      <c r="L7" s="16" t="s">
        <v>10</v>
      </c>
      <c r="M7" s="16" t="s">
        <v>10</v>
      </c>
      <c r="N7" s="16" t="s">
        <v>10</v>
      </c>
      <c r="O7" s="16" t="s">
        <v>11</v>
      </c>
      <c r="P7" s="114" t="s">
        <v>4</v>
      </c>
      <c r="Q7" s="116" t="s">
        <v>2</v>
      </c>
      <c r="R7" s="16" t="s">
        <v>10</v>
      </c>
      <c r="S7" s="16" t="s">
        <v>10</v>
      </c>
      <c r="T7" s="16" t="s">
        <v>10</v>
      </c>
      <c r="U7" s="16" t="s">
        <v>10</v>
      </c>
      <c r="V7" s="114" t="s">
        <v>4</v>
      </c>
      <c r="W7" s="114" t="s">
        <v>4</v>
      </c>
      <c r="X7" s="116" t="s">
        <v>2</v>
      </c>
      <c r="Y7" s="16" t="s">
        <v>10</v>
      </c>
      <c r="Z7" s="16" t="s">
        <v>10</v>
      </c>
      <c r="AA7" s="16" t="s">
        <v>11</v>
      </c>
      <c r="AB7" s="16" t="s">
        <v>10</v>
      </c>
      <c r="AC7" s="16" t="s">
        <v>11</v>
      </c>
      <c r="AD7" s="114" t="s">
        <v>4</v>
      </c>
      <c r="AE7" s="116" t="s">
        <v>2</v>
      </c>
      <c r="AF7" s="22" t="s">
        <v>16</v>
      </c>
      <c r="AG7" s="25" t="s">
        <v>6</v>
      </c>
    </row>
    <row r="8" spans="1:33" x14ac:dyDescent="0.35">
      <c r="A8" s="141" t="s">
        <v>70</v>
      </c>
      <c r="B8" s="114" t="s">
        <v>4</v>
      </c>
      <c r="C8" s="16" t="s">
        <v>10</v>
      </c>
      <c r="D8" s="116" t="s">
        <v>2</v>
      </c>
      <c r="E8" s="25" t="s">
        <v>6</v>
      </c>
      <c r="F8" s="22" t="s">
        <v>16</v>
      </c>
      <c r="G8" s="25" t="s">
        <v>6</v>
      </c>
      <c r="H8" s="22" t="s">
        <v>30</v>
      </c>
      <c r="I8" s="16" t="s">
        <v>11</v>
      </c>
      <c r="J8" s="16" t="s">
        <v>10</v>
      </c>
      <c r="K8" s="116" t="s">
        <v>2</v>
      </c>
      <c r="L8" s="116" t="s">
        <v>2</v>
      </c>
      <c r="M8" s="16" t="s">
        <v>10</v>
      </c>
      <c r="N8" s="16" t="s">
        <v>10</v>
      </c>
      <c r="O8" s="16" t="s">
        <v>11</v>
      </c>
      <c r="P8" s="114" t="s">
        <v>4</v>
      </c>
      <c r="Q8" s="16" t="s">
        <v>10</v>
      </c>
      <c r="R8" s="16" t="s">
        <v>10</v>
      </c>
      <c r="S8" s="16" t="s">
        <v>10</v>
      </c>
      <c r="T8" s="16" t="s">
        <v>10</v>
      </c>
      <c r="U8" s="116" t="s">
        <v>2</v>
      </c>
      <c r="V8" s="22" t="s">
        <v>30</v>
      </c>
      <c r="W8" s="114" t="s">
        <v>4</v>
      </c>
      <c r="X8" s="16" t="s">
        <v>10</v>
      </c>
      <c r="Y8" s="16" t="s">
        <v>10</v>
      </c>
      <c r="Z8" s="122" t="s">
        <v>5</v>
      </c>
      <c r="AA8" s="122" t="s">
        <v>5</v>
      </c>
      <c r="AB8" s="122" t="s">
        <v>5</v>
      </c>
      <c r="AC8" s="122" t="s">
        <v>5</v>
      </c>
      <c r="AD8" s="122" t="s">
        <v>5</v>
      </c>
      <c r="AE8" s="16" t="s">
        <v>10</v>
      </c>
      <c r="AF8" s="16" t="s">
        <v>10</v>
      </c>
      <c r="AG8" s="122" t="s">
        <v>5</v>
      </c>
    </row>
    <row r="9" spans="1:33" x14ac:dyDescent="0.35">
      <c r="A9" s="166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8"/>
    </row>
    <row r="10" spans="1:33" x14ac:dyDescent="0.35">
      <c r="A10" s="165" t="s">
        <v>9</v>
      </c>
      <c r="B10" s="122" t="s">
        <v>4</v>
      </c>
      <c r="C10" s="122" t="s">
        <v>5</v>
      </c>
      <c r="D10" s="122" t="s">
        <v>5</v>
      </c>
      <c r="E10" s="122" t="s">
        <v>5</v>
      </c>
      <c r="F10" s="122" t="s">
        <v>5</v>
      </c>
      <c r="G10" s="122" t="s">
        <v>5</v>
      </c>
      <c r="H10" s="122" t="s">
        <v>4</v>
      </c>
      <c r="I10" s="122" t="s">
        <v>4</v>
      </c>
      <c r="J10" s="25" t="s">
        <v>6</v>
      </c>
      <c r="K10" s="25" t="s">
        <v>6</v>
      </c>
      <c r="L10" s="25" t="s">
        <v>6</v>
      </c>
      <c r="M10" s="25" t="s">
        <v>6</v>
      </c>
      <c r="N10" s="116" t="s">
        <v>2</v>
      </c>
      <c r="O10" s="25" t="s">
        <v>3</v>
      </c>
      <c r="P10" s="25" t="s">
        <v>3</v>
      </c>
      <c r="Q10" s="25" t="s">
        <v>6</v>
      </c>
      <c r="R10" s="25" t="s">
        <v>6</v>
      </c>
      <c r="S10" s="25" t="s">
        <v>6</v>
      </c>
      <c r="T10" s="116" t="s">
        <v>2</v>
      </c>
      <c r="U10" s="116" t="s">
        <v>2</v>
      </c>
      <c r="V10" s="25" t="s">
        <v>3</v>
      </c>
      <c r="W10" s="25" t="s">
        <v>3</v>
      </c>
      <c r="X10" s="25" t="s">
        <v>6</v>
      </c>
      <c r="Y10" s="25" t="s">
        <v>6</v>
      </c>
      <c r="Z10" s="25" t="s">
        <v>6</v>
      </c>
      <c r="AA10" s="25" t="s">
        <v>3</v>
      </c>
      <c r="AB10" s="122" t="s">
        <v>5</v>
      </c>
      <c r="AC10" s="122" t="s">
        <v>5</v>
      </c>
      <c r="AD10" s="122" t="s">
        <v>5</v>
      </c>
      <c r="AE10" s="25" t="s">
        <v>6</v>
      </c>
      <c r="AF10" s="25" t="s">
        <v>6</v>
      </c>
      <c r="AG10" s="19" t="s">
        <v>41</v>
      </c>
    </row>
    <row r="11" spans="1:33" x14ac:dyDescent="0.35">
      <c r="A11" s="165" t="s">
        <v>15</v>
      </c>
      <c r="B11" s="122" t="s">
        <v>4</v>
      </c>
      <c r="C11" s="25" t="s">
        <v>6</v>
      </c>
      <c r="D11" s="25" t="s">
        <v>6</v>
      </c>
      <c r="E11" s="25" t="s">
        <v>6</v>
      </c>
      <c r="F11" s="25" t="s">
        <v>6</v>
      </c>
      <c r="G11" s="25" t="s">
        <v>6</v>
      </c>
      <c r="H11" s="25" t="s">
        <v>3</v>
      </c>
      <c r="I11" s="25" t="s">
        <v>3</v>
      </c>
      <c r="J11" s="116" t="s">
        <v>2</v>
      </c>
      <c r="K11" s="116" t="s">
        <v>2</v>
      </c>
      <c r="L11" s="25" t="s">
        <v>6</v>
      </c>
      <c r="M11" s="25" t="s">
        <v>6</v>
      </c>
      <c r="N11" s="25" t="s">
        <v>6</v>
      </c>
      <c r="O11" s="114" t="s">
        <v>4</v>
      </c>
      <c r="P11" s="114" t="s">
        <v>4</v>
      </c>
      <c r="Q11" s="25" t="s">
        <v>6</v>
      </c>
      <c r="R11" s="25" t="s">
        <v>6</v>
      </c>
      <c r="S11" s="25" t="s">
        <v>6</v>
      </c>
      <c r="T11" s="25" t="s">
        <v>6</v>
      </c>
      <c r="U11" s="25" t="s">
        <v>6</v>
      </c>
      <c r="V11" s="114" t="s">
        <v>4</v>
      </c>
      <c r="W11" s="114" t="s">
        <v>4</v>
      </c>
      <c r="X11" s="25" t="s">
        <v>6</v>
      </c>
      <c r="Y11" s="169" t="s">
        <v>34</v>
      </c>
      <c r="Z11" s="116" t="s">
        <v>2</v>
      </c>
      <c r="AA11" s="25" t="s">
        <v>3</v>
      </c>
      <c r="AB11" s="25" t="s">
        <v>6</v>
      </c>
      <c r="AC11" s="25" t="s">
        <v>3</v>
      </c>
      <c r="AD11" s="25" t="s">
        <v>3</v>
      </c>
      <c r="AE11" s="116" t="s">
        <v>2</v>
      </c>
      <c r="AF11" s="25" t="s">
        <v>6</v>
      </c>
      <c r="AG11" s="19" t="s">
        <v>41</v>
      </c>
    </row>
    <row r="12" spans="1:33" x14ac:dyDescent="0.35">
      <c r="A12" s="141" t="s">
        <v>22</v>
      </c>
      <c r="B12" s="114" t="s">
        <v>4</v>
      </c>
      <c r="C12" s="25" t="s">
        <v>6</v>
      </c>
      <c r="D12" s="25" t="s">
        <v>6</v>
      </c>
      <c r="E12" s="25" t="s">
        <v>6</v>
      </c>
      <c r="F12" s="25" t="s">
        <v>6</v>
      </c>
      <c r="G12" s="116" t="s">
        <v>2</v>
      </c>
      <c r="H12" s="114" t="s">
        <v>4</v>
      </c>
      <c r="I12" s="25" t="s">
        <v>3</v>
      </c>
      <c r="J12" s="25" t="s">
        <v>6</v>
      </c>
      <c r="K12" s="25" t="s">
        <v>6</v>
      </c>
      <c r="L12" s="116" t="s">
        <v>2</v>
      </c>
      <c r="M12" s="25" t="s">
        <v>6</v>
      </c>
      <c r="N12" s="25" t="s">
        <v>6</v>
      </c>
      <c r="O12" s="25" t="s">
        <v>3</v>
      </c>
      <c r="P12" s="122" t="s">
        <v>4</v>
      </c>
      <c r="Q12" s="122" t="s">
        <v>5</v>
      </c>
      <c r="R12" s="122" t="s">
        <v>5</v>
      </c>
      <c r="S12" s="25" t="s">
        <v>6</v>
      </c>
      <c r="T12" s="25" t="s">
        <v>6</v>
      </c>
      <c r="U12" s="25" t="s">
        <v>6</v>
      </c>
      <c r="V12" s="25" t="s">
        <v>3</v>
      </c>
      <c r="W12" s="114" t="s">
        <v>4</v>
      </c>
      <c r="X12" s="116" t="s">
        <v>2</v>
      </c>
      <c r="Y12" s="25" t="s">
        <v>6</v>
      </c>
      <c r="Z12" s="25" t="s">
        <v>6</v>
      </c>
      <c r="AA12" s="25" t="s">
        <v>3</v>
      </c>
      <c r="AB12" s="25" t="s">
        <v>6</v>
      </c>
      <c r="AC12" s="25" t="s">
        <v>3</v>
      </c>
      <c r="AD12" s="114" t="s">
        <v>4</v>
      </c>
      <c r="AE12" s="25" t="s">
        <v>6</v>
      </c>
      <c r="AF12" s="122" t="s">
        <v>5</v>
      </c>
      <c r="AG12" s="122" t="s">
        <v>5</v>
      </c>
    </row>
    <row r="13" spans="1:33" x14ac:dyDescent="0.35">
      <c r="A13" s="141" t="s">
        <v>149</v>
      </c>
      <c r="B13" s="114" t="s">
        <v>4</v>
      </c>
      <c r="C13" s="22" t="s">
        <v>16</v>
      </c>
      <c r="D13" s="22" t="s">
        <v>16</v>
      </c>
      <c r="E13" s="22" t="s">
        <v>16</v>
      </c>
      <c r="F13" s="22" t="s">
        <v>16</v>
      </c>
      <c r="G13" s="22" t="s">
        <v>16</v>
      </c>
      <c r="H13" s="114" t="s">
        <v>4</v>
      </c>
      <c r="I13" s="114" t="s">
        <v>4</v>
      </c>
      <c r="J13" s="22" t="s">
        <v>16</v>
      </c>
      <c r="K13" s="22" t="s">
        <v>16</v>
      </c>
      <c r="L13" s="22" t="s">
        <v>16</v>
      </c>
      <c r="M13" s="22" t="s">
        <v>16</v>
      </c>
      <c r="N13" s="22" t="s">
        <v>16</v>
      </c>
      <c r="O13" s="114" t="s">
        <v>4</v>
      </c>
      <c r="P13" s="114" t="s">
        <v>4</v>
      </c>
      <c r="Q13" s="122" t="s">
        <v>5</v>
      </c>
      <c r="R13" s="22" t="s">
        <v>16</v>
      </c>
      <c r="S13" s="22" t="s">
        <v>16</v>
      </c>
      <c r="T13" s="22" t="s">
        <v>16</v>
      </c>
      <c r="U13" s="22" t="s">
        <v>16</v>
      </c>
      <c r="V13" s="114" t="s">
        <v>4</v>
      </c>
      <c r="W13" s="114" t="s">
        <v>4</v>
      </c>
      <c r="X13" s="22" t="s">
        <v>16</v>
      </c>
      <c r="Y13" s="22" t="s">
        <v>16</v>
      </c>
      <c r="Z13" s="22" t="s">
        <v>16</v>
      </c>
      <c r="AA13" s="115" t="s">
        <v>37</v>
      </c>
      <c r="AB13" s="22" t="s">
        <v>16</v>
      </c>
      <c r="AC13" s="114" t="s">
        <v>4</v>
      </c>
      <c r="AD13" s="114" t="s">
        <v>4</v>
      </c>
      <c r="AE13" s="22" t="s">
        <v>16</v>
      </c>
      <c r="AF13" s="22" t="s">
        <v>16</v>
      </c>
      <c r="AG13" s="19" t="s">
        <v>41</v>
      </c>
    </row>
    <row r="14" spans="1:33" x14ac:dyDescent="0.35">
      <c r="A14" s="141" t="s">
        <v>124</v>
      </c>
      <c r="B14" s="25" t="s">
        <v>3</v>
      </c>
      <c r="C14" s="25" t="s">
        <v>6</v>
      </c>
      <c r="D14" s="25" t="s">
        <v>6</v>
      </c>
      <c r="E14" s="116" t="s">
        <v>2</v>
      </c>
      <c r="F14" s="25" t="s">
        <v>6</v>
      </c>
      <c r="G14" s="25" t="s">
        <v>6</v>
      </c>
      <c r="H14" s="25" t="s">
        <v>3</v>
      </c>
      <c r="I14" s="114" t="s">
        <v>4</v>
      </c>
      <c r="J14" s="25" t="s">
        <v>6</v>
      </c>
      <c r="K14" s="25" t="s">
        <v>6</v>
      </c>
      <c r="L14" s="25" t="s">
        <v>6</v>
      </c>
      <c r="M14" s="116" t="s">
        <v>2</v>
      </c>
      <c r="N14" s="25" t="s">
        <v>6</v>
      </c>
      <c r="O14" s="114" t="s">
        <v>4</v>
      </c>
      <c r="P14" s="25" t="s">
        <v>3</v>
      </c>
      <c r="Q14" s="25" t="s">
        <v>6</v>
      </c>
      <c r="R14" s="25" t="s">
        <v>6</v>
      </c>
      <c r="S14" s="116" t="s">
        <v>2</v>
      </c>
      <c r="T14" s="25" t="s">
        <v>6</v>
      </c>
      <c r="U14" s="25" t="s">
        <v>6</v>
      </c>
      <c r="V14" s="114" t="s">
        <v>4</v>
      </c>
      <c r="W14" s="25" t="s">
        <v>3</v>
      </c>
      <c r="X14" s="25" t="s">
        <v>6</v>
      </c>
      <c r="Y14" s="25" t="s">
        <v>6</v>
      </c>
      <c r="Z14" s="25" t="s">
        <v>6</v>
      </c>
      <c r="AA14" s="115" t="s">
        <v>37</v>
      </c>
      <c r="AB14" s="25" t="s">
        <v>6</v>
      </c>
      <c r="AC14" s="114" t="s">
        <v>4</v>
      </c>
      <c r="AD14" s="25" t="s">
        <v>3</v>
      </c>
      <c r="AE14" s="25" t="s">
        <v>6</v>
      </c>
      <c r="AF14" s="25" t="s">
        <v>6</v>
      </c>
      <c r="AG14" s="19" t="s">
        <v>41</v>
      </c>
    </row>
    <row r="15" spans="1:33" x14ac:dyDescent="0.35">
      <c r="A15" s="166"/>
      <c r="B15" s="167"/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8"/>
      <c r="AG15" s="1"/>
    </row>
    <row r="16" spans="1:33" x14ac:dyDescent="0.35">
      <c r="A16" s="165" t="s">
        <v>1</v>
      </c>
      <c r="B16" s="19" t="s">
        <v>42</v>
      </c>
      <c r="C16" s="19" t="s">
        <v>41</v>
      </c>
      <c r="D16" s="19" t="s">
        <v>41</v>
      </c>
      <c r="E16" s="19" t="s">
        <v>41</v>
      </c>
      <c r="F16" s="19" t="s">
        <v>41</v>
      </c>
      <c r="G16" s="116" t="s">
        <v>2</v>
      </c>
      <c r="H16" s="122" t="s">
        <v>4</v>
      </c>
      <c r="I16" s="122" t="s">
        <v>4</v>
      </c>
      <c r="J16" s="122" t="s">
        <v>5</v>
      </c>
      <c r="K16" s="122" t="s">
        <v>5</v>
      </c>
      <c r="L16" s="122" t="s">
        <v>5</v>
      </c>
      <c r="M16" s="122" t="s">
        <v>5</v>
      </c>
      <c r="N16" s="122" t="s">
        <v>5</v>
      </c>
      <c r="O16" s="19" t="s">
        <v>42</v>
      </c>
      <c r="P16" s="19" t="s">
        <v>42</v>
      </c>
      <c r="Q16" s="19" t="s">
        <v>41</v>
      </c>
      <c r="R16" s="19" t="s">
        <v>41</v>
      </c>
      <c r="S16" s="19" t="s">
        <v>41</v>
      </c>
      <c r="T16" s="19" t="s">
        <v>41</v>
      </c>
      <c r="U16" s="116" t="s">
        <v>2</v>
      </c>
      <c r="V16" s="114" t="s">
        <v>4</v>
      </c>
      <c r="W16" s="19" t="s">
        <v>42</v>
      </c>
      <c r="X16" s="19" t="s">
        <v>41</v>
      </c>
      <c r="Y16" s="19" t="s">
        <v>41</v>
      </c>
      <c r="Z16" s="19" t="s">
        <v>41</v>
      </c>
      <c r="AA16" s="19" t="s">
        <v>42</v>
      </c>
      <c r="AB16" s="116" t="s">
        <v>2</v>
      </c>
      <c r="AC16" s="19" t="s">
        <v>42</v>
      </c>
      <c r="AD16" s="19" t="s">
        <v>42</v>
      </c>
      <c r="AE16" s="19" t="s">
        <v>41</v>
      </c>
      <c r="AF16" s="116" t="s">
        <v>2</v>
      </c>
      <c r="AG16" s="16" t="s">
        <v>10</v>
      </c>
    </row>
    <row r="17" spans="1:33" x14ac:dyDescent="0.35">
      <c r="A17" s="165" t="s">
        <v>43</v>
      </c>
      <c r="B17" s="25" t="s">
        <v>3</v>
      </c>
      <c r="C17" s="116" t="s">
        <v>2</v>
      </c>
      <c r="D17" s="19" t="s">
        <v>41</v>
      </c>
      <c r="E17" s="19" t="s">
        <v>41</v>
      </c>
      <c r="F17" s="19" t="s">
        <v>41</v>
      </c>
      <c r="G17" s="19" t="s">
        <v>41</v>
      </c>
      <c r="H17" s="19" t="s">
        <v>42</v>
      </c>
      <c r="I17" s="114" t="s">
        <v>4</v>
      </c>
      <c r="J17" s="116" t="s">
        <v>2</v>
      </c>
      <c r="K17" s="19" t="s">
        <v>41</v>
      </c>
      <c r="L17" s="19" t="s">
        <v>41</v>
      </c>
      <c r="M17" s="19" t="s">
        <v>41</v>
      </c>
      <c r="N17" s="19" t="s">
        <v>41</v>
      </c>
      <c r="O17" s="114" t="s">
        <v>4</v>
      </c>
      <c r="P17" s="114" t="s">
        <v>4</v>
      </c>
      <c r="Q17" s="19" t="s">
        <v>41</v>
      </c>
      <c r="R17" s="19" t="s">
        <v>41</v>
      </c>
      <c r="S17" s="19" t="s">
        <v>41</v>
      </c>
      <c r="T17" s="19" t="s">
        <v>41</v>
      </c>
      <c r="U17" s="19" t="s">
        <v>41</v>
      </c>
      <c r="V17" s="19" t="s">
        <v>42</v>
      </c>
      <c r="W17" s="114" t="s">
        <v>4</v>
      </c>
      <c r="X17" s="116" t="s">
        <v>2</v>
      </c>
      <c r="Y17" s="19" t="s">
        <v>41</v>
      </c>
      <c r="Z17" s="19" t="s">
        <v>41</v>
      </c>
      <c r="AA17" s="19" t="s">
        <v>42</v>
      </c>
      <c r="AB17" s="19" t="s">
        <v>41</v>
      </c>
      <c r="AC17" s="19" t="s">
        <v>42</v>
      </c>
      <c r="AD17" s="114" t="s">
        <v>4</v>
      </c>
      <c r="AE17" s="116" t="s">
        <v>2</v>
      </c>
      <c r="AF17" s="19" t="s">
        <v>41</v>
      </c>
      <c r="AG17" s="16" t="s">
        <v>10</v>
      </c>
    </row>
    <row r="18" spans="1:33" x14ac:dyDescent="0.35">
      <c r="A18" s="141" t="s">
        <v>68</v>
      </c>
      <c r="B18" s="19" t="s">
        <v>42</v>
      </c>
      <c r="C18" s="116" t="s">
        <v>2</v>
      </c>
      <c r="D18" s="116" t="s">
        <v>2</v>
      </c>
      <c r="E18" s="122" t="s">
        <v>5</v>
      </c>
      <c r="F18" s="122" t="s">
        <v>5</v>
      </c>
      <c r="G18" s="19" t="s">
        <v>41</v>
      </c>
      <c r="H18" s="19" t="s">
        <v>42</v>
      </c>
      <c r="I18" s="19" t="s">
        <v>42</v>
      </c>
      <c r="J18" s="19" t="s">
        <v>41</v>
      </c>
      <c r="K18" s="116" t="s">
        <v>2</v>
      </c>
      <c r="L18" s="116" t="s">
        <v>2</v>
      </c>
      <c r="M18" s="19" t="s">
        <v>41</v>
      </c>
      <c r="N18" s="19" t="s">
        <v>41</v>
      </c>
      <c r="O18" s="22" t="s">
        <v>30</v>
      </c>
      <c r="P18" s="19" t="s">
        <v>42</v>
      </c>
      <c r="Q18" s="19" t="s">
        <v>41</v>
      </c>
      <c r="R18" s="116" t="s">
        <v>2</v>
      </c>
      <c r="S18" s="116" t="s">
        <v>2</v>
      </c>
      <c r="T18" s="19" t="s">
        <v>41</v>
      </c>
      <c r="U18" s="19" t="s">
        <v>41</v>
      </c>
      <c r="V18" s="19" t="s">
        <v>42</v>
      </c>
      <c r="W18" s="114" t="s">
        <v>4</v>
      </c>
      <c r="X18" s="19" t="s">
        <v>41</v>
      </c>
      <c r="Y18" s="19" t="s">
        <v>41</v>
      </c>
      <c r="Z18" s="19" t="s">
        <v>41</v>
      </c>
      <c r="AA18" s="115" t="s">
        <v>37</v>
      </c>
      <c r="AB18" s="19" t="s">
        <v>41</v>
      </c>
      <c r="AC18" s="22" t="s">
        <v>30</v>
      </c>
      <c r="AD18" s="114" t="s">
        <v>4</v>
      </c>
      <c r="AE18" s="19" t="s">
        <v>41</v>
      </c>
      <c r="AF18" s="116" t="s">
        <v>2</v>
      </c>
      <c r="AG18" s="16" t="s">
        <v>10</v>
      </c>
    </row>
    <row r="19" spans="1:33" x14ac:dyDescent="0.35">
      <c r="A19" s="141" t="s">
        <v>60</v>
      </c>
      <c r="B19" s="114" t="s">
        <v>4</v>
      </c>
      <c r="C19" s="19" t="s">
        <v>41</v>
      </c>
      <c r="D19" s="19" t="s">
        <v>41</v>
      </c>
      <c r="E19" s="19" t="s">
        <v>41</v>
      </c>
      <c r="F19" s="19" t="s">
        <v>41</v>
      </c>
      <c r="G19" s="116" t="s">
        <v>2</v>
      </c>
      <c r="H19" s="114" t="s">
        <v>4</v>
      </c>
      <c r="I19" s="19" t="s">
        <v>42</v>
      </c>
      <c r="J19" s="19" t="s">
        <v>41</v>
      </c>
      <c r="K19" s="19" t="s">
        <v>41</v>
      </c>
      <c r="L19" s="19" t="s">
        <v>41</v>
      </c>
      <c r="M19" s="19" t="s">
        <v>41</v>
      </c>
      <c r="N19" s="19" t="s">
        <v>41</v>
      </c>
      <c r="O19" s="19" t="s">
        <v>42</v>
      </c>
      <c r="P19" s="114" t="s">
        <v>4</v>
      </c>
      <c r="Q19" s="116" t="s">
        <v>2</v>
      </c>
      <c r="R19" s="19" t="s">
        <v>41</v>
      </c>
      <c r="S19" s="19" t="s">
        <v>41</v>
      </c>
      <c r="T19" s="116" t="s">
        <v>2</v>
      </c>
      <c r="U19" s="19" t="s">
        <v>41</v>
      </c>
      <c r="V19" s="114" t="s">
        <v>4</v>
      </c>
      <c r="W19" s="19" t="s">
        <v>42</v>
      </c>
      <c r="X19" s="19" t="s">
        <v>41</v>
      </c>
      <c r="Y19" s="19" t="s">
        <v>41</v>
      </c>
      <c r="Z19" s="116" t="s">
        <v>2</v>
      </c>
      <c r="AA19" s="19" t="s">
        <v>42</v>
      </c>
      <c r="AB19" s="19" t="s">
        <v>41</v>
      </c>
      <c r="AC19" s="114" t="s">
        <v>4</v>
      </c>
      <c r="AD19" s="19" t="s">
        <v>42</v>
      </c>
      <c r="AE19" s="19" t="s">
        <v>41</v>
      </c>
      <c r="AF19" s="19" t="s">
        <v>41</v>
      </c>
      <c r="AG19" s="22" t="s">
        <v>16</v>
      </c>
    </row>
    <row r="20" spans="1:33" x14ac:dyDescent="0.35">
      <c r="A20" s="141" t="s">
        <v>140</v>
      </c>
      <c r="B20" s="114" t="s">
        <v>4</v>
      </c>
      <c r="C20" s="19" t="s">
        <v>41</v>
      </c>
      <c r="D20" s="19" t="s">
        <v>41</v>
      </c>
      <c r="E20" s="19" t="s">
        <v>41</v>
      </c>
      <c r="F20" s="19" t="s">
        <v>41</v>
      </c>
      <c r="G20" s="19" t="s">
        <v>41</v>
      </c>
      <c r="H20" s="114" t="s">
        <v>4</v>
      </c>
      <c r="I20" s="114" t="s">
        <v>4</v>
      </c>
      <c r="J20" s="19" t="s">
        <v>41</v>
      </c>
      <c r="K20" s="19" t="s">
        <v>41</v>
      </c>
      <c r="L20" s="19" t="s">
        <v>41</v>
      </c>
      <c r="M20" s="19" t="s">
        <v>41</v>
      </c>
      <c r="N20" s="122" t="s">
        <v>5</v>
      </c>
      <c r="O20" s="122" t="s">
        <v>4</v>
      </c>
      <c r="P20" s="122" t="s">
        <v>4</v>
      </c>
      <c r="Q20" s="122" t="s">
        <v>5</v>
      </c>
      <c r="R20" s="22" t="s">
        <v>16</v>
      </c>
      <c r="S20" s="22" t="s">
        <v>16</v>
      </c>
      <c r="T20" s="22" t="s">
        <v>16</v>
      </c>
      <c r="U20" s="122" t="s">
        <v>5</v>
      </c>
      <c r="V20" s="122" t="s">
        <v>4</v>
      </c>
      <c r="W20" s="122" t="s">
        <v>4</v>
      </c>
      <c r="X20" s="122" t="s">
        <v>5</v>
      </c>
      <c r="Y20" s="22" t="s">
        <v>16</v>
      </c>
      <c r="Z20" s="22" t="s">
        <v>16</v>
      </c>
      <c r="AA20" s="115" t="s">
        <v>37</v>
      </c>
      <c r="AB20" s="19" t="s">
        <v>41</v>
      </c>
      <c r="AC20" s="114" t="s">
        <v>4</v>
      </c>
      <c r="AD20" s="114" t="s">
        <v>4</v>
      </c>
      <c r="AE20" s="22" t="s">
        <v>16</v>
      </c>
      <c r="AF20" s="22" t="s">
        <v>16</v>
      </c>
      <c r="AG20" s="22" t="s">
        <v>16</v>
      </c>
    </row>
    <row r="21" spans="1:33" x14ac:dyDescent="0.35">
      <c r="A21" s="141" t="s">
        <v>148</v>
      </c>
      <c r="B21" s="114" t="s">
        <v>4</v>
      </c>
      <c r="C21" s="22" t="s">
        <v>16</v>
      </c>
      <c r="D21" s="22" t="s">
        <v>16</v>
      </c>
      <c r="E21" s="22" t="s">
        <v>16</v>
      </c>
      <c r="F21" s="22" t="s">
        <v>16</v>
      </c>
      <c r="G21" s="22" t="s">
        <v>16</v>
      </c>
      <c r="H21" s="114" t="s">
        <v>4</v>
      </c>
      <c r="I21" s="114" t="s">
        <v>4</v>
      </c>
      <c r="J21" s="22" t="s">
        <v>16</v>
      </c>
      <c r="K21" s="22" t="s">
        <v>16</v>
      </c>
      <c r="L21" s="22" t="s">
        <v>16</v>
      </c>
      <c r="M21" s="22" t="s">
        <v>16</v>
      </c>
      <c r="N21" s="22" t="s">
        <v>16</v>
      </c>
      <c r="O21" s="114" t="s">
        <v>4</v>
      </c>
      <c r="P21" s="114" t="s">
        <v>4</v>
      </c>
      <c r="Q21" s="22" t="s">
        <v>16</v>
      </c>
      <c r="R21" s="22" t="s">
        <v>16</v>
      </c>
      <c r="S21" s="22" t="s">
        <v>16</v>
      </c>
      <c r="T21" s="22" t="s">
        <v>16</v>
      </c>
      <c r="U21" s="22" t="s">
        <v>16</v>
      </c>
      <c r="V21" s="114" t="s">
        <v>4</v>
      </c>
      <c r="W21" s="114" t="s">
        <v>4</v>
      </c>
      <c r="X21" s="22" t="s">
        <v>16</v>
      </c>
      <c r="Y21" s="22" t="s">
        <v>16</v>
      </c>
      <c r="Z21" s="22" t="s">
        <v>16</v>
      </c>
      <c r="AA21" s="115" t="s">
        <v>37</v>
      </c>
      <c r="AB21" s="22" t="s">
        <v>16</v>
      </c>
      <c r="AC21" s="114" t="s">
        <v>4</v>
      </c>
      <c r="AD21" s="114" t="s">
        <v>4</v>
      </c>
      <c r="AE21" s="22" t="s">
        <v>16</v>
      </c>
      <c r="AF21" s="19" t="s">
        <v>41</v>
      </c>
      <c r="AG21" s="22" t="s">
        <v>16</v>
      </c>
    </row>
    <row r="23" spans="1:33" x14ac:dyDescent="0.35">
      <c r="A23" s="128" t="s">
        <v>125</v>
      </c>
      <c r="B23">
        <f t="shared" ref="B23:AG23" si="1">COUNTIF(B4:B20,"*MS")</f>
        <v>2</v>
      </c>
      <c r="C23">
        <f t="shared" si="1"/>
        <v>3</v>
      </c>
      <c r="D23">
        <f t="shared" si="1"/>
        <v>3</v>
      </c>
      <c r="E23">
        <f t="shared" si="1"/>
        <v>3</v>
      </c>
      <c r="F23">
        <f t="shared" si="1"/>
        <v>3</v>
      </c>
      <c r="G23">
        <f t="shared" si="1"/>
        <v>3</v>
      </c>
      <c r="H23">
        <f t="shared" si="1"/>
        <v>2</v>
      </c>
      <c r="I23">
        <f t="shared" si="1"/>
        <v>2</v>
      </c>
      <c r="J23">
        <f t="shared" si="1"/>
        <v>3</v>
      </c>
      <c r="K23">
        <f t="shared" si="1"/>
        <v>3</v>
      </c>
      <c r="L23">
        <f t="shared" si="1"/>
        <v>3</v>
      </c>
      <c r="M23">
        <f t="shared" si="1"/>
        <v>3</v>
      </c>
      <c r="N23">
        <f t="shared" si="1"/>
        <v>3</v>
      </c>
      <c r="O23">
        <f t="shared" si="1"/>
        <v>2</v>
      </c>
      <c r="P23">
        <f t="shared" si="1"/>
        <v>2</v>
      </c>
      <c r="Q23">
        <f t="shared" si="1"/>
        <v>3</v>
      </c>
      <c r="R23">
        <f t="shared" si="1"/>
        <v>3</v>
      </c>
      <c r="S23">
        <f t="shared" si="1"/>
        <v>3</v>
      </c>
      <c r="T23">
        <f t="shared" si="1"/>
        <v>3</v>
      </c>
      <c r="U23">
        <f t="shared" si="1"/>
        <v>3</v>
      </c>
      <c r="V23">
        <f t="shared" si="1"/>
        <v>2</v>
      </c>
      <c r="W23">
        <f t="shared" si="1"/>
        <v>2</v>
      </c>
      <c r="X23">
        <f t="shared" si="1"/>
        <v>3</v>
      </c>
      <c r="Y23">
        <f t="shared" si="1"/>
        <v>3</v>
      </c>
      <c r="Z23">
        <f t="shared" si="1"/>
        <v>3</v>
      </c>
      <c r="AA23">
        <f t="shared" si="1"/>
        <v>3</v>
      </c>
      <c r="AB23">
        <f t="shared" si="1"/>
        <v>3</v>
      </c>
      <c r="AC23">
        <f t="shared" si="1"/>
        <v>2</v>
      </c>
      <c r="AD23">
        <f t="shared" si="1"/>
        <v>2</v>
      </c>
      <c r="AE23">
        <f t="shared" si="1"/>
        <v>3</v>
      </c>
      <c r="AF23">
        <f t="shared" si="1"/>
        <v>3</v>
      </c>
      <c r="AG23">
        <f t="shared" si="1"/>
        <v>3</v>
      </c>
    </row>
    <row r="24" spans="1:33" x14ac:dyDescent="0.35">
      <c r="A24" s="128" t="s">
        <v>126</v>
      </c>
      <c r="B24">
        <f t="shared" ref="B24:AG24" si="2">COUNTIF(B4:B20,"*ASS1")</f>
        <v>2</v>
      </c>
      <c r="C24">
        <f t="shared" si="2"/>
        <v>3</v>
      </c>
      <c r="D24">
        <f t="shared" si="2"/>
        <v>4</v>
      </c>
      <c r="E24">
        <f t="shared" si="2"/>
        <v>4</v>
      </c>
      <c r="F24">
        <f t="shared" si="2"/>
        <v>4</v>
      </c>
      <c r="G24">
        <f t="shared" si="2"/>
        <v>3</v>
      </c>
      <c r="H24">
        <f t="shared" si="2"/>
        <v>2</v>
      </c>
      <c r="I24">
        <f t="shared" si="2"/>
        <v>2</v>
      </c>
      <c r="J24">
        <f t="shared" si="2"/>
        <v>3</v>
      </c>
      <c r="K24">
        <f t="shared" si="2"/>
        <v>3</v>
      </c>
      <c r="L24">
        <f t="shared" si="2"/>
        <v>3</v>
      </c>
      <c r="M24">
        <f t="shared" si="2"/>
        <v>4</v>
      </c>
      <c r="N24">
        <f t="shared" si="2"/>
        <v>3</v>
      </c>
      <c r="O24">
        <f t="shared" si="2"/>
        <v>2</v>
      </c>
      <c r="P24">
        <f t="shared" si="2"/>
        <v>2</v>
      </c>
      <c r="Q24">
        <f t="shared" si="2"/>
        <v>3</v>
      </c>
      <c r="R24">
        <f t="shared" si="2"/>
        <v>3</v>
      </c>
      <c r="S24">
        <f t="shared" si="2"/>
        <v>3</v>
      </c>
      <c r="T24">
        <f t="shared" si="2"/>
        <v>3</v>
      </c>
      <c r="U24">
        <f t="shared" si="2"/>
        <v>3</v>
      </c>
      <c r="V24">
        <f t="shared" si="2"/>
        <v>2</v>
      </c>
      <c r="W24">
        <f t="shared" si="2"/>
        <v>2</v>
      </c>
      <c r="X24">
        <f t="shared" si="2"/>
        <v>3</v>
      </c>
      <c r="Y24">
        <f t="shared" si="2"/>
        <v>4</v>
      </c>
      <c r="Z24">
        <f t="shared" si="2"/>
        <v>3</v>
      </c>
      <c r="AA24">
        <f t="shared" si="2"/>
        <v>3</v>
      </c>
      <c r="AB24">
        <f t="shared" si="2"/>
        <v>4</v>
      </c>
      <c r="AC24">
        <f t="shared" si="2"/>
        <v>2</v>
      </c>
      <c r="AD24">
        <f t="shared" si="2"/>
        <v>2</v>
      </c>
      <c r="AE24">
        <f t="shared" si="2"/>
        <v>3</v>
      </c>
      <c r="AF24">
        <f t="shared" si="2"/>
        <v>3</v>
      </c>
      <c r="AG24">
        <f t="shared" si="2"/>
        <v>4</v>
      </c>
    </row>
    <row r="25" spans="1:33" x14ac:dyDescent="0.35">
      <c r="A25" s="128" t="s">
        <v>127</v>
      </c>
      <c r="B25">
        <f t="shared" ref="B25:AG25" si="3">COUNTIF(B4:B20,"*NST7")</f>
        <v>2</v>
      </c>
      <c r="C25">
        <f t="shared" si="3"/>
        <v>3</v>
      </c>
      <c r="D25">
        <f t="shared" si="3"/>
        <v>4</v>
      </c>
      <c r="E25">
        <f t="shared" si="3"/>
        <v>3</v>
      </c>
      <c r="F25">
        <f t="shared" si="3"/>
        <v>4</v>
      </c>
      <c r="G25">
        <f t="shared" si="3"/>
        <v>3</v>
      </c>
      <c r="H25">
        <f t="shared" si="3"/>
        <v>3</v>
      </c>
      <c r="I25">
        <f t="shared" si="3"/>
        <v>2</v>
      </c>
      <c r="J25">
        <f t="shared" si="3"/>
        <v>3</v>
      </c>
      <c r="K25">
        <f t="shared" si="3"/>
        <v>3</v>
      </c>
      <c r="L25">
        <f t="shared" si="3"/>
        <v>3</v>
      </c>
      <c r="M25">
        <f t="shared" si="3"/>
        <v>4</v>
      </c>
      <c r="N25">
        <f t="shared" si="3"/>
        <v>4</v>
      </c>
      <c r="O25">
        <f t="shared" si="3"/>
        <v>3</v>
      </c>
      <c r="P25">
        <f t="shared" si="3"/>
        <v>2</v>
      </c>
      <c r="Q25">
        <f t="shared" si="3"/>
        <v>3</v>
      </c>
      <c r="R25">
        <f t="shared" si="3"/>
        <v>4</v>
      </c>
      <c r="S25">
        <f t="shared" si="3"/>
        <v>3</v>
      </c>
      <c r="T25">
        <f t="shared" si="3"/>
        <v>4</v>
      </c>
      <c r="U25">
        <f t="shared" si="3"/>
        <v>3</v>
      </c>
      <c r="V25">
        <f t="shared" si="3"/>
        <v>2</v>
      </c>
      <c r="W25">
        <f t="shared" si="3"/>
        <v>2</v>
      </c>
      <c r="X25">
        <f t="shared" si="3"/>
        <v>3</v>
      </c>
      <c r="Y25">
        <f t="shared" si="3"/>
        <v>4</v>
      </c>
      <c r="Z25">
        <f t="shared" si="3"/>
        <v>4</v>
      </c>
      <c r="AA25">
        <f t="shared" si="3"/>
        <v>3</v>
      </c>
      <c r="AB25">
        <f t="shared" si="3"/>
        <v>3</v>
      </c>
      <c r="AC25">
        <f t="shared" si="3"/>
        <v>2</v>
      </c>
      <c r="AD25">
        <f t="shared" si="3"/>
        <v>2</v>
      </c>
      <c r="AE25">
        <f t="shared" si="3"/>
        <v>3</v>
      </c>
      <c r="AF25">
        <f t="shared" si="3"/>
        <v>3</v>
      </c>
      <c r="AG25">
        <f t="shared" si="3"/>
        <v>3</v>
      </c>
    </row>
    <row r="26" spans="1:33" x14ac:dyDescent="0.35">
      <c r="A26" s="128" t="s">
        <v>128</v>
      </c>
      <c r="B26">
        <f t="shared" ref="B26:AG26" si="4">COUNTIF(B4:B20,"*GS")</f>
        <v>0</v>
      </c>
      <c r="C26">
        <f t="shared" si="4"/>
        <v>1</v>
      </c>
      <c r="D26">
        <f t="shared" si="4"/>
        <v>1</v>
      </c>
      <c r="E26">
        <f t="shared" si="4"/>
        <v>1</v>
      </c>
      <c r="F26">
        <f t="shared" si="4"/>
        <v>2</v>
      </c>
      <c r="G26">
        <f t="shared" si="4"/>
        <v>1</v>
      </c>
      <c r="H26">
        <f t="shared" si="4"/>
        <v>1</v>
      </c>
      <c r="I26">
        <f t="shared" si="4"/>
        <v>0</v>
      </c>
      <c r="J26">
        <f t="shared" si="4"/>
        <v>1</v>
      </c>
      <c r="K26">
        <f t="shared" si="4"/>
        <v>1</v>
      </c>
      <c r="L26">
        <f t="shared" si="4"/>
        <v>1</v>
      </c>
      <c r="M26">
        <f t="shared" si="4"/>
        <v>1</v>
      </c>
      <c r="N26">
        <f t="shared" si="4"/>
        <v>1</v>
      </c>
      <c r="O26">
        <f t="shared" si="4"/>
        <v>1</v>
      </c>
      <c r="P26">
        <f t="shared" si="4"/>
        <v>0</v>
      </c>
      <c r="Q26">
        <f t="shared" si="4"/>
        <v>0</v>
      </c>
      <c r="R26">
        <f t="shared" si="4"/>
        <v>2</v>
      </c>
      <c r="S26">
        <f t="shared" si="4"/>
        <v>2</v>
      </c>
      <c r="T26">
        <f t="shared" si="4"/>
        <v>2</v>
      </c>
      <c r="U26">
        <f t="shared" si="4"/>
        <v>1</v>
      </c>
      <c r="V26">
        <f t="shared" si="4"/>
        <v>1</v>
      </c>
      <c r="W26">
        <f t="shared" si="4"/>
        <v>0</v>
      </c>
      <c r="X26">
        <f t="shared" si="4"/>
        <v>1</v>
      </c>
      <c r="Y26">
        <f t="shared" si="4"/>
        <v>2</v>
      </c>
      <c r="Z26">
        <f t="shared" si="4"/>
        <v>2</v>
      </c>
      <c r="AA26">
        <f t="shared" si="4"/>
        <v>0</v>
      </c>
      <c r="AB26">
        <f t="shared" si="4"/>
        <v>1</v>
      </c>
      <c r="AC26">
        <f t="shared" si="4"/>
        <v>1</v>
      </c>
      <c r="AD26">
        <f t="shared" si="4"/>
        <v>0</v>
      </c>
      <c r="AE26">
        <f t="shared" si="4"/>
        <v>2</v>
      </c>
      <c r="AF26">
        <f t="shared" si="4"/>
        <v>3</v>
      </c>
      <c r="AG26">
        <f t="shared" si="4"/>
        <v>2</v>
      </c>
    </row>
    <row r="27" spans="1:33" x14ac:dyDescent="0.35">
      <c r="A27" s="128" t="s">
        <v>129</v>
      </c>
      <c r="B27">
        <f>COUNTIF(B4:B20,"C")</f>
        <v>0</v>
      </c>
      <c r="C27">
        <f>COUNTIF(C4:C20,"C")</f>
        <v>4</v>
      </c>
      <c r="D27">
        <f>COUNTIF(D4:D20,"WO")</f>
        <v>0</v>
      </c>
      <c r="E27">
        <f>COUNTIF(E4:E20,"WO")</f>
        <v>0</v>
      </c>
      <c r="F27">
        <f>COUNTIF(F4:F20,"C")</f>
        <v>0</v>
      </c>
      <c r="G27">
        <f>COUNTIF(G4:G20,"C")</f>
        <v>4</v>
      </c>
      <c r="H27">
        <f>COUNTIF(H4:H20,"C")</f>
        <v>0</v>
      </c>
      <c r="I27">
        <f>COUNTIF(I4:I20,"C")</f>
        <v>0</v>
      </c>
      <c r="J27">
        <f>COUNTIF(J4:J20,"C")</f>
        <v>4</v>
      </c>
      <c r="K27">
        <f>COUNTIF(K4:K20,"WO")</f>
        <v>0</v>
      </c>
      <c r="L27">
        <f>COUNTIF(L4:L20,"WO")</f>
        <v>0</v>
      </c>
      <c r="M27">
        <f>COUNTIF(M4:M20,"C")</f>
        <v>2</v>
      </c>
      <c r="N27">
        <f>COUNTIF(N4:N20,"C")</f>
        <v>1</v>
      </c>
      <c r="O27">
        <f>COUNTIF(O4:O20,"C")</f>
        <v>0</v>
      </c>
      <c r="P27">
        <f>COUNTIF(P4:P20,"C")</f>
        <v>0</v>
      </c>
      <c r="Q27">
        <f>COUNTIF(Q4:Q20,"C")</f>
        <v>2</v>
      </c>
      <c r="R27">
        <f>COUNTIF(R4:R20,"WO")</f>
        <v>0</v>
      </c>
      <c r="S27">
        <f>COUNTIF(S4:S20,"WO")</f>
        <v>0</v>
      </c>
      <c r="T27">
        <f>COUNTIF(T4:T20,"C")</f>
        <v>2</v>
      </c>
      <c r="U27">
        <f>COUNTIF(U4:U20,"C")</f>
        <v>3</v>
      </c>
      <c r="V27">
        <f>COUNTIF(V4:V20,"C")</f>
        <v>0</v>
      </c>
      <c r="W27">
        <f>COUNTIF(W4:W20,"C")</f>
        <v>0</v>
      </c>
      <c r="X27">
        <f>COUNTIF(X4:X20,"C")</f>
        <v>4</v>
      </c>
      <c r="Y27">
        <f>COUNTIF(Y4:Y20,"WO")</f>
        <v>0</v>
      </c>
      <c r="Z27">
        <f>COUNTIF(Z4:Z20,"WO")</f>
        <v>0</v>
      </c>
      <c r="AA27">
        <f>COUNTIF(AA4:AA20,"C")</f>
        <v>0</v>
      </c>
      <c r="AB27">
        <f>COUNTIF(AB4:AB20,"C")</f>
        <v>2</v>
      </c>
      <c r="AC27">
        <f>COUNTIF(AC4:AC20,"C")</f>
        <v>0</v>
      </c>
      <c r="AD27">
        <f>COUNTIF(AD4:AD20,"C")</f>
        <v>0</v>
      </c>
      <c r="AE27">
        <f>COUNTIF(AE4:AE20,"C")</f>
        <v>4</v>
      </c>
      <c r="AF27">
        <f>COUNTIF(AF4:AF20,"WO")</f>
        <v>0</v>
      </c>
      <c r="AG27">
        <f>COUNTIF(AG4:AG20,"WO")</f>
        <v>0</v>
      </c>
    </row>
    <row r="28" spans="1:33" x14ac:dyDescent="0.35">
      <c r="A28" s="128" t="s">
        <v>130</v>
      </c>
      <c r="B28">
        <f t="shared" ref="B28:AG28" si="5">COUNTIF(B4:B20,"PL")</f>
        <v>0</v>
      </c>
      <c r="C28">
        <f t="shared" si="5"/>
        <v>1</v>
      </c>
      <c r="D28">
        <f t="shared" si="5"/>
        <v>1</v>
      </c>
      <c r="E28">
        <f t="shared" si="5"/>
        <v>2</v>
      </c>
      <c r="F28">
        <f t="shared" si="5"/>
        <v>2</v>
      </c>
      <c r="G28">
        <f t="shared" si="5"/>
        <v>1</v>
      </c>
      <c r="H28">
        <f t="shared" si="5"/>
        <v>0</v>
      </c>
      <c r="I28">
        <f t="shared" si="5"/>
        <v>0</v>
      </c>
      <c r="J28">
        <f t="shared" si="5"/>
        <v>1</v>
      </c>
      <c r="K28">
        <f t="shared" si="5"/>
        <v>2</v>
      </c>
      <c r="L28">
        <f t="shared" si="5"/>
        <v>1</v>
      </c>
      <c r="M28">
        <f t="shared" si="5"/>
        <v>1</v>
      </c>
      <c r="N28">
        <f t="shared" si="5"/>
        <v>3</v>
      </c>
      <c r="O28">
        <f t="shared" si="5"/>
        <v>0</v>
      </c>
      <c r="P28">
        <f t="shared" si="5"/>
        <v>0</v>
      </c>
      <c r="Q28">
        <f t="shared" si="5"/>
        <v>4</v>
      </c>
      <c r="R28">
        <f t="shared" si="5"/>
        <v>2</v>
      </c>
      <c r="S28">
        <f t="shared" si="5"/>
        <v>1</v>
      </c>
      <c r="T28">
        <f t="shared" si="5"/>
        <v>1</v>
      </c>
      <c r="U28">
        <f t="shared" si="5"/>
        <v>2</v>
      </c>
      <c r="V28">
        <f t="shared" si="5"/>
        <v>0</v>
      </c>
      <c r="W28">
        <f t="shared" si="5"/>
        <v>0</v>
      </c>
      <c r="X28">
        <f t="shared" si="5"/>
        <v>1</v>
      </c>
      <c r="Y28">
        <f t="shared" si="5"/>
        <v>0</v>
      </c>
      <c r="Z28">
        <f t="shared" si="5"/>
        <v>1</v>
      </c>
      <c r="AA28">
        <f t="shared" si="5"/>
        <v>1</v>
      </c>
      <c r="AB28">
        <f t="shared" si="5"/>
        <v>2</v>
      </c>
      <c r="AC28">
        <f t="shared" si="5"/>
        <v>2</v>
      </c>
      <c r="AD28">
        <f t="shared" si="5"/>
        <v>2</v>
      </c>
      <c r="AE28">
        <f t="shared" si="5"/>
        <v>0</v>
      </c>
      <c r="AF28">
        <f t="shared" si="5"/>
        <v>1</v>
      </c>
      <c r="AG28">
        <f t="shared" si="5"/>
        <v>2</v>
      </c>
    </row>
    <row r="29" spans="1:33" x14ac:dyDescent="0.35">
      <c r="A29" s="128" t="s">
        <v>33</v>
      </c>
      <c r="B29">
        <f t="shared" ref="B29:AG29" si="6">COUNTIF(B4:B20,"UPL")</f>
        <v>0</v>
      </c>
      <c r="C29">
        <f t="shared" si="6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  <c r="K29">
        <f t="shared" si="6"/>
        <v>0</v>
      </c>
      <c r="L29">
        <f t="shared" si="6"/>
        <v>0</v>
      </c>
      <c r="M29">
        <f t="shared" si="6"/>
        <v>0</v>
      </c>
      <c r="N29">
        <f t="shared" si="6"/>
        <v>0</v>
      </c>
      <c r="O29">
        <f t="shared" si="6"/>
        <v>0</v>
      </c>
      <c r="P29">
        <f t="shared" si="6"/>
        <v>0</v>
      </c>
      <c r="Q29">
        <f t="shared" si="6"/>
        <v>0</v>
      </c>
      <c r="R29">
        <f t="shared" si="6"/>
        <v>0</v>
      </c>
      <c r="S29">
        <f t="shared" si="6"/>
        <v>0</v>
      </c>
      <c r="T29">
        <f t="shared" si="6"/>
        <v>0</v>
      </c>
      <c r="U29">
        <f t="shared" si="6"/>
        <v>0</v>
      </c>
      <c r="V29">
        <f t="shared" si="6"/>
        <v>0</v>
      </c>
      <c r="W29">
        <f t="shared" si="6"/>
        <v>0</v>
      </c>
      <c r="X29">
        <f t="shared" si="6"/>
        <v>0</v>
      </c>
      <c r="Y29">
        <f t="shared" si="6"/>
        <v>1</v>
      </c>
      <c r="Z29">
        <f t="shared" si="6"/>
        <v>0</v>
      </c>
      <c r="AA29">
        <f t="shared" si="6"/>
        <v>0</v>
      </c>
      <c r="AB29">
        <f t="shared" si="6"/>
        <v>0</v>
      </c>
      <c r="AC29">
        <f t="shared" si="6"/>
        <v>0</v>
      </c>
      <c r="AD29">
        <f t="shared" si="6"/>
        <v>0</v>
      </c>
      <c r="AE29">
        <f t="shared" si="6"/>
        <v>0</v>
      </c>
      <c r="AF29">
        <f t="shared" si="6"/>
        <v>0</v>
      </c>
      <c r="AG29">
        <f t="shared" si="6"/>
        <v>0</v>
      </c>
    </row>
    <row r="30" spans="1:33" x14ac:dyDescent="0.35">
      <c r="A30" s="128" t="s">
        <v>141</v>
      </c>
      <c r="B30">
        <f t="shared" ref="B30:AG30" si="7">COUNTIF(B4:B20,"H")</f>
        <v>0</v>
      </c>
      <c r="C30">
        <f t="shared" si="7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7"/>
        <v>0</v>
      </c>
      <c r="I30">
        <f t="shared" si="7"/>
        <v>0</v>
      </c>
      <c r="J30">
        <f t="shared" si="7"/>
        <v>0</v>
      </c>
      <c r="K30">
        <f t="shared" si="7"/>
        <v>0</v>
      </c>
      <c r="L30">
        <f t="shared" si="7"/>
        <v>0</v>
      </c>
      <c r="M30">
        <f t="shared" si="7"/>
        <v>0</v>
      </c>
      <c r="N30">
        <f t="shared" si="7"/>
        <v>0</v>
      </c>
      <c r="O30">
        <f t="shared" si="7"/>
        <v>0</v>
      </c>
      <c r="P30">
        <f t="shared" si="7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7"/>
        <v>0</v>
      </c>
      <c r="U30">
        <f t="shared" si="7"/>
        <v>0</v>
      </c>
      <c r="V30">
        <f t="shared" si="7"/>
        <v>0</v>
      </c>
      <c r="W30">
        <f t="shared" si="7"/>
        <v>0</v>
      </c>
      <c r="X30">
        <f t="shared" si="7"/>
        <v>0</v>
      </c>
      <c r="Y30">
        <f t="shared" si="7"/>
        <v>0</v>
      </c>
      <c r="Z30">
        <f t="shared" si="7"/>
        <v>0</v>
      </c>
      <c r="AA30">
        <f t="shared" si="7"/>
        <v>5</v>
      </c>
      <c r="AB30">
        <f t="shared" si="7"/>
        <v>0</v>
      </c>
      <c r="AC30">
        <f t="shared" si="7"/>
        <v>0</v>
      </c>
      <c r="AD30">
        <f t="shared" si="7"/>
        <v>0</v>
      </c>
      <c r="AE30">
        <f t="shared" si="7"/>
        <v>0</v>
      </c>
      <c r="AF30">
        <f t="shared" si="7"/>
        <v>0</v>
      </c>
      <c r="AG30">
        <f t="shared" si="7"/>
        <v>0</v>
      </c>
    </row>
    <row r="31" spans="1:33" x14ac:dyDescent="0.35">
      <c r="A31" s="128" t="s">
        <v>131</v>
      </c>
      <c r="B31" s="129">
        <f t="shared" ref="B31:E31" si="8">SUM(B23:B30)</f>
        <v>6</v>
      </c>
      <c r="C31" s="129">
        <f t="shared" si="8"/>
        <v>15</v>
      </c>
      <c r="D31" s="129">
        <f>SUM(D23:D30)</f>
        <v>13</v>
      </c>
      <c r="E31" s="129">
        <f t="shared" si="8"/>
        <v>13</v>
      </c>
      <c r="F31" s="129">
        <f t="shared" ref="F31:AF31" si="9">SUM(F23:F30)</f>
        <v>15</v>
      </c>
      <c r="G31" s="129">
        <f t="shared" si="9"/>
        <v>15</v>
      </c>
      <c r="H31" s="129">
        <f t="shared" si="9"/>
        <v>8</v>
      </c>
      <c r="I31" s="129">
        <f t="shared" si="9"/>
        <v>6</v>
      </c>
      <c r="J31" s="129">
        <f t="shared" si="9"/>
        <v>15</v>
      </c>
      <c r="K31" s="129">
        <f t="shared" si="9"/>
        <v>12</v>
      </c>
      <c r="L31" s="129">
        <f t="shared" si="9"/>
        <v>11</v>
      </c>
      <c r="M31" s="129">
        <f t="shared" si="9"/>
        <v>15</v>
      </c>
      <c r="N31" s="129">
        <f t="shared" si="9"/>
        <v>15</v>
      </c>
      <c r="O31" s="129">
        <f t="shared" si="9"/>
        <v>8</v>
      </c>
      <c r="P31" s="129">
        <f t="shared" si="9"/>
        <v>6</v>
      </c>
      <c r="Q31" s="129">
        <f t="shared" si="9"/>
        <v>15</v>
      </c>
      <c r="R31" s="129">
        <f t="shared" si="9"/>
        <v>14</v>
      </c>
      <c r="S31" s="129">
        <f t="shared" si="9"/>
        <v>12</v>
      </c>
      <c r="T31" s="129">
        <f t="shared" si="9"/>
        <v>15</v>
      </c>
      <c r="U31" s="129">
        <f t="shared" si="9"/>
        <v>15</v>
      </c>
      <c r="V31" s="129">
        <f t="shared" si="9"/>
        <v>7</v>
      </c>
      <c r="W31" s="129">
        <f t="shared" si="9"/>
        <v>6</v>
      </c>
      <c r="X31" s="129">
        <f t="shared" si="9"/>
        <v>15</v>
      </c>
      <c r="Y31" s="129">
        <f t="shared" si="9"/>
        <v>14</v>
      </c>
      <c r="Z31" s="129">
        <f t="shared" si="9"/>
        <v>13</v>
      </c>
      <c r="AA31" s="129">
        <f t="shared" si="9"/>
        <v>15</v>
      </c>
      <c r="AB31" s="129">
        <f t="shared" si="9"/>
        <v>15</v>
      </c>
      <c r="AC31" s="129">
        <f t="shared" si="9"/>
        <v>9</v>
      </c>
      <c r="AD31" s="129">
        <f t="shared" si="9"/>
        <v>8</v>
      </c>
      <c r="AE31" s="129">
        <f t="shared" si="9"/>
        <v>15</v>
      </c>
      <c r="AF31" s="129">
        <f t="shared" si="9"/>
        <v>13</v>
      </c>
      <c r="AG31" s="129">
        <f t="shared" ref="AG31" si="10">SUM(AG23:AG30)</f>
        <v>14</v>
      </c>
    </row>
  </sheetData>
  <conditionalFormatting sqref="B23:AG26">
    <cfRule type="cellIs" dxfId="842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AH30"/>
  <sheetViews>
    <sheetView zoomScale="70" zoomScaleNormal="70" workbookViewId="0">
      <pane xSplit="1" topLeftCell="B1" activePane="topRight" state="frozen"/>
      <selection pane="topRight" activeCell="V10" sqref="V10"/>
    </sheetView>
  </sheetViews>
  <sheetFormatPr defaultRowHeight="14.5" x14ac:dyDescent="0.35"/>
  <cols>
    <col min="1" max="1" width="23.81640625" bestFit="1" customWidth="1"/>
    <col min="2" max="8" width="8.7265625" customWidth="1"/>
    <col min="13" max="31" width="8.7265625" customWidth="1"/>
  </cols>
  <sheetData>
    <row r="1" spans="1:34" x14ac:dyDescent="0.35">
      <c r="A1" s="1"/>
      <c r="B1" s="2" t="str">
        <f t="shared" ref="B1:AH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H1" s="2" t="str">
        <f t="shared" si="0"/>
        <v>Fri</v>
      </c>
    </row>
    <row r="2" spans="1:34" x14ac:dyDescent="0.35">
      <c r="A2" s="95" t="s">
        <v>0</v>
      </c>
      <c r="B2" s="29">
        <v>44956</v>
      </c>
      <c r="C2" s="29">
        <v>44957</v>
      </c>
      <c r="D2" s="29">
        <v>44958</v>
      </c>
      <c r="E2" s="29">
        <v>44959</v>
      </c>
      <c r="F2" s="29">
        <v>44960</v>
      </c>
      <c r="G2" s="29">
        <v>44961</v>
      </c>
      <c r="H2" s="29">
        <v>44962</v>
      </c>
      <c r="I2" s="29">
        <v>44963</v>
      </c>
      <c r="J2" s="29">
        <v>44964</v>
      </c>
      <c r="K2" s="29">
        <v>44965</v>
      </c>
      <c r="L2" s="29">
        <v>44966</v>
      </c>
      <c r="M2" s="29">
        <v>44967</v>
      </c>
      <c r="N2" s="29">
        <v>44968</v>
      </c>
      <c r="O2" s="29">
        <v>44969</v>
      </c>
      <c r="P2" s="29">
        <v>44970</v>
      </c>
      <c r="Q2" s="29">
        <v>44971</v>
      </c>
      <c r="R2" s="29">
        <v>44972</v>
      </c>
      <c r="S2" s="29">
        <v>44973</v>
      </c>
      <c r="T2" s="29">
        <v>44974</v>
      </c>
      <c r="U2" s="29">
        <v>44975</v>
      </c>
      <c r="V2" s="29">
        <v>44976</v>
      </c>
      <c r="W2" s="29">
        <v>44977</v>
      </c>
      <c r="X2" s="29">
        <v>44978</v>
      </c>
      <c r="Y2" s="29">
        <v>44979</v>
      </c>
      <c r="Z2" s="29">
        <v>44980</v>
      </c>
      <c r="AA2" s="29">
        <v>44981</v>
      </c>
      <c r="AB2" s="29">
        <v>44982</v>
      </c>
      <c r="AC2" s="29">
        <v>44983</v>
      </c>
      <c r="AD2" s="29">
        <v>44984</v>
      </c>
      <c r="AE2" s="29">
        <v>44985</v>
      </c>
      <c r="AF2" s="29">
        <v>44986</v>
      </c>
      <c r="AG2" s="29">
        <v>44987</v>
      </c>
      <c r="AH2" s="29">
        <v>44988</v>
      </c>
    </row>
    <row r="3" spans="1:34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</row>
    <row r="4" spans="1:34" x14ac:dyDescent="0.35">
      <c r="A4" s="165" t="s">
        <v>12</v>
      </c>
      <c r="B4" s="16" t="s">
        <v>10</v>
      </c>
      <c r="C4" s="16" t="s">
        <v>10</v>
      </c>
      <c r="D4" s="116" t="s">
        <v>2</v>
      </c>
      <c r="E4" s="25" t="s">
        <v>6</v>
      </c>
      <c r="F4" s="25" t="s">
        <v>6</v>
      </c>
      <c r="G4" s="25" t="s">
        <v>3</v>
      </c>
      <c r="H4" s="25" t="s">
        <v>3</v>
      </c>
      <c r="I4" s="122" t="s">
        <v>5</v>
      </c>
      <c r="J4" s="122" t="s">
        <v>5</v>
      </c>
      <c r="K4" s="122" t="s">
        <v>5</v>
      </c>
      <c r="L4" s="122" t="s">
        <v>5</v>
      </c>
      <c r="M4" s="122" t="s">
        <v>5</v>
      </c>
      <c r="N4" s="25" t="s">
        <v>3</v>
      </c>
      <c r="O4" s="25" t="s">
        <v>3</v>
      </c>
      <c r="P4" s="25" t="s">
        <v>6</v>
      </c>
      <c r="Q4" s="116" t="s">
        <v>2</v>
      </c>
      <c r="R4" s="25" t="s">
        <v>6</v>
      </c>
      <c r="S4" s="25" t="s">
        <v>6</v>
      </c>
      <c r="T4" s="25" t="s">
        <v>6</v>
      </c>
      <c r="U4" s="25" t="s">
        <v>3</v>
      </c>
      <c r="V4" s="114" t="s">
        <v>4</v>
      </c>
      <c r="W4" s="116" t="s">
        <v>2</v>
      </c>
      <c r="X4" s="25" t="s">
        <v>6</v>
      </c>
      <c r="Y4" s="25" t="s">
        <v>6</v>
      </c>
      <c r="Z4" s="25" t="s">
        <v>6</v>
      </c>
      <c r="AA4" s="25" t="s">
        <v>6</v>
      </c>
      <c r="AB4" s="25" t="s">
        <v>3</v>
      </c>
      <c r="AC4" s="114" t="s">
        <v>4</v>
      </c>
      <c r="AD4" s="116" t="s">
        <v>2</v>
      </c>
      <c r="AE4" s="25" t="s">
        <v>6</v>
      </c>
      <c r="AF4" s="19" t="s">
        <v>41</v>
      </c>
      <c r="AG4" s="19" t="s">
        <v>41</v>
      </c>
      <c r="AH4" s="19" t="s">
        <v>41</v>
      </c>
    </row>
    <row r="5" spans="1:34" x14ac:dyDescent="0.35">
      <c r="A5" s="141" t="s">
        <v>21</v>
      </c>
      <c r="B5" s="116" t="s">
        <v>2</v>
      </c>
      <c r="C5" s="22" t="s">
        <v>16</v>
      </c>
      <c r="D5" s="25" t="s">
        <v>6</v>
      </c>
      <c r="E5" s="25" t="s">
        <v>6</v>
      </c>
      <c r="F5" s="116" t="s">
        <v>2</v>
      </c>
      <c r="G5" s="114" t="s">
        <v>4</v>
      </c>
      <c r="H5" s="114" t="s">
        <v>4</v>
      </c>
      <c r="I5" s="25" t="s">
        <v>6</v>
      </c>
      <c r="J5" s="25" t="s">
        <v>6</v>
      </c>
      <c r="K5" s="25" t="s">
        <v>6</v>
      </c>
      <c r="L5" s="25" t="s">
        <v>6</v>
      </c>
      <c r="M5" s="25" t="s">
        <v>6</v>
      </c>
      <c r="N5" s="122" t="s">
        <v>5</v>
      </c>
      <c r="O5" s="122" t="s">
        <v>5</v>
      </c>
      <c r="P5" s="122" t="s">
        <v>5</v>
      </c>
      <c r="Q5" s="25" t="s">
        <v>6</v>
      </c>
      <c r="R5" s="25" t="s">
        <v>6</v>
      </c>
      <c r="S5" s="25" t="s">
        <v>6</v>
      </c>
      <c r="T5" s="25" t="s">
        <v>6</v>
      </c>
      <c r="U5" s="114" t="s">
        <v>4</v>
      </c>
      <c r="V5" s="25" t="s">
        <v>3</v>
      </c>
      <c r="W5" s="25" t="s">
        <v>6</v>
      </c>
      <c r="X5" s="25" t="s">
        <v>6</v>
      </c>
      <c r="Y5" s="25" t="s">
        <v>6</v>
      </c>
      <c r="Z5" s="25" t="s">
        <v>6</v>
      </c>
      <c r="AA5" s="25" t="s">
        <v>6</v>
      </c>
      <c r="AB5" s="114" t="s">
        <v>4</v>
      </c>
      <c r="AC5" s="25" t="s">
        <v>3</v>
      </c>
      <c r="AD5" s="25" t="s">
        <v>6</v>
      </c>
      <c r="AE5" s="116" t="s">
        <v>2</v>
      </c>
      <c r="AF5" s="19" t="s">
        <v>41</v>
      </c>
      <c r="AG5" s="19" t="s">
        <v>41</v>
      </c>
      <c r="AH5" s="116" t="s">
        <v>2</v>
      </c>
    </row>
    <row r="6" spans="1:34" x14ac:dyDescent="0.35">
      <c r="A6" s="141" t="s">
        <v>69</v>
      </c>
      <c r="B6" s="16" t="s">
        <v>10</v>
      </c>
      <c r="C6" s="116" t="s">
        <v>2</v>
      </c>
      <c r="D6" s="25" t="s">
        <v>6</v>
      </c>
      <c r="E6" s="25" t="s">
        <v>6</v>
      </c>
      <c r="F6" s="25" t="s">
        <v>6</v>
      </c>
      <c r="G6" s="114" t="s">
        <v>4</v>
      </c>
      <c r="H6" s="25" t="s">
        <v>3</v>
      </c>
      <c r="I6" s="25" t="s">
        <v>6</v>
      </c>
      <c r="J6" s="25" t="s">
        <v>6</v>
      </c>
      <c r="K6" s="25" t="s">
        <v>6</v>
      </c>
      <c r="L6" s="25" t="s">
        <v>6</v>
      </c>
      <c r="M6" s="25" t="s">
        <v>6</v>
      </c>
      <c r="N6" s="114" t="s">
        <v>4</v>
      </c>
      <c r="O6" s="114" t="s">
        <v>4</v>
      </c>
      <c r="P6" s="116" t="s">
        <v>2</v>
      </c>
      <c r="Q6" s="25" t="s">
        <v>6</v>
      </c>
      <c r="R6" s="25" t="s">
        <v>6</v>
      </c>
      <c r="S6" s="122" t="s">
        <v>5</v>
      </c>
      <c r="T6" s="122" t="s">
        <v>5</v>
      </c>
      <c r="U6" s="122" t="s">
        <v>5</v>
      </c>
      <c r="V6" s="122" t="s">
        <v>5</v>
      </c>
      <c r="W6" s="122" t="s">
        <v>5</v>
      </c>
      <c r="X6" s="122" t="s">
        <v>5</v>
      </c>
      <c r="Y6" s="122" t="s">
        <v>5</v>
      </c>
      <c r="Z6" s="122" t="s">
        <v>5</v>
      </c>
      <c r="AA6" s="122" t="s">
        <v>5</v>
      </c>
      <c r="AB6" s="25" t="s">
        <v>3</v>
      </c>
      <c r="AC6" s="114" t="s">
        <v>4</v>
      </c>
      <c r="AD6" s="25" t="s">
        <v>6</v>
      </c>
      <c r="AE6" s="25" t="s">
        <v>6</v>
      </c>
      <c r="AF6" s="19" t="s">
        <v>41</v>
      </c>
      <c r="AG6" s="116" t="s">
        <v>2</v>
      </c>
      <c r="AH6" s="19" t="s">
        <v>41</v>
      </c>
    </row>
    <row r="7" spans="1:34" x14ac:dyDescent="0.35">
      <c r="A7" s="141" t="s">
        <v>71</v>
      </c>
      <c r="B7" s="116" t="s">
        <v>2</v>
      </c>
      <c r="C7" s="22" t="s">
        <v>16</v>
      </c>
      <c r="D7" s="25" t="s">
        <v>6</v>
      </c>
      <c r="E7" s="25" t="s">
        <v>6</v>
      </c>
      <c r="F7" s="25" t="s">
        <v>6</v>
      </c>
      <c r="G7" s="25" t="s">
        <v>3</v>
      </c>
      <c r="H7" s="114" t="s">
        <v>4</v>
      </c>
      <c r="I7" s="116" t="s">
        <v>2</v>
      </c>
      <c r="J7" s="25" t="s">
        <v>6</v>
      </c>
      <c r="K7" s="25" t="s">
        <v>6</v>
      </c>
      <c r="L7" s="25" t="s">
        <v>6</v>
      </c>
      <c r="M7" s="122" t="s">
        <v>5</v>
      </c>
      <c r="N7" s="122" t="s">
        <v>5</v>
      </c>
      <c r="O7" s="25" t="s">
        <v>3</v>
      </c>
      <c r="P7" s="25" t="s">
        <v>6</v>
      </c>
      <c r="Q7" s="25" t="s">
        <v>6</v>
      </c>
      <c r="R7" s="25" t="s">
        <v>6</v>
      </c>
      <c r="S7" s="25" t="s">
        <v>6</v>
      </c>
      <c r="T7" s="116" t="s">
        <v>2</v>
      </c>
      <c r="U7" s="114" t="s">
        <v>4</v>
      </c>
      <c r="V7" s="25" t="s">
        <v>3</v>
      </c>
      <c r="W7" s="25" t="s">
        <v>6</v>
      </c>
      <c r="X7" s="25" t="s">
        <v>6</v>
      </c>
      <c r="Y7" s="25" t="s">
        <v>6</v>
      </c>
      <c r="Z7" s="25" t="s">
        <v>6</v>
      </c>
      <c r="AA7" s="116" t="s">
        <v>2</v>
      </c>
      <c r="AB7" s="114" t="s">
        <v>4</v>
      </c>
      <c r="AC7" s="25" t="s">
        <v>3</v>
      </c>
      <c r="AD7" s="25" t="s">
        <v>6</v>
      </c>
      <c r="AE7" s="25" t="s">
        <v>6</v>
      </c>
      <c r="AF7" s="22" t="s">
        <v>16</v>
      </c>
      <c r="AG7" s="19" t="s">
        <v>41</v>
      </c>
      <c r="AH7" s="116" t="s">
        <v>2</v>
      </c>
    </row>
    <row r="8" spans="1:34" x14ac:dyDescent="0.35">
      <c r="A8" s="141" t="s">
        <v>70</v>
      </c>
      <c r="B8" s="16" t="s">
        <v>10</v>
      </c>
      <c r="C8" s="16" t="s">
        <v>10</v>
      </c>
      <c r="D8" s="122" t="s">
        <v>5</v>
      </c>
      <c r="E8" s="122" t="s">
        <v>5</v>
      </c>
      <c r="F8" s="25" t="s">
        <v>6</v>
      </c>
      <c r="G8" s="22" t="s">
        <v>30</v>
      </c>
      <c r="H8" s="114" t="s">
        <v>4</v>
      </c>
      <c r="I8" s="25" t="s">
        <v>6</v>
      </c>
      <c r="J8" s="25" t="s">
        <v>6</v>
      </c>
      <c r="K8" s="116" t="s">
        <v>2</v>
      </c>
      <c r="L8" s="25" t="s">
        <v>6</v>
      </c>
      <c r="M8" s="25" t="s">
        <v>6</v>
      </c>
      <c r="N8" s="25" t="s">
        <v>3</v>
      </c>
      <c r="O8" s="114" t="s">
        <v>4</v>
      </c>
      <c r="P8" s="25" t="s">
        <v>6</v>
      </c>
      <c r="Q8" s="25" t="s">
        <v>6</v>
      </c>
      <c r="R8" s="116" t="s">
        <v>2</v>
      </c>
      <c r="S8" s="25" t="s">
        <v>6</v>
      </c>
      <c r="T8" s="25" t="s">
        <v>6</v>
      </c>
      <c r="U8" s="25" t="s">
        <v>3</v>
      </c>
      <c r="V8" s="114" t="s">
        <v>4</v>
      </c>
      <c r="W8" s="25" t="s">
        <v>6</v>
      </c>
      <c r="X8" s="25" t="s">
        <v>6</v>
      </c>
      <c r="Y8" s="116" t="s">
        <v>2</v>
      </c>
      <c r="Z8" s="25" t="s">
        <v>6</v>
      </c>
      <c r="AA8" s="25" t="s">
        <v>6</v>
      </c>
      <c r="AB8" s="22" t="s">
        <v>30</v>
      </c>
      <c r="AC8" s="114" t="s">
        <v>4</v>
      </c>
      <c r="AD8" s="25" t="s">
        <v>6</v>
      </c>
      <c r="AE8" s="25" t="s">
        <v>6</v>
      </c>
      <c r="AF8" s="116" t="s">
        <v>2</v>
      </c>
      <c r="AG8" s="19" t="s">
        <v>41</v>
      </c>
      <c r="AH8" s="19" t="s">
        <v>41</v>
      </c>
    </row>
    <row r="9" spans="1:34" x14ac:dyDescent="0.35">
      <c r="A9" s="166"/>
      <c r="B9" s="167"/>
      <c r="C9" s="168"/>
    </row>
    <row r="10" spans="1:34" x14ac:dyDescent="0.35">
      <c r="A10" s="165" t="s">
        <v>9</v>
      </c>
      <c r="B10" s="25" t="s">
        <v>6</v>
      </c>
      <c r="C10" s="25" t="s">
        <v>6</v>
      </c>
      <c r="D10" s="19" t="s">
        <v>41</v>
      </c>
      <c r="E10" s="116" t="s">
        <v>2</v>
      </c>
      <c r="F10" s="116" t="s">
        <v>2</v>
      </c>
      <c r="G10" s="19" t="s">
        <v>42</v>
      </c>
      <c r="H10" s="19" t="s">
        <v>42</v>
      </c>
      <c r="I10" s="116" t="s">
        <v>2</v>
      </c>
      <c r="J10" s="116" t="s">
        <v>2</v>
      </c>
      <c r="K10" s="22" t="s">
        <v>16</v>
      </c>
      <c r="L10" s="22" t="s">
        <v>16</v>
      </c>
      <c r="M10" s="22" t="s">
        <v>16</v>
      </c>
      <c r="N10" s="19" t="s">
        <v>42</v>
      </c>
      <c r="O10" s="19" t="s">
        <v>42</v>
      </c>
      <c r="P10" s="116" t="s">
        <v>2</v>
      </c>
      <c r="Q10" s="116" t="s">
        <v>2</v>
      </c>
      <c r="R10" s="19" t="s">
        <v>41</v>
      </c>
      <c r="S10" s="122" t="s">
        <v>5</v>
      </c>
      <c r="T10" s="122" t="s">
        <v>5</v>
      </c>
      <c r="U10" s="19" t="s">
        <v>42</v>
      </c>
      <c r="V10" s="19" t="s">
        <v>42</v>
      </c>
      <c r="W10" s="19" t="s">
        <v>41</v>
      </c>
      <c r="X10" s="19" t="s">
        <v>41</v>
      </c>
      <c r="Y10" s="19" t="s">
        <v>41</v>
      </c>
      <c r="Z10" s="19" t="s">
        <v>41</v>
      </c>
      <c r="AA10" s="122" t="s">
        <v>5</v>
      </c>
      <c r="AB10" s="122" t="s">
        <v>5</v>
      </c>
      <c r="AC10" s="122" t="s">
        <v>5</v>
      </c>
      <c r="AD10" s="19" t="s">
        <v>41</v>
      </c>
      <c r="AE10" s="19" t="s">
        <v>41</v>
      </c>
      <c r="AF10" s="16" t="s">
        <v>10</v>
      </c>
      <c r="AG10" s="16" t="s">
        <v>10</v>
      </c>
      <c r="AH10" s="16" t="s">
        <v>10</v>
      </c>
    </row>
    <row r="11" spans="1:34" x14ac:dyDescent="0.35">
      <c r="A11" s="165" t="s">
        <v>15</v>
      </c>
      <c r="B11" s="116" t="s">
        <v>2</v>
      </c>
      <c r="C11" s="25" t="s">
        <v>6</v>
      </c>
      <c r="D11" s="19" t="s">
        <v>41</v>
      </c>
      <c r="E11" s="19" t="s">
        <v>41</v>
      </c>
      <c r="F11" s="19" t="s">
        <v>41</v>
      </c>
      <c r="G11" s="114" t="s">
        <v>4</v>
      </c>
      <c r="H11" s="19" t="s">
        <v>42</v>
      </c>
      <c r="I11" s="19" t="s">
        <v>41</v>
      </c>
      <c r="J11" s="19" t="s">
        <v>41</v>
      </c>
      <c r="K11" s="122" t="s">
        <v>5</v>
      </c>
      <c r="L11" s="122" t="s">
        <v>5</v>
      </c>
      <c r="M11" s="122" t="s">
        <v>5</v>
      </c>
      <c r="N11" s="122" t="s">
        <v>4</v>
      </c>
      <c r="O11" s="122" t="s">
        <v>4</v>
      </c>
      <c r="P11" s="19" t="s">
        <v>41</v>
      </c>
      <c r="Q11" s="19" t="s">
        <v>41</v>
      </c>
      <c r="R11" s="19" t="s">
        <v>41</v>
      </c>
      <c r="S11" s="19" t="s">
        <v>41</v>
      </c>
      <c r="T11" s="19" t="s">
        <v>41</v>
      </c>
      <c r="U11" s="114" t="s">
        <v>4</v>
      </c>
      <c r="V11" s="19" t="s">
        <v>42</v>
      </c>
      <c r="W11" s="19" t="s">
        <v>41</v>
      </c>
      <c r="X11" s="19" t="s">
        <v>41</v>
      </c>
      <c r="Y11" s="19" t="s">
        <v>41</v>
      </c>
      <c r="Z11" s="116" t="s">
        <v>2</v>
      </c>
      <c r="AA11" s="19" t="s">
        <v>41</v>
      </c>
      <c r="AB11" s="19" t="s">
        <v>42</v>
      </c>
      <c r="AC11" s="19" t="s">
        <v>42</v>
      </c>
      <c r="AD11" s="19" t="s">
        <v>41</v>
      </c>
      <c r="AE11" s="19" t="s">
        <v>41</v>
      </c>
      <c r="AF11" s="16" t="s">
        <v>10</v>
      </c>
      <c r="AG11" s="16" t="s">
        <v>10</v>
      </c>
      <c r="AH11" s="16" t="s">
        <v>10</v>
      </c>
    </row>
    <row r="12" spans="1:34" x14ac:dyDescent="0.35">
      <c r="A12" s="141" t="s">
        <v>22</v>
      </c>
      <c r="B12" s="25" t="s">
        <v>6</v>
      </c>
      <c r="C12" s="122" t="s">
        <v>5</v>
      </c>
      <c r="D12" s="122" t="s">
        <v>5</v>
      </c>
      <c r="E12" s="19" t="s">
        <v>41</v>
      </c>
      <c r="F12" s="19" t="s">
        <v>41</v>
      </c>
      <c r="G12" s="19" t="s">
        <v>42</v>
      </c>
      <c r="H12" s="114" t="s">
        <v>4</v>
      </c>
      <c r="I12" s="116" t="s">
        <v>2</v>
      </c>
      <c r="J12" s="19" t="s">
        <v>41</v>
      </c>
      <c r="K12" s="19" t="s">
        <v>41</v>
      </c>
      <c r="L12" s="19" t="s">
        <v>41</v>
      </c>
      <c r="M12" s="19" t="s">
        <v>41</v>
      </c>
      <c r="N12" s="19" t="s">
        <v>42</v>
      </c>
      <c r="O12" s="114" t="s">
        <v>4</v>
      </c>
      <c r="P12" s="116" t="s">
        <v>2</v>
      </c>
      <c r="Q12" s="19" t="s">
        <v>41</v>
      </c>
      <c r="R12" s="19" t="s">
        <v>41</v>
      </c>
      <c r="S12" s="19" t="s">
        <v>41</v>
      </c>
      <c r="T12" s="19" t="s">
        <v>41</v>
      </c>
      <c r="U12" s="19" t="s">
        <v>42</v>
      </c>
      <c r="V12" s="114" t="s">
        <v>4</v>
      </c>
      <c r="W12" s="116" t="s">
        <v>2</v>
      </c>
      <c r="X12" s="19" t="s">
        <v>41</v>
      </c>
      <c r="Y12" s="19" t="s">
        <v>41</v>
      </c>
      <c r="Z12" s="19" t="s">
        <v>41</v>
      </c>
      <c r="AA12" s="122" t="s">
        <v>5</v>
      </c>
      <c r="AB12" s="122" t="s">
        <v>4</v>
      </c>
      <c r="AC12" s="122" t="s">
        <v>4</v>
      </c>
      <c r="AD12" s="122" t="s">
        <v>5</v>
      </c>
      <c r="AE12" s="122" t="s">
        <v>5</v>
      </c>
      <c r="AF12" s="122" t="s">
        <v>5</v>
      </c>
      <c r="AG12" s="122" t="s">
        <v>5</v>
      </c>
      <c r="AH12" s="122" t="s">
        <v>5</v>
      </c>
    </row>
    <row r="13" spans="1:34" x14ac:dyDescent="0.35">
      <c r="A13" s="141" t="s">
        <v>149</v>
      </c>
      <c r="B13" s="22" t="s">
        <v>16</v>
      </c>
      <c r="C13" s="22" t="s">
        <v>16</v>
      </c>
      <c r="D13" s="19" t="s">
        <v>41</v>
      </c>
      <c r="E13" s="19" t="s">
        <v>41</v>
      </c>
      <c r="F13" s="19" t="s">
        <v>41</v>
      </c>
      <c r="G13" s="114" t="s">
        <v>4</v>
      </c>
      <c r="H13" s="114" t="s">
        <v>4</v>
      </c>
      <c r="I13" s="19" t="s">
        <v>41</v>
      </c>
      <c r="J13" s="19" t="s">
        <v>41</v>
      </c>
      <c r="K13" s="19" t="s">
        <v>41</v>
      </c>
      <c r="L13" s="19" t="s">
        <v>41</v>
      </c>
      <c r="M13" s="19" t="s">
        <v>41</v>
      </c>
      <c r="N13" s="114" t="s">
        <v>4</v>
      </c>
      <c r="O13" s="114" t="s">
        <v>4</v>
      </c>
      <c r="P13" s="19" t="s">
        <v>41</v>
      </c>
      <c r="Q13" s="19" t="s">
        <v>41</v>
      </c>
      <c r="R13" s="19" t="s">
        <v>41</v>
      </c>
      <c r="S13" s="19" t="s">
        <v>41</v>
      </c>
      <c r="T13" s="19" t="s">
        <v>41</v>
      </c>
      <c r="U13" s="22" t="s">
        <v>30</v>
      </c>
      <c r="V13" s="114" t="s">
        <v>4</v>
      </c>
      <c r="W13" s="19" t="s">
        <v>41</v>
      </c>
      <c r="X13" s="19" t="s">
        <v>41</v>
      </c>
      <c r="Y13" s="19" t="s">
        <v>41</v>
      </c>
      <c r="Z13" s="19" t="s">
        <v>41</v>
      </c>
      <c r="AA13" s="19" t="s">
        <v>41</v>
      </c>
      <c r="AB13" s="114" t="s">
        <v>4</v>
      </c>
      <c r="AC13" s="114" t="s">
        <v>4</v>
      </c>
      <c r="AD13" s="19" t="s">
        <v>41</v>
      </c>
      <c r="AE13" s="19" t="s">
        <v>41</v>
      </c>
      <c r="AF13" s="16" t="s">
        <v>10</v>
      </c>
      <c r="AG13" s="16" t="s">
        <v>10</v>
      </c>
      <c r="AH13" s="16" t="s">
        <v>10</v>
      </c>
    </row>
    <row r="14" spans="1:34" x14ac:dyDescent="0.35">
      <c r="A14" s="141" t="s">
        <v>124</v>
      </c>
      <c r="B14" s="25" t="s">
        <v>6</v>
      </c>
      <c r="C14" s="25" t="s">
        <v>6</v>
      </c>
      <c r="D14" s="19" t="s">
        <v>41</v>
      </c>
      <c r="E14" s="19" t="s">
        <v>41</v>
      </c>
      <c r="F14" s="19" t="s">
        <v>41</v>
      </c>
      <c r="G14" s="114" t="s">
        <v>4</v>
      </c>
      <c r="H14" s="114" t="s">
        <v>4</v>
      </c>
      <c r="I14" s="19" t="s">
        <v>41</v>
      </c>
      <c r="J14" s="19" t="s">
        <v>41</v>
      </c>
      <c r="K14" s="19" t="s">
        <v>41</v>
      </c>
      <c r="L14" s="19" t="s">
        <v>41</v>
      </c>
      <c r="M14" s="19" t="s">
        <v>41</v>
      </c>
      <c r="N14" s="114" t="s">
        <v>4</v>
      </c>
      <c r="O14" s="19" t="s">
        <v>42</v>
      </c>
      <c r="P14" s="19" t="s">
        <v>41</v>
      </c>
      <c r="Q14" s="19" t="s">
        <v>41</v>
      </c>
      <c r="R14" s="116" t="s">
        <v>2</v>
      </c>
      <c r="S14" s="19" t="s">
        <v>41</v>
      </c>
      <c r="T14" s="19" t="s">
        <v>41</v>
      </c>
      <c r="U14" s="122" t="s">
        <v>5</v>
      </c>
      <c r="V14" s="122" t="s">
        <v>5</v>
      </c>
      <c r="W14" s="122" t="s">
        <v>5</v>
      </c>
      <c r="X14" s="122" t="s">
        <v>5</v>
      </c>
      <c r="Y14" s="122" t="s">
        <v>5</v>
      </c>
      <c r="Z14" s="19" t="s">
        <v>41</v>
      </c>
      <c r="AA14" s="19" t="s">
        <v>41</v>
      </c>
      <c r="AB14" s="19" t="s">
        <v>42</v>
      </c>
      <c r="AC14" s="19" t="s">
        <v>42</v>
      </c>
      <c r="AD14" s="19" t="s">
        <v>41</v>
      </c>
      <c r="AE14" s="19" t="s">
        <v>41</v>
      </c>
      <c r="AF14" s="116" t="s">
        <v>2</v>
      </c>
      <c r="AG14" s="16" t="s">
        <v>10</v>
      </c>
      <c r="AH14" s="16" t="s">
        <v>10</v>
      </c>
    </row>
    <row r="15" spans="1:34" x14ac:dyDescent="0.35">
      <c r="A15" s="166"/>
      <c r="B15" s="167"/>
      <c r="C15" s="168"/>
      <c r="D15" s="1"/>
    </row>
    <row r="16" spans="1:34" x14ac:dyDescent="0.35">
      <c r="A16" s="165" t="s">
        <v>1</v>
      </c>
      <c r="B16" s="19" t="s">
        <v>41</v>
      </c>
      <c r="C16" s="116" t="s">
        <v>2</v>
      </c>
      <c r="D16" s="16" t="s">
        <v>10</v>
      </c>
      <c r="E16" s="116" t="s">
        <v>2</v>
      </c>
      <c r="F16" s="16" t="s">
        <v>10</v>
      </c>
      <c r="G16" s="16" t="s">
        <v>11</v>
      </c>
      <c r="H16" s="16" t="s">
        <v>11</v>
      </c>
      <c r="I16" s="16" t="s">
        <v>10</v>
      </c>
      <c r="J16" s="16" t="s">
        <v>10</v>
      </c>
      <c r="K16" s="16" t="s">
        <v>10</v>
      </c>
      <c r="L16" s="116" t="s">
        <v>2</v>
      </c>
      <c r="M16" s="16" t="s">
        <v>10</v>
      </c>
      <c r="N16" s="16" t="s">
        <v>11</v>
      </c>
      <c r="O16" s="16" t="s">
        <v>11</v>
      </c>
      <c r="P16" s="16" t="s">
        <v>10</v>
      </c>
      <c r="Q16" s="16" t="s">
        <v>10</v>
      </c>
      <c r="R16" s="16" t="s">
        <v>10</v>
      </c>
      <c r="S16" s="116" t="s">
        <v>2</v>
      </c>
      <c r="T16" s="16" t="s">
        <v>10</v>
      </c>
      <c r="U16" s="122" t="s">
        <v>4</v>
      </c>
      <c r="V16" s="122" t="s">
        <v>4</v>
      </c>
      <c r="W16" s="16" t="s">
        <v>10</v>
      </c>
      <c r="X16" s="16" t="s">
        <v>10</v>
      </c>
      <c r="Y16" s="16" t="s">
        <v>10</v>
      </c>
      <c r="Z16" s="16" t="s">
        <v>10</v>
      </c>
      <c r="AA16" s="16" t="s">
        <v>10</v>
      </c>
      <c r="AB16" s="16" t="s">
        <v>11</v>
      </c>
      <c r="AC16" s="114" t="s">
        <v>4</v>
      </c>
      <c r="AD16" s="16" t="s">
        <v>10</v>
      </c>
      <c r="AE16" s="16" t="s">
        <v>10</v>
      </c>
      <c r="AF16" s="116" t="s">
        <v>2</v>
      </c>
      <c r="AG16" s="116" t="s">
        <v>2</v>
      </c>
      <c r="AH16" s="25" t="s">
        <v>6</v>
      </c>
    </row>
    <row r="17" spans="1:34" x14ac:dyDescent="0.35">
      <c r="A17" s="165" t="s">
        <v>43</v>
      </c>
      <c r="B17" s="116" t="s">
        <v>2</v>
      </c>
      <c r="C17" s="19" t="s">
        <v>41</v>
      </c>
      <c r="D17" s="16" t="s">
        <v>10</v>
      </c>
      <c r="E17" s="16" t="s">
        <v>10</v>
      </c>
      <c r="F17" s="16" t="s">
        <v>10</v>
      </c>
      <c r="G17" s="16" t="s">
        <v>11</v>
      </c>
      <c r="H17" s="114" t="s">
        <v>4</v>
      </c>
      <c r="I17" s="116" t="s">
        <v>2</v>
      </c>
      <c r="J17" s="16" t="s">
        <v>10</v>
      </c>
      <c r="K17" s="16" t="s">
        <v>10</v>
      </c>
      <c r="L17" s="16" t="s">
        <v>10</v>
      </c>
      <c r="M17" s="16" t="s">
        <v>10</v>
      </c>
      <c r="N17" s="16" t="s">
        <v>11</v>
      </c>
      <c r="O17" s="114" t="s">
        <v>4</v>
      </c>
      <c r="P17" s="116" t="s">
        <v>2</v>
      </c>
      <c r="Q17" s="16" t="s">
        <v>10</v>
      </c>
      <c r="R17" s="16" t="s">
        <v>10</v>
      </c>
      <c r="S17" s="16" t="s">
        <v>10</v>
      </c>
      <c r="T17" s="16" t="s">
        <v>10</v>
      </c>
      <c r="U17" s="16" t="s">
        <v>11</v>
      </c>
      <c r="V17" s="16" t="s">
        <v>11</v>
      </c>
      <c r="W17" s="116" t="s">
        <v>2</v>
      </c>
      <c r="X17" s="116" t="s">
        <v>2</v>
      </c>
      <c r="Y17" s="16" t="s">
        <v>10</v>
      </c>
      <c r="Z17" s="16" t="s">
        <v>10</v>
      </c>
      <c r="AA17" s="16" t="s">
        <v>10</v>
      </c>
      <c r="AB17" s="114" t="s">
        <v>4</v>
      </c>
      <c r="AC17" s="16" t="s">
        <v>11</v>
      </c>
      <c r="AD17" s="116" t="s">
        <v>2</v>
      </c>
      <c r="AE17" s="22" t="s">
        <v>16</v>
      </c>
      <c r="AF17" s="25" t="s">
        <v>6</v>
      </c>
      <c r="AG17" s="25" t="s">
        <v>6</v>
      </c>
      <c r="AH17" s="116" t="s">
        <v>2</v>
      </c>
    </row>
    <row r="18" spans="1:34" x14ac:dyDescent="0.35">
      <c r="A18" s="141" t="s">
        <v>68</v>
      </c>
      <c r="B18" s="19" t="s">
        <v>41</v>
      </c>
      <c r="C18" s="19" t="s">
        <v>41</v>
      </c>
      <c r="D18" s="16" t="s">
        <v>10</v>
      </c>
      <c r="E18" s="16" t="s">
        <v>10</v>
      </c>
      <c r="F18" s="16" t="s">
        <v>10</v>
      </c>
      <c r="G18" s="16" t="s">
        <v>11</v>
      </c>
      <c r="H18" s="114" t="s">
        <v>4</v>
      </c>
      <c r="I18" s="16" t="s">
        <v>10</v>
      </c>
      <c r="J18" s="16" t="s">
        <v>10</v>
      </c>
      <c r="K18" s="16" t="s">
        <v>10</v>
      </c>
      <c r="L18" s="16" t="s">
        <v>10</v>
      </c>
      <c r="M18" s="16" t="s">
        <v>10</v>
      </c>
      <c r="N18" s="16" t="s">
        <v>11</v>
      </c>
      <c r="O18" s="114" t="s">
        <v>4</v>
      </c>
      <c r="P18" s="16" t="s">
        <v>10</v>
      </c>
      <c r="Q18" s="16" t="s">
        <v>10</v>
      </c>
      <c r="R18" s="116" t="s">
        <v>2</v>
      </c>
      <c r="S18" s="16" t="s">
        <v>10</v>
      </c>
      <c r="T18" s="16" t="s">
        <v>10</v>
      </c>
      <c r="U18" s="16" t="s">
        <v>11</v>
      </c>
      <c r="V18" s="16" t="s">
        <v>11</v>
      </c>
      <c r="W18" s="16" t="s">
        <v>10</v>
      </c>
      <c r="X18" s="16" t="s">
        <v>10</v>
      </c>
      <c r="Y18" s="116" t="s">
        <v>2</v>
      </c>
      <c r="Z18" s="16" t="s">
        <v>10</v>
      </c>
      <c r="AA18" s="16" t="s">
        <v>10</v>
      </c>
      <c r="AB18" s="16" t="s">
        <v>11</v>
      </c>
      <c r="AC18" s="16" t="s">
        <v>11</v>
      </c>
      <c r="AD18" s="16" t="s">
        <v>10</v>
      </c>
      <c r="AE18" s="16" t="s">
        <v>10</v>
      </c>
      <c r="AF18" s="116" t="s">
        <v>2</v>
      </c>
      <c r="AG18" s="25" t="s">
        <v>6</v>
      </c>
      <c r="AH18" s="25" t="s">
        <v>6</v>
      </c>
    </row>
    <row r="19" spans="1:34" x14ac:dyDescent="0.35">
      <c r="A19" s="141" t="s">
        <v>60</v>
      </c>
      <c r="B19" s="19" t="s">
        <v>41</v>
      </c>
      <c r="C19" s="19" t="s">
        <v>41</v>
      </c>
      <c r="D19" s="16" t="s">
        <v>10</v>
      </c>
      <c r="E19" s="16" t="s">
        <v>10</v>
      </c>
      <c r="F19" s="116" t="s">
        <v>2</v>
      </c>
      <c r="G19" s="114" t="s">
        <v>4</v>
      </c>
      <c r="H19" s="16" t="s">
        <v>11</v>
      </c>
      <c r="I19" s="16" t="s">
        <v>10</v>
      </c>
      <c r="J19" s="16" t="s">
        <v>10</v>
      </c>
      <c r="K19" s="16" t="s">
        <v>10</v>
      </c>
      <c r="L19" s="16" t="s">
        <v>10</v>
      </c>
      <c r="M19" s="116" t="s">
        <v>2</v>
      </c>
      <c r="N19" s="22" t="s">
        <v>30</v>
      </c>
      <c r="O19" s="16" t="s">
        <v>11</v>
      </c>
      <c r="P19" s="16" t="s">
        <v>10</v>
      </c>
      <c r="Q19" s="116" t="s">
        <v>2</v>
      </c>
      <c r="R19" s="16" t="s">
        <v>10</v>
      </c>
      <c r="S19" s="16" t="s">
        <v>10</v>
      </c>
      <c r="T19" s="116" t="s">
        <v>2</v>
      </c>
      <c r="U19" s="114" t="s">
        <v>4</v>
      </c>
      <c r="V19" s="16" t="s">
        <v>11</v>
      </c>
      <c r="W19" s="16" t="s">
        <v>10</v>
      </c>
      <c r="X19" s="16" t="s">
        <v>10</v>
      </c>
      <c r="Y19" s="16" t="s">
        <v>10</v>
      </c>
      <c r="Z19" s="116" t="s">
        <v>2</v>
      </c>
      <c r="AA19" s="122" t="s">
        <v>5</v>
      </c>
      <c r="AB19" s="122" t="s">
        <v>5</v>
      </c>
      <c r="AC19" s="16" t="s">
        <v>11</v>
      </c>
      <c r="AD19" s="16" t="s">
        <v>10</v>
      </c>
      <c r="AE19" s="116" t="s">
        <v>2</v>
      </c>
      <c r="AF19" s="25" t="s">
        <v>6</v>
      </c>
      <c r="AG19" s="25" t="s">
        <v>6</v>
      </c>
      <c r="AH19" s="25" t="s">
        <v>6</v>
      </c>
    </row>
    <row r="20" spans="1:34" x14ac:dyDescent="0.35">
      <c r="A20" s="141" t="s">
        <v>148</v>
      </c>
      <c r="B20" s="22" t="s">
        <v>16</v>
      </c>
      <c r="C20" s="22" t="s">
        <v>16</v>
      </c>
      <c r="D20" s="22" t="s">
        <v>16</v>
      </c>
      <c r="E20" s="16" t="s">
        <v>10</v>
      </c>
      <c r="F20" s="16" t="s">
        <v>10</v>
      </c>
      <c r="G20" s="114" t="s">
        <v>4</v>
      </c>
      <c r="H20" s="114" t="s">
        <v>4</v>
      </c>
      <c r="I20" s="22" t="s">
        <v>16</v>
      </c>
      <c r="J20" s="22" t="s">
        <v>16</v>
      </c>
      <c r="K20" s="22" t="s">
        <v>16</v>
      </c>
      <c r="L20" s="16" t="s">
        <v>10</v>
      </c>
      <c r="M20" s="22" t="s">
        <v>16</v>
      </c>
      <c r="N20" s="114" t="s">
        <v>4</v>
      </c>
      <c r="O20" s="114" t="s">
        <v>4</v>
      </c>
      <c r="P20" s="22" t="s">
        <v>16</v>
      </c>
      <c r="Q20" s="22" t="s">
        <v>16</v>
      </c>
      <c r="R20" s="16" t="s">
        <v>10</v>
      </c>
      <c r="S20" s="16" t="s">
        <v>10</v>
      </c>
      <c r="T20" s="16" t="s">
        <v>10</v>
      </c>
      <c r="U20" s="114" t="s">
        <v>4</v>
      </c>
      <c r="V20" s="114" t="s">
        <v>4</v>
      </c>
      <c r="W20" s="22" t="s">
        <v>16</v>
      </c>
      <c r="X20" s="22" t="s">
        <v>16</v>
      </c>
      <c r="Y20" s="16" t="s">
        <v>10</v>
      </c>
      <c r="Z20" s="16" t="s">
        <v>10</v>
      </c>
      <c r="AA20" s="16" t="s">
        <v>10</v>
      </c>
      <c r="AB20" s="114" t="s">
        <v>4</v>
      </c>
      <c r="AC20" s="114" t="s">
        <v>4</v>
      </c>
      <c r="AD20" s="22" t="s">
        <v>16</v>
      </c>
      <c r="AE20" s="22" t="s">
        <v>16</v>
      </c>
      <c r="AF20" s="25" t="s">
        <v>6</v>
      </c>
      <c r="AG20" s="25" t="s">
        <v>6</v>
      </c>
      <c r="AH20" s="25" t="s">
        <v>6</v>
      </c>
    </row>
    <row r="22" spans="1:34" x14ac:dyDescent="0.35">
      <c r="A22" s="128" t="s">
        <v>125</v>
      </c>
      <c r="B22">
        <f>COUNTIF(B4:B20,"*MS")</f>
        <v>3</v>
      </c>
      <c r="C22">
        <f t="shared" ref="C22:AH22" si="1">COUNTIF(C4:C20,"*MS")</f>
        <v>3</v>
      </c>
      <c r="D22">
        <f t="shared" si="1"/>
        <v>3</v>
      </c>
      <c r="E22">
        <f t="shared" si="1"/>
        <v>4</v>
      </c>
      <c r="F22">
        <f t="shared" si="1"/>
        <v>4</v>
      </c>
      <c r="G22">
        <f t="shared" si="1"/>
        <v>2</v>
      </c>
      <c r="H22">
        <f t="shared" si="1"/>
        <v>2</v>
      </c>
      <c r="I22">
        <f t="shared" si="1"/>
        <v>3</v>
      </c>
      <c r="J22">
        <f t="shared" si="1"/>
        <v>4</v>
      </c>
      <c r="K22">
        <f t="shared" si="1"/>
        <v>3</v>
      </c>
      <c r="L22">
        <f t="shared" si="1"/>
        <v>4</v>
      </c>
      <c r="M22">
        <f t="shared" si="1"/>
        <v>3</v>
      </c>
      <c r="N22">
        <f t="shared" si="1"/>
        <v>2</v>
      </c>
      <c r="O22">
        <f t="shared" si="1"/>
        <v>2</v>
      </c>
      <c r="P22">
        <f t="shared" si="1"/>
        <v>3</v>
      </c>
      <c r="Q22">
        <f t="shared" si="1"/>
        <v>4</v>
      </c>
      <c r="R22">
        <f t="shared" si="1"/>
        <v>4</v>
      </c>
      <c r="S22">
        <f t="shared" si="1"/>
        <v>4</v>
      </c>
      <c r="T22">
        <f t="shared" si="1"/>
        <v>3</v>
      </c>
      <c r="U22">
        <f t="shared" si="1"/>
        <v>2</v>
      </c>
      <c r="V22">
        <f t="shared" si="1"/>
        <v>2</v>
      </c>
      <c r="W22">
        <f t="shared" si="1"/>
        <v>3</v>
      </c>
      <c r="X22">
        <f t="shared" si="1"/>
        <v>4</v>
      </c>
      <c r="Y22">
        <f t="shared" si="1"/>
        <v>3</v>
      </c>
      <c r="Z22">
        <f t="shared" si="1"/>
        <v>4</v>
      </c>
      <c r="AA22">
        <f t="shared" si="1"/>
        <v>3</v>
      </c>
      <c r="AB22">
        <f t="shared" si="1"/>
        <v>2</v>
      </c>
      <c r="AC22">
        <f t="shared" si="1"/>
        <v>2</v>
      </c>
      <c r="AD22">
        <f t="shared" si="1"/>
        <v>4</v>
      </c>
      <c r="AE22">
        <f t="shared" si="1"/>
        <v>4</v>
      </c>
      <c r="AF22">
        <f t="shared" si="1"/>
        <v>3</v>
      </c>
      <c r="AG22">
        <f t="shared" si="1"/>
        <v>4</v>
      </c>
      <c r="AH22">
        <f t="shared" si="1"/>
        <v>4</v>
      </c>
    </row>
    <row r="23" spans="1:34" x14ac:dyDescent="0.35">
      <c r="A23" s="128" t="s">
        <v>126</v>
      </c>
      <c r="B23">
        <f>COUNTIF(B4:B20,"*ASS1")</f>
        <v>3</v>
      </c>
      <c r="C23">
        <f t="shared" ref="C23:AH23" si="2">COUNTIF(C4:C20,"*ASS1")</f>
        <v>3</v>
      </c>
      <c r="D23">
        <f t="shared" si="2"/>
        <v>4</v>
      </c>
      <c r="E23">
        <f t="shared" si="2"/>
        <v>4</v>
      </c>
      <c r="F23">
        <f t="shared" si="2"/>
        <v>4</v>
      </c>
      <c r="G23">
        <f t="shared" si="2"/>
        <v>2</v>
      </c>
      <c r="H23">
        <f t="shared" si="2"/>
        <v>2</v>
      </c>
      <c r="I23">
        <f t="shared" si="2"/>
        <v>3</v>
      </c>
      <c r="J23">
        <f t="shared" si="2"/>
        <v>4</v>
      </c>
      <c r="K23">
        <f t="shared" si="2"/>
        <v>3</v>
      </c>
      <c r="L23">
        <f t="shared" si="2"/>
        <v>3</v>
      </c>
      <c r="M23">
        <f t="shared" si="2"/>
        <v>3</v>
      </c>
      <c r="N23">
        <f t="shared" si="2"/>
        <v>2</v>
      </c>
      <c r="O23">
        <f t="shared" si="2"/>
        <v>2</v>
      </c>
      <c r="P23">
        <f t="shared" si="2"/>
        <v>3</v>
      </c>
      <c r="Q23">
        <f t="shared" si="2"/>
        <v>4</v>
      </c>
      <c r="R23">
        <f t="shared" si="2"/>
        <v>4</v>
      </c>
      <c r="S23">
        <f t="shared" si="2"/>
        <v>4</v>
      </c>
      <c r="T23">
        <f t="shared" si="2"/>
        <v>4</v>
      </c>
      <c r="U23">
        <f t="shared" si="2"/>
        <v>2</v>
      </c>
      <c r="V23">
        <f t="shared" si="2"/>
        <v>2</v>
      </c>
      <c r="W23">
        <f t="shared" si="2"/>
        <v>3</v>
      </c>
      <c r="X23">
        <f t="shared" si="2"/>
        <v>4</v>
      </c>
      <c r="Y23">
        <f t="shared" si="2"/>
        <v>4</v>
      </c>
      <c r="Z23">
        <f t="shared" si="2"/>
        <v>4</v>
      </c>
      <c r="AA23">
        <f t="shared" si="2"/>
        <v>3</v>
      </c>
      <c r="AB23">
        <f t="shared" si="2"/>
        <v>2</v>
      </c>
      <c r="AC23">
        <f t="shared" si="2"/>
        <v>2</v>
      </c>
      <c r="AD23">
        <f t="shared" si="2"/>
        <v>4</v>
      </c>
      <c r="AE23">
        <f t="shared" si="2"/>
        <v>4</v>
      </c>
      <c r="AF23">
        <f t="shared" si="2"/>
        <v>3</v>
      </c>
      <c r="AG23">
        <f t="shared" si="2"/>
        <v>4</v>
      </c>
      <c r="AH23">
        <f t="shared" si="2"/>
        <v>3</v>
      </c>
    </row>
    <row r="24" spans="1:34" x14ac:dyDescent="0.35">
      <c r="A24" s="128" t="s">
        <v>127</v>
      </c>
      <c r="B24">
        <f>COUNTIF(B4:B20,"*NST7")</f>
        <v>3</v>
      </c>
      <c r="C24">
        <f t="shared" ref="C24:AH24" si="3">COUNTIF(C4:C20,"*NST7")</f>
        <v>2</v>
      </c>
      <c r="D24">
        <f t="shared" si="3"/>
        <v>4</v>
      </c>
      <c r="E24">
        <f t="shared" si="3"/>
        <v>4</v>
      </c>
      <c r="F24">
        <f t="shared" si="3"/>
        <v>4</v>
      </c>
      <c r="G24">
        <f t="shared" si="3"/>
        <v>3</v>
      </c>
      <c r="H24">
        <f t="shared" si="3"/>
        <v>2</v>
      </c>
      <c r="I24">
        <f t="shared" si="3"/>
        <v>3</v>
      </c>
      <c r="J24">
        <f t="shared" si="3"/>
        <v>4</v>
      </c>
      <c r="K24">
        <f t="shared" si="3"/>
        <v>4</v>
      </c>
      <c r="L24">
        <f t="shared" si="3"/>
        <v>4</v>
      </c>
      <c r="M24">
        <f t="shared" si="3"/>
        <v>3</v>
      </c>
      <c r="N24">
        <f t="shared" si="3"/>
        <v>3</v>
      </c>
      <c r="O24">
        <f t="shared" si="3"/>
        <v>2</v>
      </c>
      <c r="P24">
        <f t="shared" si="3"/>
        <v>3</v>
      </c>
      <c r="Q24">
        <f t="shared" si="3"/>
        <v>3</v>
      </c>
      <c r="R24">
        <f t="shared" si="3"/>
        <v>4</v>
      </c>
      <c r="S24">
        <f t="shared" si="3"/>
        <v>4</v>
      </c>
      <c r="T24">
        <f t="shared" si="3"/>
        <v>4</v>
      </c>
      <c r="U24">
        <f t="shared" si="3"/>
        <v>2</v>
      </c>
      <c r="V24">
        <f t="shared" si="3"/>
        <v>3</v>
      </c>
      <c r="W24">
        <f t="shared" si="3"/>
        <v>3</v>
      </c>
      <c r="X24">
        <f t="shared" si="3"/>
        <v>3</v>
      </c>
      <c r="Y24">
        <f t="shared" si="3"/>
        <v>4</v>
      </c>
      <c r="Z24">
        <f t="shared" si="3"/>
        <v>4</v>
      </c>
      <c r="AA24">
        <f t="shared" si="3"/>
        <v>4</v>
      </c>
      <c r="AB24">
        <f t="shared" si="3"/>
        <v>2</v>
      </c>
      <c r="AC24">
        <f t="shared" si="3"/>
        <v>3</v>
      </c>
      <c r="AD24">
        <f t="shared" si="3"/>
        <v>3</v>
      </c>
      <c r="AE24">
        <f t="shared" si="3"/>
        <v>2</v>
      </c>
      <c r="AF24">
        <f t="shared" si="3"/>
        <v>3</v>
      </c>
      <c r="AG24">
        <f t="shared" si="3"/>
        <v>4</v>
      </c>
      <c r="AH24">
        <f t="shared" si="3"/>
        <v>4</v>
      </c>
    </row>
    <row r="25" spans="1:34" x14ac:dyDescent="0.35">
      <c r="A25" s="128" t="s">
        <v>128</v>
      </c>
      <c r="B25">
        <f>COUNTIF(B4:B20,"*GS")</f>
        <v>2</v>
      </c>
      <c r="C25">
        <f t="shared" ref="C25:AH25" si="4">COUNTIF(C4:C20,"*GS")</f>
        <v>4</v>
      </c>
      <c r="D25">
        <f t="shared" si="4"/>
        <v>1</v>
      </c>
      <c r="E25">
        <f t="shared" si="4"/>
        <v>0</v>
      </c>
      <c r="F25">
        <f t="shared" si="4"/>
        <v>0</v>
      </c>
      <c r="G25">
        <f t="shared" si="4"/>
        <v>1</v>
      </c>
      <c r="H25">
        <f t="shared" si="4"/>
        <v>0</v>
      </c>
      <c r="I25">
        <f t="shared" si="4"/>
        <v>1</v>
      </c>
      <c r="J25">
        <f t="shared" si="4"/>
        <v>1</v>
      </c>
      <c r="K25">
        <f t="shared" si="4"/>
        <v>2</v>
      </c>
      <c r="L25">
        <f t="shared" si="4"/>
        <v>1</v>
      </c>
      <c r="M25">
        <f t="shared" si="4"/>
        <v>2</v>
      </c>
      <c r="N25">
        <f t="shared" si="4"/>
        <v>1</v>
      </c>
      <c r="O25">
        <f t="shared" si="4"/>
        <v>0</v>
      </c>
      <c r="P25">
        <f t="shared" si="4"/>
        <v>1</v>
      </c>
      <c r="Q25">
        <f t="shared" si="4"/>
        <v>1</v>
      </c>
      <c r="R25">
        <f t="shared" si="4"/>
        <v>0</v>
      </c>
      <c r="S25">
        <f t="shared" si="4"/>
        <v>0</v>
      </c>
      <c r="T25">
        <f t="shared" si="4"/>
        <v>0</v>
      </c>
      <c r="U25">
        <f t="shared" si="4"/>
        <v>1</v>
      </c>
      <c r="V25">
        <f t="shared" si="4"/>
        <v>0</v>
      </c>
      <c r="W25">
        <f t="shared" si="4"/>
        <v>1</v>
      </c>
      <c r="X25">
        <f t="shared" si="4"/>
        <v>1</v>
      </c>
      <c r="Y25">
        <f t="shared" si="4"/>
        <v>0</v>
      </c>
      <c r="Z25">
        <f t="shared" si="4"/>
        <v>0</v>
      </c>
      <c r="AA25">
        <f t="shared" si="4"/>
        <v>0</v>
      </c>
      <c r="AB25">
        <f t="shared" si="4"/>
        <v>1</v>
      </c>
      <c r="AC25">
        <f t="shared" si="4"/>
        <v>0</v>
      </c>
      <c r="AD25">
        <f t="shared" si="4"/>
        <v>1</v>
      </c>
      <c r="AE25">
        <f t="shared" si="4"/>
        <v>2</v>
      </c>
      <c r="AF25">
        <f t="shared" si="4"/>
        <v>1</v>
      </c>
      <c r="AG25">
        <f t="shared" si="4"/>
        <v>0</v>
      </c>
      <c r="AH25">
        <f t="shared" si="4"/>
        <v>0</v>
      </c>
    </row>
    <row r="26" spans="1:34" x14ac:dyDescent="0.35">
      <c r="A26" s="128" t="s">
        <v>129</v>
      </c>
      <c r="B26">
        <f>COUNTIF(B4:B20,"C")</f>
        <v>4</v>
      </c>
      <c r="C26">
        <f t="shared" ref="C26:AH26" si="5">COUNTIF(C4:C20,"C")</f>
        <v>2</v>
      </c>
      <c r="D26">
        <f t="shared" si="5"/>
        <v>1</v>
      </c>
      <c r="E26">
        <f>COUNTIF(E4:E20,"C")</f>
        <v>2</v>
      </c>
      <c r="F26">
        <f t="shared" si="5"/>
        <v>3</v>
      </c>
      <c r="G26">
        <f t="shared" ref="G26:H26" si="6">COUNTIF(G4:G20,"WO")</f>
        <v>7</v>
      </c>
      <c r="H26">
        <f t="shared" si="6"/>
        <v>9</v>
      </c>
      <c r="I26">
        <f t="shared" si="5"/>
        <v>4</v>
      </c>
      <c r="J26">
        <f t="shared" si="5"/>
        <v>1</v>
      </c>
      <c r="K26">
        <f t="shared" si="5"/>
        <v>1</v>
      </c>
      <c r="L26">
        <f t="shared" si="5"/>
        <v>1</v>
      </c>
      <c r="M26">
        <f t="shared" si="5"/>
        <v>1</v>
      </c>
      <c r="N26">
        <f t="shared" ref="N26:O26" si="7">COUNTIF(N4:N20,"WO")</f>
        <v>5</v>
      </c>
      <c r="O26">
        <f t="shared" si="7"/>
        <v>8</v>
      </c>
      <c r="P26">
        <f t="shared" si="5"/>
        <v>4</v>
      </c>
      <c r="Q26">
        <f t="shared" si="5"/>
        <v>3</v>
      </c>
      <c r="R26">
        <f t="shared" si="5"/>
        <v>3</v>
      </c>
      <c r="S26">
        <f t="shared" si="5"/>
        <v>1</v>
      </c>
      <c r="T26">
        <f t="shared" si="5"/>
        <v>2</v>
      </c>
      <c r="U26">
        <f>COUNTIF(U4:U20,"WO")</f>
        <v>6</v>
      </c>
      <c r="V26">
        <f t="shared" ref="V26" si="8">COUNTIF(V4:V20,"WO")</f>
        <v>6</v>
      </c>
      <c r="W26">
        <f t="shared" si="5"/>
        <v>3</v>
      </c>
      <c r="X26">
        <f t="shared" si="5"/>
        <v>1</v>
      </c>
      <c r="Y26">
        <f t="shared" si="5"/>
        <v>2</v>
      </c>
      <c r="Z26">
        <f t="shared" si="5"/>
        <v>2</v>
      </c>
      <c r="AA26">
        <f t="shared" si="5"/>
        <v>1</v>
      </c>
      <c r="AB26">
        <f t="shared" ref="AB26:AC26" si="9">COUNTIF(AB4:AB20,"WO")</f>
        <v>6</v>
      </c>
      <c r="AC26">
        <f t="shared" si="9"/>
        <v>7</v>
      </c>
      <c r="AD26">
        <f t="shared" si="5"/>
        <v>2</v>
      </c>
      <c r="AE26">
        <f t="shared" si="5"/>
        <v>2</v>
      </c>
      <c r="AF26">
        <f t="shared" si="5"/>
        <v>4</v>
      </c>
      <c r="AG26">
        <f t="shared" si="5"/>
        <v>2</v>
      </c>
      <c r="AH26">
        <f t="shared" si="5"/>
        <v>3</v>
      </c>
    </row>
    <row r="27" spans="1:34" x14ac:dyDescent="0.35">
      <c r="A27" s="128" t="s">
        <v>130</v>
      </c>
      <c r="B27">
        <f>COUNTIF(B4:B20,"PL")</f>
        <v>0</v>
      </c>
      <c r="C27">
        <f t="shared" ref="C27:AH27" si="10">COUNTIF(C4:C20,"PL")</f>
        <v>1</v>
      </c>
      <c r="D27">
        <f t="shared" si="10"/>
        <v>2</v>
      </c>
      <c r="E27">
        <f t="shared" si="10"/>
        <v>1</v>
      </c>
      <c r="F27">
        <f t="shared" si="10"/>
        <v>0</v>
      </c>
      <c r="G27">
        <f t="shared" si="10"/>
        <v>0</v>
      </c>
      <c r="H27">
        <f t="shared" si="10"/>
        <v>0</v>
      </c>
      <c r="I27">
        <f t="shared" si="10"/>
        <v>1</v>
      </c>
      <c r="J27">
        <f t="shared" si="10"/>
        <v>1</v>
      </c>
      <c r="K27">
        <f t="shared" si="10"/>
        <v>2</v>
      </c>
      <c r="L27">
        <f t="shared" si="10"/>
        <v>2</v>
      </c>
      <c r="M27">
        <f t="shared" si="10"/>
        <v>3</v>
      </c>
      <c r="N27">
        <f t="shared" si="10"/>
        <v>2</v>
      </c>
      <c r="O27">
        <f t="shared" si="10"/>
        <v>1</v>
      </c>
      <c r="P27">
        <f t="shared" si="10"/>
        <v>1</v>
      </c>
      <c r="Q27">
        <f t="shared" si="10"/>
        <v>0</v>
      </c>
      <c r="R27">
        <f t="shared" si="10"/>
        <v>0</v>
      </c>
      <c r="S27">
        <f t="shared" si="10"/>
        <v>2</v>
      </c>
      <c r="T27">
        <f t="shared" si="10"/>
        <v>2</v>
      </c>
      <c r="U27">
        <f t="shared" si="10"/>
        <v>2</v>
      </c>
      <c r="V27">
        <f t="shared" si="10"/>
        <v>2</v>
      </c>
      <c r="W27">
        <f t="shared" si="10"/>
        <v>2</v>
      </c>
      <c r="X27">
        <f t="shared" si="10"/>
        <v>2</v>
      </c>
      <c r="Y27">
        <f t="shared" si="10"/>
        <v>2</v>
      </c>
      <c r="Z27">
        <f t="shared" si="10"/>
        <v>1</v>
      </c>
      <c r="AA27">
        <f t="shared" si="10"/>
        <v>4</v>
      </c>
      <c r="AB27">
        <f t="shared" si="10"/>
        <v>2</v>
      </c>
      <c r="AC27">
        <f t="shared" si="10"/>
        <v>1</v>
      </c>
      <c r="AD27">
        <f t="shared" si="10"/>
        <v>1</v>
      </c>
      <c r="AE27">
        <f t="shared" si="10"/>
        <v>1</v>
      </c>
      <c r="AF27">
        <f t="shared" si="10"/>
        <v>1</v>
      </c>
      <c r="AG27">
        <f t="shared" si="10"/>
        <v>1</v>
      </c>
      <c r="AH27">
        <f t="shared" si="10"/>
        <v>1</v>
      </c>
    </row>
    <row r="28" spans="1:34" x14ac:dyDescent="0.35">
      <c r="A28" s="128" t="s">
        <v>33</v>
      </c>
      <c r="B28">
        <f>COUNTIF(B4:B20,"UPL")</f>
        <v>0</v>
      </c>
      <c r="C28">
        <f t="shared" ref="C28:AH28" si="11">COUNTIF(C4:C20,"UPL")</f>
        <v>0</v>
      </c>
      <c r="D28">
        <f t="shared" si="11"/>
        <v>0</v>
      </c>
      <c r="E28">
        <f t="shared" si="11"/>
        <v>0</v>
      </c>
      <c r="F28">
        <f t="shared" si="11"/>
        <v>0</v>
      </c>
      <c r="G28">
        <f t="shared" si="11"/>
        <v>0</v>
      </c>
      <c r="H28">
        <f t="shared" si="11"/>
        <v>0</v>
      </c>
      <c r="I28">
        <f t="shared" si="11"/>
        <v>0</v>
      </c>
      <c r="J28">
        <f t="shared" si="11"/>
        <v>0</v>
      </c>
      <c r="K28">
        <f t="shared" si="11"/>
        <v>0</v>
      </c>
      <c r="L28">
        <f t="shared" si="11"/>
        <v>0</v>
      </c>
      <c r="M28">
        <f t="shared" si="11"/>
        <v>0</v>
      </c>
      <c r="N28">
        <f t="shared" si="11"/>
        <v>0</v>
      </c>
      <c r="O28">
        <f t="shared" si="11"/>
        <v>0</v>
      </c>
      <c r="P28">
        <f t="shared" si="11"/>
        <v>0</v>
      </c>
      <c r="Q28">
        <f t="shared" si="11"/>
        <v>0</v>
      </c>
      <c r="R28">
        <f t="shared" si="11"/>
        <v>0</v>
      </c>
      <c r="S28">
        <f t="shared" si="11"/>
        <v>0</v>
      </c>
      <c r="T28">
        <f t="shared" si="11"/>
        <v>0</v>
      </c>
      <c r="U28">
        <f t="shared" si="11"/>
        <v>0</v>
      </c>
      <c r="V28">
        <f t="shared" si="11"/>
        <v>0</v>
      </c>
      <c r="W28">
        <f t="shared" si="11"/>
        <v>0</v>
      </c>
      <c r="X28">
        <f t="shared" si="11"/>
        <v>0</v>
      </c>
      <c r="Y28">
        <f t="shared" si="11"/>
        <v>0</v>
      </c>
      <c r="Z28">
        <f t="shared" si="11"/>
        <v>0</v>
      </c>
      <c r="AA28">
        <f t="shared" si="11"/>
        <v>0</v>
      </c>
      <c r="AB28">
        <f t="shared" si="11"/>
        <v>0</v>
      </c>
      <c r="AC28">
        <f t="shared" si="11"/>
        <v>0</v>
      </c>
      <c r="AD28">
        <f t="shared" si="11"/>
        <v>0</v>
      </c>
      <c r="AE28">
        <f t="shared" si="11"/>
        <v>0</v>
      </c>
      <c r="AF28">
        <f t="shared" si="11"/>
        <v>0</v>
      </c>
      <c r="AG28">
        <f t="shared" si="11"/>
        <v>0</v>
      </c>
      <c r="AH28">
        <f t="shared" si="11"/>
        <v>0</v>
      </c>
    </row>
    <row r="29" spans="1:34" x14ac:dyDescent="0.35">
      <c r="A29" s="128" t="s">
        <v>141</v>
      </c>
      <c r="B29">
        <f>COUNTIF(B4:B20,"H")</f>
        <v>0</v>
      </c>
      <c r="C29">
        <f t="shared" ref="C29:AH29" si="12">COUNTIF(C4:C20,"H")</f>
        <v>0</v>
      </c>
      <c r="D29">
        <f t="shared" si="12"/>
        <v>0</v>
      </c>
      <c r="E29">
        <f t="shared" si="12"/>
        <v>0</v>
      </c>
      <c r="F29">
        <f t="shared" si="12"/>
        <v>0</v>
      </c>
      <c r="G29">
        <f t="shared" si="12"/>
        <v>0</v>
      </c>
      <c r="H29">
        <f t="shared" si="12"/>
        <v>0</v>
      </c>
      <c r="I29">
        <f t="shared" si="12"/>
        <v>0</v>
      </c>
      <c r="J29">
        <f t="shared" si="12"/>
        <v>0</v>
      </c>
      <c r="K29">
        <f t="shared" si="12"/>
        <v>0</v>
      </c>
      <c r="L29">
        <f t="shared" si="12"/>
        <v>0</v>
      </c>
      <c r="M29">
        <f t="shared" si="12"/>
        <v>0</v>
      </c>
      <c r="N29">
        <f t="shared" si="12"/>
        <v>0</v>
      </c>
      <c r="O29">
        <f t="shared" si="12"/>
        <v>0</v>
      </c>
      <c r="P29">
        <f t="shared" si="12"/>
        <v>0</v>
      </c>
      <c r="Q29">
        <f t="shared" si="12"/>
        <v>0</v>
      </c>
      <c r="R29">
        <f t="shared" si="12"/>
        <v>0</v>
      </c>
      <c r="S29">
        <f t="shared" si="12"/>
        <v>0</v>
      </c>
      <c r="T29">
        <f t="shared" si="12"/>
        <v>0</v>
      </c>
      <c r="U29">
        <f t="shared" si="12"/>
        <v>0</v>
      </c>
      <c r="V29">
        <f t="shared" si="12"/>
        <v>0</v>
      </c>
      <c r="W29">
        <f t="shared" si="12"/>
        <v>0</v>
      </c>
      <c r="X29">
        <f t="shared" si="12"/>
        <v>0</v>
      </c>
      <c r="Y29">
        <f t="shared" si="12"/>
        <v>0</v>
      </c>
      <c r="Z29">
        <f t="shared" si="12"/>
        <v>0</v>
      </c>
      <c r="AA29">
        <f t="shared" si="12"/>
        <v>0</v>
      </c>
      <c r="AB29">
        <f t="shared" si="12"/>
        <v>0</v>
      </c>
      <c r="AC29">
        <f t="shared" si="12"/>
        <v>0</v>
      </c>
      <c r="AD29">
        <f t="shared" si="12"/>
        <v>0</v>
      </c>
      <c r="AE29">
        <f t="shared" si="12"/>
        <v>0</v>
      </c>
      <c r="AF29">
        <f t="shared" si="12"/>
        <v>0</v>
      </c>
      <c r="AG29">
        <f t="shared" si="12"/>
        <v>0</v>
      </c>
      <c r="AH29">
        <f t="shared" si="12"/>
        <v>0</v>
      </c>
    </row>
    <row r="30" spans="1:34" x14ac:dyDescent="0.35">
      <c r="A30" s="128" t="s">
        <v>131</v>
      </c>
      <c r="B30" s="129">
        <f>SUM(B22:B29)</f>
        <v>15</v>
      </c>
      <c r="C30" s="129">
        <f t="shared" ref="C30:AH30" si="13">SUM(C22:C29)</f>
        <v>15</v>
      </c>
      <c r="D30" s="129">
        <f t="shared" si="13"/>
        <v>15</v>
      </c>
      <c r="E30" s="129">
        <f t="shared" si="13"/>
        <v>15</v>
      </c>
      <c r="F30" s="129">
        <f t="shared" si="13"/>
        <v>15</v>
      </c>
      <c r="G30" s="129">
        <f t="shared" si="13"/>
        <v>15</v>
      </c>
      <c r="H30" s="129">
        <f t="shared" si="13"/>
        <v>15</v>
      </c>
      <c r="I30" s="129">
        <f t="shared" si="13"/>
        <v>15</v>
      </c>
      <c r="J30" s="129">
        <f t="shared" si="13"/>
        <v>15</v>
      </c>
      <c r="K30" s="129">
        <f t="shared" si="13"/>
        <v>15</v>
      </c>
      <c r="L30" s="129">
        <f t="shared" si="13"/>
        <v>15</v>
      </c>
      <c r="M30" s="129">
        <f t="shared" si="13"/>
        <v>15</v>
      </c>
      <c r="N30" s="129">
        <f t="shared" si="13"/>
        <v>15</v>
      </c>
      <c r="O30" s="129">
        <f t="shared" si="13"/>
        <v>15</v>
      </c>
      <c r="P30" s="129">
        <f t="shared" si="13"/>
        <v>15</v>
      </c>
      <c r="Q30" s="129">
        <f t="shared" si="13"/>
        <v>15</v>
      </c>
      <c r="R30" s="129">
        <f t="shared" si="13"/>
        <v>15</v>
      </c>
      <c r="S30" s="129">
        <f t="shared" si="13"/>
        <v>15</v>
      </c>
      <c r="T30" s="129">
        <f t="shared" si="13"/>
        <v>15</v>
      </c>
      <c r="U30" s="129">
        <f t="shared" si="13"/>
        <v>15</v>
      </c>
      <c r="V30" s="129">
        <f t="shared" si="13"/>
        <v>15</v>
      </c>
      <c r="W30" s="129">
        <f t="shared" si="13"/>
        <v>15</v>
      </c>
      <c r="X30" s="129">
        <f t="shared" si="13"/>
        <v>15</v>
      </c>
      <c r="Y30" s="129">
        <f t="shared" si="13"/>
        <v>15</v>
      </c>
      <c r="Z30" s="129">
        <f t="shared" si="13"/>
        <v>15</v>
      </c>
      <c r="AA30" s="129">
        <f t="shared" si="13"/>
        <v>15</v>
      </c>
      <c r="AB30" s="129">
        <f t="shared" si="13"/>
        <v>15</v>
      </c>
      <c r="AC30" s="129">
        <f t="shared" si="13"/>
        <v>15</v>
      </c>
      <c r="AD30" s="129">
        <f t="shared" si="13"/>
        <v>15</v>
      </c>
      <c r="AE30" s="129">
        <f t="shared" si="13"/>
        <v>15</v>
      </c>
      <c r="AF30" s="129">
        <f t="shared" si="13"/>
        <v>15</v>
      </c>
      <c r="AG30" s="129">
        <f t="shared" si="13"/>
        <v>15</v>
      </c>
      <c r="AH30" s="129">
        <f t="shared" si="13"/>
        <v>15</v>
      </c>
    </row>
  </sheetData>
  <conditionalFormatting sqref="B22:AH25">
    <cfRule type="cellIs" dxfId="841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A1:AC30"/>
  <sheetViews>
    <sheetView zoomScale="57" zoomScaleNormal="57" workbookViewId="0">
      <pane xSplit="1" topLeftCell="B1" activePane="topRight" state="frozen"/>
      <selection pane="topRight" activeCell="D9" sqref="D9"/>
    </sheetView>
  </sheetViews>
  <sheetFormatPr defaultRowHeight="14.5" x14ac:dyDescent="0.35"/>
  <cols>
    <col min="1" max="1" width="23.81640625" bestFit="1" customWidth="1"/>
    <col min="2" max="29" width="8.7265625" customWidth="1"/>
  </cols>
  <sheetData>
    <row r="1" spans="1:29" x14ac:dyDescent="0.35">
      <c r="A1" s="1"/>
      <c r="B1" s="2" t="str">
        <f t="shared" ref="B1" si="0">TEXT(B2,"ddd")</f>
        <v>Wed</v>
      </c>
      <c r="C1" s="2" t="str">
        <f t="shared" ref="C1:AC1" si="1">TEXT(C2,"ddd")</f>
        <v>Thu</v>
      </c>
      <c r="D1" s="2" t="str">
        <f t="shared" si="1"/>
        <v>Fri</v>
      </c>
      <c r="E1" s="2" t="str">
        <f t="shared" si="1"/>
        <v>Sat</v>
      </c>
      <c r="F1" s="2" t="str">
        <f t="shared" si="1"/>
        <v>Sun</v>
      </c>
      <c r="G1" s="2" t="str">
        <f t="shared" si="1"/>
        <v>Mon</v>
      </c>
      <c r="H1" s="2" t="str">
        <f t="shared" si="1"/>
        <v>Tue</v>
      </c>
      <c r="I1" s="2" t="str">
        <f t="shared" si="1"/>
        <v>Wed</v>
      </c>
      <c r="J1" s="2" t="str">
        <f t="shared" si="1"/>
        <v>Thu</v>
      </c>
      <c r="K1" s="2" t="str">
        <f t="shared" si="1"/>
        <v>Fri</v>
      </c>
      <c r="L1" s="2" t="str">
        <f t="shared" si="1"/>
        <v>Sat</v>
      </c>
      <c r="M1" s="2" t="str">
        <f t="shared" si="1"/>
        <v>Sun</v>
      </c>
      <c r="N1" s="2" t="str">
        <f t="shared" si="1"/>
        <v>Mon</v>
      </c>
      <c r="O1" s="2" t="str">
        <f t="shared" si="1"/>
        <v>Tue</v>
      </c>
      <c r="P1" s="2" t="str">
        <f t="shared" si="1"/>
        <v>Wed</v>
      </c>
      <c r="Q1" s="2" t="str">
        <f t="shared" si="1"/>
        <v>Thu</v>
      </c>
      <c r="R1" s="2" t="str">
        <f t="shared" si="1"/>
        <v>Fri</v>
      </c>
      <c r="S1" s="2" t="str">
        <f t="shared" si="1"/>
        <v>Sat</v>
      </c>
      <c r="T1" s="2" t="str">
        <f t="shared" si="1"/>
        <v>Sun</v>
      </c>
      <c r="U1" s="2" t="str">
        <f t="shared" si="1"/>
        <v>Mon</v>
      </c>
      <c r="V1" s="2" t="str">
        <f t="shared" si="1"/>
        <v>Tue</v>
      </c>
      <c r="W1" s="2" t="str">
        <f t="shared" si="1"/>
        <v>Wed</v>
      </c>
      <c r="X1" s="2" t="str">
        <f t="shared" si="1"/>
        <v>Thu</v>
      </c>
      <c r="Y1" s="2" t="str">
        <f t="shared" si="1"/>
        <v>Fri</v>
      </c>
      <c r="Z1" s="2" t="str">
        <f t="shared" si="1"/>
        <v>Sat</v>
      </c>
      <c r="AA1" s="2" t="str">
        <f t="shared" si="1"/>
        <v>Sun</v>
      </c>
      <c r="AB1" s="2" t="str">
        <f t="shared" si="1"/>
        <v>Mon</v>
      </c>
      <c r="AC1" s="2" t="str">
        <f t="shared" si="1"/>
        <v>Tue</v>
      </c>
    </row>
    <row r="2" spans="1:29" x14ac:dyDescent="0.35">
      <c r="A2" s="95" t="s">
        <v>0</v>
      </c>
      <c r="B2" s="29">
        <v>44958</v>
      </c>
      <c r="C2" s="29">
        <v>44959</v>
      </c>
      <c r="D2" s="29">
        <v>44960</v>
      </c>
      <c r="E2" s="29">
        <v>44961</v>
      </c>
      <c r="F2" s="29">
        <v>44962</v>
      </c>
      <c r="G2" s="29">
        <v>44963</v>
      </c>
      <c r="H2" s="29">
        <v>44964</v>
      </c>
      <c r="I2" s="29">
        <v>44965</v>
      </c>
      <c r="J2" s="29">
        <v>44966</v>
      </c>
      <c r="K2" s="29">
        <v>44967</v>
      </c>
      <c r="L2" s="29">
        <v>44968</v>
      </c>
      <c r="M2" s="29">
        <v>44969</v>
      </c>
      <c r="N2" s="29">
        <v>44970</v>
      </c>
      <c r="O2" s="29">
        <v>44971</v>
      </c>
      <c r="P2" s="29">
        <v>44972</v>
      </c>
      <c r="Q2" s="29">
        <v>44973</v>
      </c>
      <c r="R2" s="29">
        <v>44974</v>
      </c>
      <c r="S2" s="29">
        <v>44975</v>
      </c>
      <c r="T2" s="29">
        <v>44976</v>
      </c>
      <c r="U2" s="29">
        <v>44977</v>
      </c>
      <c r="V2" s="29">
        <v>44978</v>
      </c>
      <c r="W2" s="29">
        <v>44979</v>
      </c>
      <c r="X2" s="29">
        <v>44980</v>
      </c>
      <c r="Y2" s="29">
        <v>44981</v>
      </c>
      <c r="Z2" s="29">
        <v>44982</v>
      </c>
      <c r="AA2" s="29">
        <v>44983</v>
      </c>
      <c r="AB2" s="29">
        <v>44984</v>
      </c>
      <c r="AC2" s="29">
        <v>44985</v>
      </c>
    </row>
    <row r="3" spans="1:29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</row>
    <row r="4" spans="1:29" x14ac:dyDescent="0.35">
      <c r="A4" s="165" t="s">
        <v>9</v>
      </c>
      <c r="B4" s="25" t="s">
        <v>6</v>
      </c>
      <c r="C4" s="116" t="s">
        <v>2</v>
      </c>
      <c r="D4" s="25" t="s">
        <v>6</v>
      </c>
      <c r="E4" s="25" t="s">
        <v>3</v>
      </c>
      <c r="F4" s="114" t="s">
        <v>4</v>
      </c>
      <c r="G4" s="25" t="s">
        <v>6</v>
      </c>
      <c r="H4" s="116" t="s">
        <v>2</v>
      </c>
      <c r="I4" s="25" t="s">
        <v>6</v>
      </c>
      <c r="J4" s="25" t="s">
        <v>6</v>
      </c>
      <c r="K4" s="25" t="s">
        <v>6</v>
      </c>
      <c r="L4" s="25" t="s">
        <v>3</v>
      </c>
      <c r="M4" s="25" t="s">
        <v>3</v>
      </c>
      <c r="N4" s="25" t="s">
        <v>6</v>
      </c>
      <c r="O4" s="116" t="s">
        <v>2</v>
      </c>
      <c r="P4" s="116" t="s">
        <v>2</v>
      </c>
      <c r="Q4" s="25" t="s">
        <v>6</v>
      </c>
      <c r="R4" s="25" t="s">
        <v>6</v>
      </c>
      <c r="S4" s="25" t="s">
        <v>3</v>
      </c>
      <c r="T4" s="25" t="s">
        <v>3</v>
      </c>
      <c r="U4" s="25" t="s">
        <v>6</v>
      </c>
      <c r="V4" s="116" t="s">
        <v>2</v>
      </c>
      <c r="W4" s="25" t="s">
        <v>6</v>
      </c>
      <c r="X4" s="122" t="s">
        <v>5</v>
      </c>
      <c r="Y4" s="122" t="s">
        <v>5</v>
      </c>
      <c r="Z4" s="122" t="s">
        <v>4</v>
      </c>
      <c r="AA4" s="122" t="s">
        <v>4</v>
      </c>
      <c r="AB4" s="122" t="s">
        <v>5</v>
      </c>
      <c r="AC4" s="122" t="s">
        <v>5</v>
      </c>
    </row>
    <row r="5" spans="1:29" x14ac:dyDescent="0.35">
      <c r="A5" s="141" t="s">
        <v>21</v>
      </c>
      <c r="B5" s="25" t="s">
        <v>6</v>
      </c>
      <c r="C5" s="25" t="s">
        <v>6</v>
      </c>
      <c r="D5" s="116" t="s">
        <v>2</v>
      </c>
      <c r="E5" s="114" t="s">
        <v>4</v>
      </c>
      <c r="F5" s="25" t="s">
        <v>3</v>
      </c>
      <c r="G5" s="19" t="s">
        <v>41</v>
      </c>
      <c r="H5" s="25" t="s">
        <v>6</v>
      </c>
      <c r="I5" s="19" t="s">
        <v>41</v>
      </c>
      <c r="J5" s="25" t="s">
        <v>6</v>
      </c>
      <c r="K5" s="25" t="s">
        <v>6</v>
      </c>
      <c r="L5" s="114" t="s">
        <v>4</v>
      </c>
      <c r="M5" s="114" t="s">
        <v>4</v>
      </c>
      <c r="N5" s="122" t="s">
        <v>5</v>
      </c>
      <c r="O5" s="25" t="s">
        <v>6</v>
      </c>
      <c r="P5" s="19" t="s">
        <v>41</v>
      </c>
      <c r="Q5" s="25" t="s">
        <v>6</v>
      </c>
      <c r="R5" s="25" t="s">
        <v>6</v>
      </c>
      <c r="S5" s="25" t="s">
        <v>3</v>
      </c>
      <c r="T5" s="114" t="s">
        <v>4</v>
      </c>
      <c r="U5" s="25" t="s">
        <v>6</v>
      </c>
      <c r="V5" s="25" t="s">
        <v>6</v>
      </c>
      <c r="W5" s="116" t="s">
        <v>2</v>
      </c>
      <c r="X5" s="25" t="s">
        <v>6</v>
      </c>
      <c r="Y5" s="25" t="s">
        <v>6</v>
      </c>
      <c r="Z5" s="25" t="s">
        <v>3</v>
      </c>
      <c r="AA5" s="25" t="s">
        <v>3</v>
      </c>
      <c r="AB5" s="25" t="s">
        <v>6</v>
      </c>
      <c r="AC5" s="25" t="s">
        <v>6</v>
      </c>
    </row>
    <row r="6" spans="1:29" x14ac:dyDescent="0.35">
      <c r="A6" s="141" t="s">
        <v>69</v>
      </c>
      <c r="B6" s="25" t="s">
        <v>6</v>
      </c>
      <c r="C6" s="25" t="s">
        <v>6</v>
      </c>
      <c r="D6" s="25" t="s">
        <v>6</v>
      </c>
      <c r="E6" s="114" t="s">
        <v>4</v>
      </c>
      <c r="F6" s="25" t="s">
        <v>3</v>
      </c>
      <c r="G6" s="25" t="s">
        <v>6</v>
      </c>
      <c r="H6" s="25" t="s">
        <v>6</v>
      </c>
      <c r="I6" s="116" t="s">
        <v>2</v>
      </c>
      <c r="J6" s="25" t="s">
        <v>6</v>
      </c>
      <c r="K6" s="25" t="s">
        <v>6</v>
      </c>
      <c r="L6" s="22" t="s">
        <v>30</v>
      </c>
      <c r="M6" s="22" t="s">
        <v>30</v>
      </c>
      <c r="N6" s="25" t="s">
        <v>6</v>
      </c>
      <c r="O6" s="25" t="s">
        <v>6</v>
      </c>
      <c r="P6" s="25" t="s">
        <v>6</v>
      </c>
      <c r="Q6" s="122" t="s">
        <v>5</v>
      </c>
      <c r="R6" s="122" t="s">
        <v>5</v>
      </c>
      <c r="S6" s="114" t="s">
        <v>4</v>
      </c>
      <c r="T6" s="114" t="s">
        <v>4</v>
      </c>
      <c r="U6" s="122" t="s">
        <v>5</v>
      </c>
      <c r="V6" s="122" t="s">
        <v>5</v>
      </c>
      <c r="W6" s="122" t="s">
        <v>5</v>
      </c>
      <c r="X6" s="122" t="s">
        <v>5</v>
      </c>
      <c r="Y6" s="122" t="s">
        <v>5</v>
      </c>
      <c r="Z6" s="122" t="s">
        <v>4</v>
      </c>
      <c r="AA6" s="122" t="s">
        <v>4</v>
      </c>
      <c r="AB6" s="25" t="s">
        <v>6</v>
      </c>
      <c r="AC6" s="25" t="s">
        <v>6</v>
      </c>
    </row>
    <row r="7" spans="1:29" x14ac:dyDescent="0.35">
      <c r="A7" s="141" t="s">
        <v>71</v>
      </c>
      <c r="B7" s="116" t="s">
        <v>2</v>
      </c>
      <c r="C7" s="25" t="s">
        <v>6</v>
      </c>
      <c r="D7" s="25" t="s">
        <v>6</v>
      </c>
      <c r="E7" s="25" t="s">
        <v>3</v>
      </c>
      <c r="F7" s="114" t="s">
        <v>4</v>
      </c>
      <c r="G7" s="116" t="s">
        <v>2</v>
      </c>
      <c r="H7" s="25" t="s">
        <v>6</v>
      </c>
      <c r="I7" s="25" t="s">
        <v>6</v>
      </c>
      <c r="J7" s="25" t="s">
        <v>6</v>
      </c>
      <c r="K7" s="122" t="s">
        <v>5</v>
      </c>
      <c r="L7" s="114" t="s">
        <v>4</v>
      </c>
      <c r="M7" s="25" t="s">
        <v>3</v>
      </c>
      <c r="N7" s="25" t="s">
        <v>6</v>
      </c>
      <c r="O7" s="25" t="s">
        <v>6</v>
      </c>
      <c r="P7" s="25" t="s">
        <v>6</v>
      </c>
      <c r="Q7" s="25" t="s">
        <v>6</v>
      </c>
      <c r="R7" s="116" t="s">
        <v>2</v>
      </c>
      <c r="S7" s="114" t="s">
        <v>4</v>
      </c>
      <c r="T7" s="25" t="s">
        <v>3</v>
      </c>
      <c r="U7" s="25" t="s">
        <v>6</v>
      </c>
      <c r="V7" s="25" t="s">
        <v>6</v>
      </c>
      <c r="W7" s="25" t="s">
        <v>6</v>
      </c>
      <c r="X7" s="25" t="s">
        <v>6</v>
      </c>
      <c r="Y7" s="25" t="s">
        <v>6</v>
      </c>
      <c r="Z7" s="22" t="s">
        <v>30</v>
      </c>
      <c r="AA7" s="25" t="s">
        <v>3</v>
      </c>
      <c r="AB7" s="25" t="s">
        <v>6</v>
      </c>
      <c r="AC7" s="116" t="s">
        <v>2</v>
      </c>
    </row>
    <row r="8" spans="1:29" x14ac:dyDescent="0.35">
      <c r="A8" s="141" t="s">
        <v>70</v>
      </c>
      <c r="B8" s="122" t="s">
        <v>5</v>
      </c>
      <c r="C8" s="122" t="s">
        <v>5</v>
      </c>
      <c r="D8" s="25" t="s">
        <v>6</v>
      </c>
      <c r="E8" s="22" t="s">
        <v>30</v>
      </c>
      <c r="F8" s="114" t="s">
        <v>4</v>
      </c>
      <c r="G8" s="25" t="s">
        <v>6</v>
      </c>
      <c r="H8" s="25" t="s">
        <v>6</v>
      </c>
      <c r="I8" s="116" t="s">
        <v>2</v>
      </c>
      <c r="J8" s="25" t="s">
        <v>6</v>
      </c>
      <c r="K8" s="25" t="s">
        <v>6</v>
      </c>
      <c r="L8" s="25" t="s">
        <v>3</v>
      </c>
      <c r="M8" s="114" t="s">
        <v>4</v>
      </c>
      <c r="N8" s="116" t="s">
        <v>2</v>
      </c>
      <c r="O8" s="25" t="s">
        <v>6</v>
      </c>
      <c r="P8" s="25" t="s">
        <v>6</v>
      </c>
      <c r="Q8" s="25" t="s">
        <v>6</v>
      </c>
      <c r="R8" s="25" t="s">
        <v>6</v>
      </c>
      <c r="S8" s="22" t="s">
        <v>30</v>
      </c>
      <c r="T8" s="114" t="s">
        <v>4</v>
      </c>
      <c r="U8" s="116" t="s">
        <v>2</v>
      </c>
      <c r="V8" s="25" t="s">
        <v>6</v>
      </c>
      <c r="W8" s="25" t="s">
        <v>6</v>
      </c>
      <c r="X8" s="25" t="s">
        <v>6</v>
      </c>
      <c r="Y8" s="25" t="s">
        <v>6</v>
      </c>
      <c r="Z8" s="25" t="s">
        <v>3</v>
      </c>
      <c r="AA8" s="114" t="s">
        <v>4</v>
      </c>
      <c r="AB8" s="116" t="s">
        <v>2</v>
      </c>
      <c r="AC8" s="25" t="s">
        <v>6</v>
      </c>
    </row>
    <row r="9" spans="1:29" x14ac:dyDescent="0.35">
      <c r="A9" s="166"/>
    </row>
    <row r="10" spans="1:29" x14ac:dyDescent="0.35">
      <c r="A10" s="165" t="s">
        <v>12</v>
      </c>
      <c r="B10" s="116" t="s">
        <v>2</v>
      </c>
      <c r="C10" s="116" t="s">
        <v>2</v>
      </c>
      <c r="D10" s="19" t="s">
        <v>41</v>
      </c>
      <c r="E10" s="19" t="s">
        <v>42</v>
      </c>
      <c r="F10" s="114" t="s">
        <v>4</v>
      </c>
      <c r="G10" s="116" t="s">
        <v>2</v>
      </c>
      <c r="H10" s="19" t="s">
        <v>41</v>
      </c>
      <c r="I10" s="19" t="s">
        <v>41</v>
      </c>
      <c r="J10" s="19" t="s">
        <v>41</v>
      </c>
      <c r="K10" s="19" t="s">
        <v>41</v>
      </c>
      <c r="L10" s="19" t="s">
        <v>42</v>
      </c>
      <c r="M10" s="19" t="s">
        <v>42</v>
      </c>
      <c r="N10" s="122" t="s">
        <v>5</v>
      </c>
      <c r="O10" s="122" t="s">
        <v>5</v>
      </c>
      <c r="P10" s="122" t="s">
        <v>5</v>
      </c>
      <c r="Q10" s="122" t="s">
        <v>5</v>
      </c>
      <c r="R10" s="122" t="s">
        <v>5</v>
      </c>
      <c r="S10" s="19" t="s">
        <v>42</v>
      </c>
      <c r="T10" s="114" t="s">
        <v>4</v>
      </c>
      <c r="U10" s="19" t="s">
        <v>41</v>
      </c>
      <c r="V10" s="19" t="s">
        <v>41</v>
      </c>
      <c r="W10" s="116" t="s">
        <v>2</v>
      </c>
      <c r="X10" s="19" t="s">
        <v>41</v>
      </c>
      <c r="Y10" s="19" t="s">
        <v>41</v>
      </c>
      <c r="Z10" s="19" t="s">
        <v>42</v>
      </c>
      <c r="AA10" s="19" t="s">
        <v>42</v>
      </c>
      <c r="AB10" s="116" t="s">
        <v>2</v>
      </c>
      <c r="AC10" s="19" t="s">
        <v>41</v>
      </c>
    </row>
    <row r="11" spans="1:29" x14ac:dyDescent="0.35">
      <c r="A11" s="165" t="s">
        <v>15</v>
      </c>
      <c r="B11" s="19" t="s">
        <v>41</v>
      </c>
      <c r="C11" s="19" t="s">
        <v>41</v>
      </c>
      <c r="D11" s="19" t="s">
        <v>41</v>
      </c>
      <c r="E11" s="114" t="s">
        <v>4</v>
      </c>
      <c r="F11" s="19" t="s">
        <v>42</v>
      </c>
      <c r="G11" s="19" t="s">
        <v>41</v>
      </c>
      <c r="H11" s="19" t="s">
        <v>41</v>
      </c>
      <c r="I11" s="122" t="s">
        <v>5</v>
      </c>
      <c r="J11" s="122" t="s">
        <v>5</v>
      </c>
      <c r="K11" s="122" t="s">
        <v>5</v>
      </c>
      <c r="L11" s="114" t="s">
        <v>4</v>
      </c>
      <c r="M11" s="114" t="s">
        <v>4</v>
      </c>
      <c r="N11" s="19" t="s">
        <v>41</v>
      </c>
      <c r="O11" s="19" t="s">
        <v>41</v>
      </c>
      <c r="P11" s="25" t="s">
        <v>6</v>
      </c>
      <c r="Q11" s="19" t="s">
        <v>41</v>
      </c>
      <c r="R11" s="19" t="s">
        <v>41</v>
      </c>
      <c r="S11" s="114" t="s">
        <v>4</v>
      </c>
      <c r="T11" s="19" t="s">
        <v>42</v>
      </c>
      <c r="U11" s="19" t="s">
        <v>41</v>
      </c>
      <c r="V11" s="116" t="s">
        <v>2</v>
      </c>
      <c r="W11" s="19" t="s">
        <v>41</v>
      </c>
      <c r="X11" s="19" t="s">
        <v>41</v>
      </c>
      <c r="Y11" s="19" t="s">
        <v>41</v>
      </c>
      <c r="Z11" s="114" t="s">
        <v>4</v>
      </c>
      <c r="AA11" s="19" t="s">
        <v>42</v>
      </c>
      <c r="AB11" s="19" t="s">
        <v>41</v>
      </c>
      <c r="AC11" s="19" t="s">
        <v>41</v>
      </c>
    </row>
    <row r="12" spans="1:29" x14ac:dyDescent="0.35">
      <c r="A12" s="141" t="s">
        <v>22</v>
      </c>
      <c r="B12" s="122" t="s">
        <v>5</v>
      </c>
      <c r="C12" s="19" t="s">
        <v>41</v>
      </c>
      <c r="D12" s="19" t="s">
        <v>41</v>
      </c>
      <c r="E12" s="19" t="s">
        <v>42</v>
      </c>
      <c r="F12" s="114" t="s">
        <v>4</v>
      </c>
      <c r="G12" s="19" t="s">
        <v>41</v>
      </c>
      <c r="H12" s="116" t="s">
        <v>2</v>
      </c>
      <c r="I12" s="25" t="s">
        <v>6</v>
      </c>
      <c r="J12" s="19" t="s">
        <v>41</v>
      </c>
      <c r="K12" s="19" t="s">
        <v>41</v>
      </c>
      <c r="L12" s="19" t="s">
        <v>42</v>
      </c>
      <c r="M12" s="114" t="s">
        <v>4</v>
      </c>
      <c r="N12" s="19" t="s">
        <v>41</v>
      </c>
      <c r="O12" s="19" t="s">
        <v>41</v>
      </c>
      <c r="P12" s="19" t="s">
        <v>41</v>
      </c>
      <c r="Q12" s="116" t="s">
        <v>2</v>
      </c>
      <c r="R12" s="19" t="s">
        <v>41</v>
      </c>
      <c r="S12" s="19" t="s">
        <v>42</v>
      </c>
      <c r="T12" s="19" t="s">
        <v>42</v>
      </c>
      <c r="U12" s="116" t="s">
        <v>2</v>
      </c>
      <c r="V12" s="19" t="s">
        <v>41</v>
      </c>
      <c r="W12" s="19" t="s">
        <v>41</v>
      </c>
      <c r="X12" s="19" t="s">
        <v>41</v>
      </c>
      <c r="Y12" s="122" t="s">
        <v>5</v>
      </c>
      <c r="Z12" s="122" t="s">
        <v>4</v>
      </c>
      <c r="AA12" s="122" t="s">
        <v>4</v>
      </c>
      <c r="AB12" s="122" t="s">
        <v>5</v>
      </c>
      <c r="AC12" s="122" t="s">
        <v>5</v>
      </c>
    </row>
    <row r="13" spans="1:29" x14ac:dyDescent="0.35">
      <c r="A13" s="141" t="s">
        <v>149</v>
      </c>
      <c r="B13" s="19" t="s">
        <v>41</v>
      </c>
      <c r="C13" s="19" t="s">
        <v>41</v>
      </c>
      <c r="D13" s="19" t="s">
        <v>41</v>
      </c>
      <c r="E13" s="114" t="s">
        <v>4</v>
      </c>
      <c r="F13" s="114" t="s">
        <v>4</v>
      </c>
      <c r="G13" s="19" t="s">
        <v>41</v>
      </c>
      <c r="H13" s="19" t="s">
        <v>41</v>
      </c>
      <c r="I13" s="26" t="s">
        <v>34</v>
      </c>
      <c r="J13" s="19" t="s">
        <v>41</v>
      </c>
      <c r="K13" s="19" t="s">
        <v>41</v>
      </c>
      <c r="L13" s="114" t="s">
        <v>4</v>
      </c>
      <c r="M13" s="114" t="s">
        <v>4</v>
      </c>
      <c r="N13" s="19" t="s">
        <v>41</v>
      </c>
      <c r="O13" s="19" t="s">
        <v>41</v>
      </c>
      <c r="P13" s="19" t="s">
        <v>41</v>
      </c>
      <c r="Q13" s="19" t="s">
        <v>41</v>
      </c>
      <c r="R13" s="19" t="s">
        <v>41</v>
      </c>
      <c r="S13" s="114" t="s">
        <v>4</v>
      </c>
      <c r="T13" s="114" t="s">
        <v>4</v>
      </c>
      <c r="U13" s="19" t="s">
        <v>41</v>
      </c>
      <c r="V13" s="19" t="s">
        <v>41</v>
      </c>
      <c r="W13" s="19" t="s">
        <v>41</v>
      </c>
      <c r="X13" s="19" t="s">
        <v>41</v>
      </c>
      <c r="Y13" s="19" t="s">
        <v>41</v>
      </c>
      <c r="Z13" s="114" t="s">
        <v>4</v>
      </c>
      <c r="AA13" s="114" t="s">
        <v>4</v>
      </c>
      <c r="AB13" s="19" t="s">
        <v>41</v>
      </c>
      <c r="AC13" s="19" t="s">
        <v>41</v>
      </c>
    </row>
    <row r="14" spans="1:29" x14ac:dyDescent="0.35">
      <c r="A14" s="141" t="s">
        <v>124</v>
      </c>
      <c r="B14" s="19" t="s">
        <v>41</v>
      </c>
      <c r="C14" s="19" t="s">
        <v>41</v>
      </c>
      <c r="D14" s="116" t="s">
        <v>2</v>
      </c>
      <c r="E14" s="114" t="s">
        <v>4</v>
      </c>
      <c r="F14" s="19" t="s">
        <v>42</v>
      </c>
      <c r="G14" s="25" t="s">
        <v>6</v>
      </c>
      <c r="H14" s="19" t="s">
        <v>41</v>
      </c>
      <c r="I14" s="116" t="s">
        <v>2</v>
      </c>
      <c r="J14" s="19" t="s">
        <v>41</v>
      </c>
      <c r="K14" s="19" t="s">
        <v>41</v>
      </c>
      <c r="L14" s="114" t="s">
        <v>4</v>
      </c>
      <c r="M14" s="19" t="s">
        <v>42</v>
      </c>
      <c r="N14" s="19" t="s">
        <v>41</v>
      </c>
      <c r="O14" s="19" t="s">
        <v>41</v>
      </c>
      <c r="P14" s="116" t="s">
        <v>2</v>
      </c>
      <c r="Q14" s="19" t="s">
        <v>41</v>
      </c>
      <c r="R14" s="19" t="s">
        <v>41</v>
      </c>
      <c r="S14" s="114" t="s">
        <v>4</v>
      </c>
      <c r="T14" s="114" t="s">
        <v>4</v>
      </c>
      <c r="U14" s="19" t="s">
        <v>41</v>
      </c>
      <c r="V14" s="19" t="s">
        <v>41</v>
      </c>
      <c r="W14" s="122" t="s">
        <v>5</v>
      </c>
      <c r="X14" s="122" t="s">
        <v>5</v>
      </c>
      <c r="Y14" s="122" t="s">
        <v>5</v>
      </c>
      <c r="Z14" s="122" t="s">
        <v>4</v>
      </c>
      <c r="AA14" s="122" t="s">
        <v>4</v>
      </c>
      <c r="AB14" s="19" t="s">
        <v>41</v>
      </c>
      <c r="AC14" s="19" t="s">
        <v>41</v>
      </c>
    </row>
    <row r="15" spans="1:29" x14ac:dyDescent="0.35">
      <c r="A15" s="166"/>
      <c r="B15" s="1"/>
    </row>
    <row r="16" spans="1:29" x14ac:dyDescent="0.35">
      <c r="A16" s="165" t="s">
        <v>1</v>
      </c>
      <c r="B16" s="16" t="s">
        <v>10</v>
      </c>
      <c r="C16" s="116" t="s">
        <v>2</v>
      </c>
      <c r="D16" s="16" t="s">
        <v>10</v>
      </c>
      <c r="E16" s="16" t="s">
        <v>11</v>
      </c>
      <c r="F16" s="16" t="s">
        <v>11</v>
      </c>
      <c r="G16" s="16" t="s">
        <v>10</v>
      </c>
      <c r="H16" s="16" t="s">
        <v>10</v>
      </c>
      <c r="I16" s="16" t="s">
        <v>10</v>
      </c>
      <c r="J16" s="116" t="s">
        <v>2</v>
      </c>
      <c r="K16" s="16" t="s">
        <v>10</v>
      </c>
      <c r="L16" s="16" t="s">
        <v>11</v>
      </c>
      <c r="M16" s="16" t="s">
        <v>11</v>
      </c>
      <c r="N16" s="16" t="s">
        <v>10</v>
      </c>
      <c r="O16" s="16" t="s">
        <v>10</v>
      </c>
      <c r="P16" s="16" t="s">
        <v>10</v>
      </c>
      <c r="Q16" s="116" t="s">
        <v>2</v>
      </c>
      <c r="R16" s="16" t="s">
        <v>10</v>
      </c>
      <c r="S16" s="114" t="s">
        <v>4</v>
      </c>
      <c r="T16" s="114" t="s">
        <v>4</v>
      </c>
      <c r="U16" s="16" t="s">
        <v>10</v>
      </c>
      <c r="V16" s="16" t="s">
        <v>10</v>
      </c>
      <c r="W16" s="16" t="s">
        <v>10</v>
      </c>
      <c r="X16" s="16" t="s">
        <v>10</v>
      </c>
      <c r="Y16" s="16" t="s">
        <v>10</v>
      </c>
      <c r="Z16" s="16" t="s">
        <v>11</v>
      </c>
      <c r="AA16" s="114" t="s">
        <v>4</v>
      </c>
      <c r="AB16" s="16" t="s">
        <v>10</v>
      </c>
      <c r="AC16" s="16" t="s">
        <v>10</v>
      </c>
    </row>
    <row r="17" spans="1:29" x14ac:dyDescent="0.35">
      <c r="A17" s="165" t="s">
        <v>43</v>
      </c>
      <c r="B17" s="16" t="s">
        <v>10</v>
      </c>
      <c r="C17" s="16" t="s">
        <v>10</v>
      </c>
      <c r="D17" s="16" t="s">
        <v>10</v>
      </c>
      <c r="E17" s="16" t="s">
        <v>11</v>
      </c>
      <c r="F17" s="114" t="s">
        <v>4</v>
      </c>
      <c r="G17" s="116" t="s">
        <v>2</v>
      </c>
      <c r="H17" s="16" t="s">
        <v>10</v>
      </c>
      <c r="I17" s="16" t="s">
        <v>10</v>
      </c>
      <c r="J17" s="16" t="s">
        <v>10</v>
      </c>
      <c r="K17" s="16" t="s">
        <v>10</v>
      </c>
      <c r="L17" s="16" t="s">
        <v>11</v>
      </c>
      <c r="M17" s="114" t="s">
        <v>4</v>
      </c>
      <c r="N17" s="116" t="s">
        <v>2</v>
      </c>
      <c r="O17" s="16" t="s">
        <v>10</v>
      </c>
      <c r="P17" s="16" t="s">
        <v>10</v>
      </c>
      <c r="Q17" s="16" t="s">
        <v>10</v>
      </c>
      <c r="R17" s="16" t="s">
        <v>10</v>
      </c>
      <c r="S17" s="16" t="s">
        <v>11</v>
      </c>
      <c r="T17" s="16" t="s">
        <v>11</v>
      </c>
      <c r="U17" s="116" t="s">
        <v>2</v>
      </c>
      <c r="V17" s="116" t="s">
        <v>2</v>
      </c>
      <c r="W17" s="16" t="s">
        <v>10</v>
      </c>
      <c r="X17" s="16" t="s">
        <v>10</v>
      </c>
      <c r="Y17" s="16" t="s">
        <v>10</v>
      </c>
      <c r="Z17" s="114" t="s">
        <v>4</v>
      </c>
      <c r="AA17" s="16" t="s">
        <v>11</v>
      </c>
      <c r="AB17" s="116" t="s">
        <v>2</v>
      </c>
      <c r="AC17" s="116" t="s">
        <v>2</v>
      </c>
    </row>
    <row r="18" spans="1:29" x14ac:dyDescent="0.35">
      <c r="A18" s="141" t="s">
        <v>68</v>
      </c>
      <c r="B18" s="16" t="s">
        <v>10</v>
      </c>
      <c r="C18" s="16" t="s">
        <v>10</v>
      </c>
      <c r="D18" s="16" t="s">
        <v>10</v>
      </c>
      <c r="E18" s="16" t="s">
        <v>11</v>
      </c>
      <c r="F18" s="114" t="s">
        <v>4</v>
      </c>
      <c r="G18" s="16" t="s">
        <v>10</v>
      </c>
      <c r="H18" s="16" t="s">
        <v>10</v>
      </c>
      <c r="I18" s="116" t="s">
        <v>2</v>
      </c>
      <c r="J18" s="16" t="s">
        <v>10</v>
      </c>
      <c r="K18" s="16" t="s">
        <v>10</v>
      </c>
      <c r="L18" s="16" t="s">
        <v>11</v>
      </c>
      <c r="M18" s="114" t="s">
        <v>4</v>
      </c>
      <c r="N18" s="16" t="s">
        <v>10</v>
      </c>
      <c r="O18" s="16" t="s">
        <v>10</v>
      </c>
      <c r="P18" s="116" t="s">
        <v>2</v>
      </c>
      <c r="Q18" s="16" t="s">
        <v>10</v>
      </c>
      <c r="R18" s="16" t="s">
        <v>10</v>
      </c>
      <c r="S18" s="16" t="s">
        <v>11</v>
      </c>
      <c r="T18" s="114" t="s">
        <v>4</v>
      </c>
      <c r="U18" s="16" t="s">
        <v>10</v>
      </c>
      <c r="V18" s="16" t="s">
        <v>10</v>
      </c>
      <c r="W18" s="116" t="s">
        <v>2</v>
      </c>
      <c r="X18" s="116" t="s">
        <v>2</v>
      </c>
      <c r="Y18" s="16" t="s">
        <v>10</v>
      </c>
      <c r="Z18" s="16" t="s">
        <v>11</v>
      </c>
      <c r="AA18" s="114" t="s">
        <v>4</v>
      </c>
      <c r="AB18" s="16" t="s">
        <v>10</v>
      </c>
      <c r="AC18" s="16" t="s">
        <v>10</v>
      </c>
    </row>
    <row r="19" spans="1:29" x14ac:dyDescent="0.35">
      <c r="A19" s="141" t="s">
        <v>60</v>
      </c>
      <c r="B19" s="122" t="s">
        <v>5</v>
      </c>
      <c r="C19" s="16" t="s">
        <v>10</v>
      </c>
      <c r="D19" s="116" t="s">
        <v>2</v>
      </c>
      <c r="E19" s="114" t="s">
        <v>4</v>
      </c>
      <c r="F19" s="16" t="s">
        <v>11</v>
      </c>
      <c r="G19" s="16" t="s">
        <v>10</v>
      </c>
      <c r="H19" s="16" t="s">
        <v>10</v>
      </c>
      <c r="I19" s="116" t="s">
        <v>2</v>
      </c>
      <c r="J19" s="16" t="s">
        <v>10</v>
      </c>
      <c r="K19" s="116" t="s">
        <v>2</v>
      </c>
      <c r="L19" s="114" t="s">
        <v>4</v>
      </c>
      <c r="M19" s="16" t="s">
        <v>11</v>
      </c>
      <c r="N19" s="16" t="s">
        <v>10</v>
      </c>
      <c r="O19" s="116" t="s">
        <v>2</v>
      </c>
      <c r="P19" s="16" t="s">
        <v>10</v>
      </c>
      <c r="Q19" s="16" t="s">
        <v>10</v>
      </c>
      <c r="R19" s="116" t="s">
        <v>2</v>
      </c>
      <c r="S19" s="114" t="s">
        <v>4</v>
      </c>
      <c r="T19" s="16" t="s">
        <v>11</v>
      </c>
      <c r="U19" s="16" t="s">
        <v>10</v>
      </c>
      <c r="V19" s="16" t="s">
        <v>10</v>
      </c>
      <c r="W19" s="16" t="s">
        <v>10</v>
      </c>
      <c r="X19" s="116" t="s">
        <v>2</v>
      </c>
      <c r="Y19" s="122" t="s">
        <v>5</v>
      </c>
      <c r="Z19" s="19" t="s">
        <v>42</v>
      </c>
      <c r="AA19" s="16" t="s">
        <v>11</v>
      </c>
      <c r="AB19" s="16" t="s">
        <v>10</v>
      </c>
      <c r="AC19" s="116" t="s">
        <v>2</v>
      </c>
    </row>
    <row r="20" spans="1:29" x14ac:dyDescent="0.35">
      <c r="A20" s="141" t="s">
        <v>148</v>
      </c>
      <c r="B20" s="22" t="s">
        <v>16</v>
      </c>
      <c r="C20" s="16" t="s">
        <v>10</v>
      </c>
      <c r="D20" s="16" t="s">
        <v>10</v>
      </c>
      <c r="E20" s="114" t="s">
        <v>4</v>
      </c>
      <c r="F20" s="114" t="s">
        <v>4</v>
      </c>
      <c r="G20" s="22" t="s">
        <v>16</v>
      </c>
      <c r="H20" s="22" t="s">
        <v>16</v>
      </c>
      <c r="I20" s="16" t="s">
        <v>10</v>
      </c>
      <c r="J20" s="16" t="s">
        <v>10</v>
      </c>
      <c r="K20" s="16" t="s">
        <v>10</v>
      </c>
      <c r="L20" s="114" t="s">
        <v>4</v>
      </c>
      <c r="M20" s="114" t="s">
        <v>4</v>
      </c>
      <c r="N20" s="22" t="s">
        <v>16</v>
      </c>
      <c r="O20" s="22" t="s">
        <v>16</v>
      </c>
      <c r="P20" s="16" t="s">
        <v>10</v>
      </c>
      <c r="Q20" s="16" t="s">
        <v>10</v>
      </c>
      <c r="R20" s="16" t="s">
        <v>10</v>
      </c>
      <c r="S20" s="114" t="s">
        <v>4</v>
      </c>
      <c r="T20" s="114" t="s">
        <v>4</v>
      </c>
      <c r="U20" s="22" t="s">
        <v>16</v>
      </c>
      <c r="V20" s="22" t="s">
        <v>16</v>
      </c>
      <c r="W20" s="16" t="s">
        <v>10</v>
      </c>
      <c r="X20" s="16" t="s">
        <v>10</v>
      </c>
      <c r="Y20" s="16" t="s">
        <v>10</v>
      </c>
      <c r="Z20" s="114" t="s">
        <v>4</v>
      </c>
      <c r="AA20" s="114" t="s">
        <v>4</v>
      </c>
      <c r="AB20" s="22" t="s">
        <v>16</v>
      </c>
      <c r="AC20" s="22" t="s">
        <v>16</v>
      </c>
    </row>
    <row r="22" spans="1:29" x14ac:dyDescent="0.35">
      <c r="A22" s="128" t="s">
        <v>125</v>
      </c>
      <c r="B22">
        <f t="shared" ref="B22:AC22" si="2">COUNTIF(B4:B20,"*MS")</f>
        <v>3</v>
      </c>
      <c r="C22">
        <f t="shared" si="2"/>
        <v>3</v>
      </c>
      <c r="D22">
        <f t="shared" si="2"/>
        <v>4</v>
      </c>
      <c r="E22">
        <f t="shared" si="2"/>
        <v>2</v>
      </c>
      <c r="F22">
        <f t="shared" si="2"/>
        <v>2</v>
      </c>
      <c r="G22">
        <f t="shared" si="2"/>
        <v>4</v>
      </c>
      <c r="H22">
        <f t="shared" si="2"/>
        <v>4</v>
      </c>
      <c r="I22">
        <f t="shared" si="2"/>
        <v>3</v>
      </c>
      <c r="J22">
        <f t="shared" si="2"/>
        <v>5</v>
      </c>
      <c r="K22">
        <f t="shared" si="2"/>
        <v>4</v>
      </c>
      <c r="L22">
        <f t="shared" si="2"/>
        <v>2</v>
      </c>
      <c r="M22">
        <f t="shared" si="2"/>
        <v>2</v>
      </c>
      <c r="N22">
        <f t="shared" si="2"/>
        <v>3</v>
      </c>
      <c r="O22">
        <f t="shared" si="2"/>
        <v>4</v>
      </c>
      <c r="P22">
        <f t="shared" si="2"/>
        <v>4</v>
      </c>
      <c r="Q22">
        <f t="shared" si="2"/>
        <v>4</v>
      </c>
      <c r="R22">
        <f t="shared" si="2"/>
        <v>3</v>
      </c>
      <c r="S22">
        <f t="shared" si="2"/>
        <v>2</v>
      </c>
      <c r="T22">
        <f>COUNTIF(T4:T20,"*MS")</f>
        <v>2</v>
      </c>
      <c r="U22">
        <f t="shared" si="2"/>
        <v>3</v>
      </c>
      <c r="V22">
        <f t="shared" si="2"/>
        <v>3</v>
      </c>
      <c r="W22">
        <f t="shared" si="2"/>
        <v>3</v>
      </c>
      <c r="X22">
        <f t="shared" si="2"/>
        <v>3</v>
      </c>
      <c r="Y22">
        <f t="shared" si="2"/>
        <v>3</v>
      </c>
      <c r="Z22">
        <f t="shared" si="2"/>
        <v>2</v>
      </c>
      <c r="AA22">
        <f t="shared" si="2"/>
        <v>2</v>
      </c>
      <c r="AB22">
        <f t="shared" si="2"/>
        <v>3</v>
      </c>
      <c r="AC22">
        <f t="shared" si="2"/>
        <v>3</v>
      </c>
    </row>
    <row r="23" spans="1:29" x14ac:dyDescent="0.35">
      <c r="A23" s="128" t="s">
        <v>126</v>
      </c>
      <c r="B23">
        <f t="shared" ref="B23:AC23" si="3">COUNTIF(B4:B20,"*ASS1")</f>
        <v>3</v>
      </c>
      <c r="C23">
        <f t="shared" si="3"/>
        <v>4</v>
      </c>
      <c r="D23">
        <f t="shared" si="3"/>
        <v>4</v>
      </c>
      <c r="E23">
        <f t="shared" si="3"/>
        <v>2</v>
      </c>
      <c r="F23">
        <f t="shared" si="3"/>
        <v>2</v>
      </c>
      <c r="G23">
        <f t="shared" si="3"/>
        <v>4</v>
      </c>
      <c r="H23">
        <f t="shared" si="3"/>
        <v>4</v>
      </c>
      <c r="I23">
        <f t="shared" si="3"/>
        <v>2</v>
      </c>
      <c r="J23">
        <f t="shared" si="3"/>
        <v>4</v>
      </c>
      <c r="K23">
        <f t="shared" si="3"/>
        <v>4</v>
      </c>
      <c r="L23">
        <f t="shared" si="3"/>
        <v>2</v>
      </c>
      <c r="M23">
        <f t="shared" si="3"/>
        <v>2</v>
      </c>
      <c r="N23">
        <f t="shared" si="3"/>
        <v>4</v>
      </c>
      <c r="O23">
        <f t="shared" si="3"/>
        <v>4</v>
      </c>
      <c r="P23">
        <f t="shared" si="3"/>
        <v>3</v>
      </c>
      <c r="Q23">
        <f t="shared" si="3"/>
        <v>3</v>
      </c>
      <c r="R23">
        <f t="shared" si="3"/>
        <v>4</v>
      </c>
      <c r="S23">
        <f t="shared" si="3"/>
        <v>2</v>
      </c>
      <c r="T23">
        <f>COUNTIF(T4:T20,"*ASS1")</f>
        <v>2</v>
      </c>
      <c r="U23">
        <f t="shared" si="3"/>
        <v>4</v>
      </c>
      <c r="V23">
        <f t="shared" si="3"/>
        <v>4</v>
      </c>
      <c r="W23">
        <f t="shared" si="3"/>
        <v>3</v>
      </c>
      <c r="X23">
        <f t="shared" si="3"/>
        <v>4</v>
      </c>
      <c r="Y23">
        <f t="shared" si="3"/>
        <v>3</v>
      </c>
      <c r="Z23">
        <f t="shared" si="3"/>
        <v>2</v>
      </c>
      <c r="AA23">
        <f t="shared" si="3"/>
        <v>2</v>
      </c>
      <c r="AB23">
        <f t="shared" si="3"/>
        <v>3</v>
      </c>
      <c r="AC23">
        <f t="shared" si="3"/>
        <v>4</v>
      </c>
    </row>
    <row r="24" spans="1:29" x14ac:dyDescent="0.35">
      <c r="A24" s="128" t="s">
        <v>127</v>
      </c>
      <c r="B24">
        <f t="shared" ref="B24:AC24" si="4">COUNTIF(B4:B20,"*NST7")</f>
        <v>3</v>
      </c>
      <c r="C24">
        <f t="shared" si="4"/>
        <v>4</v>
      </c>
      <c r="D24">
        <f t="shared" si="4"/>
        <v>4</v>
      </c>
      <c r="E24">
        <f t="shared" si="4"/>
        <v>3</v>
      </c>
      <c r="F24">
        <f t="shared" si="4"/>
        <v>2</v>
      </c>
      <c r="G24">
        <f t="shared" si="4"/>
        <v>3</v>
      </c>
      <c r="H24">
        <f t="shared" si="4"/>
        <v>4</v>
      </c>
      <c r="I24">
        <f t="shared" si="4"/>
        <v>3</v>
      </c>
      <c r="J24">
        <f t="shared" si="4"/>
        <v>4</v>
      </c>
      <c r="K24">
        <f t="shared" si="4"/>
        <v>4</v>
      </c>
      <c r="L24">
        <f t="shared" si="4"/>
        <v>3</v>
      </c>
      <c r="M24">
        <f t="shared" si="4"/>
        <v>2</v>
      </c>
      <c r="N24">
        <f t="shared" si="4"/>
        <v>3</v>
      </c>
      <c r="O24">
        <f t="shared" si="4"/>
        <v>3</v>
      </c>
      <c r="P24">
        <f t="shared" si="4"/>
        <v>4</v>
      </c>
      <c r="Q24">
        <f t="shared" si="4"/>
        <v>4</v>
      </c>
      <c r="R24">
        <f t="shared" si="4"/>
        <v>4</v>
      </c>
      <c r="S24">
        <f t="shared" si="4"/>
        <v>2</v>
      </c>
      <c r="T24">
        <f>COUNTIF(T4:T20,"*NST7")</f>
        <v>2</v>
      </c>
      <c r="U24">
        <f t="shared" si="4"/>
        <v>3</v>
      </c>
      <c r="V24">
        <f t="shared" si="4"/>
        <v>3</v>
      </c>
      <c r="W24">
        <f t="shared" si="4"/>
        <v>4</v>
      </c>
      <c r="X24">
        <f t="shared" si="4"/>
        <v>3</v>
      </c>
      <c r="Y24">
        <f t="shared" si="4"/>
        <v>4</v>
      </c>
      <c r="Z24">
        <f t="shared" si="4"/>
        <v>2</v>
      </c>
      <c r="AA24">
        <f t="shared" si="4"/>
        <v>2</v>
      </c>
      <c r="AB24">
        <f t="shared" si="4"/>
        <v>3</v>
      </c>
      <c r="AC24">
        <f t="shared" si="4"/>
        <v>2</v>
      </c>
    </row>
    <row r="25" spans="1:29" x14ac:dyDescent="0.35">
      <c r="A25" s="128" t="s">
        <v>128</v>
      </c>
      <c r="B25">
        <f t="shared" ref="B25:AC25" si="5">COUNTIF(B4:B20,"*GS")</f>
        <v>1</v>
      </c>
      <c r="C25">
        <f t="shared" si="5"/>
        <v>0</v>
      </c>
      <c r="D25">
        <f t="shared" si="5"/>
        <v>0</v>
      </c>
      <c r="E25">
        <f t="shared" si="5"/>
        <v>1</v>
      </c>
      <c r="F25">
        <f t="shared" si="5"/>
        <v>0</v>
      </c>
      <c r="G25">
        <f t="shared" si="5"/>
        <v>1</v>
      </c>
      <c r="H25">
        <f t="shared" si="5"/>
        <v>1</v>
      </c>
      <c r="I25">
        <f t="shared" si="5"/>
        <v>0</v>
      </c>
      <c r="J25">
        <f t="shared" si="5"/>
        <v>0</v>
      </c>
      <c r="K25">
        <f t="shared" si="5"/>
        <v>0</v>
      </c>
      <c r="L25">
        <f t="shared" si="5"/>
        <v>1</v>
      </c>
      <c r="M25">
        <f t="shared" si="5"/>
        <v>1</v>
      </c>
      <c r="N25">
        <f t="shared" si="5"/>
        <v>1</v>
      </c>
      <c r="O25">
        <f t="shared" si="5"/>
        <v>1</v>
      </c>
      <c r="P25">
        <f t="shared" si="5"/>
        <v>0</v>
      </c>
      <c r="Q25">
        <f t="shared" si="5"/>
        <v>0</v>
      </c>
      <c r="R25">
        <f t="shared" si="5"/>
        <v>0</v>
      </c>
      <c r="S25">
        <f t="shared" si="5"/>
        <v>1</v>
      </c>
      <c r="T25">
        <f>COUNTIF(T4:T20,"*GS")</f>
        <v>0</v>
      </c>
      <c r="U25">
        <f t="shared" si="5"/>
        <v>1</v>
      </c>
      <c r="V25">
        <f t="shared" si="5"/>
        <v>1</v>
      </c>
      <c r="W25">
        <f t="shared" si="5"/>
        <v>0</v>
      </c>
      <c r="X25">
        <f t="shared" si="5"/>
        <v>0</v>
      </c>
      <c r="Y25">
        <f t="shared" si="5"/>
        <v>0</v>
      </c>
      <c r="Z25">
        <f t="shared" si="5"/>
        <v>1</v>
      </c>
      <c r="AA25">
        <f t="shared" si="5"/>
        <v>0</v>
      </c>
      <c r="AB25">
        <f t="shared" si="5"/>
        <v>1</v>
      </c>
      <c r="AC25">
        <f t="shared" si="5"/>
        <v>1</v>
      </c>
    </row>
    <row r="26" spans="1:29" x14ac:dyDescent="0.35">
      <c r="A26" s="128" t="s">
        <v>129</v>
      </c>
      <c r="B26">
        <f>COUNTIF(B4:B20,"C")</f>
        <v>2</v>
      </c>
      <c r="C26">
        <f>COUNTIF(C4:C20,"C")</f>
        <v>3</v>
      </c>
      <c r="D26">
        <f>COUNTIF(D4:D20,"C")</f>
        <v>3</v>
      </c>
      <c r="E26">
        <f>COUNTIF(E4:E20,"WO")</f>
        <v>7</v>
      </c>
      <c r="F26">
        <f>COUNTIF(F4:F20,"WO")</f>
        <v>9</v>
      </c>
      <c r="G26">
        <f>COUNTIF(G4:G20,"C")</f>
        <v>3</v>
      </c>
      <c r="H26">
        <f>COUNTIF(H4:H20,"C")</f>
        <v>2</v>
      </c>
      <c r="I26">
        <f>COUNTIF(I4:I20,"C")</f>
        <v>5</v>
      </c>
      <c r="J26">
        <f>COUNTIF(J4:J20,"C")</f>
        <v>1</v>
      </c>
      <c r="K26">
        <f>COUNTIF(K4:K20,"C")</f>
        <v>1</v>
      </c>
      <c r="L26">
        <f>COUNTIF(L4:L20,"WO")</f>
        <v>7</v>
      </c>
      <c r="M26">
        <f>COUNTIF(M4:M20,"WO")</f>
        <v>8</v>
      </c>
      <c r="N26">
        <f>COUNTIF(N4:N20,"C")</f>
        <v>2</v>
      </c>
      <c r="O26">
        <f>COUNTIF(O4:O20,"C")</f>
        <v>2</v>
      </c>
      <c r="P26">
        <f>COUNTIF(P4:P20,"C")</f>
        <v>3</v>
      </c>
      <c r="Q26">
        <f>COUNTIF(Q4:Q20,"C")</f>
        <v>2</v>
      </c>
      <c r="R26">
        <f>COUNTIF(R4:R20,"C")</f>
        <v>2</v>
      </c>
      <c r="S26">
        <f>COUNTIF(S4:S20,"WO")</f>
        <v>8</v>
      </c>
      <c r="T26">
        <f>COUNTIF(T4:T20,"WO")</f>
        <v>9</v>
      </c>
      <c r="U26">
        <f>COUNTIF(U4:U20,"C")</f>
        <v>3</v>
      </c>
      <c r="V26">
        <f>COUNTIF(V4:V20,"C")</f>
        <v>3</v>
      </c>
      <c r="W26">
        <f>COUNTIF(W4:W20,"C")</f>
        <v>3</v>
      </c>
      <c r="X26">
        <f>COUNTIF(X4:X20,"C")</f>
        <v>2</v>
      </c>
      <c r="Y26">
        <f>COUNTIF(Y4:Y20,"C")</f>
        <v>0</v>
      </c>
      <c r="Z26">
        <f>COUNTIF(Z4:Z20,"WO")</f>
        <v>8</v>
      </c>
      <c r="AA26">
        <f>COUNTIF(AA4:AA20,"WO")</f>
        <v>9</v>
      </c>
      <c r="AB26">
        <f>COUNTIF(AB4:AB20,"C")</f>
        <v>3</v>
      </c>
      <c r="AC26">
        <f>COUNTIF(AC4:AC20,"C")</f>
        <v>3</v>
      </c>
    </row>
    <row r="27" spans="1:29" x14ac:dyDescent="0.35">
      <c r="A27" s="128" t="s">
        <v>130</v>
      </c>
      <c r="B27">
        <f t="shared" ref="B27:AC27" si="6">COUNTIF(B4:B20,"PL")</f>
        <v>3</v>
      </c>
      <c r="C27">
        <f t="shared" si="6"/>
        <v>1</v>
      </c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0</v>
      </c>
      <c r="H27">
        <f t="shared" si="6"/>
        <v>0</v>
      </c>
      <c r="I27">
        <f t="shared" si="6"/>
        <v>1</v>
      </c>
      <c r="J27">
        <f t="shared" si="6"/>
        <v>1</v>
      </c>
      <c r="K27">
        <f t="shared" si="6"/>
        <v>2</v>
      </c>
      <c r="L27">
        <f t="shared" si="6"/>
        <v>0</v>
      </c>
      <c r="M27">
        <f t="shared" si="6"/>
        <v>0</v>
      </c>
      <c r="N27">
        <f t="shared" si="6"/>
        <v>2</v>
      </c>
      <c r="O27">
        <f t="shared" si="6"/>
        <v>1</v>
      </c>
      <c r="P27">
        <f t="shared" si="6"/>
        <v>1</v>
      </c>
      <c r="Q27">
        <f t="shared" si="6"/>
        <v>2</v>
      </c>
      <c r="R27">
        <f t="shared" si="6"/>
        <v>2</v>
      </c>
      <c r="S27">
        <f t="shared" si="6"/>
        <v>0</v>
      </c>
      <c r="T27">
        <f>COUNTIF(T4:T20,"PL")</f>
        <v>0</v>
      </c>
      <c r="U27">
        <f t="shared" si="6"/>
        <v>1</v>
      </c>
      <c r="V27">
        <f t="shared" si="6"/>
        <v>1</v>
      </c>
      <c r="W27">
        <f t="shared" si="6"/>
        <v>2</v>
      </c>
      <c r="X27">
        <f t="shared" si="6"/>
        <v>3</v>
      </c>
      <c r="Y27">
        <f t="shared" si="6"/>
        <v>5</v>
      </c>
      <c r="Z27">
        <f t="shared" si="6"/>
        <v>0</v>
      </c>
      <c r="AA27">
        <f t="shared" si="6"/>
        <v>0</v>
      </c>
      <c r="AB27">
        <f t="shared" si="6"/>
        <v>2</v>
      </c>
      <c r="AC27">
        <f t="shared" si="6"/>
        <v>2</v>
      </c>
    </row>
    <row r="28" spans="1:29" x14ac:dyDescent="0.35">
      <c r="A28" s="128" t="s">
        <v>33</v>
      </c>
      <c r="B28">
        <f t="shared" ref="B28:AC28" si="7">COUNTIF(B4:B20,"UPL")</f>
        <v>0</v>
      </c>
      <c r="C28">
        <f t="shared" si="7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7"/>
        <v>0</v>
      </c>
      <c r="I28">
        <f t="shared" si="7"/>
        <v>1</v>
      </c>
      <c r="J28">
        <f t="shared" si="7"/>
        <v>0</v>
      </c>
      <c r="K28">
        <f t="shared" si="7"/>
        <v>0</v>
      </c>
      <c r="L28">
        <f t="shared" si="7"/>
        <v>0</v>
      </c>
      <c r="M28">
        <f t="shared" si="7"/>
        <v>0</v>
      </c>
      <c r="N28">
        <f t="shared" si="7"/>
        <v>0</v>
      </c>
      <c r="O28">
        <f t="shared" si="7"/>
        <v>0</v>
      </c>
      <c r="P28">
        <f t="shared" si="7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>COUNTIF(T4:T20,"UPL")</f>
        <v>0</v>
      </c>
      <c r="U28">
        <f t="shared" si="7"/>
        <v>0</v>
      </c>
      <c r="V28">
        <f t="shared" si="7"/>
        <v>0</v>
      </c>
      <c r="W28">
        <f t="shared" si="7"/>
        <v>0</v>
      </c>
      <c r="X28">
        <f t="shared" si="7"/>
        <v>0</v>
      </c>
      <c r="Y28">
        <f t="shared" si="7"/>
        <v>0</v>
      </c>
      <c r="Z28">
        <f t="shared" si="7"/>
        <v>0</v>
      </c>
      <c r="AA28">
        <f t="shared" si="7"/>
        <v>0</v>
      </c>
      <c r="AB28">
        <f t="shared" si="7"/>
        <v>0</v>
      </c>
      <c r="AC28">
        <f t="shared" si="7"/>
        <v>0</v>
      </c>
    </row>
    <row r="29" spans="1:29" x14ac:dyDescent="0.35">
      <c r="A29" s="128" t="s">
        <v>141</v>
      </c>
      <c r="B29">
        <f t="shared" ref="B29:AC29" si="8">COUNTIF(B4:B20,"H")</f>
        <v>0</v>
      </c>
      <c r="C29">
        <f t="shared" si="8"/>
        <v>0</v>
      </c>
      <c r="D29">
        <f t="shared" si="8"/>
        <v>0</v>
      </c>
      <c r="E29">
        <f t="shared" si="8"/>
        <v>0</v>
      </c>
      <c r="F29">
        <f t="shared" si="8"/>
        <v>0</v>
      </c>
      <c r="G29">
        <f t="shared" si="8"/>
        <v>0</v>
      </c>
      <c r="H29">
        <f t="shared" si="8"/>
        <v>0</v>
      </c>
      <c r="I29">
        <f t="shared" si="8"/>
        <v>0</v>
      </c>
      <c r="J29">
        <f t="shared" si="8"/>
        <v>0</v>
      </c>
      <c r="K29">
        <f t="shared" si="8"/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>COUNTIF(T4:T20,"H")</f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0</v>
      </c>
    </row>
    <row r="30" spans="1:29" x14ac:dyDescent="0.35">
      <c r="A30" s="128" t="s">
        <v>131</v>
      </c>
      <c r="B30" s="129">
        <f t="shared" ref="B30:AC30" si="9">SUM(B22:B29)</f>
        <v>15</v>
      </c>
      <c r="C30" s="129">
        <f t="shared" si="9"/>
        <v>15</v>
      </c>
      <c r="D30" s="129">
        <f t="shared" si="9"/>
        <v>15</v>
      </c>
      <c r="E30" s="129">
        <f t="shared" si="9"/>
        <v>15</v>
      </c>
      <c r="F30" s="129">
        <f t="shared" si="9"/>
        <v>15</v>
      </c>
      <c r="G30" s="129">
        <f t="shared" si="9"/>
        <v>15</v>
      </c>
      <c r="H30" s="129">
        <f t="shared" si="9"/>
        <v>15</v>
      </c>
      <c r="I30" s="129">
        <f t="shared" si="9"/>
        <v>15</v>
      </c>
      <c r="J30" s="129">
        <f t="shared" si="9"/>
        <v>15</v>
      </c>
      <c r="K30" s="129">
        <f t="shared" si="9"/>
        <v>15</v>
      </c>
      <c r="L30" s="129">
        <f t="shared" si="9"/>
        <v>15</v>
      </c>
      <c r="M30" s="129">
        <f t="shared" si="9"/>
        <v>15</v>
      </c>
      <c r="N30" s="129">
        <f t="shared" si="9"/>
        <v>15</v>
      </c>
      <c r="O30" s="129">
        <f t="shared" si="9"/>
        <v>15</v>
      </c>
      <c r="P30" s="129">
        <f t="shared" si="9"/>
        <v>15</v>
      </c>
      <c r="Q30" s="129">
        <f t="shared" si="9"/>
        <v>15</v>
      </c>
      <c r="R30" s="129">
        <f t="shared" si="9"/>
        <v>15</v>
      </c>
      <c r="S30" s="129">
        <f t="shared" si="9"/>
        <v>15</v>
      </c>
      <c r="T30" s="129">
        <f t="shared" si="9"/>
        <v>15</v>
      </c>
      <c r="U30" s="129">
        <f t="shared" si="9"/>
        <v>15</v>
      </c>
      <c r="V30" s="129">
        <f t="shared" si="9"/>
        <v>15</v>
      </c>
      <c r="W30" s="129">
        <f t="shared" si="9"/>
        <v>15</v>
      </c>
      <c r="X30" s="129">
        <f t="shared" si="9"/>
        <v>15</v>
      </c>
      <c r="Y30" s="129">
        <f t="shared" si="9"/>
        <v>15</v>
      </c>
      <c r="Z30" s="129">
        <f t="shared" si="9"/>
        <v>15</v>
      </c>
      <c r="AA30" s="129">
        <f t="shared" si="9"/>
        <v>15</v>
      </c>
      <c r="AB30" s="129">
        <f t="shared" si="9"/>
        <v>15</v>
      </c>
      <c r="AC30" s="129">
        <f t="shared" si="9"/>
        <v>15</v>
      </c>
    </row>
  </sheetData>
  <conditionalFormatting sqref="B22:AC25">
    <cfRule type="cellIs" dxfId="840" priority="9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A1:AH30"/>
  <sheetViews>
    <sheetView zoomScale="60" zoomScaleNormal="60" workbookViewId="0">
      <pane xSplit="1" topLeftCell="D1" activePane="topRight" state="frozen"/>
      <selection pane="topRight" activeCell="J14" sqref="J14"/>
    </sheetView>
  </sheetViews>
  <sheetFormatPr defaultRowHeight="14.5" x14ac:dyDescent="0.35"/>
  <cols>
    <col min="1" max="1" width="19.81640625" customWidth="1"/>
    <col min="2" max="32" width="8.7265625" customWidth="1"/>
    <col min="33" max="34" width="8.7265625" hidden="1" customWidth="1"/>
    <col min="35" max="35" width="8.7265625" customWidth="1"/>
  </cols>
  <sheetData>
    <row r="1" spans="1:34" x14ac:dyDescent="0.35">
      <c r="A1" s="1"/>
      <c r="B1" s="2" t="str">
        <f t="shared" ref="B1:AH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</row>
    <row r="2" spans="1:34" x14ac:dyDescent="0.35">
      <c r="A2" s="95" t="s">
        <v>0</v>
      </c>
      <c r="B2" s="29">
        <v>44986</v>
      </c>
      <c r="C2" s="29">
        <v>44987</v>
      </c>
      <c r="D2" s="29">
        <v>44988</v>
      </c>
      <c r="E2" s="29">
        <v>44989</v>
      </c>
      <c r="F2" s="29">
        <v>44990</v>
      </c>
      <c r="G2" s="29">
        <v>44991</v>
      </c>
      <c r="H2" s="29">
        <v>44992</v>
      </c>
      <c r="I2" s="29">
        <v>44993</v>
      </c>
      <c r="J2" s="29">
        <v>44994</v>
      </c>
      <c r="K2" s="29">
        <v>44995</v>
      </c>
      <c r="L2" s="29">
        <v>44996</v>
      </c>
      <c r="M2" s="29">
        <v>44997</v>
      </c>
      <c r="N2" s="29">
        <v>44998</v>
      </c>
      <c r="O2" s="29">
        <v>44999</v>
      </c>
      <c r="P2" s="29">
        <v>45000</v>
      </c>
      <c r="Q2" s="29">
        <v>45001</v>
      </c>
      <c r="R2" s="29">
        <v>45002</v>
      </c>
      <c r="S2" s="29">
        <v>45003</v>
      </c>
      <c r="T2" s="29">
        <v>45004</v>
      </c>
      <c r="U2" s="29">
        <v>45005</v>
      </c>
      <c r="V2" s="29">
        <v>45006</v>
      </c>
      <c r="W2" s="29">
        <v>45007</v>
      </c>
      <c r="X2" s="29">
        <v>45008</v>
      </c>
      <c r="Y2" s="29">
        <v>45009</v>
      </c>
      <c r="Z2" s="29">
        <v>45010</v>
      </c>
      <c r="AA2" s="29">
        <v>45011</v>
      </c>
      <c r="AB2" s="29">
        <v>45012</v>
      </c>
      <c r="AC2" s="29">
        <v>45013</v>
      </c>
      <c r="AD2" s="29">
        <v>45014</v>
      </c>
      <c r="AE2" s="29">
        <v>45015</v>
      </c>
      <c r="AF2" s="29">
        <v>45016</v>
      </c>
      <c r="AG2" s="29">
        <v>45017</v>
      </c>
      <c r="AH2" s="29">
        <v>45018</v>
      </c>
    </row>
    <row r="3" spans="1:34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</row>
    <row r="4" spans="1:34" x14ac:dyDescent="0.35">
      <c r="A4" s="165" t="s">
        <v>1</v>
      </c>
      <c r="B4" s="116" t="s">
        <v>2</v>
      </c>
      <c r="C4" s="116" t="s">
        <v>2</v>
      </c>
      <c r="D4" s="19" t="s">
        <v>41</v>
      </c>
      <c r="E4" s="22" t="s">
        <v>30</v>
      </c>
      <c r="F4" s="19" t="s">
        <v>42</v>
      </c>
      <c r="G4" s="122" t="s">
        <v>5</v>
      </c>
      <c r="H4" s="115" t="s">
        <v>37</v>
      </c>
      <c r="I4" s="122" t="s">
        <v>5</v>
      </c>
      <c r="J4" s="122" t="s">
        <v>5</v>
      </c>
      <c r="K4" s="19" t="s">
        <v>41</v>
      </c>
      <c r="L4" s="114" t="s">
        <v>4</v>
      </c>
      <c r="M4" s="114" t="s">
        <v>4</v>
      </c>
      <c r="N4" s="19" t="s">
        <v>41</v>
      </c>
      <c r="O4" s="19" t="s">
        <v>41</v>
      </c>
      <c r="P4" s="19" t="s">
        <v>41</v>
      </c>
      <c r="Q4" s="19" t="s">
        <v>41</v>
      </c>
      <c r="R4" s="19" t="s">
        <v>41</v>
      </c>
      <c r="S4" s="114" t="s">
        <v>4</v>
      </c>
      <c r="T4" s="19" t="s">
        <v>42</v>
      </c>
      <c r="U4" s="116" t="s">
        <v>2</v>
      </c>
      <c r="V4" s="19" t="s">
        <v>41</v>
      </c>
      <c r="W4" s="19" t="s">
        <v>42</v>
      </c>
      <c r="X4" s="25" t="s">
        <v>6</v>
      </c>
      <c r="Y4" s="25" t="s">
        <v>6</v>
      </c>
      <c r="Z4" s="22" t="s">
        <v>30</v>
      </c>
      <c r="AA4" s="114" t="s">
        <v>4</v>
      </c>
      <c r="AB4" s="116" t="s">
        <v>2</v>
      </c>
      <c r="AC4" s="25" t="s">
        <v>6</v>
      </c>
      <c r="AD4" s="25" t="s">
        <v>6</v>
      </c>
      <c r="AE4" s="25" t="s">
        <v>6</v>
      </c>
      <c r="AF4" s="22" t="s">
        <v>16</v>
      </c>
      <c r="AG4" s="25" t="s">
        <v>3</v>
      </c>
      <c r="AH4" s="22" t="s">
        <v>30</v>
      </c>
    </row>
    <row r="5" spans="1:34" x14ac:dyDescent="0.35">
      <c r="A5" s="141" t="s">
        <v>21</v>
      </c>
      <c r="B5" s="116" t="s">
        <v>2</v>
      </c>
      <c r="C5" s="19" t="s">
        <v>41</v>
      </c>
      <c r="D5" s="19" t="s">
        <v>41</v>
      </c>
      <c r="E5" s="19" t="s">
        <v>42</v>
      </c>
      <c r="F5" s="114" t="s">
        <v>4</v>
      </c>
      <c r="G5" s="116" t="s">
        <v>2</v>
      </c>
      <c r="H5" s="19" t="s">
        <v>42</v>
      </c>
      <c r="I5" s="19" t="s">
        <v>41</v>
      </c>
      <c r="J5" s="19" t="s">
        <v>41</v>
      </c>
      <c r="K5" s="19" t="s">
        <v>41</v>
      </c>
      <c r="L5" s="19" t="s">
        <v>42</v>
      </c>
      <c r="M5" s="19" t="s">
        <v>42</v>
      </c>
      <c r="N5" s="116" t="s">
        <v>2</v>
      </c>
      <c r="O5" s="116" t="s">
        <v>2</v>
      </c>
      <c r="P5" s="19" t="s">
        <v>41</v>
      </c>
      <c r="Q5" s="19" t="s">
        <v>41</v>
      </c>
      <c r="R5" s="19" t="s">
        <v>41</v>
      </c>
      <c r="S5" s="19" t="s">
        <v>42</v>
      </c>
      <c r="T5" s="114" t="s">
        <v>4</v>
      </c>
      <c r="U5" s="16" t="s">
        <v>10</v>
      </c>
      <c r="V5" s="19" t="s">
        <v>41</v>
      </c>
      <c r="W5" s="115" t="s">
        <v>37</v>
      </c>
      <c r="X5" s="122" t="s">
        <v>5</v>
      </c>
      <c r="Y5" s="122" t="s">
        <v>5</v>
      </c>
      <c r="Z5" s="122" t="s">
        <v>4</v>
      </c>
      <c r="AA5" s="19" t="s">
        <v>42</v>
      </c>
      <c r="AB5" s="19" t="s">
        <v>41</v>
      </c>
      <c r="AC5" s="19" t="s">
        <v>41</v>
      </c>
      <c r="AD5" s="19" t="s">
        <v>41</v>
      </c>
      <c r="AE5" s="116" t="s">
        <v>2</v>
      </c>
      <c r="AF5" s="19" t="s">
        <v>41</v>
      </c>
      <c r="AG5" s="19" t="s">
        <v>42</v>
      </c>
      <c r="AH5" s="114" t="s">
        <v>4</v>
      </c>
    </row>
    <row r="6" spans="1:34" x14ac:dyDescent="0.35">
      <c r="A6" s="141" t="s">
        <v>69</v>
      </c>
      <c r="B6" s="19" t="s">
        <v>41</v>
      </c>
      <c r="C6" s="19" t="s">
        <v>41</v>
      </c>
      <c r="D6" s="19" t="s">
        <v>41</v>
      </c>
      <c r="E6" s="114" t="s">
        <v>4</v>
      </c>
      <c r="F6" s="19" t="s">
        <v>42</v>
      </c>
      <c r="G6" s="19" t="s">
        <v>41</v>
      </c>
      <c r="H6" s="19" t="s">
        <v>42</v>
      </c>
      <c r="I6" s="19" t="s">
        <v>41</v>
      </c>
      <c r="J6" s="19" t="s">
        <v>41</v>
      </c>
      <c r="K6" s="116" t="s">
        <v>2</v>
      </c>
      <c r="L6" s="114" t="s">
        <v>4</v>
      </c>
      <c r="M6" s="19" t="s">
        <v>42</v>
      </c>
      <c r="N6" s="19" t="s">
        <v>41</v>
      </c>
      <c r="O6" s="19" t="s">
        <v>41</v>
      </c>
      <c r="P6" s="19" t="s">
        <v>41</v>
      </c>
      <c r="Q6" s="19" t="s">
        <v>41</v>
      </c>
      <c r="R6" s="116" t="s">
        <v>2</v>
      </c>
      <c r="S6" s="114" t="s">
        <v>4</v>
      </c>
      <c r="T6" s="19" t="s">
        <v>42</v>
      </c>
      <c r="U6" s="19" t="s">
        <v>41</v>
      </c>
      <c r="V6" s="116" t="s">
        <v>2</v>
      </c>
      <c r="W6" s="19" t="s">
        <v>42</v>
      </c>
      <c r="X6" s="19" t="s">
        <v>41</v>
      </c>
      <c r="Y6" s="19" t="s">
        <v>41</v>
      </c>
      <c r="Z6" s="25" t="s">
        <v>3</v>
      </c>
      <c r="AA6" s="114" t="s">
        <v>4</v>
      </c>
      <c r="AB6" s="116" t="s">
        <v>2</v>
      </c>
      <c r="AC6" s="19" t="s">
        <v>41</v>
      </c>
      <c r="AD6" s="19" t="s">
        <v>41</v>
      </c>
      <c r="AE6" s="19" t="s">
        <v>41</v>
      </c>
      <c r="AF6" s="116" t="s">
        <v>2</v>
      </c>
      <c r="AG6" s="114" t="s">
        <v>4</v>
      </c>
      <c r="AH6" s="16" t="s">
        <v>11</v>
      </c>
    </row>
    <row r="7" spans="1:34" x14ac:dyDescent="0.35">
      <c r="A7" s="141" t="s">
        <v>71</v>
      </c>
      <c r="B7" s="19" t="s">
        <v>41</v>
      </c>
      <c r="C7" s="19" t="s">
        <v>41</v>
      </c>
      <c r="D7" s="22" t="s">
        <v>16</v>
      </c>
      <c r="E7" s="19" t="s">
        <v>42</v>
      </c>
      <c r="F7" s="114" t="s">
        <v>4</v>
      </c>
      <c r="G7" s="19" t="s">
        <v>41</v>
      </c>
      <c r="H7" s="19" t="s">
        <v>42</v>
      </c>
      <c r="I7" s="116" t="s">
        <v>2</v>
      </c>
      <c r="J7" s="19" t="s">
        <v>41</v>
      </c>
      <c r="K7" s="19" t="s">
        <v>41</v>
      </c>
      <c r="L7" s="19" t="s">
        <v>42</v>
      </c>
      <c r="M7" s="114" t="s">
        <v>4</v>
      </c>
      <c r="N7" s="19" t="s">
        <v>41</v>
      </c>
      <c r="O7" s="19" t="s">
        <v>41</v>
      </c>
      <c r="P7" s="116" t="s">
        <v>2</v>
      </c>
      <c r="Q7" s="116" t="s">
        <v>2</v>
      </c>
      <c r="R7" s="19" t="s">
        <v>41</v>
      </c>
      <c r="S7" s="19" t="s">
        <v>42</v>
      </c>
      <c r="T7" s="114" t="s">
        <v>4</v>
      </c>
      <c r="U7" s="19" t="s">
        <v>41</v>
      </c>
      <c r="V7" s="19" t="s">
        <v>41</v>
      </c>
      <c r="W7" s="19" t="s">
        <v>42</v>
      </c>
      <c r="X7" s="19" t="s">
        <v>41</v>
      </c>
      <c r="Y7" s="19" t="s">
        <v>41</v>
      </c>
      <c r="Z7" s="19" t="s">
        <v>42</v>
      </c>
      <c r="AA7" s="114" t="s">
        <v>4</v>
      </c>
      <c r="AB7" s="19" t="s">
        <v>41</v>
      </c>
      <c r="AC7" s="19" t="s">
        <v>41</v>
      </c>
      <c r="AD7" s="116" t="s">
        <v>2</v>
      </c>
      <c r="AE7" s="19" t="s">
        <v>41</v>
      </c>
      <c r="AF7" s="19" t="s">
        <v>41</v>
      </c>
      <c r="AG7" s="19" t="s">
        <v>42</v>
      </c>
      <c r="AH7" s="114" t="s">
        <v>4</v>
      </c>
    </row>
    <row r="8" spans="1:34" x14ac:dyDescent="0.35">
      <c r="A8" s="141" t="s">
        <v>70</v>
      </c>
      <c r="B8" s="19" t="s">
        <v>41</v>
      </c>
      <c r="C8" s="19" t="s">
        <v>41</v>
      </c>
      <c r="D8" s="116" t="s">
        <v>2</v>
      </c>
      <c r="E8" s="114" t="s">
        <v>4</v>
      </c>
      <c r="F8" s="114" t="s">
        <v>4</v>
      </c>
      <c r="G8" s="19" t="s">
        <v>41</v>
      </c>
      <c r="H8" s="115" t="s">
        <v>37</v>
      </c>
      <c r="I8" s="19" t="s">
        <v>41</v>
      </c>
      <c r="J8" s="19" t="s">
        <v>41</v>
      </c>
      <c r="K8" s="19" t="s">
        <v>41</v>
      </c>
      <c r="L8" s="22" t="s">
        <v>30</v>
      </c>
      <c r="M8" s="122" t="s">
        <v>4</v>
      </c>
      <c r="N8" s="122" t="s">
        <v>5</v>
      </c>
      <c r="O8" s="122" t="s">
        <v>5</v>
      </c>
      <c r="P8" s="19" t="s">
        <v>41</v>
      </c>
      <c r="Q8" s="19" t="s">
        <v>41</v>
      </c>
      <c r="R8" s="19" t="s">
        <v>41</v>
      </c>
      <c r="S8" s="114" t="s">
        <v>4</v>
      </c>
      <c r="T8" s="114" t="s">
        <v>4</v>
      </c>
      <c r="U8" s="19" t="s">
        <v>41</v>
      </c>
      <c r="V8" s="19" t="s">
        <v>41</v>
      </c>
      <c r="W8" s="115" t="s">
        <v>37</v>
      </c>
      <c r="X8" s="19" t="s">
        <v>41</v>
      </c>
      <c r="Y8" s="19" t="s">
        <v>41</v>
      </c>
      <c r="Z8" s="114" t="s">
        <v>4</v>
      </c>
      <c r="AA8" s="19" t="s">
        <v>42</v>
      </c>
      <c r="AB8" s="19" t="s">
        <v>41</v>
      </c>
      <c r="AC8" s="116" t="s">
        <v>2</v>
      </c>
      <c r="AD8" s="19" t="s">
        <v>41</v>
      </c>
      <c r="AE8" s="19" t="s">
        <v>41</v>
      </c>
      <c r="AF8" s="19" t="s">
        <v>41</v>
      </c>
      <c r="AG8" s="22" t="s">
        <v>30</v>
      </c>
      <c r="AH8" s="16" t="s">
        <v>11</v>
      </c>
    </row>
    <row r="9" spans="1:34" x14ac:dyDescent="0.35">
      <c r="A9" s="166"/>
    </row>
    <row r="10" spans="1:34" x14ac:dyDescent="0.35">
      <c r="A10" s="165" t="s">
        <v>9</v>
      </c>
      <c r="B10" s="16" t="s">
        <v>10</v>
      </c>
      <c r="C10" s="16" t="s">
        <v>10</v>
      </c>
      <c r="D10" s="16" t="s">
        <v>10</v>
      </c>
      <c r="E10" s="16" t="s">
        <v>11</v>
      </c>
      <c r="F10" s="16" t="s">
        <v>11</v>
      </c>
      <c r="G10" s="16" t="s">
        <v>10</v>
      </c>
      <c r="H10" s="16" t="s">
        <v>11</v>
      </c>
      <c r="I10" s="116" t="s">
        <v>2</v>
      </c>
      <c r="J10" s="116" t="s">
        <v>2</v>
      </c>
      <c r="K10" s="16" t="s">
        <v>10</v>
      </c>
      <c r="L10" s="114" t="s">
        <v>4</v>
      </c>
      <c r="M10" s="16" t="s">
        <v>11</v>
      </c>
      <c r="N10" s="16" t="s">
        <v>10</v>
      </c>
      <c r="O10" s="16" t="s">
        <v>10</v>
      </c>
      <c r="P10" s="16" t="s">
        <v>10</v>
      </c>
      <c r="Q10" s="16" t="s">
        <v>10</v>
      </c>
      <c r="R10" s="116" t="s">
        <v>2</v>
      </c>
      <c r="S10" s="16" t="s">
        <v>11</v>
      </c>
      <c r="T10" s="16" t="s">
        <v>11</v>
      </c>
      <c r="U10" s="16" t="s">
        <v>10</v>
      </c>
      <c r="V10" s="16" t="s">
        <v>10</v>
      </c>
      <c r="W10" s="16" t="s">
        <v>11</v>
      </c>
      <c r="X10" s="16" t="s">
        <v>10</v>
      </c>
      <c r="Y10" s="116" t="s">
        <v>2</v>
      </c>
      <c r="Z10" s="16" t="s">
        <v>11</v>
      </c>
      <c r="AA10" s="16" t="s">
        <v>11</v>
      </c>
      <c r="AB10" s="16" t="s">
        <v>10</v>
      </c>
      <c r="AC10" s="16" t="s">
        <v>10</v>
      </c>
      <c r="AD10" s="16" t="s">
        <v>10</v>
      </c>
      <c r="AE10" s="16" t="s">
        <v>10</v>
      </c>
      <c r="AF10" s="16" t="s">
        <v>10</v>
      </c>
      <c r="AG10" s="122" t="s">
        <v>4</v>
      </c>
      <c r="AH10" s="122" t="s">
        <v>4</v>
      </c>
    </row>
    <row r="11" spans="1:34" x14ac:dyDescent="0.35">
      <c r="A11" s="165" t="s">
        <v>15</v>
      </c>
      <c r="B11" s="16" t="s">
        <v>10</v>
      </c>
      <c r="C11" s="16" t="s">
        <v>10</v>
      </c>
      <c r="D11" s="16" t="s">
        <v>10</v>
      </c>
      <c r="E11" s="114" t="s">
        <v>4</v>
      </c>
      <c r="F11" s="114" t="s">
        <v>4</v>
      </c>
      <c r="G11" s="16" t="s">
        <v>10</v>
      </c>
      <c r="H11" s="16" t="s">
        <v>11</v>
      </c>
      <c r="I11" s="16" t="s">
        <v>10</v>
      </c>
      <c r="J11" s="16" t="s">
        <v>10</v>
      </c>
      <c r="K11" s="16" t="s">
        <v>10</v>
      </c>
      <c r="L11" s="16" t="s">
        <v>11</v>
      </c>
      <c r="M11" s="114" t="s">
        <v>4</v>
      </c>
      <c r="N11" s="116" t="s">
        <v>2</v>
      </c>
      <c r="O11" s="16" t="s">
        <v>10</v>
      </c>
      <c r="P11" s="16" t="s">
        <v>10</v>
      </c>
      <c r="Q11" s="16" t="s">
        <v>10</v>
      </c>
      <c r="R11" s="16" t="s">
        <v>10</v>
      </c>
      <c r="S11" s="16" t="s">
        <v>11</v>
      </c>
      <c r="T11" s="114" t="s">
        <v>4</v>
      </c>
      <c r="U11" s="116" t="s">
        <v>2</v>
      </c>
      <c r="V11" s="16" t="s">
        <v>10</v>
      </c>
      <c r="W11" s="16" t="s">
        <v>11</v>
      </c>
      <c r="X11" s="16" t="s">
        <v>10</v>
      </c>
      <c r="Y11" s="16" t="s">
        <v>10</v>
      </c>
      <c r="Z11" s="122" t="s">
        <v>4</v>
      </c>
      <c r="AA11" s="122" t="s">
        <v>4</v>
      </c>
      <c r="AB11" s="16" t="s">
        <v>10</v>
      </c>
      <c r="AC11" s="16" t="s">
        <v>10</v>
      </c>
      <c r="AD11" s="122" t="s">
        <v>5</v>
      </c>
      <c r="AE11" s="16" t="s">
        <v>10</v>
      </c>
      <c r="AF11" s="16" t="s">
        <v>10</v>
      </c>
      <c r="AG11" s="16" t="s">
        <v>11</v>
      </c>
      <c r="AH11" s="114" t="s">
        <v>4</v>
      </c>
    </row>
    <row r="12" spans="1:34" x14ac:dyDescent="0.35">
      <c r="A12" s="141" t="s">
        <v>22</v>
      </c>
      <c r="B12" s="122" t="s">
        <v>5</v>
      </c>
      <c r="C12" s="122" t="s">
        <v>5</v>
      </c>
      <c r="D12" s="122" t="s">
        <v>5</v>
      </c>
      <c r="E12" s="16" t="s">
        <v>11</v>
      </c>
      <c r="F12" s="16" t="s">
        <v>11</v>
      </c>
      <c r="G12" s="16" t="s">
        <v>10</v>
      </c>
      <c r="H12" s="16" t="s">
        <v>10</v>
      </c>
      <c r="I12" s="16" t="s">
        <v>10</v>
      </c>
      <c r="J12" s="16" t="s">
        <v>10</v>
      </c>
      <c r="K12" s="116" t="s">
        <v>2</v>
      </c>
      <c r="L12" s="16" t="s">
        <v>11</v>
      </c>
      <c r="M12" s="16" t="s">
        <v>11</v>
      </c>
      <c r="N12" s="16" t="s">
        <v>10</v>
      </c>
      <c r="O12" s="116" t="s">
        <v>2</v>
      </c>
      <c r="P12" s="116" t="s">
        <v>2</v>
      </c>
      <c r="Q12" s="16" t="s">
        <v>10</v>
      </c>
      <c r="R12" s="16" t="s">
        <v>10</v>
      </c>
      <c r="S12" s="114" t="s">
        <v>4</v>
      </c>
      <c r="T12" s="16" t="s">
        <v>11</v>
      </c>
      <c r="U12" s="16" t="s">
        <v>10</v>
      </c>
      <c r="V12" s="116" t="s">
        <v>2</v>
      </c>
      <c r="W12" s="16" t="s">
        <v>11</v>
      </c>
      <c r="X12" s="16" t="s">
        <v>10</v>
      </c>
      <c r="Y12" s="16" t="s">
        <v>10</v>
      </c>
      <c r="Z12" s="16" t="s">
        <v>11</v>
      </c>
      <c r="AA12" s="16" t="s">
        <v>11</v>
      </c>
      <c r="AB12" s="116" t="s">
        <v>2</v>
      </c>
      <c r="AC12" s="116" t="s">
        <v>2</v>
      </c>
      <c r="AD12" s="16" t="s">
        <v>10</v>
      </c>
      <c r="AE12" s="16" t="s">
        <v>10</v>
      </c>
      <c r="AF12" s="16" t="s">
        <v>10</v>
      </c>
      <c r="AG12" s="114" t="s">
        <v>4</v>
      </c>
      <c r="AH12" s="25" t="s">
        <v>3</v>
      </c>
    </row>
    <row r="13" spans="1:34" x14ac:dyDescent="0.35">
      <c r="A13" s="141" t="s">
        <v>149</v>
      </c>
      <c r="B13" s="16" t="s">
        <v>10</v>
      </c>
      <c r="C13" s="16" t="s">
        <v>10</v>
      </c>
      <c r="D13" s="16" t="s">
        <v>10</v>
      </c>
      <c r="E13" s="114" t="s">
        <v>4</v>
      </c>
      <c r="F13" s="114" t="s">
        <v>4</v>
      </c>
      <c r="G13" s="16" t="s">
        <v>10</v>
      </c>
      <c r="H13" s="115" t="s">
        <v>37</v>
      </c>
      <c r="I13" s="16" t="s">
        <v>10</v>
      </c>
      <c r="J13" s="16" t="s">
        <v>10</v>
      </c>
      <c r="K13" s="16" t="s">
        <v>10</v>
      </c>
      <c r="L13" s="114" t="s">
        <v>4</v>
      </c>
      <c r="M13" s="114" t="s">
        <v>4</v>
      </c>
      <c r="N13" s="16" t="s">
        <v>10</v>
      </c>
      <c r="O13" s="16" t="s">
        <v>10</v>
      </c>
      <c r="P13" s="16" t="s">
        <v>10</v>
      </c>
      <c r="Q13" s="16" t="s">
        <v>10</v>
      </c>
      <c r="R13" s="16" t="s">
        <v>10</v>
      </c>
      <c r="S13" s="114" t="s">
        <v>4</v>
      </c>
      <c r="T13" s="114" t="s">
        <v>4</v>
      </c>
      <c r="U13" s="16" t="s">
        <v>10</v>
      </c>
      <c r="V13" s="16" t="s">
        <v>10</v>
      </c>
      <c r="W13" s="115" t="s">
        <v>37</v>
      </c>
      <c r="X13" s="16" t="s">
        <v>10</v>
      </c>
      <c r="Y13" s="16" t="s">
        <v>10</v>
      </c>
      <c r="Z13" s="114" t="s">
        <v>4</v>
      </c>
      <c r="AA13" s="16" t="s">
        <v>11</v>
      </c>
      <c r="AB13" s="16" t="s">
        <v>10</v>
      </c>
      <c r="AC13" s="16" t="s">
        <v>10</v>
      </c>
      <c r="AD13" s="16" t="s">
        <v>10</v>
      </c>
      <c r="AE13" s="16" t="s">
        <v>10</v>
      </c>
      <c r="AF13" s="116" t="s">
        <v>2</v>
      </c>
      <c r="AG13" s="114" t="s">
        <v>4</v>
      </c>
      <c r="AH13" s="25" t="s">
        <v>3</v>
      </c>
    </row>
    <row r="14" spans="1:34" x14ac:dyDescent="0.35">
      <c r="A14" s="141" t="s">
        <v>124</v>
      </c>
      <c r="B14" s="116" t="s">
        <v>2</v>
      </c>
      <c r="C14" s="16" t="s">
        <v>10</v>
      </c>
      <c r="D14" s="16" t="s">
        <v>10</v>
      </c>
      <c r="E14" s="16" t="s">
        <v>11</v>
      </c>
      <c r="F14" s="114" t="s">
        <v>4</v>
      </c>
      <c r="G14" s="116" t="s">
        <v>2</v>
      </c>
      <c r="H14" s="16" t="s">
        <v>11</v>
      </c>
      <c r="I14" s="16" t="s">
        <v>10</v>
      </c>
      <c r="J14" s="26" t="s">
        <v>34</v>
      </c>
      <c r="K14" s="16" t="s">
        <v>10</v>
      </c>
      <c r="L14" s="16" t="s">
        <v>11</v>
      </c>
      <c r="M14" s="114" t="s">
        <v>4</v>
      </c>
      <c r="N14" s="16" t="s">
        <v>10</v>
      </c>
      <c r="O14" s="16" t="s">
        <v>10</v>
      </c>
      <c r="P14" s="16" t="s">
        <v>10</v>
      </c>
      <c r="Q14" s="116" t="s">
        <v>2</v>
      </c>
      <c r="R14" s="16" t="s">
        <v>10</v>
      </c>
      <c r="S14" s="16" t="s">
        <v>11</v>
      </c>
      <c r="T14" s="114" t="s">
        <v>4</v>
      </c>
      <c r="U14" s="116" t="s">
        <v>2</v>
      </c>
      <c r="V14" s="16" t="s">
        <v>10</v>
      </c>
      <c r="W14" s="16" t="s">
        <v>11</v>
      </c>
      <c r="X14" s="116" t="s">
        <v>2</v>
      </c>
      <c r="Y14" s="116" t="s">
        <v>2</v>
      </c>
      <c r="Z14" s="16" t="s">
        <v>11</v>
      </c>
      <c r="AA14" s="114" t="s">
        <v>4</v>
      </c>
      <c r="AB14" s="16" t="s">
        <v>10</v>
      </c>
      <c r="AC14" s="16" t="s">
        <v>10</v>
      </c>
      <c r="AD14" s="16" t="s">
        <v>10</v>
      </c>
      <c r="AE14" s="116" t="s">
        <v>2</v>
      </c>
      <c r="AF14" s="16" t="s">
        <v>10</v>
      </c>
      <c r="AG14" s="16" t="s">
        <v>11</v>
      </c>
      <c r="AH14" s="114" t="s">
        <v>4</v>
      </c>
    </row>
    <row r="15" spans="1:34" x14ac:dyDescent="0.35">
      <c r="A15" s="166"/>
    </row>
    <row r="16" spans="1:34" x14ac:dyDescent="0.35">
      <c r="A16" s="165" t="s">
        <v>57</v>
      </c>
      <c r="B16" s="22" t="s">
        <v>16</v>
      </c>
      <c r="C16" s="25" t="s">
        <v>6</v>
      </c>
      <c r="D16" s="25" t="s">
        <v>6</v>
      </c>
      <c r="E16" s="25" t="s">
        <v>3</v>
      </c>
      <c r="F16" s="114" t="s">
        <v>4</v>
      </c>
      <c r="G16" s="25" t="s">
        <v>6</v>
      </c>
      <c r="H16" s="25" t="s">
        <v>3</v>
      </c>
      <c r="I16" s="122" t="s">
        <v>5</v>
      </c>
      <c r="J16" s="122" t="s">
        <v>5</v>
      </c>
      <c r="K16" s="122" t="s">
        <v>5</v>
      </c>
      <c r="L16" s="114" t="s">
        <v>4</v>
      </c>
      <c r="M16" s="114" t="s">
        <v>4</v>
      </c>
      <c r="N16" s="122" t="s">
        <v>5</v>
      </c>
      <c r="O16" s="25" t="s">
        <v>6</v>
      </c>
      <c r="P16" s="25" t="s">
        <v>6</v>
      </c>
      <c r="Q16" s="25" t="s">
        <v>6</v>
      </c>
      <c r="R16" s="116" t="s">
        <v>2</v>
      </c>
      <c r="S16" s="25" t="s">
        <v>3</v>
      </c>
      <c r="T16" s="114" t="s">
        <v>4</v>
      </c>
      <c r="U16" s="25" t="s">
        <v>6</v>
      </c>
      <c r="V16" s="25" t="s">
        <v>6</v>
      </c>
      <c r="W16" s="25" t="s">
        <v>3</v>
      </c>
      <c r="X16" s="19" t="s">
        <v>41</v>
      </c>
      <c r="Y16" s="19" t="s">
        <v>41</v>
      </c>
      <c r="Z16" s="19" t="s">
        <v>42</v>
      </c>
      <c r="AA16" s="114" t="s">
        <v>4</v>
      </c>
      <c r="AB16" s="116" t="s">
        <v>2</v>
      </c>
      <c r="AC16" s="19" t="s">
        <v>41</v>
      </c>
      <c r="AD16" s="19" t="s">
        <v>41</v>
      </c>
      <c r="AE16" s="19" t="s">
        <v>41</v>
      </c>
      <c r="AF16" s="19" t="s">
        <v>41</v>
      </c>
      <c r="AG16" s="114" t="s">
        <v>4</v>
      </c>
      <c r="AH16" s="114" t="s">
        <v>4</v>
      </c>
    </row>
    <row r="17" spans="1:34" x14ac:dyDescent="0.35">
      <c r="A17" s="165" t="s">
        <v>43</v>
      </c>
      <c r="B17" s="25" t="s">
        <v>6</v>
      </c>
      <c r="C17" s="25" t="s">
        <v>6</v>
      </c>
      <c r="D17" s="116" t="s">
        <v>2</v>
      </c>
      <c r="E17" s="114" t="s">
        <v>4</v>
      </c>
      <c r="F17" s="25" t="s">
        <v>3</v>
      </c>
      <c r="G17" s="25" t="s">
        <v>6</v>
      </c>
      <c r="H17" s="115" t="s">
        <v>37</v>
      </c>
      <c r="I17" s="25" t="s">
        <v>6</v>
      </c>
      <c r="J17" s="25" t="s">
        <v>6</v>
      </c>
      <c r="K17" s="25" t="s">
        <v>6</v>
      </c>
      <c r="L17" s="25" t="s">
        <v>3</v>
      </c>
      <c r="M17" s="25" t="s">
        <v>3</v>
      </c>
      <c r="N17" s="25" t="s">
        <v>6</v>
      </c>
      <c r="O17" s="116" t="s">
        <v>2</v>
      </c>
      <c r="P17" s="116" t="s">
        <v>2</v>
      </c>
      <c r="Q17" s="25" t="s">
        <v>6</v>
      </c>
      <c r="R17" s="25" t="s">
        <v>6</v>
      </c>
      <c r="S17" s="25" t="s">
        <v>3</v>
      </c>
      <c r="T17" s="25" t="s">
        <v>3</v>
      </c>
      <c r="U17" s="122" t="s">
        <v>5</v>
      </c>
      <c r="V17" s="122" t="s">
        <v>5</v>
      </c>
      <c r="W17" s="115" t="s">
        <v>37</v>
      </c>
      <c r="X17" s="25" t="s">
        <v>6</v>
      </c>
      <c r="Y17" s="122" t="s">
        <v>5</v>
      </c>
      <c r="Z17" s="114" t="s">
        <v>4</v>
      </c>
      <c r="AA17" s="25" t="s">
        <v>3</v>
      </c>
      <c r="AB17" s="25" t="s">
        <v>6</v>
      </c>
      <c r="AC17" s="25" t="s">
        <v>6</v>
      </c>
      <c r="AD17" s="25" t="s">
        <v>6</v>
      </c>
      <c r="AE17" s="116" t="s">
        <v>2</v>
      </c>
      <c r="AF17" s="25" t="s">
        <v>6</v>
      </c>
      <c r="AG17" s="114" t="s">
        <v>4</v>
      </c>
      <c r="AH17" s="19" t="s">
        <v>42</v>
      </c>
    </row>
    <row r="18" spans="1:34" x14ac:dyDescent="0.35">
      <c r="A18" s="141" t="s">
        <v>68</v>
      </c>
      <c r="B18" s="122" t="s">
        <v>5</v>
      </c>
      <c r="C18" s="122" t="s">
        <v>5</v>
      </c>
      <c r="D18" s="122" t="s">
        <v>5</v>
      </c>
      <c r="E18" s="114" t="s">
        <v>4</v>
      </c>
      <c r="F18" s="25" t="s">
        <v>3</v>
      </c>
      <c r="G18" s="122" t="s">
        <v>5</v>
      </c>
      <c r="H18" s="25" t="s">
        <v>3</v>
      </c>
      <c r="I18" s="25" t="s">
        <v>6</v>
      </c>
      <c r="J18" s="25" t="s">
        <v>6</v>
      </c>
      <c r="K18" s="116" t="s">
        <v>2</v>
      </c>
      <c r="L18" s="114" t="s">
        <v>4</v>
      </c>
      <c r="M18" s="25" t="s">
        <v>3</v>
      </c>
      <c r="N18" s="25" t="s">
        <v>6</v>
      </c>
      <c r="O18" s="25" t="s">
        <v>6</v>
      </c>
      <c r="P18" s="25" t="s">
        <v>6</v>
      </c>
      <c r="Q18" s="116" t="s">
        <v>2</v>
      </c>
      <c r="R18" s="25" t="s">
        <v>6</v>
      </c>
      <c r="S18" s="114" t="s">
        <v>4</v>
      </c>
      <c r="T18" s="25" t="s">
        <v>3</v>
      </c>
      <c r="U18" s="25" t="s">
        <v>6</v>
      </c>
      <c r="V18" s="25" t="s">
        <v>6</v>
      </c>
      <c r="W18" s="25" t="s">
        <v>3</v>
      </c>
      <c r="X18" s="122" t="s">
        <v>5</v>
      </c>
      <c r="Y18" s="122" t="s">
        <v>5</v>
      </c>
      <c r="Z18" s="114" t="s">
        <v>4</v>
      </c>
      <c r="AA18" s="25" t="s">
        <v>3</v>
      </c>
      <c r="AB18" s="25" t="s">
        <v>6</v>
      </c>
      <c r="AC18" s="25" t="s">
        <v>6</v>
      </c>
      <c r="AD18" s="25" t="s">
        <v>6</v>
      </c>
      <c r="AE18" s="25" t="s">
        <v>6</v>
      </c>
      <c r="AF18" s="25" t="s">
        <v>6</v>
      </c>
      <c r="AG18" s="114" t="s">
        <v>4</v>
      </c>
      <c r="AH18" s="114" t="s">
        <v>4</v>
      </c>
    </row>
    <row r="19" spans="1:34" x14ac:dyDescent="0.35">
      <c r="A19" s="141" t="s">
        <v>60</v>
      </c>
      <c r="B19" s="25" t="s">
        <v>6</v>
      </c>
      <c r="C19" s="25" t="s">
        <v>6</v>
      </c>
      <c r="D19" s="25" t="s">
        <v>6</v>
      </c>
      <c r="E19" s="25" t="s">
        <v>3</v>
      </c>
      <c r="F19" s="114" t="s">
        <v>4</v>
      </c>
      <c r="G19" s="116" t="s">
        <v>2</v>
      </c>
      <c r="H19" s="25" t="s">
        <v>3</v>
      </c>
      <c r="I19" s="25" t="s">
        <v>6</v>
      </c>
      <c r="J19" s="25" t="s">
        <v>6</v>
      </c>
      <c r="K19" s="25" t="s">
        <v>6</v>
      </c>
      <c r="L19" s="25" t="s">
        <v>3</v>
      </c>
      <c r="M19" s="114" t="s">
        <v>4</v>
      </c>
      <c r="N19" s="116" t="s">
        <v>2</v>
      </c>
      <c r="O19" s="25" t="s">
        <v>6</v>
      </c>
      <c r="P19" s="25" t="s">
        <v>6</v>
      </c>
      <c r="Q19" s="25" t="s">
        <v>6</v>
      </c>
      <c r="R19" s="25" t="s">
        <v>6</v>
      </c>
      <c r="S19" s="22" t="s">
        <v>30</v>
      </c>
      <c r="T19" s="114" t="s">
        <v>4</v>
      </c>
      <c r="U19" s="25" t="s">
        <v>6</v>
      </c>
      <c r="V19" s="25" t="s">
        <v>6</v>
      </c>
      <c r="W19" s="25" t="s">
        <v>3</v>
      </c>
      <c r="X19" s="25" t="s">
        <v>6</v>
      </c>
      <c r="Y19" s="25" t="s">
        <v>6</v>
      </c>
      <c r="Z19" s="25" t="s">
        <v>3</v>
      </c>
      <c r="AA19" s="114" t="s">
        <v>4</v>
      </c>
      <c r="AB19" s="116" t="s">
        <v>2</v>
      </c>
      <c r="AC19" s="25" t="s">
        <v>6</v>
      </c>
      <c r="AD19" s="25" t="s">
        <v>6</v>
      </c>
      <c r="AE19" s="25" t="s">
        <v>6</v>
      </c>
      <c r="AF19" s="25" t="s">
        <v>6</v>
      </c>
      <c r="AG19" s="25" t="s">
        <v>3</v>
      </c>
      <c r="AH19" s="114" t="s">
        <v>4</v>
      </c>
    </row>
    <row r="20" spans="1:34" x14ac:dyDescent="0.35">
      <c r="A20" s="141" t="s">
        <v>148</v>
      </c>
      <c r="B20" s="25" t="s">
        <v>6</v>
      </c>
      <c r="C20" s="25" t="s">
        <v>6</v>
      </c>
      <c r="D20" s="25" t="s">
        <v>6</v>
      </c>
      <c r="E20" s="114" t="s">
        <v>4</v>
      </c>
      <c r="F20" s="114" t="s">
        <v>4</v>
      </c>
      <c r="G20" s="25" t="s">
        <v>6</v>
      </c>
      <c r="H20" s="22" t="s">
        <v>30</v>
      </c>
      <c r="I20" s="22" t="s">
        <v>16</v>
      </c>
      <c r="J20" s="25" t="s">
        <v>6</v>
      </c>
      <c r="K20" s="25" t="s">
        <v>6</v>
      </c>
      <c r="L20" s="114" t="s">
        <v>4</v>
      </c>
      <c r="M20" s="114" t="s">
        <v>4</v>
      </c>
      <c r="N20" s="25" t="s">
        <v>6</v>
      </c>
      <c r="O20" s="25" t="s">
        <v>6</v>
      </c>
      <c r="P20" s="25" t="s">
        <v>6</v>
      </c>
      <c r="Q20" s="25" t="s">
        <v>6</v>
      </c>
      <c r="R20" s="25" t="s">
        <v>6</v>
      </c>
      <c r="S20" s="114" t="s">
        <v>4</v>
      </c>
      <c r="T20" s="114" t="s">
        <v>4</v>
      </c>
      <c r="U20" s="25" t="s">
        <v>6</v>
      </c>
      <c r="V20" s="25" t="s">
        <v>6</v>
      </c>
      <c r="W20" s="115" t="s">
        <v>37</v>
      </c>
      <c r="X20" s="25" t="s">
        <v>6</v>
      </c>
      <c r="Y20" s="25" t="s">
        <v>6</v>
      </c>
      <c r="Z20" s="114" t="s">
        <v>4</v>
      </c>
      <c r="AA20" s="114" t="s">
        <v>4</v>
      </c>
      <c r="AB20" s="25" t="s">
        <v>6</v>
      </c>
      <c r="AC20" s="22" t="s">
        <v>16</v>
      </c>
      <c r="AD20" s="22" t="s">
        <v>16</v>
      </c>
      <c r="AE20" s="25" t="s">
        <v>6</v>
      </c>
      <c r="AF20" s="25" t="s">
        <v>6</v>
      </c>
      <c r="AG20" s="114" t="s">
        <v>4</v>
      </c>
      <c r="AH20" s="19" t="s">
        <v>42</v>
      </c>
    </row>
    <row r="22" spans="1:34" x14ac:dyDescent="0.35">
      <c r="A22" s="128" t="s">
        <v>125</v>
      </c>
      <c r="B22">
        <f t="shared" ref="B22:D22" si="1">COUNTIF(B4:B20,"*MS")</f>
        <v>3</v>
      </c>
      <c r="C22">
        <f t="shared" si="1"/>
        <v>4</v>
      </c>
      <c r="D22">
        <f t="shared" si="1"/>
        <v>3</v>
      </c>
      <c r="E22">
        <f>COUNTIF(E4:E20,"*MS")</f>
        <v>2</v>
      </c>
      <c r="F22">
        <f>COUNTIF(F4:F20,"*MS")</f>
        <v>2</v>
      </c>
      <c r="G22">
        <f t="shared" ref="G22:AH22" si="2">COUNTIF(G4:G20,"*MS")</f>
        <v>3</v>
      </c>
      <c r="H22">
        <f t="shared" si="2"/>
        <v>3</v>
      </c>
      <c r="I22">
        <f t="shared" si="2"/>
        <v>3</v>
      </c>
      <c r="J22">
        <f t="shared" si="2"/>
        <v>4</v>
      </c>
      <c r="K22">
        <f t="shared" si="2"/>
        <v>3</v>
      </c>
      <c r="L22">
        <f>COUNTIF(L4:L20,"*MS")</f>
        <v>2</v>
      </c>
      <c r="M22">
        <f>COUNTIF(M4:M20,"*MS")</f>
        <v>2</v>
      </c>
      <c r="N22">
        <f>COUNTIF(N4:N20,"*MS")</f>
        <v>3</v>
      </c>
      <c r="O22">
        <f t="shared" si="2"/>
        <v>4</v>
      </c>
      <c r="P22">
        <f t="shared" si="2"/>
        <v>4</v>
      </c>
      <c r="Q22">
        <f t="shared" si="2"/>
        <v>4</v>
      </c>
      <c r="R22">
        <f t="shared" si="2"/>
        <v>4</v>
      </c>
      <c r="S22">
        <f t="shared" si="2"/>
        <v>2</v>
      </c>
      <c r="T22">
        <f t="shared" si="2"/>
        <v>2</v>
      </c>
      <c r="U22">
        <f t="shared" si="2"/>
        <v>4</v>
      </c>
      <c r="V22">
        <f t="shared" si="2"/>
        <v>4</v>
      </c>
      <c r="W22">
        <f t="shared" si="2"/>
        <v>3</v>
      </c>
      <c r="X22">
        <f t="shared" si="2"/>
        <v>4</v>
      </c>
      <c r="Y22">
        <f t="shared" si="2"/>
        <v>3</v>
      </c>
      <c r="Z22">
        <f t="shared" si="2"/>
        <v>2</v>
      </c>
      <c r="AA22">
        <f t="shared" si="2"/>
        <v>2</v>
      </c>
      <c r="AB22">
        <f t="shared" si="2"/>
        <v>3</v>
      </c>
      <c r="AC22">
        <f t="shared" si="2"/>
        <v>4</v>
      </c>
      <c r="AD22">
        <f t="shared" si="2"/>
        <v>4</v>
      </c>
      <c r="AE22">
        <f t="shared" si="2"/>
        <v>4</v>
      </c>
      <c r="AF22">
        <f t="shared" si="2"/>
        <v>4</v>
      </c>
      <c r="AG22">
        <f t="shared" si="2"/>
        <v>2</v>
      </c>
      <c r="AH22">
        <f t="shared" si="2"/>
        <v>2</v>
      </c>
    </row>
    <row r="23" spans="1:34" x14ac:dyDescent="0.35">
      <c r="A23" s="128" t="s">
        <v>126</v>
      </c>
      <c r="B23">
        <f t="shared" ref="B23:D23" si="3">COUNTIF(B4:B20,"*ASS1")</f>
        <v>3</v>
      </c>
      <c r="C23">
        <f t="shared" si="3"/>
        <v>4</v>
      </c>
      <c r="D23">
        <f t="shared" si="3"/>
        <v>3</v>
      </c>
      <c r="E23">
        <f>COUNTIF(E4:E20,"*ASS1")</f>
        <v>2</v>
      </c>
      <c r="F23">
        <f>COUNTIF(F4:F20,"*ASS1")</f>
        <v>2</v>
      </c>
      <c r="G23">
        <f t="shared" ref="G23:AH23" si="4">COUNTIF(G4:G20,"*ASS1")</f>
        <v>3</v>
      </c>
      <c r="H23">
        <f t="shared" si="4"/>
        <v>3</v>
      </c>
      <c r="I23">
        <f t="shared" si="4"/>
        <v>3</v>
      </c>
      <c r="J23">
        <f t="shared" si="4"/>
        <v>4</v>
      </c>
      <c r="K23">
        <f t="shared" si="4"/>
        <v>4</v>
      </c>
      <c r="L23">
        <f>COUNTIF(L4:L20,"*ASS1")</f>
        <v>2</v>
      </c>
      <c r="M23">
        <f>COUNTIF(M4:M20,"*ASS1")</f>
        <v>2</v>
      </c>
      <c r="N23">
        <f>COUNTIF(N4:N20,"*ASS1")</f>
        <v>3</v>
      </c>
      <c r="O23">
        <f t="shared" si="4"/>
        <v>3</v>
      </c>
      <c r="P23">
        <f t="shared" si="4"/>
        <v>4</v>
      </c>
      <c r="Q23">
        <f t="shared" si="4"/>
        <v>4</v>
      </c>
      <c r="R23">
        <f t="shared" si="4"/>
        <v>4</v>
      </c>
      <c r="S23">
        <f t="shared" si="4"/>
        <v>2</v>
      </c>
      <c r="T23">
        <f t="shared" si="4"/>
        <v>2</v>
      </c>
      <c r="U23">
        <f t="shared" si="4"/>
        <v>3</v>
      </c>
      <c r="V23">
        <f t="shared" si="4"/>
        <v>4</v>
      </c>
      <c r="W23">
        <f t="shared" si="4"/>
        <v>3</v>
      </c>
      <c r="X23">
        <f t="shared" si="4"/>
        <v>4</v>
      </c>
      <c r="Y23">
        <f t="shared" si="4"/>
        <v>4</v>
      </c>
      <c r="Z23">
        <f t="shared" si="4"/>
        <v>2</v>
      </c>
      <c r="AA23">
        <f t="shared" si="4"/>
        <v>2</v>
      </c>
      <c r="AB23">
        <f t="shared" si="4"/>
        <v>3</v>
      </c>
      <c r="AC23">
        <f t="shared" si="4"/>
        <v>4</v>
      </c>
      <c r="AD23">
        <f t="shared" si="4"/>
        <v>4</v>
      </c>
      <c r="AE23">
        <f t="shared" si="4"/>
        <v>4</v>
      </c>
      <c r="AF23">
        <f t="shared" si="4"/>
        <v>4</v>
      </c>
      <c r="AG23">
        <f t="shared" si="4"/>
        <v>2</v>
      </c>
      <c r="AH23">
        <f t="shared" si="4"/>
        <v>2</v>
      </c>
    </row>
    <row r="24" spans="1:34" x14ac:dyDescent="0.35">
      <c r="A24" s="128" t="s">
        <v>127</v>
      </c>
      <c r="B24">
        <f t="shared" ref="B24:D24" si="5">COUNTIF(B4:B20,"*NST7")</f>
        <v>3</v>
      </c>
      <c r="C24">
        <f t="shared" si="5"/>
        <v>4</v>
      </c>
      <c r="D24">
        <f t="shared" si="5"/>
        <v>4</v>
      </c>
      <c r="E24">
        <f>COUNTIF(E4:E20,"*NST7")</f>
        <v>3</v>
      </c>
      <c r="F24">
        <f>COUNTIF(F4:F20,"*NST7")</f>
        <v>2</v>
      </c>
      <c r="G24">
        <f t="shared" ref="G24:AH24" si="6">COUNTIF(G4:G20,"*NST7")</f>
        <v>4</v>
      </c>
      <c r="H24">
        <f t="shared" si="6"/>
        <v>4</v>
      </c>
      <c r="I24">
        <f t="shared" si="6"/>
        <v>4</v>
      </c>
      <c r="J24">
        <f t="shared" si="6"/>
        <v>3</v>
      </c>
      <c r="K24">
        <f t="shared" si="6"/>
        <v>4</v>
      </c>
      <c r="L24">
        <f>COUNTIF(L4:L20,"*NST7")</f>
        <v>3</v>
      </c>
      <c r="M24">
        <f>COUNTIF(M4:M20,"*NST7")</f>
        <v>2</v>
      </c>
      <c r="N24">
        <f>COUNTIF(N4:N20,"*NST7")</f>
        <v>4</v>
      </c>
      <c r="O24">
        <f t="shared" si="6"/>
        <v>4</v>
      </c>
      <c r="P24">
        <f t="shared" si="6"/>
        <v>4</v>
      </c>
      <c r="Q24">
        <f t="shared" si="6"/>
        <v>4</v>
      </c>
      <c r="R24">
        <f t="shared" si="6"/>
        <v>4</v>
      </c>
      <c r="S24">
        <f t="shared" si="6"/>
        <v>3</v>
      </c>
      <c r="T24">
        <f t="shared" si="6"/>
        <v>2</v>
      </c>
      <c r="U24">
        <f t="shared" si="6"/>
        <v>4</v>
      </c>
      <c r="V24">
        <f t="shared" si="6"/>
        <v>4</v>
      </c>
      <c r="W24">
        <f t="shared" si="6"/>
        <v>4</v>
      </c>
      <c r="X24">
        <f t="shared" si="6"/>
        <v>4</v>
      </c>
      <c r="Y24">
        <f t="shared" si="6"/>
        <v>3</v>
      </c>
      <c r="Z24">
        <f t="shared" si="6"/>
        <v>3</v>
      </c>
      <c r="AA24">
        <f t="shared" si="6"/>
        <v>3</v>
      </c>
      <c r="AB24">
        <f t="shared" si="6"/>
        <v>4</v>
      </c>
      <c r="AC24">
        <f t="shared" si="6"/>
        <v>4</v>
      </c>
      <c r="AD24">
        <f t="shared" si="6"/>
        <v>4</v>
      </c>
      <c r="AE24">
        <f t="shared" si="6"/>
        <v>4</v>
      </c>
      <c r="AF24">
        <f t="shared" si="6"/>
        <v>4</v>
      </c>
      <c r="AG24">
        <f t="shared" si="6"/>
        <v>2</v>
      </c>
      <c r="AH24">
        <f t="shared" si="6"/>
        <v>2</v>
      </c>
    </row>
    <row r="25" spans="1:34" x14ac:dyDescent="0.35">
      <c r="A25" s="128" t="s">
        <v>128</v>
      </c>
      <c r="B25">
        <f t="shared" ref="B25:D25" si="7">COUNTIF(B4:B20,"*GS")</f>
        <v>1</v>
      </c>
      <c r="C25">
        <f t="shared" si="7"/>
        <v>0</v>
      </c>
      <c r="D25">
        <f t="shared" si="7"/>
        <v>1</v>
      </c>
      <c r="E25">
        <f>COUNTIF(E4:E20,"*GS")</f>
        <v>1</v>
      </c>
      <c r="F25">
        <f>COUNTIF(F4:F20,"*GS")</f>
        <v>0</v>
      </c>
      <c r="G25">
        <f t="shared" ref="G25:AH25" si="8">COUNTIF(G4:G20,"*GS")</f>
        <v>0</v>
      </c>
      <c r="H25">
        <f t="shared" si="8"/>
        <v>1</v>
      </c>
      <c r="I25">
        <f t="shared" si="8"/>
        <v>1</v>
      </c>
      <c r="J25">
        <f t="shared" si="8"/>
        <v>0</v>
      </c>
      <c r="K25">
        <f t="shared" si="8"/>
        <v>0</v>
      </c>
      <c r="L25">
        <f>COUNTIF(L4:L20,"*GS")</f>
        <v>1</v>
      </c>
      <c r="M25">
        <f>COUNTIF(M4:M20,"*GS")</f>
        <v>0</v>
      </c>
      <c r="N25">
        <f>COUNTIF(N4:N20,"*GS")</f>
        <v>0</v>
      </c>
      <c r="O25">
        <f t="shared" si="8"/>
        <v>0</v>
      </c>
      <c r="P25">
        <f t="shared" si="8"/>
        <v>0</v>
      </c>
      <c r="Q25">
        <f t="shared" si="8"/>
        <v>0</v>
      </c>
      <c r="R25">
        <f t="shared" si="8"/>
        <v>0</v>
      </c>
      <c r="S25">
        <f t="shared" si="8"/>
        <v>1</v>
      </c>
      <c r="T25">
        <f t="shared" si="8"/>
        <v>0</v>
      </c>
      <c r="U25">
        <f t="shared" si="8"/>
        <v>0</v>
      </c>
      <c r="V25">
        <f t="shared" si="8"/>
        <v>0</v>
      </c>
      <c r="W25">
        <f t="shared" si="8"/>
        <v>0</v>
      </c>
      <c r="X25">
        <f t="shared" si="8"/>
        <v>0</v>
      </c>
      <c r="Y25">
        <f t="shared" si="8"/>
        <v>0</v>
      </c>
      <c r="Z25">
        <f t="shared" si="8"/>
        <v>1</v>
      </c>
      <c r="AA25">
        <f t="shared" si="8"/>
        <v>0</v>
      </c>
      <c r="AB25">
        <f t="shared" si="8"/>
        <v>0</v>
      </c>
      <c r="AC25">
        <f t="shared" si="8"/>
        <v>1</v>
      </c>
      <c r="AD25">
        <f t="shared" si="8"/>
        <v>1</v>
      </c>
      <c r="AE25">
        <f t="shared" si="8"/>
        <v>0</v>
      </c>
      <c r="AF25">
        <f t="shared" si="8"/>
        <v>1</v>
      </c>
      <c r="AG25">
        <f t="shared" si="8"/>
        <v>1</v>
      </c>
      <c r="AH25">
        <f t="shared" si="8"/>
        <v>1</v>
      </c>
    </row>
    <row r="26" spans="1:34" x14ac:dyDescent="0.35">
      <c r="A26" s="128" t="s">
        <v>129</v>
      </c>
      <c r="B26">
        <f>COUNTIF(B4:B20,"C")</f>
        <v>3</v>
      </c>
      <c r="C26">
        <f>COUNTIF(C4:C20,"C")</f>
        <v>1</v>
      </c>
      <c r="D26">
        <f>COUNTIF(D4:D20,"C")</f>
        <v>2</v>
      </c>
      <c r="E26">
        <f>COUNTIF(E4:E20,"WO")</f>
        <v>7</v>
      </c>
      <c r="F26">
        <f>COUNTIF(F4:F20,"WO")</f>
        <v>9</v>
      </c>
      <c r="G26">
        <f t="shared" ref="G26:AF26" si="9">COUNTIF(G4:G20,"C")</f>
        <v>3</v>
      </c>
      <c r="H26">
        <f t="shared" si="9"/>
        <v>0</v>
      </c>
      <c r="I26">
        <f t="shared" si="9"/>
        <v>2</v>
      </c>
      <c r="J26">
        <f t="shared" si="9"/>
        <v>1</v>
      </c>
      <c r="K26">
        <f t="shared" si="9"/>
        <v>3</v>
      </c>
      <c r="L26">
        <f>COUNTIF(L4:L20,"WO")</f>
        <v>7</v>
      </c>
      <c r="M26">
        <f>COUNTIF(M4:M20,"WO")</f>
        <v>9</v>
      </c>
      <c r="N26">
        <f>COUNTIF(N4:N20,"C")</f>
        <v>3</v>
      </c>
      <c r="O26">
        <f t="shared" si="9"/>
        <v>3</v>
      </c>
      <c r="P26">
        <f t="shared" si="9"/>
        <v>3</v>
      </c>
      <c r="Q26">
        <f t="shared" si="9"/>
        <v>3</v>
      </c>
      <c r="R26">
        <f t="shared" si="9"/>
        <v>3</v>
      </c>
      <c r="S26">
        <f t="shared" ref="S26:T26" si="10">COUNTIF(S4:S20,"WO")</f>
        <v>7</v>
      </c>
      <c r="T26">
        <f t="shared" si="10"/>
        <v>9</v>
      </c>
      <c r="U26">
        <f t="shared" si="9"/>
        <v>3</v>
      </c>
      <c r="V26">
        <f t="shared" si="9"/>
        <v>2</v>
      </c>
      <c r="W26">
        <f t="shared" si="9"/>
        <v>0</v>
      </c>
      <c r="X26">
        <f t="shared" si="9"/>
        <v>1</v>
      </c>
      <c r="Y26">
        <f t="shared" si="9"/>
        <v>2</v>
      </c>
      <c r="Z26">
        <f t="shared" ref="Z26:AA26" si="11">COUNTIF(Z4:Z20,"WO")</f>
        <v>7</v>
      </c>
      <c r="AA26">
        <f t="shared" si="11"/>
        <v>8</v>
      </c>
      <c r="AB26">
        <f t="shared" si="9"/>
        <v>5</v>
      </c>
      <c r="AC26">
        <f t="shared" si="9"/>
        <v>2</v>
      </c>
      <c r="AD26">
        <f t="shared" si="9"/>
        <v>1</v>
      </c>
      <c r="AE26">
        <f t="shared" si="9"/>
        <v>3</v>
      </c>
      <c r="AF26">
        <f t="shared" si="9"/>
        <v>2</v>
      </c>
      <c r="AG26">
        <f t="shared" ref="AG26:AH26" si="12">COUNTIF(AG4:AG20,"WO")</f>
        <v>8</v>
      </c>
      <c r="AH26">
        <f t="shared" si="12"/>
        <v>8</v>
      </c>
    </row>
    <row r="27" spans="1:34" x14ac:dyDescent="0.35">
      <c r="A27" s="128" t="s">
        <v>130</v>
      </c>
      <c r="B27">
        <f t="shared" ref="B27:D27" si="13">COUNTIF(B4:B20,"PL")</f>
        <v>2</v>
      </c>
      <c r="C27">
        <f t="shared" si="13"/>
        <v>2</v>
      </c>
      <c r="D27">
        <f t="shared" si="13"/>
        <v>2</v>
      </c>
      <c r="E27">
        <f>COUNTIF(E4:E20,"PL")</f>
        <v>0</v>
      </c>
      <c r="F27">
        <f>COUNTIF(F4:F20,"PL")</f>
        <v>0</v>
      </c>
      <c r="G27">
        <f t="shared" ref="G27:AH27" si="14">COUNTIF(G4:G20,"PL")</f>
        <v>2</v>
      </c>
      <c r="H27">
        <f t="shared" si="14"/>
        <v>0</v>
      </c>
      <c r="I27">
        <f t="shared" si="14"/>
        <v>2</v>
      </c>
      <c r="J27">
        <f t="shared" si="14"/>
        <v>2</v>
      </c>
      <c r="K27">
        <f t="shared" si="14"/>
        <v>1</v>
      </c>
      <c r="L27">
        <f>COUNTIF(L4:L20,"PL")</f>
        <v>0</v>
      </c>
      <c r="M27">
        <f>COUNTIF(M4:M20,"PL")</f>
        <v>0</v>
      </c>
      <c r="N27">
        <f>COUNTIF(N4:N20,"PL")</f>
        <v>2</v>
      </c>
      <c r="O27">
        <f t="shared" si="14"/>
        <v>1</v>
      </c>
      <c r="P27">
        <f t="shared" si="14"/>
        <v>0</v>
      </c>
      <c r="Q27">
        <f t="shared" si="14"/>
        <v>0</v>
      </c>
      <c r="R27">
        <f t="shared" si="14"/>
        <v>0</v>
      </c>
      <c r="S27">
        <f t="shared" si="14"/>
        <v>0</v>
      </c>
      <c r="T27">
        <f t="shared" si="14"/>
        <v>0</v>
      </c>
      <c r="U27">
        <f t="shared" si="14"/>
        <v>1</v>
      </c>
      <c r="V27">
        <f t="shared" si="14"/>
        <v>1</v>
      </c>
      <c r="W27">
        <f t="shared" si="14"/>
        <v>0</v>
      </c>
      <c r="X27">
        <f t="shared" si="14"/>
        <v>2</v>
      </c>
      <c r="Y27">
        <f t="shared" si="14"/>
        <v>3</v>
      </c>
      <c r="Z27">
        <f t="shared" si="14"/>
        <v>0</v>
      </c>
      <c r="AA27">
        <f t="shared" si="14"/>
        <v>0</v>
      </c>
      <c r="AB27">
        <f t="shared" si="14"/>
        <v>0</v>
      </c>
      <c r="AC27">
        <f t="shared" si="14"/>
        <v>0</v>
      </c>
      <c r="AD27">
        <f t="shared" si="14"/>
        <v>1</v>
      </c>
      <c r="AE27">
        <f t="shared" si="14"/>
        <v>0</v>
      </c>
      <c r="AF27">
        <f t="shared" si="14"/>
        <v>0</v>
      </c>
      <c r="AG27">
        <f t="shared" si="14"/>
        <v>0</v>
      </c>
      <c r="AH27">
        <f t="shared" si="14"/>
        <v>0</v>
      </c>
    </row>
    <row r="28" spans="1:34" x14ac:dyDescent="0.35">
      <c r="A28" s="128" t="s">
        <v>33</v>
      </c>
      <c r="B28">
        <f t="shared" ref="B28:D28" si="15">COUNTIF(B4:B20,"UPL")</f>
        <v>0</v>
      </c>
      <c r="C28">
        <f t="shared" si="15"/>
        <v>0</v>
      </c>
      <c r="D28">
        <f t="shared" si="15"/>
        <v>0</v>
      </c>
      <c r="E28">
        <f>COUNTIF(E4:E20,"UPL")</f>
        <v>0</v>
      </c>
      <c r="F28">
        <f>COUNTIF(F4:F20,"UPL")</f>
        <v>0</v>
      </c>
      <c r="G28">
        <f t="shared" ref="G28:AH28" si="16">COUNTIF(G4:G20,"UPL")</f>
        <v>0</v>
      </c>
      <c r="H28">
        <f t="shared" si="16"/>
        <v>0</v>
      </c>
      <c r="I28">
        <f t="shared" si="16"/>
        <v>0</v>
      </c>
      <c r="J28">
        <f t="shared" si="16"/>
        <v>1</v>
      </c>
      <c r="K28">
        <f t="shared" si="16"/>
        <v>0</v>
      </c>
      <c r="L28">
        <f>COUNTIF(L4:L20,"UPL")</f>
        <v>0</v>
      </c>
      <c r="M28">
        <f>COUNTIF(M4:M20,"UPL")</f>
        <v>0</v>
      </c>
      <c r="N28">
        <f>COUNTIF(N4:N20,"UPL")</f>
        <v>0</v>
      </c>
      <c r="O28">
        <f t="shared" si="16"/>
        <v>0</v>
      </c>
      <c r="P28">
        <f t="shared" si="16"/>
        <v>0</v>
      </c>
      <c r="Q28">
        <f t="shared" si="16"/>
        <v>0</v>
      </c>
      <c r="R28">
        <f t="shared" si="16"/>
        <v>0</v>
      </c>
      <c r="S28">
        <f t="shared" si="16"/>
        <v>0</v>
      </c>
      <c r="T28">
        <f t="shared" si="16"/>
        <v>0</v>
      </c>
      <c r="U28">
        <f t="shared" si="16"/>
        <v>0</v>
      </c>
      <c r="V28">
        <f t="shared" si="16"/>
        <v>0</v>
      </c>
      <c r="W28">
        <f t="shared" si="16"/>
        <v>0</v>
      </c>
      <c r="X28">
        <f t="shared" si="16"/>
        <v>0</v>
      </c>
      <c r="Y28">
        <f t="shared" si="16"/>
        <v>0</v>
      </c>
      <c r="Z28">
        <f t="shared" si="16"/>
        <v>0</v>
      </c>
      <c r="AA28">
        <f t="shared" si="16"/>
        <v>0</v>
      </c>
      <c r="AB28">
        <f t="shared" si="16"/>
        <v>0</v>
      </c>
      <c r="AC28">
        <f t="shared" si="16"/>
        <v>0</v>
      </c>
      <c r="AD28">
        <f t="shared" si="16"/>
        <v>0</v>
      </c>
      <c r="AE28">
        <f t="shared" si="16"/>
        <v>0</v>
      </c>
      <c r="AF28">
        <f t="shared" si="16"/>
        <v>0</v>
      </c>
      <c r="AG28">
        <f t="shared" si="16"/>
        <v>0</v>
      </c>
      <c r="AH28">
        <f t="shared" si="16"/>
        <v>0</v>
      </c>
    </row>
    <row r="29" spans="1:34" x14ac:dyDescent="0.35">
      <c r="A29" s="128" t="s">
        <v>141</v>
      </c>
      <c r="B29">
        <f t="shared" ref="B29:D29" si="17">COUNTIF(B4:B20,"H")</f>
        <v>0</v>
      </c>
      <c r="C29">
        <f t="shared" si="17"/>
        <v>0</v>
      </c>
      <c r="D29">
        <f t="shared" si="17"/>
        <v>0</v>
      </c>
      <c r="E29">
        <f>COUNTIF(E4:E20,"H")</f>
        <v>0</v>
      </c>
      <c r="F29">
        <f>COUNTIF(F4:F20,"H")</f>
        <v>0</v>
      </c>
      <c r="G29">
        <f t="shared" ref="G29:AH29" si="18">COUNTIF(G4:G20,"H")</f>
        <v>0</v>
      </c>
      <c r="H29">
        <f t="shared" si="18"/>
        <v>4</v>
      </c>
      <c r="I29">
        <f t="shared" si="18"/>
        <v>0</v>
      </c>
      <c r="J29">
        <f t="shared" si="18"/>
        <v>0</v>
      </c>
      <c r="K29">
        <f t="shared" si="18"/>
        <v>0</v>
      </c>
      <c r="L29">
        <f>COUNTIF(L4:L20,"H")</f>
        <v>0</v>
      </c>
      <c r="M29">
        <f>COUNTIF(M4:M20,"H")</f>
        <v>0</v>
      </c>
      <c r="N29">
        <f>COUNTIF(N4:N20,"H")</f>
        <v>0</v>
      </c>
      <c r="O29">
        <f t="shared" si="18"/>
        <v>0</v>
      </c>
      <c r="P29">
        <f t="shared" si="18"/>
        <v>0</v>
      </c>
      <c r="Q29">
        <f t="shared" si="18"/>
        <v>0</v>
      </c>
      <c r="R29">
        <f t="shared" si="18"/>
        <v>0</v>
      </c>
      <c r="S29">
        <f t="shared" si="18"/>
        <v>0</v>
      </c>
      <c r="T29">
        <f t="shared" si="18"/>
        <v>0</v>
      </c>
      <c r="U29">
        <f t="shared" si="18"/>
        <v>0</v>
      </c>
      <c r="V29">
        <f t="shared" si="18"/>
        <v>0</v>
      </c>
      <c r="W29">
        <f t="shared" si="18"/>
        <v>5</v>
      </c>
      <c r="X29">
        <f t="shared" si="18"/>
        <v>0</v>
      </c>
      <c r="Y29">
        <f t="shared" si="18"/>
        <v>0</v>
      </c>
      <c r="Z29">
        <f t="shared" si="18"/>
        <v>0</v>
      </c>
      <c r="AA29">
        <f t="shared" si="18"/>
        <v>0</v>
      </c>
      <c r="AB29">
        <f t="shared" si="18"/>
        <v>0</v>
      </c>
      <c r="AC29">
        <f t="shared" si="18"/>
        <v>0</v>
      </c>
      <c r="AD29">
        <f t="shared" si="18"/>
        <v>0</v>
      </c>
      <c r="AE29">
        <f t="shared" si="18"/>
        <v>0</v>
      </c>
      <c r="AF29">
        <f t="shared" si="18"/>
        <v>0</v>
      </c>
      <c r="AG29">
        <f t="shared" si="18"/>
        <v>0</v>
      </c>
      <c r="AH29">
        <f t="shared" si="18"/>
        <v>0</v>
      </c>
    </row>
    <row r="30" spans="1:34" x14ac:dyDescent="0.35">
      <c r="A30" s="128" t="s">
        <v>131</v>
      </c>
      <c r="B30" s="129">
        <f t="shared" ref="B30:F30" si="19">SUM(B22:B29)</f>
        <v>15</v>
      </c>
      <c r="C30" s="129">
        <f t="shared" si="19"/>
        <v>15</v>
      </c>
      <c r="D30" s="129">
        <f t="shared" si="19"/>
        <v>15</v>
      </c>
      <c r="E30" s="129">
        <f t="shared" si="19"/>
        <v>15</v>
      </c>
      <c r="F30" s="129">
        <f t="shared" si="19"/>
        <v>15</v>
      </c>
      <c r="G30" s="129">
        <f t="shared" ref="G30:AF30" si="20">SUM(G22:G29)</f>
        <v>15</v>
      </c>
      <c r="H30" s="129">
        <f t="shared" si="20"/>
        <v>15</v>
      </c>
      <c r="I30" s="129">
        <f t="shared" si="20"/>
        <v>15</v>
      </c>
      <c r="J30" s="129">
        <f t="shared" si="20"/>
        <v>15</v>
      </c>
      <c r="K30" s="129">
        <f t="shared" si="20"/>
        <v>15</v>
      </c>
      <c r="L30" s="129">
        <f t="shared" si="20"/>
        <v>15</v>
      </c>
      <c r="M30" s="129">
        <f t="shared" si="20"/>
        <v>15</v>
      </c>
      <c r="N30" s="129">
        <f t="shared" si="20"/>
        <v>15</v>
      </c>
      <c r="O30" s="129">
        <f t="shared" si="20"/>
        <v>15</v>
      </c>
      <c r="P30" s="129">
        <f t="shared" si="20"/>
        <v>15</v>
      </c>
      <c r="Q30" s="129">
        <f t="shared" si="20"/>
        <v>15</v>
      </c>
      <c r="R30" s="129">
        <f t="shared" si="20"/>
        <v>15</v>
      </c>
      <c r="S30" s="129">
        <f t="shared" ref="S30:T30" si="21">SUM(S22:S29)</f>
        <v>15</v>
      </c>
      <c r="T30" s="129">
        <f t="shared" si="21"/>
        <v>15</v>
      </c>
      <c r="U30" s="129">
        <f t="shared" si="20"/>
        <v>15</v>
      </c>
      <c r="V30" s="129">
        <f t="shared" si="20"/>
        <v>15</v>
      </c>
      <c r="W30" s="129">
        <f t="shared" si="20"/>
        <v>15</v>
      </c>
      <c r="X30" s="129">
        <f t="shared" si="20"/>
        <v>15</v>
      </c>
      <c r="Y30" s="129">
        <f t="shared" si="20"/>
        <v>15</v>
      </c>
      <c r="Z30" s="129">
        <f t="shared" ref="Z30:AA30" si="22">SUM(Z22:Z29)</f>
        <v>15</v>
      </c>
      <c r="AA30" s="129">
        <f t="shared" si="22"/>
        <v>15</v>
      </c>
      <c r="AB30" s="129">
        <f t="shared" si="20"/>
        <v>15</v>
      </c>
      <c r="AC30" s="129">
        <f t="shared" si="20"/>
        <v>15</v>
      </c>
      <c r="AD30" s="129">
        <f t="shared" si="20"/>
        <v>15</v>
      </c>
      <c r="AE30" s="129">
        <f t="shared" si="20"/>
        <v>15</v>
      </c>
      <c r="AF30" s="129">
        <f t="shared" si="20"/>
        <v>15</v>
      </c>
      <c r="AG30" s="129">
        <f t="shared" ref="AG30:AH30" si="23">SUM(AG22:AG29)</f>
        <v>15</v>
      </c>
      <c r="AH30" s="129">
        <f t="shared" si="23"/>
        <v>15</v>
      </c>
    </row>
  </sheetData>
  <conditionalFormatting sqref="B22:AH25">
    <cfRule type="cellIs" dxfId="839" priority="2" operator="lessThan">
      <formula>3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A1:AL30"/>
  <sheetViews>
    <sheetView zoomScale="59" zoomScaleNormal="59" workbookViewId="0">
      <pane xSplit="1" topLeftCell="B1" activePane="topRight" state="frozen"/>
      <selection pane="topRight" activeCell="E36" sqref="E36"/>
    </sheetView>
  </sheetViews>
  <sheetFormatPr defaultRowHeight="14.5" x14ac:dyDescent="0.35"/>
  <cols>
    <col min="1" max="1" width="19.81640625" customWidth="1"/>
    <col min="2" max="31" width="8.7265625" customWidth="1"/>
    <col min="32" max="38" width="8.7265625" hidden="1" customWidth="1"/>
  </cols>
  <sheetData>
    <row r="1" spans="1:38" x14ac:dyDescent="0.35">
      <c r="A1" s="1" t="s">
        <v>0</v>
      </c>
      <c r="B1" s="2" t="str">
        <f t="shared" ref="B1:AG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</row>
    <row r="2" spans="1:38" x14ac:dyDescent="0.35">
      <c r="A2" s="95" t="s">
        <v>0</v>
      </c>
      <c r="B2" s="29">
        <v>45017</v>
      </c>
      <c r="C2" s="29">
        <v>45018</v>
      </c>
      <c r="D2" s="29">
        <v>45019</v>
      </c>
      <c r="E2" s="29">
        <v>45020</v>
      </c>
      <c r="F2" s="29">
        <v>45021</v>
      </c>
      <c r="G2" s="29">
        <v>45022</v>
      </c>
      <c r="H2" s="29">
        <v>45023</v>
      </c>
      <c r="I2" s="29">
        <v>45024</v>
      </c>
      <c r="J2" s="29">
        <v>45025</v>
      </c>
      <c r="K2" s="29">
        <v>45026</v>
      </c>
      <c r="L2" s="29">
        <v>45027</v>
      </c>
      <c r="M2" s="29">
        <v>45028</v>
      </c>
      <c r="N2" s="29">
        <v>45029</v>
      </c>
      <c r="O2" s="29">
        <v>45030</v>
      </c>
      <c r="P2" s="29">
        <v>45031</v>
      </c>
      <c r="Q2" s="29">
        <v>45032</v>
      </c>
      <c r="R2" s="29">
        <v>45033</v>
      </c>
      <c r="S2" s="29">
        <v>45034</v>
      </c>
      <c r="T2" s="29">
        <v>45035</v>
      </c>
      <c r="U2" s="29">
        <v>45036</v>
      </c>
      <c r="V2" s="29">
        <v>45037</v>
      </c>
      <c r="W2" s="29">
        <v>45038</v>
      </c>
      <c r="X2" s="29">
        <v>45039</v>
      </c>
      <c r="Y2" s="29">
        <v>45040</v>
      </c>
      <c r="Z2" s="29">
        <v>45041</v>
      </c>
      <c r="AA2" s="29">
        <v>45042</v>
      </c>
      <c r="AB2" s="29">
        <v>45043</v>
      </c>
      <c r="AC2" s="29">
        <v>45044</v>
      </c>
      <c r="AD2" s="29">
        <v>45045</v>
      </c>
      <c r="AE2" s="29">
        <v>45046</v>
      </c>
      <c r="AF2" s="29">
        <v>45047</v>
      </c>
      <c r="AG2" s="29">
        <v>45048</v>
      </c>
      <c r="AH2" s="29">
        <v>45049</v>
      </c>
      <c r="AI2" s="29">
        <v>45050</v>
      </c>
      <c r="AJ2" s="29">
        <v>45051</v>
      </c>
      <c r="AK2" s="29">
        <v>45052</v>
      </c>
      <c r="AL2" s="29">
        <v>45053</v>
      </c>
    </row>
    <row r="3" spans="1:38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</row>
    <row r="4" spans="1:38" x14ac:dyDescent="0.35">
      <c r="A4" s="165" t="s">
        <v>57</v>
      </c>
      <c r="B4" s="114" t="s">
        <v>4</v>
      </c>
      <c r="C4" s="114" t="s">
        <v>4</v>
      </c>
      <c r="D4" s="116" t="s">
        <v>2</v>
      </c>
      <c r="E4" s="16" t="s">
        <v>10</v>
      </c>
      <c r="F4" s="16" t="s">
        <v>10</v>
      </c>
      <c r="G4" s="16" t="s">
        <v>10</v>
      </c>
      <c r="H4" s="16" t="s">
        <v>10</v>
      </c>
      <c r="I4" s="16" t="s">
        <v>11</v>
      </c>
      <c r="J4" s="114" t="s">
        <v>4</v>
      </c>
      <c r="K4" s="116" t="s">
        <v>2</v>
      </c>
      <c r="L4" s="16" t="s">
        <v>10</v>
      </c>
      <c r="M4" s="16" t="s">
        <v>10</v>
      </c>
      <c r="N4" s="16" t="s">
        <v>10</v>
      </c>
      <c r="O4" s="16" t="s">
        <v>10</v>
      </c>
      <c r="P4" s="16" t="s">
        <v>11</v>
      </c>
      <c r="Q4" s="114" t="s">
        <v>4</v>
      </c>
      <c r="R4" s="122" t="s">
        <v>5</v>
      </c>
      <c r="S4" s="122" t="s">
        <v>5</v>
      </c>
      <c r="T4" s="16" t="s">
        <v>10</v>
      </c>
      <c r="U4" s="16" t="s">
        <v>10</v>
      </c>
      <c r="V4" s="16" t="s">
        <v>11</v>
      </c>
      <c r="W4" s="16" t="s">
        <v>11</v>
      </c>
      <c r="X4" s="114" t="s">
        <v>4</v>
      </c>
      <c r="Y4" s="116" t="s">
        <v>2</v>
      </c>
      <c r="Z4" s="16" t="s">
        <v>10</v>
      </c>
      <c r="AA4" s="16" t="s">
        <v>10</v>
      </c>
      <c r="AB4" s="16" t="s">
        <v>10</v>
      </c>
      <c r="AC4" s="16" t="s">
        <v>10</v>
      </c>
      <c r="AD4" s="16" t="s">
        <v>11</v>
      </c>
      <c r="AE4" s="114" t="s">
        <v>4</v>
      </c>
      <c r="AF4" s="19" t="s">
        <v>42</v>
      </c>
      <c r="AG4" s="19" t="s">
        <v>41</v>
      </c>
    </row>
    <row r="5" spans="1:38" x14ac:dyDescent="0.35">
      <c r="A5" s="141" t="s">
        <v>21</v>
      </c>
      <c r="B5" s="19" t="s">
        <v>42</v>
      </c>
      <c r="C5" s="114" t="s">
        <v>4</v>
      </c>
      <c r="D5" s="16" t="s">
        <v>10</v>
      </c>
      <c r="E5" s="16" t="s">
        <v>10</v>
      </c>
      <c r="F5" s="16" t="s">
        <v>10</v>
      </c>
      <c r="G5" s="16" t="s">
        <v>10</v>
      </c>
      <c r="H5" s="16" t="s">
        <v>10</v>
      </c>
      <c r="I5" s="114" t="s">
        <v>4</v>
      </c>
      <c r="J5" s="16" t="s">
        <v>11</v>
      </c>
      <c r="K5" s="16" t="s">
        <v>10</v>
      </c>
      <c r="L5" s="16" t="s">
        <v>10</v>
      </c>
      <c r="M5" s="116" t="s">
        <v>2</v>
      </c>
      <c r="N5" s="16" t="s">
        <v>10</v>
      </c>
      <c r="O5" s="16" t="s">
        <v>10</v>
      </c>
      <c r="P5" s="114" t="s">
        <v>4</v>
      </c>
      <c r="Q5" s="16" t="s">
        <v>11</v>
      </c>
      <c r="R5" s="16" t="s">
        <v>10</v>
      </c>
      <c r="S5" s="16" t="s">
        <v>10</v>
      </c>
      <c r="T5" s="16" t="s">
        <v>10</v>
      </c>
      <c r="U5" s="16" t="s">
        <v>10</v>
      </c>
      <c r="V5" s="16" t="s">
        <v>11</v>
      </c>
      <c r="W5" s="114" t="s">
        <v>4</v>
      </c>
      <c r="X5" s="16" t="s">
        <v>11</v>
      </c>
      <c r="Y5" s="16" t="s">
        <v>10</v>
      </c>
      <c r="Z5" s="16" t="s">
        <v>10</v>
      </c>
      <c r="AA5" s="116" t="s">
        <v>2</v>
      </c>
      <c r="AB5" s="16" t="s">
        <v>10</v>
      </c>
      <c r="AC5" s="16" t="s">
        <v>10</v>
      </c>
      <c r="AD5" s="16" t="s">
        <v>11</v>
      </c>
      <c r="AE5" s="114" t="s">
        <v>4</v>
      </c>
      <c r="AF5" s="25" t="s">
        <v>3</v>
      </c>
      <c r="AG5" s="122" t="s">
        <v>5</v>
      </c>
      <c r="AH5" s="122" t="s">
        <v>5</v>
      </c>
      <c r="AI5" s="122" t="s">
        <v>5</v>
      </c>
      <c r="AJ5" s="122" t="s">
        <v>5</v>
      </c>
      <c r="AK5" s="122" t="s">
        <v>5</v>
      </c>
      <c r="AL5" s="122" t="s">
        <v>5</v>
      </c>
    </row>
    <row r="6" spans="1:38" x14ac:dyDescent="0.35">
      <c r="A6" s="141" t="s">
        <v>69</v>
      </c>
      <c r="B6" s="22" t="s">
        <v>30</v>
      </c>
      <c r="C6" s="16" t="s">
        <v>11</v>
      </c>
      <c r="D6" s="16" t="s">
        <v>10</v>
      </c>
      <c r="E6" s="16" t="s">
        <v>10</v>
      </c>
      <c r="F6" s="16" t="s">
        <v>10</v>
      </c>
      <c r="G6" s="16" t="s">
        <v>10</v>
      </c>
      <c r="H6" s="116" t="s">
        <v>2</v>
      </c>
      <c r="I6" s="114" t="s">
        <v>4</v>
      </c>
      <c r="J6" s="16" t="s">
        <v>11</v>
      </c>
      <c r="K6" s="16" t="s">
        <v>10</v>
      </c>
      <c r="L6" s="16" t="s">
        <v>10</v>
      </c>
      <c r="M6" s="16" t="s">
        <v>10</v>
      </c>
      <c r="N6" s="16" t="s">
        <v>10</v>
      </c>
      <c r="O6" s="116" t="s">
        <v>2</v>
      </c>
      <c r="P6" s="114" t="s">
        <v>4</v>
      </c>
      <c r="Q6" s="16" t="s">
        <v>11</v>
      </c>
      <c r="R6" s="16" t="s">
        <v>10</v>
      </c>
      <c r="S6" s="16" t="s">
        <v>10</v>
      </c>
      <c r="T6" s="16" t="s">
        <v>10</v>
      </c>
      <c r="U6" s="16" t="s">
        <v>10</v>
      </c>
      <c r="V6" s="116" t="s">
        <v>2</v>
      </c>
      <c r="W6" s="114" t="s">
        <v>4</v>
      </c>
      <c r="X6" s="16" t="s">
        <v>11</v>
      </c>
      <c r="Y6" s="16" t="s">
        <v>10</v>
      </c>
      <c r="Z6" s="16" t="s">
        <v>10</v>
      </c>
      <c r="AA6" s="16" t="s">
        <v>10</v>
      </c>
      <c r="AB6" s="16" t="s">
        <v>10</v>
      </c>
      <c r="AC6" s="16" t="s">
        <v>10</v>
      </c>
      <c r="AD6" s="114" t="s">
        <v>4</v>
      </c>
      <c r="AE6" s="25" t="s">
        <v>3</v>
      </c>
      <c r="AF6" s="25" t="s">
        <v>3</v>
      </c>
      <c r="AG6" s="25" t="s">
        <v>6</v>
      </c>
    </row>
    <row r="7" spans="1:38" x14ac:dyDescent="0.35">
      <c r="A7" s="141" t="s">
        <v>71</v>
      </c>
      <c r="B7" s="19" t="s">
        <v>42</v>
      </c>
      <c r="C7" s="114" t="s">
        <v>4</v>
      </c>
      <c r="D7" s="16" t="s">
        <v>10</v>
      </c>
      <c r="E7" s="16" t="s">
        <v>10</v>
      </c>
      <c r="F7" s="116" t="s">
        <v>2</v>
      </c>
      <c r="G7" s="16" t="s">
        <v>10</v>
      </c>
      <c r="H7" s="16" t="s">
        <v>10</v>
      </c>
      <c r="I7" s="16" t="s">
        <v>11</v>
      </c>
      <c r="J7" s="114" t="s">
        <v>4</v>
      </c>
      <c r="K7" s="16" t="s">
        <v>10</v>
      </c>
      <c r="L7" s="16" t="s">
        <v>10</v>
      </c>
      <c r="M7" s="16" t="s">
        <v>10</v>
      </c>
      <c r="N7" s="116" t="s">
        <v>2</v>
      </c>
      <c r="O7" s="16" t="s">
        <v>10</v>
      </c>
      <c r="P7" s="16" t="s">
        <v>11</v>
      </c>
      <c r="Q7" s="114" t="s">
        <v>4</v>
      </c>
      <c r="R7" s="16" t="s">
        <v>10</v>
      </c>
      <c r="S7" s="16" t="s">
        <v>10</v>
      </c>
      <c r="T7" s="16" t="s">
        <v>10</v>
      </c>
      <c r="U7" s="116" t="s">
        <v>2</v>
      </c>
      <c r="V7" s="16" t="s">
        <v>10</v>
      </c>
      <c r="W7" s="16" t="s">
        <v>11</v>
      </c>
      <c r="X7" s="114" t="s">
        <v>4</v>
      </c>
      <c r="Y7" s="16" t="s">
        <v>10</v>
      </c>
      <c r="Z7" s="16" t="s">
        <v>10</v>
      </c>
      <c r="AA7" s="16" t="s">
        <v>10</v>
      </c>
      <c r="AB7" s="116" t="s">
        <v>2</v>
      </c>
      <c r="AC7" s="116" t="s">
        <v>2</v>
      </c>
      <c r="AD7" s="16" t="s">
        <v>11</v>
      </c>
      <c r="AE7" s="114" t="s">
        <v>4</v>
      </c>
      <c r="AF7" s="115" t="s">
        <v>37</v>
      </c>
      <c r="AG7" s="25" t="s">
        <v>6</v>
      </c>
    </row>
    <row r="8" spans="1:38" x14ac:dyDescent="0.35">
      <c r="A8" s="141" t="s">
        <v>70</v>
      </c>
      <c r="B8" s="114" t="s">
        <v>4</v>
      </c>
      <c r="C8" s="16" t="s">
        <v>11</v>
      </c>
      <c r="D8" s="16" t="s">
        <v>10</v>
      </c>
      <c r="E8" s="122" t="s">
        <v>5</v>
      </c>
      <c r="F8" s="122" t="s">
        <v>5</v>
      </c>
      <c r="G8" s="122" t="s">
        <v>5</v>
      </c>
      <c r="H8" s="122" t="s">
        <v>5</v>
      </c>
      <c r="I8" s="114" t="s">
        <v>4</v>
      </c>
      <c r="J8" s="16" t="s">
        <v>11</v>
      </c>
      <c r="K8" s="16" t="s">
        <v>10</v>
      </c>
      <c r="L8" s="116" t="s">
        <v>2</v>
      </c>
      <c r="M8" s="116" t="s">
        <v>2</v>
      </c>
      <c r="N8" s="16" t="s">
        <v>10</v>
      </c>
      <c r="O8" s="16" t="s">
        <v>10</v>
      </c>
      <c r="P8" s="16" t="s">
        <v>11</v>
      </c>
      <c r="Q8" s="16" t="s">
        <v>11</v>
      </c>
      <c r="R8" s="16" t="s">
        <v>10</v>
      </c>
      <c r="S8" s="116" t="s">
        <v>2</v>
      </c>
      <c r="T8" s="116" t="s">
        <v>2</v>
      </c>
      <c r="U8" s="16" t="s">
        <v>10</v>
      </c>
      <c r="V8" s="16" t="s">
        <v>10</v>
      </c>
      <c r="W8" s="16" t="s">
        <v>11</v>
      </c>
      <c r="X8" s="16" t="s">
        <v>11</v>
      </c>
      <c r="Y8" s="16" t="s">
        <v>10</v>
      </c>
      <c r="Z8" s="116" t="s">
        <v>2</v>
      </c>
      <c r="AA8" s="16" t="s">
        <v>10</v>
      </c>
      <c r="AB8" s="16" t="s">
        <v>10</v>
      </c>
      <c r="AC8" s="116" t="s">
        <v>2</v>
      </c>
      <c r="AD8" s="114" t="s">
        <v>4</v>
      </c>
      <c r="AE8" s="114" t="s">
        <v>4</v>
      </c>
      <c r="AF8" s="115" t="s">
        <v>37</v>
      </c>
      <c r="AG8" s="25" t="s">
        <v>6</v>
      </c>
    </row>
    <row r="9" spans="1:38" x14ac:dyDescent="0.35">
      <c r="A9" s="166"/>
    </row>
    <row r="10" spans="1:38" x14ac:dyDescent="0.35">
      <c r="A10" s="165" t="s">
        <v>1</v>
      </c>
      <c r="B10" s="25" t="s">
        <v>3</v>
      </c>
      <c r="C10" s="22" t="s">
        <v>30</v>
      </c>
      <c r="D10" s="25" t="s">
        <v>6</v>
      </c>
      <c r="E10" s="25" t="s">
        <v>6</v>
      </c>
      <c r="F10" s="116" t="s">
        <v>2</v>
      </c>
      <c r="G10" s="25" t="s">
        <v>6</v>
      </c>
      <c r="H10" s="116" t="s">
        <v>2</v>
      </c>
      <c r="I10" s="25" t="s">
        <v>3</v>
      </c>
      <c r="J10" s="19" t="s">
        <v>42</v>
      </c>
      <c r="K10" s="19" t="s">
        <v>41</v>
      </c>
      <c r="L10" s="116" t="s">
        <v>2</v>
      </c>
      <c r="M10" s="25" t="s">
        <v>6</v>
      </c>
      <c r="N10" s="25" t="s">
        <v>6</v>
      </c>
      <c r="O10" s="116" t="s">
        <v>2</v>
      </c>
      <c r="P10" s="22" t="s">
        <v>30</v>
      </c>
      <c r="Q10" s="19" t="s">
        <v>42</v>
      </c>
      <c r="R10" s="19" t="s">
        <v>41</v>
      </c>
      <c r="S10" s="19" t="s">
        <v>41</v>
      </c>
      <c r="T10" s="19" t="s">
        <v>42</v>
      </c>
      <c r="U10" s="116" t="s">
        <v>2</v>
      </c>
      <c r="V10" s="116" t="s">
        <v>2</v>
      </c>
      <c r="W10" s="114" t="s">
        <v>4</v>
      </c>
      <c r="X10" s="114" t="s">
        <v>4</v>
      </c>
      <c r="Y10" s="122" t="s">
        <v>5</v>
      </c>
      <c r="Z10" s="19" t="s">
        <v>41</v>
      </c>
      <c r="AA10" s="19" t="s">
        <v>41</v>
      </c>
      <c r="AB10" s="116" t="s">
        <v>2</v>
      </c>
      <c r="AC10" s="116" t="s">
        <v>2</v>
      </c>
      <c r="AD10" s="122" t="s">
        <v>4</v>
      </c>
      <c r="AE10" s="122" t="s">
        <v>4</v>
      </c>
      <c r="AF10" s="25" t="s">
        <v>3</v>
      </c>
      <c r="AG10" s="16" t="s">
        <v>10</v>
      </c>
    </row>
    <row r="11" spans="1:38" x14ac:dyDescent="0.35">
      <c r="A11" s="165" t="s">
        <v>15</v>
      </c>
      <c r="B11" s="16" t="s">
        <v>11</v>
      </c>
      <c r="C11" s="114" t="s">
        <v>4</v>
      </c>
      <c r="D11" s="116" t="s">
        <v>2</v>
      </c>
      <c r="E11" s="25" t="s">
        <v>6</v>
      </c>
      <c r="F11" s="25" t="s">
        <v>6</v>
      </c>
      <c r="G11" s="25" t="s">
        <v>6</v>
      </c>
      <c r="H11" s="25" t="s">
        <v>6</v>
      </c>
      <c r="I11" s="25" t="s">
        <v>3</v>
      </c>
      <c r="J11" s="114" t="s">
        <v>4</v>
      </c>
      <c r="K11" s="116" t="s">
        <v>2</v>
      </c>
      <c r="L11" s="25" t="s">
        <v>6</v>
      </c>
      <c r="M11" s="25" t="s">
        <v>6</v>
      </c>
      <c r="N11" s="25" t="s">
        <v>6</v>
      </c>
      <c r="O11" s="25" t="s">
        <v>6</v>
      </c>
      <c r="P11" s="25" t="s">
        <v>3</v>
      </c>
      <c r="Q11" s="114" t="s">
        <v>4</v>
      </c>
      <c r="R11" s="116" t="s">
        <v>2</v>
      </c>
      <c r="S11" s="25" t="s">
        <v>6</v>
      </c>
      <c r="T11" s="25" t="s">
        <v>6</v>
      </c>
      <c r="U11" s="22" t="s">
        <v>16</v>
      </c>
      <c r="V11" s="25" t="s">
        <v>3</v>
      </c>
      <c r="W11" s="25" t="s">
        <v>3</v>
      </c>
      <c r="X11" s="114" t="s">
        <v>4</v>
      </c>
      <c r="Y11" s="25" t="s">
        <v>6</v>
      </c>
      <c r="Z11" s="25" t="s">
        <v>6</v>
      </c>
      <c r="AA11" s="25" t="s">
        <v>6</v>
      </c>
      <c r="AB11" s="25" t="s">
        <v>6</v>
      </c>
      <c r="AC11" s="25" t="s">
        <v>6</v>
      </c>
      <c r="AD11" s="114" t="s">
        <v>4</v>
      </c>
      <c r="AE11" s="19" t="s">
        <v>42</v>
      </c>
      <c r="AF11" s="19" t="s">
        <v>42</v>
      </c>
      <c r="AG11" s="19" t="s">
        <v>41</v>
      </c>
    </row>
    <row r="12" spans="1:38" x14ac:dyDescent="0.35">
      <c r="A12" s="141" t="s">
        <v>22</v>
      </c>
      <c r="B12" s="114" t="s">
        <v>4</v>
      </c>
      <c r="C12" s="25" t="s">
        <v>3</v>
      </c>
      <c r="D12" s="25" t="s">
        <v>6</v>
      </c>
      <c r="E12" s="116" t="s">
        <v>2</v>
      </c>
      <c r="F12" s="25" t="s">
        <v>6</v>
      </c>
      <c r="G12" s="25" t="s">
        <v>6</v>
      </c>
      <c r="H12" s="25" t="s">
        <v>6</v>
      </c>
      <c r="I12" s="114" t="s">
        <v>4</v>
      </c>
      <c r="J12" s="114" t="s">
        <v>4</v>
      </c>
      <c r="K12" s="25" t="s">
        <v>6</v>
      </c>
      <c r="L12" s="25" t="s">
        <v>6</v>
      </c>
      <c r="M12" s="25" t="s">
        <v>6</v>
      </c>
      <c r="N12" s="25" t="s">
        <v>6</v>
      </c>
      <c r="O12" s="122" t="s">
        <v>5</v>
      </c>
      <c r="P12" s="114" t="s">
        <v>4</v>
      </c>
      <c r="Q12" s="114" t="s">
        <v>4</v>
      </c>
      <c r="R12" s="25" t="s">
        <v>6</v>
      </c>
      <c r="S12" s="25" t="s">
        <v>6</v>
      </c>
      <c r="T12" s="116" t="s">
        <v>2</v>
      </c>
      <c r="U12" s="25" t="s">
        <v>6</v>
      </c>
      <c r="V12" s="25" t="s">
        <v>3</v>
      </c>
      <c r="W12" s="25" t="s">
        <v>3</v>
      </c>
      <c r="X12" s="19" t="s">
        <v>42</v>
      </c>
      <c r="Y12" s="25" t="s">
        <v>6</v>
      </c>
      <c r="Z12" s="116" t="s">
        <v>2</v>
      </c>
      <c r="AA12" s="25" t="s">
        <v>6</v>
      </c>
      <c r="AB12" s="25" t="s">
        <v>6</v>
      </c>
      <c r="AC12" s="25" t="s">
        <v>6</v>
      </c>
      <c r="AD12" s="25" t="s">
        <v>3</v>
      </c>
      <c r="AE12" s="122" t="s">
        <v>5</v>
      </c>
      <c r="AF12" s="122" t="s">
        <v>5</v>
      </c>
      <c r="AG12" s="122" t="s">
        <v>5</v>
      </c>
    </row>
    <row r="13" spans="1:38" x14ac:dyDescent="0.35">
      <c r="A13" s="141" t="s">
        <v>149</v>
      </c>
      <c r="B13" s="114" t="s">
        <v>4</v>
      </c>
      <c r="C13" s="25" t="s">
        <v>3</v>
      </c>
      <c r="D13" s="25" t="s">
        <v>6</v>
      </c>
      <c r="E13" s="25" t="s">
        <v>6</v>
      </c>
      <c r="F13" s="116" t="s">
        <v>2</v>
      </c>
      <c r="G13" s="25" t="s">
        <v>6</v>
      </c>
      <c r="H13" s="115" t="s">
        <v>37</v>
      </c>
      <c r="I13" s="22" t="s">
        <v>30</v>
      </c>
      <c r="J13" s="114" t="s">
        <v>4</v>
      </c>
      <c r="K13" s="22" t="s">
        <v>16</v>
      </c>
      <c r="L13" s="25" t="s">
        <v>6</v>
      </c>
      <c r="M13" s="116" t="s">
        <v>2</v>
      </c>
      <c r="N13" s="25" t="s">
        <v>6</v>
      </c>
      <c r="O13" s="25" t="s">
        <v>6</v>
      </c>
      <c r="P13" s="25" t="s">
        <v>3</v>
      </c>
      <c r="Q13" s="114" t="s">
        <v>4</v>
      </c>
      <c r="R13" s="116" t="s">
        <v>2</v>
      </c>
      <c r="S13" s="25" t="s">
        <v>6</v>
      </c>
      <c r="T13" s="22" t="s">
        <v>16</v>
      </c>
      <c r="U13" s="25" t="s">
        <v>6</v>
      </c>
      <c r="V13" s="25" t="s">
        <v>6</v>
      </c>
      <c r="W13" s="114" t="s">
        <v>4</v>
      </c>
      <c r="X13" s="114" t="s">
        <v>4</v>
      </c>
      <c r="Y13" s="25" t="s">
        <v>6</v>
      </c>
      <c r="Z13" s="25" t="s">
        <v>6</v>
      </c>
      <c r="AA13" s="116" t="s">
        <v>2</v>
      </c>
      <c r="AB13" s="25" t="s">
        <v>6</v>
      </c>
      <c r="AC13" s="22" t="s">
        <v>16</v>
      </c>
      <c r="AD13" s="22" t="s">
        <v>30</v>
      </c>
      <c r="AE13" s="114" t="s">
        <v>4</v>
      </c>
      <c r="AF13" s="115" t="s">
        <v>37</v>
      </c>
      <c r="AG13" s="19" t="s">
        <v>41</v>
      </c>
    </row>
    <row r="14" spans="1:38" x14ac:dyDescent="0.35">
      <c r="A14" s="141" t="s">
        <v>124</v>
      </c>
      <c r="B14" s="16" t="s">
        <v>11</v>
      </c>
      <c r="C14" s="114" t="s">
        <v>4</v>
      </c>
      <c r="D14" s="22" t="s">
        <v>16</v>
      </c>
      <c r="E14" s="22" t="s">
        <v>16</v>
      </c>
      <c r="F14" s="25" t="s">
        <v>6</v>
      </c>
      <c r="G14" s="25" t="s">
        <v>6</v>
      </c>
      <c r="H14" s="25" t="s">
        <v>6</v>
      </c>
      <c r="I14" s="114" t="s">
        <v>4</v>
      </c>
      <c r="J14" s="25" t="s">
        <v>3</v>
      </c>
      <c r="K14" s="25" t="s">
        <v>6</v>
      </c>
      <c r="L14" s="25" t="s">
        <v>6</v>
      </c>
      <c r="M14" s="22" t="s">
        <v>16</v>
      </c>
      <c r="N14" s="116" t="s">
        <v>2</v>
      </c>
      <c r="O14" s="25" t="s">
        <v>6</v>
      </c>
      <c r="P14" s="114" t="s">
        <v>4</v>
      </c>
      <c r="Q14" s="25" t="s">
        <v>3</v>
      </c>
      <c r="R14" s="25" t="s">
        <v>6</v>
      </c>
      <c r="S14" s="116" t="s">
        <v>2</v>
      </c>
      <c r="T14" s="25" t="s">
        <v>6</v>
      </c>
      <c r="U14" s="25" t="s">
        <v>6</v>
      </c>
      <c r="V14" s="115" t="s">
        <v>37</v>
      </c>
      <c r="W14" s="22" t="s">
        <v>30</v>
      </c>
      <c r="X14" s="25" t="s">
        <v>3</v>
      </c>
      <c r="Y14" s="116" t="s">
        <v>2</v>
      </c>
      <c r="Z14" s="25" t="s">
        <v>6</v>
      </c>
      <c r="AA14" s="25" t="s">
        <v>6</v>
      </c>
      <c r="AB14" s="116" t="s">
        <v>2</v>
      </c>
      <c r="AC14" s="25" t="s">
        <v>6</v>
      </c>
      <c r="AD14" s="114" t="s">
        <v>4</v>
      </c>
      <c r="AE14" s="19" t="s">
        <v>42</v>
      </c>
      <c r="AF14" s="19" t="s">
        <v>42</v>
      </c>
      <c r="AG14" s="19" t="s">
        <v>41</v>
      </c>
    </row>
    <row r="15" spans="1:38" x14ac:dyDescent="0.35">
      <c r="A15" s="166"/>
    </row>
    <row r="16" spans="1:38" x14ac:dyDescent="0.35">
      <c r="A16" s="165" t="s">
        <v>9</v>
      </c>
      <c r="B16" s="122" t="s">
        <v>4</v>
      </c>
      <c r="C16" s="122" t="s">
        <v>4</v>
      </c>
      <c r="D16" s="122" t="s">
        <v>5</v>
      </c>
      <c r="E16" s="19" t="s">
        <v>41</v>
      </c>
      <c r="F16" s="171" t="s">
        <v>41</v>
      </c>
      <c r="G16" s="171" t="s">
        <v>41</v>
      </c>
      <c r="H16" s="122" t="s">
        <v>5</v>
      </c>
      <c r="I16" s="122" t="s">
        <v>4</v>
      </c>
      <c r="J16" s="25" t="s">
        <v>3</v>
      </c>
      <c r="K16" s="170" t="s">
        <v>6</v>
      </c>
      <c r="L16" s="122" t="s">
        <v>5</v>
      </c>
      <c r="M16" s="122" t="s">
        <v>5</v>
      </c>
      <c r="N16" s="122" t="s">
        <v>5</v>
      </c>
      <c r="O16" s="122" t="s">
        <v>5</v>
      </c>
      <c r="P16" s="114" t="s">
        <v>4</v>
      </c>
      <c r="Q16" s="25" t="s">
        <v>3</v>
      </c>
      <c r="R16" s="170" t="s">
        <v>6</v>
      </c>
      <c r="S16" s="170" t="s">
        <v>6</v>
      </c>
      <c r="T16" s="25" t="s">
        <v>6</v>
      </c>
      <c r="U16" s="122" t="s">
        <v>5</v>
      </c>
      <c r="V16" s="122" t="s">
        <v>5</v>
      </c>
      <c r="W16" s="19" t="s">
        <v>42</v>
      </c>
      <c r="X16" s="25" t="s">
        <v>3</v>
      </c>
      <c r="Y16" s="122" t="s">
        <v>5</v>
      </c>
      <c r="Z16" s="122" t="s">
        <v>5</v>
      </c>
      <c r="AA16" s="122" t="s">
        <v>5</v>
      </c>
      <c r="AB16" s="122" t="s">
        <v>5</v>
      </c>
      <c r="AC16" s="19" t="s">
        <v>41</v>
      </c>
      <c r="AD16" s="25" t="s">
        <v>3</v>
      </c>
      <c r="AE16" s="25" t="s">
        <v>3</v>
      </c>
      <c r="AF16" s="115" t="s">
        <v>37</v>
      </c>
      <c r="AG16" s="25" t="s">
        <v>6</v>
      </c>
    </row>
    <row r="17" spans="1:33" x14ac:dyDescent="0.35">
      <c r="A17" s="165" t="s">
        <v>43</v>
      </c>
      <c r="B17" s="25" t="s">
        <v>3</v>
      </c>
      <c r="C17" s="19" t="s">
        <v>42</v>
      </c>
      <c r="D17" s="19" t="s">
        <v>41</v>
      </c>
      <c r="E17" s="122" t="s">
        <v>5</v>
      </c>
      <c r="F17" s="122" t="s">
        <v>5</v>
      </c>
      <c r="G17" s="122" t="s">
        <v>5</v>
      </c>
      <c r="H17" s="19" t="s">
        <v>41</v>
      </c>
      <c r="I17" s="19" t="s">
        <v>42</v>
      </c>
      <c r="J17" s="114" t="s">
        <v>4</v>
      </c>
      <c r="K17" s="116" t="s">
        <v>2</v>
      </c>
      <c r="L17" s="19" t="s">
        <v>41</v>
      </c>
      <c r="M17" s="19" t="s">
        <v>41</v>
      </c>
      <c r="N17" s="19" t="s">
        <v>41</v>
      </c>
      <c r="O17" s="19" t="s">
        <v>42</v>
      </c>
      <c r="P17" s="19" t="s">
        <v>42</v>
      </c>
      <c r="Q17" s="114" t="s">
        <v>4</v>
      </c>
      <c r="R17" s="122" t="s">
        <v>5</v>
      </c>
      <c r="S17" s="122" t="s">
        <v>5</v>
      </c>
      <c r="T17" s="122" t="s">
        <v>5</v>
      </c>
      <c r="U17" s="19" t="s">
        <v>41</v>
      </c>
      <c r="V17" s="19" t="s">
        <v>41</v>
      </c>
      <c r="W17" s="114" t="s">
        <v>4</v>
      </c>
      <c r="X17" s="114" t="s">
        <v>4</v>
      </c>
      <c r="Y17" s="19" t="s">
        <v>41</v>
      </c>
      <c r="Z17" s="19" t="s">
        <v>41</v>
      </c>
      <c r="AA17" s="19" t="s">
        <v>41</v>
      </c>
      <c r="AB17" s="19" t="s">
        <v>41</v>
      </c>
      <c r="AC17" s="116" t="s">
        <v>2</v>
      </c>
      <c r="AD17" s="19" t="s">
        <v>42</v>
      </c>
      <c r="AE17" s="16" t="s">
        <v>11</v>
      </c>
      <c r="AF17" s="16" t="s">
        <v>11</v>
      </c>
      <c r="AG17" s="116" t="s">
        <v>2</v>
      </c>
    </row>
    <row r="18" spans="1:33" x14ac:dyDescent="0.35">
      <c r="A18" s="141" t="s">
        <v>68</v>
      </c>
      <c r="B18" s="114" t="s">
        <v>4</v>
      </c>
      <c r="C18" s="114" t="s">
        <v>4</v>
      </c>
      <c r="D18" s="19" t="s">
        <v>41</v>
      </c>
      <c r="E18" s="19" t="s">
        <v>42</v>
      </c>
      <c r="F18" s="19" t="s">
        <v>41</v>
      </c>
      <c r="G18" s="19" t="s">
        <v>41</v>
      </c>
      <c r="H18" s="19" t="s">
        <v>42</v>
      </c>
      <c r="I18" s="19" t="s">
        <v>42</v>
      </c>
      <c r="J18" s="114" t="s">
        <v>4</v>
      </c>
      <c r="K18" s="116" t="s">
        <v>2</v>
      </c>
      <c r="L18" s="19" t="s">
        <v>41</v>
      </c>
      <c r="M18" s="19" t="s">
        <v>41</v>
      </c>
      <c r="N18" s="19" t="s">
        <v>41</v>
      </c>
      <c r="O18" s="19" t="s">
        <v>41</v>
      </c>
      <c r="P18" s="19" t="s">
        <v>42</v>
      </c>
      <c r="Q18" s="114" t="s">
        <v>4</v>
      </c>
      <c r="R18" s="19" t="s">
        <v>41</v>
      </c>
      <c r="S18" s="19" t="s">
        <v>41</v>
      </c>
      <c r="T18" s="19" t="s">
        <v>41</v>
      </c>
      <c r="U18" s="19" t="s">
        <v>41</v>
      </c>
      <c r="V18" s="19" t="s">
        <v>41</v>
      </c>
      <c r="W18" s="114" t="s">
        <v>4</v>
      </c>
      <c r="X18" s="19" t="s">
        <v>42</v>
      </c>
      <c r="Y18" s="19" t="s">
        <v>41</v>
      </c>
      <c r="Z18" s="22" t="s">
        <v>16</v>
      </c>
      <c r="AA18" s="19" t="s">
        <v>41</v>
      </c>
      <c r="AB18" s="19" t="s">
        <v>41</v>
      </c>
      <c r="AC18" s="122" t="s">
        <v>5</v>
      </c>
      <c r="AD18" s="19" t="s">
        <v>42</v>
      </c>
      <c r="AE18" s="16" t="s">
        <v>11</v>
      </c>
      <c r="AF18" s="16" t="s">
        <v>11</v>
      </c>
      <c r="AG18" s="16" t="s">
        <v>10</v>
      </c>
    </row>
    <row r="19" spans="1:33" x14ac:dyDescent="0.35">
      <c r="A19" s="141" t="s">
        <v>60</v>
      </c>
      <c r="B19" s="114" t="s">
        <v>4</v>
      </c>
      <c r="C19" s="114" t="s">
        <v>4</v>
      </c>
      <c r="D19" s="116" t="s">
        <v>2</v>
      </c>
      <c r="E19" s="19" t="s">
        <v>41</v>
      </c>
      <c r="F19" s="19" t="s">
        <v>41</v>
      </c>
      <c r="G19" s="19" t="s">
        <v>41</v>
      </c>
      <c r="H19" s="19" t="s">
        <v>42</v>
      </c>
      <c r="I19" s="114" t="s">
        <v>4</v>
      </c>
      <c r="J19" s="19" t="s">
        <v>42</v>
      </c>
      <c r="K19" s="19" t="s">
        <v>41</v>
      </c>
      <c r="L19" s="19" t="s">
        <v>41</v>
      </c>
      <c r="M19" s="116" t="s">
        <v>2</v>
      </c>
      <c r="N19" s="19" t="s">
        <v>41</v>
      </c>
      <c r="O19" s="22" t="s">
        <v>16</v>
      </c>
      <c r="P19" s="114" t="s">
        <v>4</v>
      </c>
      <c r="Q19" s="19" t="s">
        <v>42</v>
      </c>
      <c r="R19" s="19" t="s">
        <v>41</v>
      </c>
      <c r="S19" s="19" t="s">
        <v>41</v>
      </c>
      <c r="T19" s="116" t="s">
        <v>2</v>
      </c>
      <c r="U19" s="19" t="s">
        <v>41</v>
      </c>
      <c r="V19" s="19" t="s">
        <v>41</v>
      </c>
      <c r="W19" s="19" t="s">
        <v>42</v>
      </c>
      <c r="X19" s="114" t="s">
        <v>4</v>
      </c>
      <c r="Y19" s="115" t="s">
        <v>37</v>
      </c>
      <c r="Z19" s="19" t="s">
        <v>41</v>
      </c>
      <c r="AA19" s="22" t="s">
        <v>16</v>
      </c>
      <c r="AB19" s="19" t="s">
        <v>41</v>
      </c>
      <c r="AC19" s="19" t="s">
        <v>41</v>
      </c>
      <c r="AD19" s="114" t="s">
        <v>4</v>
      </c>
      <c r="AE19" s="16" t="s">
        <v>11</v>
      </c>
      <c r="AF19" s="16" t="s">
        <v>11</v>
      </c>
      <c r="AG19" s="122" t="s">
        <v>5</v>
      </c>
    </row>
    <row r="20" spans="1:33" x14ac:dyDescent="0.35">
      <c r="A20" s="141" t="s">
        <v>148</v>
      </c>
      <c r="B20" s="114" t="s">
        <v>4</v>
      </c>
      <c r="C20" s="19" t="s">
        <v>42</v>
      </c>
      <c r="D20" s="19" t="s">
        <v>41</v>
      </c>
      <c r="E20" s="19" t="s">
        <v>41</v>
      </c>
      <c r="F20" s="19" t="s">
        <v>41</v>
      </c>
      <c r="G20" s="19" t="s">
        <v>41</v>
      </c>
      <c r="H20" s="115" t="s">
        <v>37</v>
      </c>
      <c r="I20" s="114" t="s">
        <v>4</v>
      </c>
      <c r="J20" s="114" t="s">
        <v>4</v>
      </c>
      <c r="K20" s="19" t="s">
        <v>41</v>
      </c>
      <c r="L20" s="19" t="s">
        <v>41</v>
      </c>
      <c r="M20" s="19" t="s">
        <v>41</v>
      </c>
      <c r="N20" s="19" t="s">
        <v>41</v>
      </c>
      <c r="O20" s="19" t="s">
        <v>41</v>
      </c>
      <c r="P20" s="114" t="s">
        <v>4</v>
      </c>
      <c r="Q20" s="114" t="s">
        <v>4</v>
      </c>
      <c r="R20" s="19" t="s">
        <v>41</v>
      </c>
      <c r="S20" s="19" t="s">
        <v>41</v>
      </c>
      <c r="T20" s="19" t="s">
        <v>41</v>
      </c>
      <c r="U20" s="19" t="s">
        <v>41</v>
      </c>
      <c r="V20" s="19" t="s">
        <v>41</v>
      </c>
      <c r="W20" s="114" t="s">
        <v>4</v>
      </c>
      <c r="X20" s="114" t="s">
        <v>4</v>
      </c>
      <c r="Y20" s="19" t="s">
        <v>41</v>
      </c>
      <c r="Z20" s="19" t="s">
        <v>41</v>
      </c>
      <c r="AA20" s="19" t="s">
        <v>41</v>
      </c>
      <c r="AB20" s="22" t="s">
        <v>16</v>
      </c>
      <c r="AC20" s="19" t="s">
        <v>41</v>
      </c>
      <c r="AD20" s="114" t="s">
        <v>4</v>
      </c>
      <c r="AE20" s="114" t="s">
        <v>4</v>
      </c>
      <c r="AF20" s="115" t="s">
        <v>37</v>
      </c>
      <c r="AG20" s="16" t="s">
        <v>10</v>
      </c>
    </row>
    <row r="22" spans="1:33" x14ac:dyDescent="0.35">
      <c r="A22" s="128" t="s">
        <v>125</v>
      </c>
      <c r="B22">
        <f t="shared" ref="B22:C22" si="1">COUNTIF(B4:B20,"*MS")</f>
        <v>2</v>
      </c>
      <c r="C22">
        <f t="shared" si="1"/>
        <v>2</v>
      </c>
      <c r="D22">
        <f t="shared" ref="D22:F22" si="2">COUNTIF(D4:D20,"*MS")</f>
        <v>3</v>
      </c>
      <c r="E22">
        <f t="shared" si="2"/>
        <v>3</v>
      </c>
      <c r="F22">
        <f t="shared" si="2"/>
        <v>3</v>
      </c>
      <c r="G22">
        <f t="shared" ref="G22:AF22" si="3">COUNTIF(G4:G20,"*MS")</f>
        <v>5</v>
      </c>
      <c r="H22">
        <f t="shared" si="3"/>
        <v>3</v>
      </c>
      <c r="I22">
        <f t="shared" si="3"/>
        <v>2</v>
      </c>
      <c r="J22">
        <f t="shared" si="3"/>
        <v>2</v>
      </c>
      <c r="K22">
        <f t="shared" si="3"/>
        <v>3</v>
      </c>
      <c r="L22">
        <f t="shared" si="3"/>
        <v>4</v>
      </c>
      <c r="M22">
        <f t="shared" si="3"/>
        <v>3</v>
      </c>
      <c r="N22">
        <f t="shared" si="3"/>
        <v>4</v>
      </c>
      <c r="O22">
        <f t="shared" si="3"/>
        <v>3</v>
      </c>
      <c r="P22">
        <f t="shared" si="3"/>
        <v>2</v>
      </c>
      <c r="Q22">
        <f t="shared" si="3"/>
        <v>2</v>
      </c>
      <c r="R22">
        <f t="shared" si="3"/>
        <v>3</v>
      </c>
      <c r="S22">
        <f t="shared" si="3"/>
        <v>4</v>
      </c>
      <c r="T22">
        <f t="shared" si="3"/>
        <v>3</v>
      </c>
      <c r="U22">
        <f t="shared" si="3"/>
        <v>3</v>
      </c>
      <c r="V22">
        <f t="shared" si="3"/>
        <v>3</v>
      </c>
      <c r="W22">
        <f t="shared" si="3"/>
        <v>2</v>
      </c>
      <c r="X22">
        <f t="shared" si="3"/>
        <v>2</v>
      </c>
      <c r="Y22">
        <f t="shared" si="3"/>
        <v>3</v>
      </c>
      <c r="Z22">
        <f t="shared" si="3"/>
        <v>3</v>
      </c>
      <c r="AA22">
        <f t="shared" si="3"/>
        <v>3</v>
      </c>
      <c r="AB22">
        <f t="shared" si="3"/>
        <v>3</v>
      </c>
      <c r="AC22">
        <f t="shared" si="3"/>
        <v>3</v>
      </c>
      <c r="AD22">
        <f t="shared" si="3"/>
        <v>2</v>
      </c>
      <c r="AE22">
        <f t="shared" si="3"/>
        <v>2</v>
      </c>
      <c r="AF22">
        <f t="shared" si="3"/>
        <v>3</v>
      </c>
      <c r="AG22">
        <f t="shared" ref="AG22" si="4">COUNTIF(AG4:AG20,"*MS")</f>
        <v>4</v>
      </c>
    </row>
    <row r="23" spans="1:33" x14ac:dyDescent="0.35">
      <c r="A23" s="128" t="s">
        <v>126</v>
      </c>
      <c r="B23">
        <f t="shared" ref="B23:C23" si="5">COUNTIF(B4:B20,"*ASS1")</f>
        <v>2</v>
      </c>
      <c r="C23">
        <f t="shared" si="5"/>
        <v>2</v>
      </c>
      <c r="D23">
        <f t="shared" ref="D23:F23" si="6">COUNTIF(D4:D20,"*ASS1")</f>
        <v>3</v>
      </c>
      <c r="E23">
        <f t="shared" si="6"/>
        <v>4</v>
      </c>
      <c r="F23">
        <f t="shared" si="6"/>
        <v>4</v>
      </c>
      <c r="G23">
        <f t="shared" ref="G23:AG23" si="7">COUNTIF(G4:G20,"*ASS1")</f>
        <v>4</v>
      </c>
      <c r="H23">
        <f t="shared" si="7"/>
        <v>3</v>
      </c>
      <c r="I23">
        <f t="shared" si="7"/>
        <v>2</v>
      </c>
      <c r="J23">
        <f t="shared" si="7"/>
        <v>2</v>
      </c>
      <c r="K23">
        <f t="shared" si="7"/>
        <v>3</v>
      </c>
      <c r="L23">
        <f t="shared" si="7"/>
        <v>4</v>
      </c>
      <c r="M23">
        <f t="shared" si="7"/>
        <v>3</v>
      </c>
      <c r="N23">
        <f t="shared" si="7"/>
        <v>4</v>
      </c>
      <c r="O23">
        <f t="shared" si="7"/>
        <v>3</v>
      </c>
      <c r="P23">
        <f t="shared" si="7"/>
        <v>2</v>
      </c>
      <c r="Q23">
        <f t="shared" si="7"/>
        <v>2</v>
      </c>
      <c r="R23">
        <f t="shared" si="7"/>
        <v>4</v>
      </c>
      <c r="S23">
        <f t="shared" si="7"/>
        <v>4</v>
      </c>
      <c r="T23">
        <f t="shared" si="7"/>
        <v>3</v>
      </c>
      <c r="U23">
        <f t="shared" si="7"/>
        <v>4</v>
      </c>
      <c r="V23">
        <f t="shared" si="7"/>
        <v>4</v>
      </c>
      <c r="W23">
        <f t="shared" si="7"/>
        <v>2</v>
      </c>
      <c r="X23">
        <f t="shared" si="7"/>
        <v>2</v>
      </c>
      <c r="Y23">
        <f t="shared" si="7"/>
        <v>3</v>
      </c>
      <c r="Z23">
        <f t="shared" si="7"/>
        <v>4</v>
      </c>
      <c r="AA23">
        <f t="shared" si="7"/>
        <v>4</v>
      </c>
      <c r="AB23">
        <f t="shared" si="7"/>
        <v>3</v>
      </c>
      <c r="AC23">
        <f t="shared" si="7"/>
        <v>3</v>
      </c>
      <c r="AD23">
        <f t="shared" si="7"/>
        <v>2</v>
      </c>
      <c r="AE23">
        <f t="shared" si="7"/>
        <v>2</v>
      </c>
      <c r="AF23">
        <f t="shared" si="7"/>
        <v>3</v>
      </c>
      <c r="AG23">
        <f t="shared" si="7"/>
        <v>4</v>
      </c>
    </row>
    <row r="24" spans="1:33" x14ac:dyDescent="0.35">
      <c r="A24" s="128" t="s">
        <v>127</v>
      </c>
      <c r="B24">
        <f t="shared" ref="B24:C24" si="8">COUNTIF(B4:B20,"*NST7")</f>
        <v>2</v>
      </c>
      <c r="C24">
        <f t="shared" si="8"/>
        <v>2</v>
      </c>
      <c r="D24">
        <f t="shared" ref="D24:F24" si="9">COUNTIF(D4:D20,"*NST7")</f>
        <v>4</v>
      </c>
      <c r="E24">
        <f t="shared" si="9"/>
        <v>4</v>
      </c>
      <c r="F24">
        <f t="shared" si="9"/>
        <v>3</v>
      </c>
      <c r="G24">
        <f t="shared" ref="G24:AG24" si="10">COUNTIF(G4:G20,"*NST7")</f>
        <v>4</v>
      </c>
      <c r="H24">
        <f t="shared" si="10"/>
        <v>3</v>
      </c>
      <c r="I24">
        <f t="shared" si="10"/>
        <v>2</v>
      </c>
      <c r="J24">
        <f t="shared" si="10"/>
        <v>3</v>
      </c>
      <c r="K24">
        <f t="shared" si="10"/>
        <v>4</v>
      </c>
      <c r="L24">
        <f t="shared" si="10"/>
        <v>4</v>
      </c>
      <c r="M24">
        <f t="shared" si="10"/>
        <v>3</v>
      </c>
      <c r="N24">
        <f t="shared" si="10"/>
        <v>4</v>
      </c>
      <c r="O24">
        <f t="shared" si="10"/>
        <v>4</v>
      </c>
      <c r="P24">
        <f t="shared" si="10"/>
        <v>3</v>
      </c>
      <c r="Q24">
        <f t="shared" si="10"/>
        <v>3</v>
      </c>
      <c r="R24">
        <f t="shared" si="10"/>
        <v>4</v>
      </c>
      <c r="S24">
        <f t="shared" si="10"/>
        <v>3</v>
      </c>
      <c r="T24">
        <f t="shared" si="10"/>
        <v>4</v>
      </c>
      <c r="U24">
        <f t="shared" si="10"/>
        <v>4</v>
      </c>
      <c r="V24">
        <f t="shared" si="10"/>
        <v>4</v>
      </c>
      <c r="W24">
        <f t="shared" si="10"/>
        <v>3</v>
      </c>
      <c r="X24">
        <f t="shared" si="10"/>
        <v>3</v>
      </c>
      <c r="Y24">
        <f t="shared" si="10"/>
        <v>4</v>
      </c>
      <c r="Z24">
        <f t="shared" si="10"/>
        <v>4</v>
      </c>
      <c r="AA24">
        <f t="shared" si="10"/>
        <v>4</v>
      </c>
      <c r="AB24">
        <f t="shared" si="10"/>
        <v>4</v>
      </c>
      <c r="AC24">
        <f t="shared" si="10"/>
        <v>3</v>
      </c>
      <c r="AD24">
        <f t="shared" si="10"/>
        <v>3</v>
      </c>
      <c r="AE24">
        <f t="shared" si="10"/>
        <v>3</v>
      </c>
      <c r="AF24">
        <f t="shared" si="10"/>
        <v>3</v>
      </c>
      <c r="AG24">
        <f t="shared" si="10"/>
        <v>3</v>
      </c>
    </row>
    <row r="25" spans="1:33" x14ac:dyDescent="0.35">
      <c r="A25" s="128" t="s">
        <v>128</v>
      </c>
      <c r="B25">
        <f t="shared" ref="B25:C25" si="11">COUNTIF(B4:B20,"*GS")</f>
        <v>1</v>
      </c>
      <c r="C25">
        <f t="shared" si="11"/>
        <v>1</v>
      </c>
      <c r="D25">
        <f t="shared" ref="D25:F25" si="12">COUNTIF(D4:D20,"*GS")</f>
        <v>1</v>
      </c>
      <c r="E25">
        <f t="shared" si="12"/>
        <v>1</v>
      </c>
      <c r="F25">
        <f t="shared" si="12"/>
        <v>0</v>
      </c>
      <c r="G25">
        <f t="shared" ref="G25:AG25" si="13">COUNTIF(G4:G20,"*GS")</f>
        <v>0</v>
      </c>
      <c r="H25">
        <f t="shared" si="13"/>
        <v>0</v>
      </c>
      <c r="I25">
        <f t="shared" si="13"/>
        <v>1</v>
      </c>
      <c r="J25">
        <f t="shared" si="13"/>
        <v>0</v>
      </c>
      <c r="K25">
        <f t="shared" si="13"/>
        <v>1</v>
      </c>
      <c r="L25">
        <f t="shared" si="13"/>
        <v>0</v>
      </c>
      <c r="M25">
        <f t="shared" si="13"/>
        <v>1</v>
      </c>
      <c r="N25">
        <f t="shared" si="13"/>
        <v>0</v>
      </c>
      <c r="O25">
        <f t="shared" si="13"/>
        <v>1</v>
      </c>
      <c r="P25">
        <f t="shared" si="13"/>
        <v>1</v>
      </c>
      <c r="Q25">
        <f t="shared" si="13"/>
        <v>0</v>
      </c>
      <c r="R25">
        <f t="shared" si="13"/>
        <v>0</v>
      </c>
      <c r="S25">
        <f t="shared" si="13"/>
        <v>0</v>
      </c>
      <c r="T25">
        <f t="shared" si="13"/>
        <v>1</v>
      </c>
      <c r="U25">
        <f t="shared" si="13"/>
        <v>1</v>
      </c>
      <c r="V25">
        <f t="shared" si="13"/>
        <v>0</v>
      </c>
      <c r="W25">
        <f t="shared" si="13"/>
        <v>1</v>
      </c>
      <c r="X25">
        <f t="shared" si="13"/>
        <v>0</v>
      </c>
      <c r="Y25">
        <f t="shared" si="13"/>
        <v>0</v>
      </c>
      <c r="Z25">
        <f t="shared" si="13"/>
        <v>1</v>
      </c>
      <c r="AA25">
        <f t="shared" si="13"/>
        <v>1</v>
      </c>
      <c r="AB25">
        <f t="shared" si="13"/>
        <v>1</v>
      </c>
      <c r="AC25">
        <f t="shared" si="13"/>
        <v>1</v>
      </c>
      <c r="AD25">
        <f t="shared" si="13"/>
        <v>1</v>
      </c>
      <c r="AE25">
        <f t="shared" si="13"/>
        <v>0</v>
      </c>
      <c r="AF25">
        <f t="shared" si="13"/>
        <v>0</v>
      </c>
      <c r="AG25">
        <f t="shared" si="13"/>
        <v>0</v>
      </c>
    </row>
    <row r="26" spans="1:33" x14ac:dyDescent="0.35">
      <c r="A26" s="128" t="s">
        <v>129</v>
      </c>
      <c r="B26">
        <f t="shared" ref="B26:C26" si="14">COUNTIF(B4:B20,"WO")</f>
        <v>8</v>
      </c>
      <c r="C26">
        <f t="shared" si="14"/>
        <v>8</v>
      </c>
      <c r="D26">
        <f t="shared" ref="D26:F26" si="15">COUNTIF(D4:D20,"C")</f>
        <v>3</v>
      </c>
      <c r="E26">
        <f t="shared" si="15"/>
        <v>1</v>
      </c>
      <c r="F26">
        <f t="shared" si="15"/>
        <v>3</v>
      </c>
      <c r="G26">
        <f t="shared" ref="G26:H26" si="16">COUNTIF(G4:G20,"C")</f>
        <v>0</v>
      </c>
      <c r="H26">
        <f t="shared" si="16"/>
        <v>2</v>
      </c>
      <c r="I26">
        <f t="shared" ref="I26:J26" si="17">COUNTIF(I4:I20,"WO")</f>
        <v>8</v>
      </c>
      <c r="J26">
        <f t="shared" si="17"/>
        <v>8</v>
      </c>
      <c r="K26">
        <f t="shared" ref="K26:O26" si="18">COUNTIF(K4:K20,"C")</f>
        <v>4</v>
      </c>
      <c r="L26">
        <f t="shared" si="18"/>
        <v>2</v>
      </c>
      <c r="M26">
        <f t="shared" si="18"/>
        <v>4</v>
      </c>
      <c r="N26">
        <f t="shared" si="18"/>
        <v>2</v>
      </c>
      <c r="O26">
        <f t="shared" si="18"/>
        <v>2</v>
      </c>
      <c r="P26">
        <f t="shared" ref="P26:Q26" si="19">COUNTIF(P4:P20,"WO")</f>
        <v>7</v>
      </c>
      <c r="Q26">
        <f t="shared" si="19"/>
        <v>8</v>
      </c>
      <c r="R26">
        <f t="shared" ref="R26:V26" si="20">COUNTIF(R4:R20,"C")</f>
        <v>2</v>
      </c>
      <c r="S26">
        <f t="shared" si="20"/>
        <v>2</v>
      </c>
      <c r="T26">
        <f t="shared" si="20"/>
        <v>3</v>
      </c>
      <c r="U26">
        <f t="shared" si="20"/>
        <v>2</v>
      </c>
      <c r="V26">
        <f t="shared" si="20"/>
        <v>2</v>
      </c>
      <c r="W26">
        <f t="shared" ref="W26:X26" si="21">COUNTIF(W4:W20,"WO")</f>
        <v>7</v>
      </c>
      <c r="X26">
        <f t="shared" si="21"/>
        <v>8</v>
      </c>
      <c r="Y26">
        <f t="shared" ref="Y26:AC26" si="22">COUNTIF(Y4:Y20,"C")</f>
        <v>2</v>
      </c>
      <c r="Z26">
        <f t="shared" si="22"/>
        <v>2</v>
      </c>
      <c r="AA26">
        <f t="shared" si="22"/>
        <v>2</v>
      </c>
      <c r="AB26">
        <f t="shared" si="22"/>
        <v>3</v>
      </c>
      <c r="AC26">
        <f t="shared" si="22"/>
        <v>4</v>
      </c>
      <c r="AD26">
        <f t="shared" ref="AD26:AE26" si="23">COUNTIF(AD4:AD20,"WO")</f>
        <v>7</v>
      </c>
      <c r="AE26">
        <f t="shared" si="23"/>
        <v>7</v>
      </c>
      <c r="AF26">
        <f t="shared" ref="AF26:AG26" si="24">COUNTIF(AF4:AF20,"C")</f>
        <v>0</v>
      </c>
      <c r="AG26">
        <f t="shared" si="24"/>
        <v>1</v>
      </c>
    </row>
    <row r="27" spans="1:33" x14ac:dyDescent="0.35">
      <c r="A27" s="128" t="s">
        <v>130</v>
      </c>
      <c r="B27">
        <f t="shared" ref="B27:C27" si="25">COUNTIF(B4:B20,"PL")</f>
        <v>0</v>
      </c>
      <c r="C27">
        <f t="shared" si="25"/>
        <v>0</v>
      </c>
      <c r="D27">
        <f t="shared" ref="D27:F27" si="26">COUNTIF(D4:D20,"PL")</f>
        <v>1</v>
      </c>
      <c r="E27">
        <f t="shared" si="26"/>
        <v>2</v>
      </c>
      <c r="F27">
        <f t="shared" si="26"/>
        <v>2</v>
      </c>
      <c r="G27">
        <f t="shared" ref="G27:AG27" si="27">COUNTIF(G4:G20,"PL")</f>
        <v>2</v>
      </c>
      <c r="H27">
        <f t="shared" si="27"/>
        <v>2</v>
      </c>
      <c r="I27">
        <f t="shared" si="27"/>
        <v>0</v>
      </c>
      <c r="J27">
        <f t="shared" si="27"/>
        <v>0</v>
      </c>
      <c r="K27">
        <f t="shared" si="27"/>
        <v>0</v>
      </c>
      <c r="L27">
        <f t="shared" si="27"/>
        <v>1</v>
      </c>
      <c r="M27">
        <f t="shared" si="27"/>
        <v>1</v>
      </c>
      <c r="N27">
        <f t="shared" si="27"/>
        <v>1</v>
      </c>
      <c r="O27">
        <f t="shared" si="27"/>
        <v>2</v>
      </c>
      <c r="P27">
        <f t="shared" si="27"/>
        <v>0</v>
      </c>
      <c r="Q27">
        <f t="shared" si="27"/>
        <v>0</v>
      </c>
      <c r="R27">
        <f t="shared" si="27"/>
        <v>2</v>
      </c>
      <c r="S27">
        <f t="shared" si="27"/>
        <v>2</v>
      </c>
      <c r="T27">
        <f t="shared" si="27"/>
        <v>1</v>
      </c>
      <c r="U27">
        <f t="shared" si="27"/>
        <v>1</v>
      </c>
      <c r="V27">
        <f t="shared" si="27"/>
        <v>1</v>
      </c>
      <c r="W27">
        <f t="shared" si="27"/>
        <v>0</v>
      </c>
      <c r="X27">
        <f t="shared" si="27"/>
        <v>0</v>
      </c>
      <c r="Y27">
        <f t="shared" si="27"/>
        <v>2</v>
      </c>
      <c r="Z27">
        <f t="shared" si="27"/>
        <v>1</v>
      </c>
      <c r="AA27">
        <f t="shared" si="27"/>
        <v>1</v>
      </c>
      <c r="AB27">
        <f t="shared" si="27"/>
        <v>1</v>
      </c>
      <c r="AC27">
        <f t="shared" si="27"/>
        <v>1</v>
      </c>
      <c r="AD27">
        <f t="shared" si="27"/>
        <v>0</v>
      </c>
      <c r="AE27">
        <f t="shared" si="27"/>
        <v>1</v>
      </c>
      <c r="AF27">
        <f t="shared" si="27"/>
        <v>1</v>
      </c>
      <c r="AG27">
        <f t="shared" si="27"/>
        <v>3</v>
      </c>
    </row>
    <row r="28" spans="1:33" x14ac:dyDescent="0.35">
      <c r="A28" s="128" t="s">
        <v>33</v>
      </c>
      <c r="B28">
        <f t="shared" ref="B28:C28" si="28">COUNTIF(B4:B20,"UPL")</f>
        <v>0</v>
      </c>
      <c r="C28">
        <f t="shared" si="28"/>
        <v>0</v>
      </c>
      <c r="D28">
        <f t="shared" ref="D28:F28" si="29">COUNTIF(D4:D20,"UPL")</f>
        <v>0</v>
      </c>
      <c r="E28">
        <f t="shared" si="29"/>
        <v>0</v>
      </c>
      <c r="F28">
        <f t="shared" si="29"/>
        <v>0</v>
      </c>
      <c r="G28">
        <f t="shared" ref="G28:AG28" si="30">COUNTIF(G4:G20,"UPL")</f>
        <v>0</v>
      </c>
      <c r="H28">
        <f t="shared" si="30"/>
        <v>0</v>
      </c>
      <c r="I28">
        <f t="shared" si="30"/>
        <v>0</v>
      </c>
      <c r="J28">
        <f t="shared" si="30"/>
        <v>0</v>
      </c>
      <c r="K28">
        <f t="shared" si="30"/>
        <v>0</v>
      </c>
      <c r="L28">
        <f t="shared" si="30"/>
        <v>0</v>
      </c>
      <c r="M28">
        <f t="shared" si="30"/>
        <v>0</v>
      </c>
      <c r="N28">
        <f t="shared" si="30"/>
        <v>0</v>
      </c>
      <c r="O28">
        <f t="shared" si="30"/>
        <v>0</v>
      </c>
      <c r="P28">
        <f t="shared" si="30"/>
        <v>0</v>
      </c>
      <c r="Q28">
        <f t="shared" si="30"/>
        <v>0</v>
      </c>
      <c r="R28">
        <f t="shared" si="30"/>
        <v>0</v>
      </c>
      <c r="S28">
        <f t="shared" si="30"/>
        <v>0</v>
      </c>
      <c r="T28">
        <f t="shared" si="30"/>
        <v>0</v>
      </c>
      <c r="U28">
        <f t="shared" si="30"/>
        <v>0</v>
      </c>
      <c r="V28">
        <f t="shared" si="30"/>
        <v>0</v>
      </c>
      <c r="W28">
        <f t="shared" si="30"/>
        <v>0</v>
      </c>
      <c r="X28">
        <f t="shared" si="30"/>
        <v>0</v>
      </c>
      <c r="Y28">
        <f t="shared" si="30"/>
        <v>0</v>
      </c>
      <c r="Z28">
        <f t="shared" si="30"/>
        <v>0</v>
      </c>
      <c r="AA28">
        <f t="shared" si="30"/>
        <v>0</v>
      </c>
      <c r="AB28">
        <f t="shared" si="30"/>
        <v>0</v>
      </c>
      <c r="AC28">
        <f t="shared" si="30"/>
        <v>0</v>
      </c>
      <c r="AD28">
        <f t="shared" si="30"/>
        <v>0</v>
      </c>
      <c r="AE28">
        <f t="shared" si="30"/>
        <v>0</v>
      </c>
      <c r="AF28">
        <f t="shared" si="30"/>
        <v>0</v>
      </c>
      <c r="AG28">
        <f t="shared" si="30"/>
        <v>0</v>
      </c>
    </row>
    <row r="29" spans="1:33" x14ac:dyDescent="0.35">
      <c r="A29" s="128" t="s">
        <v>141</v>
      </c>
      <c r="B29">
        <f t="shared" ref="B29:C29" si="31">COUNTIF(B4:B20,"H")</f>
        <v>0</v>
      </c>
      <c r="C29">
        <f t="shared" si="31"/>
        <v>0</v>
      </c>
      <c r="D29">
        <f t="shared" ref="D29:F29" si="32">COUNTIF(D4:D20,"H")</f>
        <v>0</v>
      </c>
      <c r="E29">
        <f t="shared" si="32"/>
        <v>0</v>
      </c>
      <c r="F29">
        <f t="shared" si="32"/>
        <v>0</v>
      </c>
      <c r="G29">
        <f t="shared" ref="G29:AG29" si="33">COUNTIF(G4:G20,"H")</f>
        <v>0</v>
      </c>
      <c r="H29">
        <f t="shared" si="33"/>
        <v>2</v>
      </c>
      <c r="I29">
        <f t="shared" si="33"/>
        <v>0</v>
      </c>
      <c r="J29">
        <f t="shared" si="33"/>
        <v>0</v>
      </c>
      <c r="K29">
        <f t="shared" si="33"/>
        <v>0</v>
      </c>
      <c r="L29">
        <f t="shared" si="33"/>
        <v>0</v>
      </c>
      <c r="M29">
        <f t="shared" si="33"/>
        <v>0</v>
      </c>
      <c r="N29">
        <f t="shared" si="33"/>
        <v>0</v>
      </c>
      <c r="O29">
        <f t="shared" si="33"/>
        <v>0</v>
      </c>
      <c r="P29">
        <f t="shared" si="33"/>
        <v>0</v>
      </c>
      <c r="Q29">
        <f t="shared" si="33"/>
        <v>0</v>
      </c>
      <c r="R29">
        <f t="shared" si="33"/>
        <v>0</v>
      </c>
      <c r="S29">
        <f t="shared" si="33"/>
        <v>0</v>
      </c>
      <c r="T29">
        <f t="shared" si="33"/>
        <v>0</v>
      </c>
      <c r="U29">
        <f t="shared" si="33"/>
        <v>0</v>
      </c>
      <c r="V29">
        <f t="shared" si="33"/>
        <v>1</v>
      </c>
      <c r="W29">
        <f t="shared" si="33"/>
        <v>0</v>
      </c>
      <c r="X29">
        <f t="shared" si="33"/>
        <v>0</v>
      </c>
      <c r="Y29">
        <f t="shared" si="33"/>
        <v>1</v>
      </c>
      <c r="Z29">
        <f t="shared" si="33"/>
        <v>0</v>
      </c>
      <c r="AA29">
        <f t="shared" si="33"/>
        <v>0</v>
      </c>
      <c r="AB29">
        <f t="shared" si="33"/>
        <v>0</v>
      </c>
      <c r="AC29">
        <f t="shared" si="33"/>
        <v>0</v>
      </c>
      <c r="AD29">
        <f t="shared" si="33"/>
        <v>0</v>
      </c>
      <c r="AE29">
        <f t="shared" si="33"/>
        <v>0</v>
      </c>
      <c r="AF29">
        <f t="shared" si="33"/>
        <v>5</v>
      </c>
      <c r="AG29">
        <f t="shared" si="33"/>
        <v>0</v>
      </c>
    </row>
    <row r="30" spans="1:33" x14ac:dyDescent="0.35">
      <c r="A30" s="128" t="s">
        <v>131</v>
      </c>
      <c r="B30" s="129">
        <f t="shared" ref="B30:AE30" si="34">SUM(B22:B29)</f>
        <v>15</v>
      </c>
      <c r="C30" s="129">
        <f t="shared" si="34"/>
        <v>15</v>
      </c>
      <c r="D30" s="129">
        <f t="shared" ref="D30:F30" si="35">SUM(D22:D29)</f>
        <v>15</v>
      </c>
      <c r="E30" s="129">
        <f t="shared" si="35"/>
        <v>15</v>
      </c>
      <c r="F30" s="129">
        <f t="shared" si="35"/>
        <v>15</v>
      </c>
      <c r="G30" s="129">
        <f t="shared" si="34"/>
        <v>15</v>
      </c>
      <c r="H30" s="129">
        <f t="shared" si="34"/>
        <v>15</v>
      </c>
      <c r="I30" s="129">
        <f t="shared" si="34"/>
        <v>15</v>
      </c>
      <c r="J30" s="129">
        <f t="shared" si="34"/>
        <v>15</v>
      </c>
      <c r="K30" s="129">
        <f t="shared" ref="K30:O30" si="36">SUM(K22:K29)</f>
        <v>15</v>
      </c>
      <c r="L30" s="129">
        <f t="shared" si="36"/>
        <v>15</v>
      </c>
      <c r="M30" s="129">
        <f t="shared" si="36"/>
        <v>15</v>
      </c>
      <c r="N30" s="129">
        <f t="shared" si="36"/>
        <v>15</v>
      </c>
      <c r="O30" s="129">
        <f t="shared" si="36"/>
        <v>15</v>
      </c>
      <c r="P30" s="129">
        <f t="shared" si="34"/>
        <v>15</v>
      </c>
      <c r="Q30" s="129">
        <f t="shared" si="34"/>
        <v>15</v>
      </c>
      <c r="R30" s="129">
        <f t="shared" ref="R30:V30" si="37">SUM(R22:R29)</f>
        <v>15</v>
      </c>
      <c r="S30" s="129">
        <f t="shared" si="37"/>
        <v>15</v>
      </c>
      <c r="T30" s="129">
        <f t="shared" si="37"/>
        <v>15</v>
      </c>
      <c r="U30" s="129">
        <f t="shared" si="37"/>
        <v>15</v>
      </c>
      <c r="V30" s="129">
        <f t="shared" si="37"/>
        <v>15</v>
      </c>
      <c r="W30" s="129">
        <f t="shared" si="34"/>
        <v>15</v>
      </c>
      <c r="X30" s="129">
        <f t="shared" si="34"/>
        <v>15</v>
      </c>
      <c r="Y30" s="129">
        <f t="shared" ref="Y30:AC30" si="38">SUM(Y22:Y29)</f>
        <v>15</v>
      </c>
      <c r="Z30" s="129">
        <f t="shared" si="38"/>
        <v>15</v>
      </c>
      <c r="AA30" s="129">
        <f t="shared" si="38"/>
        <v>15</v>
      </c>
      <c r="AB30" s="129">
        <f t="shared" si="38"/>
        <v>15</v>
      </c>
      <c r="AC30" s="129">
        <f t="shared" si="38"/>
        <v>15</v>
      </c>
      <c r="AD30" s="129">
        <f t="shared" si="34"/>
        <v>15</v>
      </c>
      <c r="AE30" s="129">
        <f t="shared" si="34"/>
        <v>15</v>
      </c>
      <c r="AF30" s="129">
        <f t="shared" ref="AF30:AG30" si="39">SUM(AF22:AF29)</f>
        <v>15</v>
      </c>
      <c r="AG30" s="129">
        <f t="shared" si="39"/>
        <v>15</v>
      </c>
    </row>
  </sheetData>
  <conditionalFormatting sqref="B22:AG25">
    <cfRule type="cellIs" dxfId="838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A1:AM30"/>
  <sheetViews>
    <sheetView zoomScale="56" zoomScaleNormal="56" zoomScaleSheetLayoutView="62" workbookViewId="0">
      <pane xSplit="1" topLeftCell="B1" activePane="topRight" state="frozen"/>
      <selection pane="topRight" activeCell="E7" sqref="E7"/>
    </sheetView>
  </sheetViews>
  <sheetFormatPr defaultRowHeight="14.5" x14ac:dyDescent="0.35"/>
  <cols>
    <col min="1" max="1" width="21.7265625" bestFit="1" customWidth="1"/>
    <col min="2" max="2" width="8.453125" customWidth="1"/>
    <col min="3" max="3" width="8.7265625" customWidth="1"/>
    <col min="4" max="4" width="8.36328125" customWidth="1"/>
    <col min="5" max="39" width="8.7265625" customWidth="1"/>
  </cols>
  <sheetData>
    <row r="1" spans="1:39" x14ac:dyDescent="0.35">
      <c r="A1" s="1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M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  <c r="AG1" s="2" t="str">
        <f t="shared" si="1"/>
        <v>Mon</v>
      </c>
      <c r="AH1" s="2" t="str">
        <f t="shared" si="1"/>
        <v>Tue</v>
      </c>
      <c r="AI1" s="2" t="str">
        <f t="shared" si="1"/>
        <v>Wed</v>
      </c>
      <c r="AJ1" s="2" t="str">
        <f t="shared" si="1"/>
        <v>Thu</v>
      </c>
      <c r="AK1" s="2" t="str">
        <f t="shared" si="1"/>
        <v>Fri</v>
      </c>
      <c r="AL1" s="2" t="str">
        <f t="shared" si="1"/>
        <v>Sat</v>
      </c>
      <c r="AM1" s="2" t="str">
        <f t="shared" si="1"/>
        <v>Sun</v>
      </c>
    </row>
    <row r="2" spans="1:39" x14ac:dyDescent="0.35">
      <c r="A2" s="95" t="s">
        <v>0</v>
      </c>
      <c r="B2" s="29">
        <v>45044</v>
      </c>
      <c r="C2" s="29">
        <v>45045</v>
      </c>
      <c r="D2" s="29">
        <v>45046</v>
      </c>
      <c r="E2" s="29">
        <v>45047</v>
      </c>
      <c r="F2" s="29">
        <v>45048</v>
      </c>
      <c r="G2" s="29">
        <v>45049</v>
      </c>
      <c r="H2" s="29">
        <v>45050</v>
      </c>
      <c r="I2" s="29">
        <v>45051</v>
      </c>
      <c r="J2" s="29">
        <v>45052</v>
      </c>
      <c r="K2" s="29">
        <v>45053</v>
      </c>
      <c r="L2" s="29">
        <v>45054</v>
      </c>
      <c r="M2" s="29">
        <v>45055</v>
      </c>
      <c r="N2" s="29">
        <v>45056</v>
      </c>
      <c r="O2" s="29">
        <v>45057</v>
      </c>
      <c r="P2" s="29">
        <v>45058</v>
      </c>
      <c r="Q2" s="29">
        <v>45059</v>
      </c>
      <c r="R2" s="29">
        <v>45060</v>
      </c>
      <c r="S2" s="29">
        <v>45061</v>
      </c>
      <c r="T2" s="29">
        <v>45062</v>
      </c>
      <c r="U2" s="29">
        <v>45063</v>
      </c>
      <c r="V2" s="29">
        <v>45064</v>
      </c>
      <c r="W2" s="29">
        <v>45065</v>
      </c>
      <c r="X2" s="29">
        <v>45066</v>
      </c>
      <c r="Y2" s="29">
        <v>45067</v>
      </c>
      <c r="Z2" s="29">
        <v>45068</v>
      </c>
      <c r="AA2" s="29">
        <v>45069</v>
      </c>
      <c r="AB2" s="29">
        <v>45070</v>
      </c>
      <c r="AC2" s="29">
        <v>45071</v>
      </c>
      <c r="AD2" s="29">
        <v>45072</v>
      </c>
      <c r="AE2" s="29">
        <v>45073</v>
      </c>
      <c r="AF2" s="29">
        <v>45074</v>
      </c>
      <c r="AG2" s="29">
        <v>45075</v>
      </c>
      <c r="AH2" s="29">
        <v>45076</v>
      </c>
      <c r="AI2" s="29">
        <v>45077</v>
      </c>
      <c r="AJ2" s="29">
        <v>45078</v>
      </c>
      <c r="AK2" s="29">
        <v>45079</v>
      </c>
      <c r="AL2" s="29">
        <v>45080</v>
      </c>
      <c r="AM2" s="29">
        <v>45081</v>
      </c>
    </row>
    <row r="3" spans="1:39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</row>
    <row r="4" spans="1:39" x14ac:dyDescent="0.35">
      <c r="A4" s="165" t="s">
        <v>9</v>
      </c>
      <c r="B4" s="19" t="s">
        <v>41</v>
      </c>
      <c r="C4" s="25" t="s">
        <v>3</v>
      </c>
      <c r="D4" s="25" t="s">
        <v>3</v>
      </c>
      <c r="E4" s="19" t="s">
        <v>42</v>
      </c>
      <c r="F4" s="25" t="s">
        <v>6</v>
      </c>
      <c r="G4" s="25" t="s">
        <v>6</v>
      </c>
      <c r="H4" s="25" t="s">
        <v>6</v>
      </c>
      <c r="I4" s="25" t="s">
        <v>6</v>
      </c>
      <c r="J4" s="25" t="s">
        <v>3</v>
      </c>
      <c r="K4" s="122" t="s">
        <v>4</v>
      </c>
      <c r="L4" s="25" t="s">
        <v>6</v>
      </c>
      <c r="M4" s="25" t="s">
        <v>6</v>
      </c>
      <c r="N4" s="25" t="s">
        <v>6</v>
      </c>
      <c r="O4" s="25" t="s">
        <v>6</v>
      </c>
      <c r="P4" s="25" t="s">
        <v>6</v>
      </c>
      <c r="Q4" s="122" t="s">
        <v>4</v>
      </c>
      <c r="R4" s="122" t="s">
        <v>4</v>
      </c>
      <c r="S4" s="25" t="s">
        <v>6</v>
      </c>
      <c r="T4" s="25" t="s">
        <v>6</v>
      </c>
      <c r="U4" s="116" t="s">
        <v>2</v>
      </c>
      <c r="V4" s="116" t="s">
        <v>2</v>
      </c>
      <c r="W4" s="25" t="s">
        <v>6</v>
      </c>
      <c r="X4" s="25" t="s">
        <v>3</v>
      </c>
      <c r="Y4" s="122" t="s">
        <v>4</v>
      </c>
      <c r="Z4" s="25" t="s">
        <v>6</v>
      </c>
      <c r="AA4" s="25" t="s">
        <v>6</v>
      </c>
      <c r="AB4" s="25" t="s">
        <v>6</v>
      </c>
      <c r="AC4" s="116" t="s">
        <v>2</v>
      </c>
      <c r="AD4" s="25" t="s">
        <v>6</v>
      </c>
      <c r="AE4" s="114" t="s">
        <v>4</v>
      </c>
      <c r="AF4" s="25" t="s">
        <v>3</v>
      </c>
      <c r="AG4" s="25" t="s">
        <v>6</v>
      </c>
      <c r="AH4" s="25" t="s">
        <v>6</v>
      </c>
      <c r="AI4" s="116" t="s">
        <v>2</v>
      </c>
      <c r="AJ4" s="16" t="s">
        <v>10</v>
      </c>
      <c r="AK4" s="16" t="s">
        <v>10</v>
      </c>
      <c r="AL4" s="16" t="s">
        <v>11</v>
      </c>
      <c r="AM4" s="16" t="s">
        <v>11</v>
      </c>
    </row>
    <row r="5" spans="1:39" x14ac:dyDescent="0.35">
      <c r="A5" s="141" t="s">
        <v>21</v>
      </c>
      <c r="B5" s="16" t="s">
        <v>10</v>
      </c>
      <c r="C5" s="16" t="s">
        <v>11</v>
      </c>
      <c r="D5" s="114" t="s">
        <v>4</v>
      </c>
      <c r="E5" s="115" t="s">
        <v>37</v>
      </c>
      <c r="F5" s="122" t="s">
        <v>5</v>
      </c>
      <c r="G5" s="122" t="s">
        <v>5</v>
      </c>
      <c r="H5" s="122" t="s">
        <v>5</v>
      </c>
      <c r="I5" s="122" t="s">
        <v>5</v>
      </c>
      <c r="J5" s="122" t="s">
        <v>4</v>
      </c>
      <c r="K5" s="122" t="s">
        <v>4</v>
      </c>
      <c r="L5" s="122" t="s">
        <v>5</v>
      </c>
      <c r="M5" s="122" t="s">
        <v>5</v>
      </c>
      <c r="N5" s="25" t="s">
        <v>6</v>
      </c>
      <c r="O5" s="25" t="s">
        <v>6</v>
      </c>
      <c r="P5" s="25" t="s">
        <v>6</v>
      </c>
      <c r="Q5" s="25" t="s">
        <v>3</v>
      </c>
      <c r="R5" s="114" t="s">
        <v>4</v>
      </c>
      <c r="S5" s="116" t="s">
        <v>2</v>
      </c>
      <c r="T5" s="25" t="s">
        <v>6</v>
      </c>
      <c r="U5" s="25" t="s">
        <v>6</v>
      </c>
      <c r="V5" s="25" t="s">
        <v>6</v>
      </c>
      <c r="W5" s="25" t="s">
        <v>6</v>
      </c>
      <c r="X5" s="114" t="s">
        <v>4</v>
      </c>
      <c r="Y5" s="25" t="s">
        <v>3</v>
      </c>
      <c r="Z5" s="25" t="s">
        <v>6</v>
      </c>
      <c r="AA5" s="116" t="s">
        <v>2</v>
      </c>
      <c r="AB5" s="25" t="s">
        <v>6</v>
      </c>
      <c r="AC5" s="25" t="s">
        <v>6</v>
      </c>
      <c r="AD5" s="172" t="s">
        <v>34</v>
      </c>
      <c r="AE5" s="25" t="s">
        <v>3</v>
      </c>
      <c r="AF5" s="114" t="s">
        <v>4</v>
      </c>
      <c r="AG5" s="25" t="s">
        <v>6</v>
      </c>
      <c r="AH5" s="25" t="s">
        <v>6</v>
      </c>
      <c r="AI5" s="25" t="s">
        <v>6</v>
      </c>
      <c r="AJ5" s="116" t="s">
        <v>2</v>
      </c>
      <c r="AK5" s="19" t="s">
        <v>41</v>
      </c>
      <c r="AL5" s="114" t="s">
        <v>4</v>
      </c>
      <c r="AM5" s="19" t="s">
        <v>42</v>
      </c>
    </row>
    <row r="6" spans="1:39" x14ac:dyDescent="0.35">
      <c r="A6" s="141" t="s">
        <v>69</v>
      </c>
      <c r="B6" s="116" t="s">
        <v>2</v>
      </c>
      <c r="C6" s="114" t="s">
        <v>4</v>
      </c>
      <c r="D6" s="25" t="s">
        <v>3</v>
      </c>
      <c r="E6" s="25" t="s">
        <v>3</v>
      </c>
      <c r="F6" s="25" t="s">
        <v>6</v>
      </c>
      <c r="G6" s="25" t="s">
        <v>6</v>
      </c>
      <c r="H6" s="25" t="s">
        <v>6</v>
      </c>
      <c r="I6" s="25" t="s">
        <v>6</v>
      </c>
      <c r="J6" s="114" t="s">
        <v>4</v>
      </c>
      <c r="K6" s="25" t="s">
        <v>3</v>
      </c>
      <c r="L6" s="25" t="s">
        <v>6</v>
      </c>
      <c r="M6" s="25" t="s">
        <v>6</v>
      </c>
      <c r="N6" s="25" t="s">
        <v>6</v>
      </c>
      <c r="O6" s="116" t="s">
        <v>2</v>
      </c>
      <c r="P6" s="116" t="s">
        <v>2</v>
      </c>
      <c r="Q6" s="114" t="s">
        <v>4</v>
      </c>
      <c r="R6" s="25" t="s">
        <v>3</v>
      </c>
      <c r="S6" s="25" t="s">
        <v>6</v>
      </c>
      <c r="T6" s="25" t="s">
        <v>6</v>
      </c>
      <c r="U6" s="25" t="s">
        <v>6</v>
      </c>
      <c r="V6" s="25" t="s">
        <v>6</v>
      </c>
      <c r="W6" s="116" t="s">
        <v>2</v>
      </c>
      <c r="X6" s="114" t="s">
        <v>4</v>
      </c>
      <c r="Y6" s="25" t="s">
        <v>3</v>
      </c>
      <c r="Z6" s="25" t="s">
        <v>6</v>
      </c>
      <c r="AA6" s="25" t="s">
        <v>6</v>
      </c>
      <c r="AB6" s="25" t="s">
        <v>6</v>
      </c>
      <c r="AC6" s="25" t="s">
        <v>6</v>
      </c>
      <c r="AD6" s="25" t="s">
        <v>6</v>
      </c>
      <c r="AE6" s="114" t="s">
        <v>4</v>
      </c>
      <c r="AF6" s="114" t="s">
        <v>4</v>
      </c>
      <c r="AG6" s="25" t="s">
        <v>6</v>
      </c>
      <c r="AH6" s="25" t="s">
        <v>6</v>
      </c>
      <c r="AI6" s="25" t="s">
        <v>6</v>
      </c>
      <c r="AJ6" s="19" t="s">
        <v>41</v>
      </c>
      <c r="AK6" s="116" t="s">
        <v>2</v>
      </c>
      <c r="AL6" s="114" t="s">
        <v>4</v>
      </c>
      <c r="AM6" s="114" t="s">
        <v>4</v>
      </c>
    </row>
    <row r="7" spans="1:39" x14ac:dyDescent="0.35">
      <c r="A7" s="141" t="s">
        <v>71</v>
      </c>
      <c r="B7" s="16" t="s">
        <v>10</v>
      </c>
      <c r="C7" s="16" t="s">
        <v>11</v>
      </c>
      <c r="D7" s="114" t="s">
        <v>4</v>
      </c>
      <c r="E7" s="115" t="s">
        <v>37</v>
      </c>
      <c r="F7" s="122" t="s">
        <v>5</v>
      </c>
      <c r="G7" s="25" t="s">
        <v>6</v>
      </c>
      <c r="H7" s="122" t="s">
        <v>5</v>
      </c>
      <c r="I7" s="25" t="s">
        <v>6</v>
      </c>
      <c r="J7" s="25" t="s">
        <v>3</v>
      </c>
      <c r="K7" s="114" t="s">
        <v>4</v>
      </c>
      <c r="L7" s="116" t="s">
        <v>2</v>
      </c>
      <c r="M7" s="25" t="s">
        <v>6</v>
      </c>
      <c r="N7" s="25" t="s">
        <v>6</v>
      </c>
      <c r="O7" s="25" t="s">
        <v>6</v>
      </c>
      <c r="P7" s="25" t="s">
        <v>6</v>
      </c>
      <c r="Q7" s="25" t="s">
        <v>3</v>
      </c>
      <c r="R7" s="19" t="s">
        <v>42</v>
      </c>
      <c r="S7" s="116" t="s">
        <v>2</v>
      </c>
      <c r="T7" s="25" t="s">
        <v>6</v>
      </c>
      <c r="U7" s="25" t="s">
        <v>6</v>
      </c>
      <c r="V7" s="25" t="s">
        <v>6</v>
      </c>
      <c r="W7" s="25" t="s">
        <v>6</v>
      </c>
      <c r="X7" s="25" t="s">
        <v>3</v>
      </c>
      <c r="Y7" s="114" t="s">
        <v>4</v>
      </c>
      <c r="Z7" s="116" t="s">
        <v>2</v>
      </c>
      <c r="AA7" s="25" t="s">
        <v>6</v>
      </c>
      <c r="AB7" s="25" t="s">
        <v>6</v>
      </c>
      <c r="AC7" s="25" t="s">
        <v>6</v>
      </c>
      <c r="AD7" s="25" t="s">
        <v>6</v>
      </c>
      <c r="AE7" s="25" t="s">
        <v>3</v>
      </c>
      <c r="AF7" s="114" t="s">
        <v>4</v>
      </c>
      <c r="AG7" s="116" t="s">
        <v>2</v>
      </c>
      <c r="AH7" s="25" t="s">
        <v>6</v>
      </c>
      <c r="AI7" s="25" t="s">
        <v>6</v>
      </c>
      <c r="AJ7" s="19" t="s">
        <v>41</v>
      </c>
      <c r="AK7" s="19" t="s">
        <v>41</v>
      </c>
      <c r="AL7" s="19" t="s">
        <v>42</v>
      </c>
      <c r="AM7" s="114" t="s">
        <v>4</v>
      </c>
    </row>
    <row r="8" spans="1:39" x14ac:dyDescent="0.35">
      <c r="A8" s="141" t="s">
        <v>70</v>
      </c>
      <c r="B8" s="16" t="s">
        <v>10</v>
      </c>
      <c r="C8" s="114" t="s">
        <v>4</v>
      </c>
      <c r="D8" s="114" t="s">
        <v>4</v>
      </c>
      <c r="E8" s="25" t="s">
        <v>3</v>
      </c>
      <c r="F8" s="25" t="s">
        <v>6</v>
      </c>
      <c r="G8" s="25" t="s">
        <v>6</v>
      </c>
      <c r="H8" s="25" t="s">
        <v>6</v>
      </c>
      <c r="I8" s="25" t="s">
        <v>6</v>
      </c>
      <c r="J8" s="114" t="s">
        <v>4</v>
      </c>
      <c r="K8" s="25" t="s">
        <v>3</v>
      </c>
      <c r="L8" s="25" t="s">
        <v>6</v>
      </c>
      <c r="M8" s="25" t="s">
        <v>6</v>
      </c>
      <c r="N8" s="116" t="s">
        <v>2</v>
      </c>
      <c r="O8" s="25" t="s">
        <v>6</v>
      </c>
      <c r="P8" s="25" t="s">
        <v>6</v>
      </c>
      <c r="Q8" s="114" t="s">
        <v>4</v>
      </c>
      <c r="R8" s="25" t="s">
        <v>3</v>
      </c>
      <c r="S8" s="25" t="s">
        <v>6</v>
      </c>
      <c r="T8" s="116" t="s">
        <v>2</v>
      </c>
      <c r="U8" s="25" t="s">
        <v>6</v>
      </c>
      <c r="V8" s="25" t="s">
        <v>6</v>
      </c>
      <c r="W8" s="25" t="s">
        <v>6</v>
      </c>
      <c r="X8" s="22" t="s">
        <v>30</v>
      </c>
      <c r="Y8" s="114" t="s">
        <v>4</v>
      </c>
      <c r="Z8" s="25" t="s">
        <v>6</v>
      </c>
      <c r="AA8" s="25" t="s">
        <v>6</v>
      </c>
      <c r="AB8" s="116" t="s">
        <v>2</v>
      </c>
      <c r="AC8" s="25" t="s">
        <v>6</v>
      </c>
      <c r="AD8" s="25" t="s">
        <v>6</v>
      </c>
      <c r="AE8" s="22" t="s">
        <v>30</v>
      </c>
      <c r="AF8" s="114" t="s">
        <v>4</v>
      </c>
      <c r="AG8" s="25" t="s">
        <v>6</v>
      </c>
      <c r="AH8" s="116" t="s">
        <v>2</v>
      </c>
      <c r="AI8" s="25" t="s">
        <v>6</v>
      </c>
      <c r="AJ8" s="19" t="s">
        <v>41</v>
      </c>
      <c r="AK8" s="19" t="s">
        <v>41</v>
      </c>
      <c r="AL8" s="22" t="s">
        <v>30</v>
      </c>
      <c r="AM8" s="114" t="s">
        <v>4</v>
      </c>
    </row>
    <row r="9" spans="1:39" x14ac:dyDescent="0.35">
      <c r="A9" s="166"/>
    </row>
    <row r="10" spans="1:39" x14ac:dyDescent="0.35">
      <c r="A10" s="165" t="s">
        <v>57</v>
      </c>
      <c r="B10" s="16" t="s">
        <v>10</v>
      </c>
      <c r="C10" s="16" t="s">
        <v>11</v>
      </c>
      <c r="D10" s="114" t="s">
        <v>4</v>
      </c>
      <c r="E10" s="115" t="s">
        <v>37</v>
      </c>
      <c r="F10" s="19" t="s">
        <v>41</v>
      </c>
      <c r="G10" s="19" t="s">
        <v>41</v>
      </c>
      <c r="H10" s="19" t="s">
        <v>41</v>
      </c>
      <c r="I10" s="19" t="s">
        <v>41</v>
      </c>
      <c r="J10" s="19" t="s">
        <v>42</v>
      </c>
      <c r="K10" s="114" t="s">
        <v>4</v>
      </c>
      <c r="L10" s="116" t="s">
        <v>2</v>
      </c>
      <c r="M10" s="19" t="s">
        <v>41</v>
      </c>
      <c r="N10" s="19" t="s">
        <v>41</v>
      </c>
      <c r="O10" s="19" t="s">
        <v>41</v>
      </c>
      <c r="P10" s="19" t="s">
        <v>41</v>
      </c>
      <c r="Q10" s="19" t="s">
        <v>42</v>
      </c>
      <c r="R10" s="19" t="s">
        <v>42</v>
      </c>
      <c r="S10" s="122" t="s">
        <v>5</v>
      </c>
      <c r="T10" s="122" t="s">
        <v>5</v>
      </c>
      <c r="U10" s="122" t="s">
        <v>5</v>
      </c>
      <c r="V10" s="122" t="s">
        <v>5</v>
      </c>
      <c r="W10" s="122" t="s">
        <v>5</v>
      </c>
      <c r="X10" s="122" t="s">
        <v>4</v>
      </c>
      <c r="Y10" s="19" t="s">
        <v>42</v>
      </c>
      <c r="Z10" s="19" t="s">
        <v>41</v>
      </c>
      <c r="AA10" s="19" t="s">
        <v>41</v>
      </c>
      <c r="AB10" s="19" t="s">
        <v>41</v>
      </c>
      <c r="AC10" s="19" t="s">
        <v>41</v>
      </c>
      <c r="AD10" s="19" t="s">
        <v>41</v>
      </c>
      <c r="AE10" s="19" t="s">
        <v>42</v>
      </c>
      <c r="AF10" s="114" t="s">
        <v>4</v>
      </c>
      <c r="AG10" s="116" t="s">
        <v>2</v>
      </c>
      <c r="AH10" s="19" t="s">
        <v>41</v>
      </c>
      <c r="AI10" s="19" t="s">
        <v>41</v>
      </c>
      <c r="AJ10" s="19" t="s">
        <v>41</v>
      </c>
      <c r="AK10" s="19" t="s">
        <v>41</v>
      </c>
      <c r="AL10" s="114" t="s">
        <v>4</v>
      </c>
      <c r="AM10" s="25" t="s">
        <v>3</v>
      </c>
    </row>
    <row r="11" spans="1:39" x14ac:dyDescent="0.35">
      <c r="A11" s="165" t="s">
        <v>15</v>
      </c>
      <c r="B11" s="25" t="s">
        <v>6</v>
      </c>
      <c r="C11" s="114" t="s">
        <v>4</v>
      </c>
      <c r="D11" s="19" t="s">
        <v>42</v>
      </c>
      <c r="E11" s="19" t="s">
        <v>42</v>
      </c>
      <c r="F11" s="19" t="s">
        <v>41</v>
      </c>
      <c r="G11" s="19" t="s">
        <v>41</v>
      </c>
      <c r="H11" s="19" t="s">
        <v>41</v>
      </c>
      <c r="I11" s="116" t="s">
        <v>2</v>
      </c>
      <c r="J11" s="114" t="s">
        <v>4</v>
      </c>
      <c r="K11" s="19" t="s">
        <v>42</v>
      </c>
      <c r="L11" s="19" t="s">
        <v>41</v>
      </c>
      <c r="M11" s="116" t="s">
        <v>2</v>
      </c>
      <c r="N11" s="19" t="s">
        <v>41</v>
      </c>
      <c r="O11" s="19" t="s">
        <v>41</v>
      </c>
      <c r="P11" s="116" t="s">
        <v>2</v>
      </c>
      <c r="Q11" s="114" t="s">
        <v>4</v>
      </c>
      <c r="R11" s="114" t="s">
        <v>4</v>
      </c>
      <c r="S11" s="19" t="s">
        <v>41</v>
      </c>
      <c r="T11" s="19" t="s">
        <v>41</v>
      </c>
      <c r="U11" s="19" t="s">
        <v>41</v>
      </c>
      <c r="V11" s="19" t="s">
        <v>41</v>
      </c>
      <c r="W11" s="19" t="s">
        <v>41</v>
      </c>
      <c r="X11" s="19" t="s">
        <v>42</v>
      </c>
      <c r="Y11" s="114" t="s">
        <v>4</v>
      </c>
      <c r="Z11" s="19" t="s">
        <v>41</v>
      </c>
      <c r="AA11" s="19" t="s">
        <v>41</v>
      </c>
      <c r="AB11" s="19" t="s">
        <v>41</v>
      </c>
      <c r="AC11" s="19" t="s">
        <v>41</v>
      </c>
      <c r="AD11" s="116" t="s">
        <v>2</v>
      </c>
      <c r="AE11" s="114" t="s">
        <v>4</v>
      </c>
      <c r="AF11" s="19" t="s">
        <v>42</v>
      </c>
      <c r="AG11" s="19" t="s">
        <v>41</v>
      </c>
      <c r="AH11" s="116" t="s">
        <v>2</v>
      </c>
      <c r="AI11" s="19" t="s">
        <v>41</v>
      </c>
      <c r="AJ11" s="16" t="s">
        <v>10</v>
      </c>
      <c r="AK11" s="116" t="s">
        <v>2</v>
      </c>
      <c r="AL11" s="114" t="s">
        <v>4</v>
      </c>
      <c r="AM11" s="16" t="s">
        <v>11</v>
      </c>
    </row>
    <row r="12" spans="1:39" x14ac:dyDescent="0.35">
      <c r="A12" s="141" t="s">
        <v>22</v>
      </c>
      <c r="B12" s="25" t="s">
        <v>6</v>
      </c>
      <c r="C12" s="25" t="s">
        <v>3</v>
      </c>
      <c r="D12" s="122" t="s">
        <v>4</v>
      </c>
      <c r="E12" s="115" t="s">
        <v>37</v>
      </c>
      <c r="F12" s="122" t="s">
        <v>5</v>
      </c>
      <c r="G12" s="122" t="s">
        <v>5</v>
      </c>
      <c r="H12" s="19" t="s">
        <v>41</v>
      </c>
      <c r="I12" s="19" t="s">
        <v>41</v>
      </c>
      <c r="J12" s="19" t="s">
        <v>42</v>
      </c>
      <c r="K12" s="114" t="s">
        <v>4</v>
      </c>
      <c r="L12" s="19" t="s">
        <v>41</v>
      </c>
      <c r="M12" s="19" t="s">
        <v>41</v>
      </c>
      <c r="N12" s="19" t="s">
        <v>41</v>
      </c>
      <c r="O12" s="116" t="s">
        <v>2</v>
      </c>
      <c r="P12" s="19" t="s">
        <v>41</v>
      </c>
      <c r="Q12" s="19" t="s">
        <v>42</v>
      </c>
      <c r="R12" s="114" t="s">
        <v>4</v>
      </c>
      <c r="S12" s="19" t="s">
        <v>41</v>
      </c>
      <c r="T12" s="19" t="s">
        <v>41</v>
      </c>
      <c r="U12" s="19" t="s">
        <v>41</v>
      </c>
      <c r="V12" s="19" t="s">
        <v>41</v>
      </c>
      <c r="W12" s="19" t="s">
        <v>41</v>
      </c>
      <c r="X12" s="122" t="s">
        <v>4</v>
      </c>
      <c r="Y12" s="122" t="s">
        <v>4</v>
      </c>
      <c r="Z12" s="122" t="s">
        <v>5</v>
      </c>
      <c r="AA12" s="19" t="s">
        <v>41</v>
      </c>
      <c r="AB12" s="19" t="s">
        <v>41</v>
      </c>
      <c r="AC12" s="19" t="s">
        <v>41</v>
      </c>
      <c r="AD12" s="19" t="s">
        <v>41</v>
      </c>
      <c r="AE12" s="19" t="s">
        <v>42</v>
      </c>
      <c r="AF12" s="25" t="s">
        <v>3</v>
      </c>
      <c r="AG12" s="19" t="s">
        <v>41</v>
      </c>
      <c r="AH12" s="19" t="s">
        <v>41</v>
      </c>
      <c r="AI12" s="19" t="s">
        <v>41</v>
      </c>
      <c r="AJ12" s="116" t="s">
        <v>2</v>
      </c>
      <c r="AK12" s="16" t="s">
        <v>10</v>
      </c>
      <c r="AL12" s="16" t="s">
        <v>11</v>
      </c>
      <c r="AM12" s="16" t="s">
        <v>11</v>
      </c>
    </row>
    <row r="13" spans="1:39" x14ac:dyDescent="0.35">
      <c r="A13" s="141" t="s">
        <v>149</v>
      </c>
      <c r="B13" s="22" t="s">
        <v>16</v>
      </c>
      <c r="C13" s="22" t="s">
        <v>30</v>
      </c>
      <c r="D13" s="114" t="s">
        <v>4</v>
      </c>
      <c r="E13" s="19" t="s">
        <v>42</v>
      </c>
      <c r="F13" s="19" t="s">
        <v>41</v>
      </c>
      <c r="G13" s="19" t="s">
        <v>41</v>
      </c>
      <c r="H13" s="116" t="s">
        <v>2</v>
      </c>
      <c r="I13" s="19" t="s">
        <v>41</v>
      </c>
      <c r="J13" s="22" t="s">
        <v>30</v>
      </c>
      <c r="K13" s="114" t="s">
        <v>4</v>
      </c>
      <c r="L13" s="116" t="s">
        <v>2</v>
      </c>
      <c r="M13" s="19" t="s">
        <v>41</v>
      </c>
      <c r="N13" s="19" t="s">
        <v>41</v>
      </c>
      <c r="O13" s="19" t="s">
        <v>41</v>
      </c>
      <c r="P13" s="19" t="s">
        <v>41</v>
      </c>
      <c r="Q13" s="22" t="s">
        <v>30</v>
      </c>
      <c r="R13" s="114" t="s">
        <v>4</v>
      </c>
      <c r="S13" s="19" t="s">
        <v>41</v>
      </c>
      <c r="T13" s="19" t="s">
        <v>41</v>
      </c>
      <c r="U13" s="116" t="s">
        <v>2</v>
      </c>
      <c r="V13" s="19" t="s">
        <v>41</v>
      </c>
      <c r="W13" s="116" t="s">
        <v>2</v>
      </c>
      <c r="X13" s="19" t="s">
        <v>42</v>
      </c>
      <c r="Y13" s="19" t="s">
        <v>42</v>
      </c>
      <c r="Z13" s="19" t="s">
        <v>41</v>
      </c>
      <c r="AA13" s="122" t="s">
        <v>5</v>
      </c>
      <c r="AB13" s="116" t="s">
        <v>2</v>
      </c>
      <c r="AC13" s="19" t="s">
        <v>41</v>
      </c>
      <c r="AD13" s="19" t="s">
        <v>41</v>
      </c>
      <c r="AE13" s="114" t="s">
        <v>4</v>
      </c>
      <c r="AF13" s="19" t="s">
        <v>42</v>
      </c>
      <c r="AG13" s="19" t="s">
        <v>41</v>
      </c>
      <c r="AH13" s="116" t="s">
        <v>2</v>
      </c>
      <c r="AI13" s="116" t="s">
        <v>2</v>
      </c>
      <c r="AJ13" s="16" t="s">
        <v>10</v>
      </c>
      <c r="AK13" s="16" t="s">
        <v>10</v>
      </c>
      <c r="AL13" s="114" t="s">
        <v>4</v>
      </c>
      <c r="AM13" s="114" t="s">
        <v>4</v>
      </c>
    </row>
    <row r="14" spans="1:39" x14ac:dyDescent="0.35">
      <c r="A14" s="141" t="s">
        <v>124</v>
      </c>
      <c r="B14" s="25" t="s">
        <v>6</v>
      </c>
      <c r="C14" s="114" t="s">
        <v>4</v>
      </c>
      <c r="D14" s="19" t="s">
        <v>42</v>
      </c>
      <c r="E14" s="115" t="s">
        <v>37</v>
      </c>
      <c r="F14" s="19" t="s">
        <v>41</v>
      </c>
      <c r="G14" s="19" t="s">
        <v>41</v>
      </c>
      <c r="H14" s="19" t="s">
        <v>41</v>
      </c>
      <c r="I14" s="19" t="s">
        <v>41</v>
      </c>
      <c r="J14" s="114" t="s">
        <v>4</v>
      </c>
      <c r="K14" s="19" t="s">
        <v>42</v>
      </c>
      <c r="L14" s="19" t="s">
        <v>41</v>
      </c>
      <c r="M14" s="19" t="s">
        <v>41</v>
      </c>
      <c r="N14" s="116" t="s">
        <v>2</v>
      </c>
      <c r="O14" s="19" t="s">
        <v>41</v>
      </c>
      <c r="P14" s="19" t="s">
        <v>41</v>
      </c>
      <c r="Q14" s="114" t="s">
        <v>4</v>
      </c>
      <c r="R14" s="114" t="s">
        <v>4</v>
      </c>
      <c r="S14" s="122" t="s">
        <v>34</v>
      </c>
      <c r="T14" s="19" t="s">
        <v>41</v>
      </c>
      <c r="U14" s="19" t="s">
        <v>41</v>
      </c>
      <c r="V14" s="19" t="s">
        <v>41</v>
      </c>
      <c r="W14" s="19" t="s">
        <v>41</v>
      </c>
      <c r="X14" s="122" t="s">
        <v>4</v>
      </c>
      <c r="Y14" s="122" t="s">
        <v>4</v>
      </c>
      <c r="Z14" s="122" t="s">
        <v>5</v>
      </c>
      <c r="AA14" s="122" t="s">
        <v>5</v>
      </c>
      <c r="AB14" s="122" t="s">
        <v>5</v>
      </c>
      <c r="AC14" s="122" t="s">
        <v>5</v>
      </c>
      <c r="AD14" s="122" t="s">
        <v>5</v>
      </c>
      <c r="AE14" s="122" t="s">
        <v>4</v>
      </c>
      <c r="AF14" s="122" t="s">
        <v>4</v>
      </c>
      <c r="AG14" s="19" t="s">
        <v>41</v>
      </c>
      <c r="AH14" s="19" t="s">
        <v>41</v>
      </c>
      <c r="AI14" s="19" t="s">
        <v>41</v>
      </c>
      <c r="AJ14" s="16" t="s">
        <v>10</v>
      </c>
      <c r="AK14" s="16" t="s">
        <v>10</v>
      </c>
      <c r="AL14" s="16" t="s">
        <v>11</v>
      </c>
      <c r="AM14" s="114" t="s">
        <v>4</v>
      </c>
    </row>
    <row r="16" spans="1:39" x14ac:dyDescent="0.35">
      <c r="A16" s="165" t="s">
        <v>1</v>
      </c>
      <c r="B16" s="122" t="s">
        <v>5</v>
      </c>
      <c r="C16" s="122" t="s">
        <v>4</v>
      </c>
      <c r="D16" s="122" t="s">
        <v>4</v>
      </c>
      <c r="E16" s="25" t="s">
        <v>3</v>
      </c>
      <c r="F16" s="16" t="s">
        <v>10</v>
      </c>
      <c r="G16" s="16" t="s">
        <v>10</v>
      </c>
      <c r="H16" s="116" t="s">
        <v>2</v>
      </c>
      <c r="I16" s="16" t="s">
        <v>10</v>
      </c>
      <c r="J16" s="114" t="s">
        <v>4</v>
      </c>
      <c r="K16" s="16" t="s">
        <v>11</v>
      </c>
      <c r="L16" s="16" t="s">
        <v>10</v>
      </c>
      <c r="M16" s="16" t="s">
        <v>10</v>
      </c>
      <c r="N16" s="16" t="s">
        <v>10</v>
      </c>
      <c r="O16" s="116" t="s">
        <v>2</v>
      </c>
      <c r="P16" s="16" t="s">
        <v>10</v>
      </c>
      <c r="Q16" s="114" t="s">
        <v>4</v>
      </c>
      <c r="R16" s="16" t="s">
        <v>11</v>
      </c>
      <c r="S16" s="16" t="s">
        <v>10</v>
      </c>
      <c r="T16" s="16" t="s">
        <v>10</v>
      </c>
      <c r="U16" s="16" t="s">
        <v>10</v>
      </c>
      <c r="V16" s="116" t="s">
        <v>2</v>
      </c>
      <c r="W16" s="16" t="s">
        <v>10</v>
      </c>
      <c r="X16" s="114" t="s">
        <v>4</v>
      </c>
      <c r="Y16" s="16" t="s">
        <v>11</v>
      </c>
      <c r="Z16" s="16" t="s">
        <v>10</v>
      </c>
      <c r="AA16" s="16" t="s">
        <v>10</v>
      </c>
      <c r="AB16" s="16" t="s">
        <v>10</v>
      </c>
      <c r="AC16" s="16" t="s">
        <v>10</v>
      </c>
      <c r="AD16" s="16" t="s">
        <v>10</v>
      </c>
      <c r="AE16" s="114" t="s">
        <v>4</v>
      </c>
      <c r="AF16" s="16" t="s">
        <v>11</v>
      </c>
      <c r="AG16" s="16" t="s">
        <v>10</v>
      </c>
      <c r="AH16" s="16" t="s">
        <v>10</v>
      </c>
      <c r="AI16" s="16" t="s">
        <v>10</v>
      </c>
      <c r="AJ16" s="116" t="s">
        <v>2</v>
      </c>
      <c r="AK16" s="116" t="s">
        <v>2</v>
      </c>
      <c r="AL16" s="19" t="s">
        <v>42</v>
      </c>
      <c r="AM16" s="19" t="s">
        <v>42</v>
      </c>
    </row>
    <row r="17" spans="1:39" x14ac:dyDescent="0.35">
      <c r="A17" s="165" t="s">
        <v>43</v>
      </c>
      <c r="B17" s="116" t="s">
        <v>2</v>
      </c>
      <c r="C17" s="19" t="s">
        <v>42</v>
      </c>
      <c r="D17" s="16" t="s">
        <v>11</v>
      </c>
      <c r="E17" s="16" t="s">
        <v>11</v>
      </c>
      <c r="F17" s="16" t="s">
        <v>10</v>
      </c>
      <c r="G17" s="116" t="s">
        <v>2</v>
      </c>
      <c r="H17" s="16" t="s">
        <v>10</v>
      </c>
      <c r="I17" s="16" t="s">
        <v>10</v>
      </c>
      <c r="J17" s="16" t="s">
        <v>11</v>
      </c>
      <c r="K17" s="114" t="s">
        <v>4</v>
      </c>
      <c r="L17" s="16" t="s">
        <v>10</v>
      </c>
      <c r="M17" s="16" t="s">
        <v>10</v>
      </c>
      <c r="N17" s="116" t="s">
        <v>2</v>
      </c>
      <c r="O17" s="16" t="s">
        <v>10</v>
      </c>
      <c r="P17" s="16" t="s">
        <v>10</v>
      </c>
      <c r="Q17" s="16" t="s">
        <v>11</v>
      </c>
      <c r="R17" s="114" t="s">
        <v>4</v>
      </c>
      <c r="S17" s="116" t="s">
        <v>2</v>
      </c>
      <c r="T17" s="16" t="s">
        <v>10</v>
      </c>
      <c r="U17" s="16" t="s">
        <v>10</v>
      </c>
      <c r="V17" s="16" t="s">
        <v>10</v>
      </c>
      <c r="W17" s="16" t="s">
        <v>10</v>
      </c>
      <c r="X17" s="16" t="s">
        <v>11</v>
      </c>
      <c r="Y17" s="114" t="s">
        <v>4</v>
      </c>
      <c r="Z17" s="116" t="s">
        <v>2</v>
      </c>
      <c r="AA17" s="122" t="s">
        <v>5</v>
      </c>
      <c r="AB17" s="122" t="s">
        <v>5</v>
      </c>
      <c r="AC17" s="122" t="s">
        <v>5</v>
      </c>
      <c r="AD17" s="16" t="s">
        <v>10</v>
      </c>
      <c r="AE17" s="16" t="s">
        <v>11</v>
      </c>
      <c r="AF17" s="114" t="s">
        <v>4</v>
      </c>
      <c r="AG17" s="16" t="s">
        <v>10</v>
      </c>
      <c r="AH17" s="16" t="s">
        <v>10</v>
      </c>
      <c r="AI17" s="116" t="s">
        <v>2</v>
      </c>
      <c r="AJ17" s="25" t="s">
        <v>6</v>
      </c>
      <c r="AK17" s="25" t="s">
        <v>6</v>
      </c>
      <c r="AL17" s="25" t="s">
        <v>3</v>
      </c>
      <c r="AM17" s="114" t="s">
        <v>4</v>
      </c>
    </row>
    <row r="18" spans="1:39" x14ac:dyDescent="0.35">
      <c r="A18" s="141" t="s">
        <v>68</v>
      </c>
      <c r="B18" s="122" t="s">
        <v>5</v>
      </c>
      <c r="C18" s="19" t="s">
        <v>42</v>
      </c>
      <c r="D18" s="16" t="s">
        <v>11</v>
      </c>
      <c r="E18" s="16" t="s">
        <v>11</v>
      </c>
      <c r="F18" s="16" t="s">
        <v>10</v>
      </c>
      <c r="G18" s="16" t="s">
        <v>10</v>
      </c>
      <c r="H18" s="16" t="s">
        <v>10</v>
      </c>
      <c r="I18" s="16" t="s">
        <v>10</v>
      </c>
      <c r="J18" s="16" t="s">
        <v>11</v>
      </c>
      <c r="K18" s="114" t="s">
        <v>4</v>
      </c>
      <c r="L18" s="116" t="s">
        <v>2</v>
      </c>
      <c r="M18" s="16" t="s">
        <v>10</v>
      </c>
      <c r="N18" s="16" t="s">
        <v>10</v>
      </c>
      <c r="O18" s="16" t="s">
        <v>10</v>
      </c>
      <c r="P18" s="16" t="s">
        <v>10</v>
      </c>
      <c r="Q18" s="16" t="s">
        <v>11</v>
      </c>
      <c r="R18" s="114" t="s">
        <v>4</v>
      </c>
      <c r="S18" s="116" t="s">
        <v>2</v>
      </c>
      <c r="T18" s="16" t="s">
        <v>10</v>
      </c>
      <c r="U18" s="16" t="s">
        <v>10</v>
      </c>
      <c r="V18" s="16" t="s">
        <v>10</v>
      </c>
      <c r="W18" s="16" t="s">
        <v>10</v>
      </c>
      <c r="X18" s="16" t="s">
        <v>11</v>
      </c>
      <c r="Y18" s="114" t="s">
        <v>4</v>
      </c>
      <c r="Z18" s="116" t="s">
        <v>2</v>
      </c>
      <c r="AA18" s="16" t="s">
        <v>10</v>
      </c>
      <c r="AB18" s="16" t="s">
        <v>10</v>
      </c>
      <c r="AC18" s="16" t="s">
        <v>10</v>
      </c>
      <c r="AD18" s="16" t="s">
        <v>10</v>
      </c>
      <c r="AE18" s="16" t="s">
        <v>11</v>
      </c>
      <c r="AF18" s="114" t="s">
        <v>4</v>
      </c>
      <c r="AG18" s="16" t="s">
        <v>10</v>
      </c>
      <c r="AH18" s="116" t="s">
        <v>2</v>
      </c>
      <c r="AI18" s="22" t="s">
        <v>16</v>
      </c>
      <c r="AJ18" s="25" t="s">
        <v>6</v>
      </c>
      <c r="AK18" s="25" t="s">
        <v>6</v>
      </c>
      <c r="AL18" s="114" t="s">
        <v>4</v>
      </c>
      <c r="AM18" s="25" t="s">
        <v>3</v>
      </c>
    </row>
    <row r="19" spans="1:39" x14ac:dyDescent="0.35">
      <c r="A19" s="141" t="s">
        <v>60</v>
      </c>
      <c r="B19" s="19" t="s">
        <v>41</v>
      </c>
      <c r="C19" s="114" t="s">
        <v>4</v>
      </c>
      <c r="D19" s="16" t="s">
        <v>11</v>
      </c>
      <c r="E19" s="16" t="s">
        <v>11</v>
      </c>
      <c r="F19" s="122" t="s">
        <v>5</v>
      </c>
      <c r="G19" s="26" t="s">
        <v>34</v>
      </c>
      <c r="H19" s="16" t="s">
        <v>10</v>
      </c>
      <c r="I19" s="116" t="s">
        <v>2</v>
      </c>
      <c r="J19" s="114" t="s">
        <v>4</v>
      </c>
      <c r="K19" s="16" t="s">
        <v>11</v>
      </c>
      <c r="L19" s="16" t="s">
        <v>10</v>
      </c>
      <c r="M19" s="16" t="s">
        <v>10</v>
      </c>
      <c r="N19" s="16" t="s">
        <v>10</v>
      </c>
      <c r="O19" s="16" t="s">
        <v>10</v>
      </c>
      <c r="P19" s="116" t="s">
        <v>2</v>
      </c>
      <c r="Q19" s="114" t="s">
        <v>4</v>
      </c>
      <c r="R19" s="16" t="s">
        <v>11</v>
      </c>
      <c r="S19" s="16" t="s">
        <v>10</v>
      </c>
      <c r="T19" s="16" t="s">
        <v>10</v>
      </c>
      <c r="U19" s="16" t="s">
        <v>10</v>
      </c>
      <c r="V19" s="16" t="s">
        <v>10</v>
      </c>
      <c r="W19" s="116" t="s">
        <v>2</v>
      </c>
      <c r="X19" s="114" t="s">
        <v>4</v>
      </c>
      <c r="Y19" s="16" t="s">
        <v>11</v>
      </c>
      <c r="Z19" s="16" t="s">
        <v>10</v>
      </c>
      <c r="AA19" s="16" t="s">
        <v>10</v>
      </c>
      <c r="AB19" s="16" t="s">
        <v>10</v>
      </c>
      <c r="AC19" s="16" t="s">
        <v>10</v>
      </c>
      <c r="AD19" s="116" t="s">
        <v>2</v>
      </c>
      <c r="AE19" s="114" t="s">
        <v>4</v>
      </c>
      <c r="AF19" s="16" t="s">
        <v>11</v>
      </c>
      <c r="AG19" s="16" t="s">
        <v>10</v>
      </c>
      <c r="AH19" s="16" t="s">
        <v>10</v>
      </c>
      <c r="AI19" s="16" t="s">
        <v>10</v>
      </c>
      <c r="AJ19" s="116" t="s">
        <v>2</v>
      </c>
      <c r="AK19" s="25" t="s">
        <v>6</v>
      </c>
      <c r="AL19" s="25" t="s">
        <v>3</v>
      </c>
      <c r="AM19" s="114" t="s">
        <v>4</v>
      </c>
    </row>
    <row r="20" spans="1:39" x14ac:dyDescent="0.35">
      <c r="A20" s="141" t="s">
        <v>148</v>
      </c>
      <c r="B20" s="19" t="s">
        <v>41</v>
      </c>
      <c r="C20" s="114" t="s">
        <v>4</v>
      </c>
      <c r="D20" s="114" t="s">
        <v>4</v>
      </c>
      <c r="E20" s="115" t="s">
        <v>37</v>
      </c>
      <c r="F20" s="16" t="s">
        <v>10</v>
      </c>
      <c r="G20" s="16" t="s">
        <v>10</v>
      </c>
      <c r="H20" s="16" t="s">
        <v>10</v>
      </c>
      <c r="I20" s="16" t="s">
        <v>10</v>
      </c>
      <c r="J20" s="16" t="s">
        <v>11</v>
      </c>
      <c r="K20" s="114" t="s">
        <v>4</v>
      </c>
      <c r="L20" s="16" t="s">
        <v>10</v>
      </c>
      <c r="M20" s="116" t="s">
        <v>2</v>
      </c>
      <c r="N20" s="16" t="s">
        <v>10</v>
      </c>
      <c r="O20" s="16" t="s">
        <v>10</v>
      </c>
      <c r="P20" s="16" t="s">
        <v>10</v>
      </c>
      <c r="Q20" s="16" t="s">
        <v>11</v>
      </c>
      <c r="R20" s="16" t="s">
        <v>11</v>
      </c>
      <c r="S20" s="16" t="s">
        <v>10</v>
      </c>
      <c r="T20" s="116" t="s">
        <v>2</v>
      </c>
      <c r="U20" s="116" t="s">
        <v>2</v>
      </c>
      <c r="V20" s="16" t="s">
        <v>10</v>
      </c>
      <c r="W20" s="16" t="s">
        <v>10</v>
      </c>
      <c r="X20" s="16" t="s">
        <v>11</v>
      </c>
      <c r="Y20" s="114" t="s">
        <v>4</v>
      </c>
      <c r="Z20" s="16" t="s">
        <v>10</v>
      </c>
      <c r="AA20" s="16" t="s">
        <v>10</v>
      </c>
      <c r="AB20" s="116" t="s">
        <v>2</v>
      </c>
      <c r="AC20" s="16" t="s">
        <v>10</v>
      </c>
      <c r="AD20" s="16" t="s">
        <v>10</v>
      </c>
      <c r="AE20" s="16" t="s">
        <v>11</v>
      </c>
      <c r="AF20" s="16" t="s">
        <v>11</v>
      </c>
      <c r="AG20" s="116" t="s">
        <v>2</v>
      </c>
      <c r="AH20" s="116" t="s">
        <v>2</v>
      </c>
      <c r="AI20" s="25" t="s">
        <v>6</v>
      </c>
      <c r="AJ20" s="25" t="s">
        <v>6</v>
      </c>
      <c r="AK20" s="25" t="s">
        <v>6</v>
      </c>
      <c r="AL20" s="114" t="s">
        <v>4</v>
      </c>
      <c r="AM20" s="114" t="s">
        <v>4</v>
      </c>
    </row>
    <row r="22" spans="1:39" x14ac:dyDescent="0.35">
      <c r="A22" s="128" t="s">
        <v>125</v>
      </c>
      <c r="B22" s="128"/>
      <c r="C22" s="128"/>
      <c r="D22" s="128"/>
      <c r="E22">
        <f t="shared" ref="E22:AI22" si="2">COUNTIF(E4:E20,"*MS")</f>
        <v>3</v>
      </c>
      <c r="F22">
        <f t="shared" si="2"/>
        <v>3</v>
      </c>
      <c r="G22">
        <f t="shared" si="2"/>
        <v>4</v>
      </c>
      <c r="H22">
        <f t="shared" si="2"/>
        <v>3</v>
      </c>
      <c r="I22">
        <f t="shared" si="2"/>
        <v>4</v>
      </c>
      <c r="J22">
        <f>COUNTIF(J4:J20,"*MS")</f>
        <v>2</v>
      </c>
      <c r="K22">
        <f t="shared" si="2"/>
        <v>2</v>
      </c>
      <c r="L22">
        <f t="shared" si="2"/>
        <v>3</v>
      </c>
      <c r="M22">
        <f t="shared" si="2"/>
        <v>4</v>
      </c>
      <c r="N22">
        <f t="shared" si="2"/>
        <v>4</v>
      </c>
      <c r="O22">
        <f t="shared" si="2"/>
        <v>4</v>
      </c>
      <c r="P22">
        <f t="shared" si="2"/>
        <v>4</v>
      </c>
      <c r="Q22">
        <f t="shared" si="2"/>
        <v>2</v>
      </c>
      <c r="R22">
        <f t="shared" si="2"/>
        <v>2</v>
      </c>
      <c r="S22">
        <f t="shared" si="2"/>
        <v>3</v>
      </c>
      <c r="T22">
        <f t="shared" si="2"/>
        <v>4</v>
      </c>
      <c r="U22">
        <f t="shared" si="2"/>
        <v>4</v>
      </c>
      <c r="V22">
        <f t="shared" si="2"/>
        <v>4</v>
      </c>
      <c r="W22">
        <f t="shared" si="2"/>
        <v>4</v>
      </c>
      <c r="X22">
        <f t="shared" si="2"/>
        <v>2</v>
      </c>
      <c r="Y22">
        <f t="shared" si="2"/>
        <v>2</v>
      </c>
      <c r="Z22">
        <f t="shared" si="2"/>
        <v>4</v>
      </c>
      <c r="AA22">
        <f t="shared" si="2"/>
        <v>4</v>
      </c>
      <c r="AB22">
        <f t="shared" si="2"/>
        <v>4</v>
      </c>
      <c r="AC22">
        <f t="shared" si="2"/>
        <v>4</v>
      </c>
      <c r="AD22">
        <f t="shared" si="2"/>
        <v>4</v>
      </c>
      <c r="AE22">
        <f>COUNTIF(AE5:AE20,"*MS")</f>
        <v>2</v>
      </c>
      <c r="AF22">
        <f>COUNTIF(AF4:AF20,"*MS")</f>
        <v>2</v>
      </c>
      <c r="AG22">
        <f t="shared" si="2"/>
        <v>4</v>
      </c>
      <c r="AH22">
        <f t="shared" si="2"/>
        <v>4</v>
      </c>
      <c r="AI22">
        <f t="shared" si="2"/>
        <v>5</v>
      </c>
      <c r="AJ22">
        <f t="shared" ref="AJ22:AM22" si="3">COUNTIF(AJ4:AJ20,"*MS")</f>
        <v>3</v>
      </c>
      <c r="AK22">
        <f t="shared" si="3"/>
        <v>4</v>
      </c>
      <c r="AL22">
        <f t="shared" si="3"/>
        <v>2</v>
      </c>
      <c r="AM22">
        <f t="shared" si="3"/>
        <v>2</v>
      </c>
    </row>
    <row r="23" spans="1:39" x14ac:dyDescent="0.35">
      <c r="A23" s="128" t="s">
        <v>126</v>
      </c>
      <c r="B23" s="128"/>
      <c r="C23" s="128"/>
      <c r="D23" s="128"/>
      <c r="E23">
        <f t="shared" ref="E23:AI23" si="4">COUNTIF(E4:E20,"*ASS1")</f>
        <v>3</v>
      </c>
      <c r="F23">
        <f t="shared" si="4"/>
        <v>4</v>
      </c>
      <c r="G23">
        <f t="shared" si="4"/>
        <v>4</v>
      </c>
      <c r="H23">
        <f t="shared" si="4"/>
        <v>4</v>
      </c>
      <c r="I23">
        <f t="shared" si="4"/>
        <v>4</v>
      </c>
      <c r="J23">
        <f>COUNTIF(J4:J20,"*ASS1")</f>
        <v>2</v>
      </c>
      <c r="K23">
        <f t="shared" si="4"/>
        <v>2</v>
      </c>
      <c r="L23">
        <f t="shared" si="4"/>
        <v>3</v>
      </c>
      <c r="M23">
        <f t="shared" si="4"/>
        <v>4</v>
      </c>
      <c r="N23">
        <f t="shared" si="4"/>
        <v>4</v>
      </c>
      <c r="O23">
        <f t="shared" si="4"/>
        <v>4</v>
      </c>
      <c r="P23">
        <f t="shared" si="4"/>
        <v>4</v>
      </c>
      <c r="Q23">
        <f t="shared" si="4"/>
        <v>2</v>
      </c>
      <c r="R23">
        <f t="shared" si="4"/>
        <v>2</v>
      </c>
      <c r="S23">
        <f t="shared" si="4"/>
        <v>3</v>
      </c>
      <c r="T23">
        <f t="shared" si="4"/>
        <v>4</v>
      </c>
      <c r="U23">
        <f t="shared" si="4"/>
        <v>3</v>
      </c>
      <c r="V23">
        <f t="shared" si="4"/>
        <v>4</v>
      </c>
      <c r="W23">
        <f t="shared" si="4"/>
        <v>3</v>
      </c>
      <c r="X23">
        <f t="shared" si="4"/>
        <v>2</v>
      </c>
      <c r="Y23">
        <f t="shared" si="4"/>
        <v>2</v>
      </c>
      <c r="Z23">
        <f t="shared" si="4"/>
        <v>3</v>
      </c>
      <c r="AA23">
        <f t="shared" si="4"/>
        <v>3</v>
      </c>
      <c r="AB23">
        <f t="shared" si="4"/>
        <v>3</v>
      </c>
      <c r="AC23">
        <f t="shared" si="4"/>
        <v>4</v>
      </c>
      <c r="AD23">
        <f t="shared" si="4"/>
        <v>3</v>
      </c>
      <c r="AE23">
        <f>COUNTIF(AE5:AE20,"*ASS1")</f>
        <v>2</v>
      </c>
      <c r="AF23">
        <f>COUNTIF(AF4:AF20,"*ASS1")</f>
        <v>2</v>
      </c>
      <c r="AG23">
        <f t="shared" si="4"/>
        <v>4</v>
      </c>
      <c r="AH23">
        <f t="shared" si="4"/>
        <v>3</v>
      </c>
      <c r="AI23">
        <f t="shared" si="4"/>
        <v>4</v>
      </c>
      <c r="AJ23">
        <f t="shared" ref="AJ23:AM23" si="5">COUNTIF(AJ4:AJ20,"*ASS1")</f>
        <v>4</v>
      </c>
      <c r="AK23">
        <f t="shared" si="5"/>
        <v>4</v>
      </c>
      <c r="AL23">
        <f t="shared" si="5"/>
        <v>2</v>
      </c>
      <c r="AM23">
        <f t="shared" si="5"/>
        <v>2</v>
      </c>
    </row>
    <row r="24" spans="1:39" x14ac:dyDescent="0.35">
      <c r="A24" s="128" t="s">
        <v>127</v>
      </c>
      <c r="B24" s="128"/>
      <c r="C24" s="128"/>
      <c r="D24" s="128"/>
      <c r="E24">
        <f t="shared" ref="E24:AI24" si="6">COUNTIF(E4:E20,"*NST7")</f>
        <v>3</v>
      </c>
      <c r="F24">
        <f t="shared" si="6"/>
        <v>4</v>
      </c>
      <c r="G24">
        <f t="shared" si="6"/>
        <v>3</v>
      </c>
      <c r="H24">
        <f t="shared" si="6"/>
        <v>4</v>
      </c>
      <c r="I24">
        <f t="shared" si="6"/>
        <v>4</v>
      </c>
      <c r="J24">
        <f>COUNTIF(J4:J20,"*NST7")</f>
        <v>3</v>
      </c>
      <c r="K24">
        <f t="shared" si="6"/>
        <v>2</v>
      </c>
      <c r="L24">
        <f t="shared" si="6"/>
        <v>4</v>
      </c>
      <c r="M24">
        <f t="shared" si="6"/>
        <v>4</v>
      </c>
      <c r="N24">
        <f t="shared" si="6"/>
        <v>4</v>
      </c>
      <c r="O24">
        <f t="shared" si="6"/>
        <v>4</v>
      </c>
      <c r="P24">
        <f t="shared" si="6"/>
        <v>4</v>
      </c>
      <c r="Q24">
        <f t="shared" si="6"/>
        <v>3</v>
      </c>
      <c r="R24">
        <f t="shared" si="6"/>
        <v>3</v>
      </c>
      <c r="S24">
        <f t="shared" si="6"/>
        <v>3</v>
      </c>
      <c r="T24">
        <f t="shared" si="6"/>
        <v>4</v>
      </c>
      <c r="U24">
        <f t="shared" si="6"/>
        <v>4</v>
      </c>
      <c r="V24">
        <f t="shared" si="6"/>
        <v>4</v>
      </c>
      <c r="W24">
        <f t="shared" si="6"/>
        <v>4</v>
      </c>
      <c r="X24">
        <f t="shared" si="6"/>
        <v>3</v>
      </c>
      <c r="Y24">
        <f t="shared" si="6"/>
        <v>2</v>
      </c>
      <c r="Z24">
        <f t="shared" si="6"/>
        <v>3</v>
      </c>
      <c r="AA24">
        <f t="shared" si="6"/>
        <v>4</v>
      </c>
      <c r="AB24">
        <f t="shared" si="6"/>
        <v>3</v>
      </c>
      <c r="AC24">
        <f t="shared" si="6"/>
        <v>4</v>
      </c>
      <c r="AD24">
        <f t="shared" si="6"/>
        <v>4</v>
      </c>
      <c r="AE24">
        <f>COUNTIF(AE5:AE20,"*NST7")</f>
        <v>3</v>
      </c>
      <c r="AF24">
        <f>COUNTIF(AF4:AF20,"*NST7")</f>
        <v>3</v>
      </c>
      <c r="AG24">
        <f t="shared" si="6"/>
        <v>4</v>
      </c>
      <c r="AH24">
        <f t="shared" si="6"/>
        <v>3</v>
      </c>
      <c r="AI24">
        <f t="shared" si="6"/>
        <v>2</v>
      </c>
      <c r="AJ24">
        <f t="shared" ref="AJ24:AM24" si="7">COUNTIF(AJ4:AJ20,"*NST7")</f>
        <v>4</v>
      </c>
      <c r="AK24">
        <f t="shared" si="7"/>
        <v>4</v>
      </c>
      <c r="AL24">
        <f t="shared" si="7"/>
        <v>3</v>
      </c>
      <c r="AM24">
        <f t="shared" si="7"/>
        <v>3</v>
      </c>
    </row>
    <row r="25" spans="1:39" x14ac:dyDescent="0.35">
      <c r="A25" s="128" t="s">
        <v>128</v>
      </c>
      <c r="B25" s="128"/>
      <c r="C25" s="128"/>
      <c r="D25" s="128"/>
      <c r="E25">
        <f t="shared" ref="E25:AI25" si="8">COUNTIF(E4:E20,"*GS")</f>
        <v>0</v>
      </c>
      <c r="F25">
        <f t="shared" si="8"/>
        <v>0</v>
      </c>
      <c r="G25">
        <f t="shared" si="8"/>
        <v>0</v>
      </c>
      <c r="H25">
        <f t="shared" si="8"/>
        <v>0</v>
      </c>
      <c r="I25">
        <f t="shared" si="8"/>
        <v>0</v>
      </c>
      <c r="J25">
        <f>COUNTIF(J4:J20,"*GS")</f>
        <v>1</v>
      </c>
      <c r="K25">
        <f t="shared" si="8"/>
        <v>0</v>
      </c>
      <c r="L25">
        <f t="shared" si="8"/>
        <v>0</v>
      </c>
      <c r="M25">
        <f t="shared" si="8"/>
        <v>0</v>
      </c>
      <c r="N25">
        <f t="shared" si="8"/>
        <v>0</v>
      </c>
      <c r="O25">
        <f t="shared" si="8"/>
        <v>0</v>
      </c>
      <c r="P25">
        <f t="shared" si="8"/>
        <v>0</v>
      </c>
      <c r="Q25">
        <f t="shared" si="8"/>
        <v>1</v>
      </c>
      <c r="R25">
        <f t="shared" si="8"/>
        <v>0</v>
      </c>
      <c r="S25">
        <f t="shared" si="8"/>
        <v>0</v>
      </c>
      <c r="T25">
        <f t="shared" si="8"/>
        <v>0</v>
      </c>
      <c r="U25">
        <f t="shared" si="8"/>
        <v>0</v>
      </c>
      <c r="V25">
        <f t="shared" si="8"/>
        <v>0</v>
      </c>
      <c r="W25">
        <f t="shared" si="8"/>
        <v>0</v>
      </c>
      <c r="X25">
        <f t="shared" si="8"/>
        <v>1</v>
      </c>
      <c r="Y25">
        <f t="shared" si="8"/>
        <v>0</v>
      </c>
      <c r="Z25">
        <f t="shared" si="8"/>
        <v>0</v>
      </c>
      <c r="AA25">
        <f t="shared" si="8"/>
        <v>0</v>
      </c>
      <c r="AB25">
        <f t="shared" si="8"/>
        <v>0</v>
      </c>
      <c r="AC25">
        <f t="shared" si="8"/>
        <v>0</v>
      </c>
      <c r="AD25">
        <f t="shared" si="8"/>
        <v>0</v>
      </c>
      <c r="AE25">
        <f>COUNTIF(AE5:AE20,"*GS")</f>
        <v>1</v>
      </c>
      <c r="AF25">
        <f>COUNTIF(AF4:AF20,"*GS")</f>
        <v>0</v>
      </c>
      <c r="AG25">
        <f t="shared" si="8"/>
        <v>0</v>
      </c>
      <c r="AH25">
        <f t="shared" si="8"/>
        <v>0</v>
      </c>
      <c r="AI25">
        <f t="shared" si="8"/>
        <v>1</v>
      </c>
      <c r="AJ25">
        <f t="shared" ref="AJ25:AM25" si="9">COUNTIF(AJ4:AJ20,"*GS")</f>
        <v>0</v>
      </c>
      <c r="AK25">
        <f t="shared" si="9"/>
        <v>0</v>
      </c>
      <c r="AL25">
        <f t="shared" si="9"/>
        <v>1</v>
      </c>
      <c r="AM25">
        <f t="shared" si="9"/>
        <v>0</v>
      </c>
    </row>
    <row r="26" spans="1:39" x14ac:dyDescent="0.35">
      <c r="A26" s="128" t="s">
        <v>129</v>
      </c>
      <c r="B26" s="128"/>
      <c r="C26" s="128"/>
      <c r="D26" s="128"/>
      <c r="E26">
        <f t="shared" ref="E26:I26" si="10">COUNTIF(E4:E20,"C")</f>
        <v>0</v>
      </c>
      <c r="F26">
        <f t="shared" si="10"/>
        <v>0</v>
      </c>
      <c r="G26">
        <f t="shared" si="10"/>
        <v>1</v>
      </c>
      <c r="H26">
        <f t="shared" si="10"/>
        <v>2</v>
      </c>
      <c r="I26">
        <f t="shared" si="10"/>
        <v>2</v>
      </c>
      <c r="J26">
        <f>COUNTIF(J4:J20,"WO")</f>
        <v>7</v>
      </c>
      <c r="K26">
        <f t="shared" ref="K26" si="11">COUNTIF(K4:K20,"WO")</f>
        <v>9</v>
      </c>
      <c r="L26">
        <f t="shared" ref="L26:P26" si="12">COUNTIF(L4:L20,"C")</f>
        <v>4</v>
      </c>
      <c r="M26">
        <f t="shared" si="12"/>
        <v>2</v>
      </c>
      <c r="N26">
        <f t="shared" si="12"/>
        <v>3</v>
      </c>
      <c r="O26">
        <f t="shared" si="12"/>
        <v>3</v>
      </c>
      <c r="P26">
        <f t="shared" si="12"/>
        <v>3</v>
      </c>
      <c r="Q26">
        <f t="shared" ref="Q26:R26" si="13">COUNTIF(Q4:Q20,"WO")</f>
        <v>7</v>
      </c>
      <c r="R26">
        <f t="shared" si="13"/>
        <v>8</v>
      </c>
      <c r="S26">
        <f t="shared" ref="S26:W26" si="14">COUNTIF(S4:S20,"C")</f>
        <v>4</v>
      </c>
      <c r="T26">
        <f t="shared" si="14"/>
        <v>2</v>
      </c>
      <c r="U26">
        <f t="shared" si="14"/>
        <v>3</v>
      </c>
      <c r="V26">
        <f t="shared" si="14"/>
        <v>2</v>
      </c>
      <c r="W26">
        <f t="shared" si="14"/>
        <v>3</v>
      </c>
      <c r="X26">
        <f t="shared" ref="X26:Y26" si="15">COUNTIF(X4:X20,"WO")</f>
        <v>7</v>
      </c>
      <c r="Y26">
        <f t="shared" si="15"/>
        <v>9</v>
      </c>
      <c r="Z26">
        <f t="shared" ref="Z26:AD26" si="16">COUNTIF(Z4:Z20,"C")</f>
        <v>3</v>
      </c>
      <c r="AA26">
        <f t="shared" si="16"/>
        <v>1</v>
      </c>
      <c r="AB26">
        <f t="shared" si="16"/>
        <v>3</v>
      </c>
      <c r="AC26">
        <f t="shared" si="16"/>
        <v>1</v>
      </c>
      <c r="AD26">
        <f t="shared" si="16"/>
        <v>2</v>
      </c>
      <c r="AE26">
        <f>COUNTIF(AE5:AE20,"WO")</f>
        <v>6</v>
      </c>
      <c r="AF26">
        <f>COUNTIF(AF4:AF20,"WO")</f>
        <v>8</v>
      </c>
      <c r="AG26">
        <f t="shared" ref="AG26:AK26" si="17">COUNTIF(AG4:AG20,"C")</f>
        <v>3</v>
      </c>
      <c r="AH26">
        <f t="shared" si="17"/>
        <v>5</v>
      </c>
      <c r="AI26">
        <f t="shared" si="17"/>
        <v>3</v>
      </c>
      <c r="AJ26">
        <f t="shared" si="17"/>
        <v>4</v>
      </c>
      <c r="AK26">
        <f t="shared" si="17"/>
        <v>3</v>
      </c>
      <c r="AL26">
        <f t="shared" ref="AL26:AM26" si="18">COUNTIF(AL4:AL20,"WO")</f>
        <v>7</v>
      </c>
      <c r="AM26">
        <f t="shared" si="18"/>
        <v>8</v>
      </c>
    </row>
    <row r="27" spans="1:39" x14ac:dyDescent="0.35">
      <c r="A27" s="128" t="s">
        <v>130</v>
      </c>
      <c r="B27" s="128"/>
      <c r="C27" s="128"/>
      <c r="D27" s="128"/>
      <c r="E27">
        <f t="shared" ref="E27:AI27" si="19">COUNTIF(E4:E20,"PL")</f>
        <v>0</v>
      </c>
      <c r="F27">
        <f t="shared" si="19"/>
        <v>4</v>
      </c>
      <c r="G27">
        <f t="shared" si="19"/>
        <v>2</v>
      </c>
      <c r="H27">
        <f t="shared" si="19"/>
        <v>2</v>
      </c>
      <c r="I27">
        <f t="shared" si="19"/>
        <v>1</v>
      </c>
      <c r="J27">
        <f>COUNTIF(J4:J20,"PL")</f>
        <v>0</v>
      </c>
      <c r="K27">
        <f t="shared" si="19"/>
        <v>0</v>
      </c>
      <c r="L27">
        <f t="shared" si="19"/>
        <v>1</v>
      </c>
      <c r="M27">
        <f t="shared" si="19"/>
        <v>1</v>
      </c>
      <c r="N27">
        <f t="shared" si="19"/>
        <v>0</v>
      </c>
      <c r="O27">
        <f t="shared" si="19"/>
        <v>0</v>
      </c>
      <c r="P27">
        <f t="shared" si="19"/>
        <v>0</v>
      </c>
      <c r="Q27">
        <f t="shared" si="19"/>
        <v>0</v>
      </c>
      <c r="R27">
        <f t="shared" si="19"/>
        <v>0</v>
      </c>
      <c r="S27">
        <f t="shared" si="19"/>
        <v>1</v>
      </c>
      <c r="T27">
        <f t="shared" si="19"/>
        <v>1</v>
      </c>
      <c r="U27">
        <f t="shared" si="19"/>
        <v>1</v>
      </c>
      <c r="V27">
        <f t="shared" si="19"/>
        <v>1</v>
      </c>
      <c r="W27">
        <f t="shared" si="19"/>
        <v>1</v>
      </c>
      <c r="X27">
        <f t="shared" si="19"/>
        <v>0</v>
      </c>
      <c r="Y27">
        <f t="shared" si="19"/>
        <v>0</v>
      </c>
      <c r="Z27">
        <f t="shared" si="19"/>
        <v>2</v>
      </c>
      <c r="AA27">
        <f t="shared" si="19"/>
        <v>3</v>
      </c>
      <c r="AB27">
        <f t="shared" si="19"/>
        <v>2</v>
      </c>
      <c r="AC27">
        <f t="shared" si="19"/>
        <v>2</v>
      </c>
      <c r="AD27">
        <f t="shared" si="19"/>
        <v>1</v>
      </c>
      <c r="AE27">
        <f>COUNTIF(AE5:AE20,"PL")</f>
        <v>0</v>
      </c>
      <c r="AF27">
        <f>COUNTIF(AF4:AF20,"PL")</f>
        <v>0</v>
      </c>
      <c r="AG27">
        <f t="shared" si="19"/>
        <v>0</v>
      </c>
      <c r="AH27">
        <f t="shared" si="19"/>
        <v>0</v>
      </c>
      <c r="AI27">
        <f t="shared" si="19"/>
        <v>0</v>
      </c>
      <c r="AJ27">
        <f t="shared" ref="AJ27:AM27" si="20">COUNTIF(AJ4:AJ20,"PL")</f>
        <v>0</v>
      </c>
      <c r="AK27">
        <f t="shared" si="20"/>
        <v>0</v>
      </c>
      <c r="AL27">
        <f t="shared" si="20"/>
        <v>0</v>
      </c>
      <c r="AM27">
        <f t="shared" si="20"/>
        <v>0</v>
      </c>
    </row>
    <row r="28" spans="1:39" x14ac:dyDescent="0.35">
      <c r="A28" s="128" t="s">
        <v>33</v>
      </c>
      <c r="B28" s="128"/>
      <c r="C28" s="128"/>
      <c r="D28" s="128"/>
      <c r="E28">
        <f t="shared" ref="E28:AI28" si="21">COUNTIF(E4:E20,"UPL")</f>
        <v>0</v>
      </c>
      <c r="F28">
        <f t="shared" si="21"/>
        <v>0</v>
      </c>
      <c r="G28">
        <f t="shared" si="21"/>
        <v>1</v>
      </c>
      <c r="H28">
        <f t="shared" si="21"/>
        <v>0</v>
      </c>
      <c r="I28">
        <f t="shared" si="21"/>
        <v>0</v>
      </c>
      <c r="J28">
        <f>COUNTIF(J4:J20,"UPL")</f>
        <v>0</v>
      </c>
      <c r="K28">
        <f t="shared" si="21"/>
        <v>0</v>
      </c>
      <c r="L28">
        <f t="shared" si="21"/>
        <v>0</v>
      </c>
      <c r="M28">
        <f t="shared" si="21"/>
        <v>0</v>
      </c>
      <c r="N28">
        <f t="shared" si="21"/>
        <v>0</v>
      </c>
      <c r="O28">
        <f t="shared" si="21"/>
        <v>0</v>
      </c>
      <c r="P28">
        <f t="shared" si="21"/>
        <v>0</v>
      </c>
      <c r="Q28">
        <f t="shared" si="21"/>
        <v>0</v>
      </c>
      <c r="R28">
        <f t="shared" si="21"/>
        <v>0</v>
      </c>
      <c r="S28">
        <f t="shared" si="21"/>
        <v>1</v>
      </c>
      <c r="T28">
        <f t="shared" si="21"/>
        <v>0</v>
      </c>
      <c r="U28">
        <f t="shared" si="21"/>
        <v>0</v>
      </c>
      <c r="V28">
        <f t="shared" si="21"/>
        <v>0</v>
      </c>
      <c r="W28">
        <f t="shared" si="21"/>
        <v>0</v>
      </c>
      <c r="X28">
        <f t="shared" si="21"/>
        <v>0</v>
      </c>
      <c r="Y28">
        <f t="shared" si="21"/>
        <v>0</v>
      </c>
      <c r="Z28">
        <f t="shared" si="21"/>
        <v>0</v>
      </c>
      <c r="AA28">
        <f t="shared" si="21"/>
        <v>0</v>
      </c>
      <c r="AB28">
        <f t="shared" si="21"/>
        <v>0</v>
      </c>
      <c r="AC28">
        <f t="shared" si="21"/>
        <v>0</v>
      </c>
      <c r="AD28">
        <f t="shared" si="21"/>
        <v>1</v>
      </c>
      <c r="AE28">
        <f>COUNTIF(AE5:AE20,"UPL")</f>
        <v>0</v>
      </c>
      <c r="AF28">
        <f>COUNTIF(AF4:AF20,"UPL")</f>
        <v>0</v>
      </c>
      <c r="AG28">
        <f t="shared" si="21"/>
        <v>0</v>
      </c>
      <c r="AH28">
        <f t="shared" si="21"/>
        <v>0</v>
      </c>
      <c r="AI28">
        <f t="shared" si="21"/>
        <v>0</v>
      </c>
      <c r="AJ28">
        <f t="shared" ref="AJ28:AM28" si="22">COUNTIF(AJ4:AJ20,"UPL")</f>
        <v>0</v>
      </c>
      <c r="AK28">
        <f t="shared" si="22"/>
        <v>0</v>
      </c>
      <c r="AL28">
        <f t="shared" si="22"/>
        <v>0</v>
      </c>
      <c r="AM28">
        <f t="shared" si="22"/>
        <v>0</v>
      </c>
    </row>
    <row r="29" spans="1:39" x14ac:dyDescent="0.35">
      <c r="A29" s="128" t="s">
        <v>141</v>
      </c>
      <c r="B29" s="128"/>
      <c r="C29" s="128"/>
      <c r="D29" s="128"/>
      <c r="E29">
        <f t="shared" ref="E29:AI29" si="23">COUNTIF(E4:E20,"H")</f>
        <v>6</v>
      </c>
      <c r="F29">
        <f t="shared" si="23"/>
        <v>0</v>
      </c>
      <c r="G29">
        <f t="shared" si="23"/>
        <v>0</v>
      </c>
      <c r="H29">
        <f t="shared" si="23"/>
        <v>0</v>
      </c>
      <c r="I29">
        <f t="shared" si="23"/>
        <v>0</v>
      </c>
      <c r="J29">
        <f>COUNTIF(J4:J20,"H")</f>
        <v>0</v>
      </c>
      <c r="K29">
        <f t="shared" si="23"/>
        <v>0</v>
      </c>
      <c r="L29">
        <f t="shared" si="23"/>
        <v>0</v>
      </c>
      <c r="M29">
        <f t="shared" si="23"/>
        <v>0</v>
      </c>
      <c r="N29">
        <f t="shared" si="23"/>
        <v>0</v>
      </c>
      <c r="O29">
        <f t="shared" si="23"/>
        <v>0</v>
      </c>
      <c r="P29">
        <f t="shared" si="23"/>
        <v>0</v>
      </c>
      <c r="Q29">
        <f t="shared" si="23"/>
        <v>0</v>
      </c>
      <c r="R29">
        <f t="shared" si="23"/>
        <v>0</v>
      </c>
      <c r="S29">
        <f t="shared" si="23"/>
        <v>0</v>
      </c>
      <c r="T29">
        <f t="shared" si="23"/>
        <v>0</v>
      </c>
      <c r="U29">
        <f t="shared" si="23"/>
        <v>0</v>
      </c>
      <c r="V29">
        <f t="shared" si="23"/>
        <v>0</v>
      </c>
      <c r="W29">
        <f t="shared" si="23"/>
        <v>0</v>
      </c>
      <c r="X29">
        <f t="shared" si="23"/>
        <v>0</v>
      </c>
      <c r="Y29">
        <f t="shared" si="23"/>
        <v>0</v>
      </c>
      <c r="Z29">
        <f t="shared" si="23"/>
        <v>0</v>
      </c>
      <c r="AA29">
        <f t="shared" si="23"/>
        <v>0</v>
      </c>
      <c r="AB29">
        <f t="shared" si="23"/>
        <v>0</v>
      </c>
      <c r="AC29">
        <f t="shared" si="23"/>
        <v>0</v>
      </c>
      <c r="AD29">
        <f t="shared" si="23"/>
        <v>0</v>
      </c>
      <c r="AE29">
        <f>COUNTIF(AE5:AE20,"H")</f>
        <v>0</v>
      </c>
      <c r="AF29">
        <f>COUNTIF(AF4:AF20,"H")</f>
        <v>0</v>
      </c>
      <c r="AG29">
        <f t="shared" si="23"/>
        <v>0</v>
      </c>
      <c r="AH29">
        <f t="shared" si="23"/>
        <v>0</v>
      </c>
      <c r="AI29">
        <f t="shared" si="23"/>
        <v>0</v>
      </c>
      <c r="AJ29">
        <f t="shared" ref="AJ29:AM29" si="24">COUNTIF(AJ4:AJ20,"H")</f>
        <v>0</v>
      </c>
      <c r="AK29">
        <f t="shared" si="24"/>
        <v>0</v>
      </c>
      <c r="AL29">
        <f t="shared" si="24"/>
        <v>0</v>
      </c>
      <c r="AM29">
        <f t="shared" si="24"/>
        <v>0</v>
      </c>
    </row>
    <row r="30" spans="1:39" x14ac:dyDescent="0.35">
      <c r="A30" s="128" t="s">
        <v>131</v>
      </c>
      <c r="B30" s="128"/>
      <c r="C30" s="128"/>
      <c r="D30" s="128"/>
      <c r="E30" s="129">
        <f t="shared" ref="E30:I30" si="25">SUM(E22:E29)</f>
        <v>15</v>
      </c>
      <c r="F30" s="129">
        <f t="shared" si="25"/>
        <v>15</v>
      </c>
      <c r="G30" s="129">
        <f t="shared" si="25"/>
        <v>15</v>
      </c>
      <c r="H30" s="129">
        <f t="shared" si="25"/>
        <v>15</v>
      </c>
      <c r="I30" s="129">
        <f t="shared" si="25"/>
        <v>15</v>
      </c>
      <c r="J30" s="129">
        <f t="shared" ref="J30:K30" si="26">SUM(J22:J29)</f>
        <v>15</v>
      </c>
      <c r="K30" s="129">
        <f t="shared" si="26"/>
        <v>15</v>
      </c>
      <c r="L30" s="129">
        <f t="shared" ref="L30:P30" si="27">SUM(L22:L29)</f>
        <v>15</v>
      </c>
      <c r="M30" s="129">
        <f t="shared" si="27"/>
        <v>15</v>
      </c>
      <c r="N30" s="129">
        <f t="shared" si="27"/>
        <v>15</v>
      </c>
      <c r="O30" s="129">
        <f t="shared" si="27"/>
        <v>15</v>
      </c>
      <c r="P30" s="129">
        <f t="shared" si="27"/>
        <v>15</v>
      </c>
      <c r="Q30" s="129">
        <f t="shared" ref="Q30:R30" si="28">SUM(Q22:Q29)</f>
        <v>15</v>
      </c>
      <c r="R30" s="129">
        <f t="shared" si="28"/>
        <v>15</v>
      </c>
      <c r="S30" s="129">
        <f t="shared" ref="S30:W30" si="29">SUM(S22:S29)</f>
        <v>15</v>
      </c>
      <c r="T30" s="129">
        <f t="shared" si="29"/>
        <v>15</v>
      </c>
      <c r="U30" s="129">
        <f t="shared" si="29"/>
        <v>15</v>
      </c>
      <c r="V30" s="129">
        <f t="shared" si="29"/>
        <v>15</v>
      </c>
      <c r="W30" s="129">
        <f t="shared" si="29"/>
        <v>15</v>
      </c>
      <c r="X30" s="129">
        <f t="shared" ref="X30:Y30" si="30">SUM(X22:X29)</f>
        <v>15</v>
      </c>
      <c r="Y30" s="129">
        <f t="shared" si="30"/>
        <v>15</v>
      </c>
      <c r="Z30" s="129">
        <f t="shared" ref="Z30:AD30" si="31">SUM(Z22:Z29)</f>
        <v>15</v>
      </c>
      <c r="AA30" s="129">
        <f t="shared" si="31"/>
        <v>15</v>
      </c>
      <c r="AB30" s="129">
        <f t="shared" si="31"/>
        <v>15</v>
      </c>
      <c r="AC30" s="129">
        <f t="shared" si="31"/>
        <v>15</v>
      </c>
      <c r="AD30" s="129">
        <f t="shared" si="31"/>
        <v>15</v>
      </c>
      <c r="AE30" s="129">
        <f t="shared" ref="AE30:AF30" si="32">SUM(AE22:AE29)</f>
        <v>14</v>
      </c>
      <c r="AF30" s="129">
        <f t="shared" si="32"/>
        <v>15</v>
      </c>
      <c r="AG30" s="129">
        <f t="shared" ref="AG30:AM30" si="33">SUM(AG22:AG29)</f>
        <v>15</v>
      </c>
      <c r="AH30" s="129">
        <f t="shared" si="33"/>
        <v>15</v>
      </c>
      <c r="AI30" s="129">
        <f t="shared" si="33"/>
        <v>15</v>
      </c>
      <c r="AJ30" s="129">
        <f t="shared" si="33"/>
        <v>15</v>
      </c>
      <c r="AK30" s="129">
        <f t="shared" si="33"/>
        <v>15</v>
      </c>
      <c r="AL30" s="129">
        <f t="shared" si="33"/>
        <v>15</v>
      </c>
      <c r="AM30" s="129">
        <f t="shared" si="33"/>
        <v>15</v>
      </c>
    </row>
  </sheetData>
  <conditionalFormatting sqref="E22:AM25">
    <cfRule type="cellIs" dxfId="837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/>
  <dimension ref="A1:AL30"/>
  <sheetViews>
    <sheetView zoomScale="56" zoomScaleNormal="56" workbookViewId="0">
      <pane xSplit="1" topLeftCell="E1" activePane="topRight" state="frozen"/>
      <selection pane="topRight" activeCell="Q14" sqref="Q14"/>
    </sheetView>
  </sheetViews>
  <sheetFormatPr defaultRowHeight="14.5" x14ac:dyDescent="0.35"/>
  <cols>
    <col min="1" max="1" width="21.7265625" bestFit="1" customWidth="1"/>
    <col min="2" max="4" width="8.7265625" hidden="1" customWidth="1"/>
    <col min="5" max="33" width="8.7265625" customWidth="1"/>
    <col min="34" max="34" width="6.90625" customWidth="1"/>
    <col min="35" max="36" width="7.08984375" hidden="1" customWidth="1"/>
    <col min="37" max="37" width="8.7265625" customWidth="1"/>
  </cols>
  <sheetData>
    <row r="1" spans="1:38" x14ac:dyDescent="0.35">
      <c r="A1" s="1"/>
      <c r="B1" s="2" t="str">
        <f t="shared" ref="B1:D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ref="E1:AL1" si="1">TEXT(E2,"ddd")</f>
        <v>Thu</v>
      </c>
      <c r="F1" s="2" t="str">
        <f t="shared" si="1"/>
        <v>Fri</v>
      </c>
      <c r="G1" s="2" t="str">
        <f t="shared" si="1"/>
        <v>Sat</v>
      </c>
      <c r="H1" s="2" t="str">
        <f t="shared" si="1"/>
        <v>Sun</v>
      </c>
      <c r="I1" s="2" t="str">
        <f t="shared" si="1"/>
        <v>Mon</v>
      </c>
      <c r="J1" s="2" t="str">
        <f t="shared" si="1"/>
        <v>Tue</v>
      </c>
      <c r="K1" s="2" t="str">
        <f t="shared" si="1"/>
        <v>Wed</v>
      </c>
      <c r="L1" s="2" t="str">
        <f t="shared" si="1"/>
        <v>Thu</v>
      </c>
      <c r="M1" s="2" t="str">
        <f t="shared" si="1"/>
        <v>Fri</v>
      </c>
      <c r="N1" s="2" t="str">
        <f t="shared" si="1"/>
        <v>Sat</v>
      </c>
      <c r="O1" s="2" t="str">
        <f t="shared" si="1"/>
        <v>Sun</v>
      </c>
      <c r="P1" s="2" t="str">
        <f t="shared" si="1"/>
        <v>Mon</v>
      </c>
      <c r="Q1" s="2" t="str">
        <f t="shared" si="1"/>
        <v>Tue</v>
      </c>
      <c r="R1" s="2" t="str">
        <f t="shared" si="1"/>
        <v>Wed</v>
      </c>
      <c r="S1" s="2" t="str">
        <f t="shared" si="1"/>
        <v>Thu</v>
      </c>
      <c r="T1" s="2" t="str">
        <f t="shared" si="1"/>
        <v>Fri</v>
      </c>
      <c r="U1" s="2" t="str">
        <f t="shared" si="1"/>
        <v>Sat</v>
      </c>
      <c r="V1" s="2" t="str">
        <f t="shared" si="1"/>
        <v>Sun</v>
      </c>
      <c r="W1" s="2" t="str">
        <f t="shared" si="1"/>
        <v>Mon</v>
      </c>
      <c r="X1" s="2" t="str">
        <f t="shared" si="1"/>
        <v>Tue</v>
      </c>
      <c r="Y1" s="2" t="str">
        <f t="shared" si="1"/>
        <v>Wed</v>
      </c>
      <c r="Z1" s="2" t="str">
        <f t="shared" si="1"/>
        <v>Thu</v>
      </c>
      <c r="AA1" s="2" t="str">
        <f t="shared" si="1"/>
        <v>Fri</v>
      </c>
      <c r="AB1" s="2" t="str">
        <f t="shared" si="1"/>
        <v>Sat</v>
      </c>
      <c r="AC1" s="2" t="str">
        <f t="shared" si="1"/>
        <v>Sun</v>
      </c>
      <c r="AD1" s="2" t="str">
        <f t="shared" si="1"/>
        <v>Mon</v>
      </c>
      <c r="AE1" s="2" t="str">
        <f t="shared" si="1"/>
        <v>Tue</v>
      </c>
      <c r="AF1" s="2" t="str">
        <f t="shared" si="1"/>
        <v>Wed</v>
      </c>
      <c r="AG1" s="2" t="str">
        <f t="shared" si="1"/>
        <v>Thu</v>
      </c>
      <c r="AH1" s="2" t="str">
        <f t="shared" si="1"/>
        <v>Fri</v>
      </c>
      <c r="AI1" s="2" t="str">
        <f t="shared" si="1"/>
        <v>Sat</v>
      </c>
      <c r="AJ1" s="2" t="str">
        <f t="shared" si="1"/>
        <v>Sun</v>
      </c>
      <c r="AK1" s="2" t="str">
        <f t="shared" si="1"/>
        <v>Sat</v>
      </c>
      <c r="AL1" s="2" t="str">
        <f t="shared" si="1"/>
        <v>Sun</v>
      </c>
    </row>
    <row r="2" spans="1:38" x14ac:dyDescent="0.35">
      <c r="A2" s="95" t="s">
        <v>0</v>
      </c>
      <c r="B2" s="29">
        <v>45075</v>
      </c>
      <c r="C2" s="29">
        <v>45076</v>
      </c>
      <c r="D2" s="29">
        <v>45077</v>
      </c>
      <c r="E2" s="29">
        <v>45078</v>
      </c>
      <c r="F2" s="29">
        <v>45079</v>
      </c>
      <c r="G2" s="29">
        <v>45080</v>
      </c>
      <c r="H2" s="29">
        <v>45081</v>
      </c>
      <c r="I2" s="29">
        <v>45082</v>
      </c>
      <c r="J2" s="29">
        <v>45083</v>
      </c>
      <c r="K2" s="29">
        <v>45084</v>
      </c>
      <c r="L2" s="29">
        <v>45085</v>
      </c>
      <c r="M2" s="29">
        <v>45086</v>
      </c>
      <c r="N2" s="29">
        <v>45087</v>
      </c>
      <c r="O2" s="29">
        <v>45088</v>
      </c>
      <c r="P2" s="29">
        <v>45089</v>
      </c>
      <c r="Q2" s="29">
        <v>45090</v>
      </c>
      <c r="R2" s="29">
        <v>45091</v>
      </c>
      <c r="S2" s="29">
        <v>45092</v>
      </c>
      <c r="T2" s="29">
        <v>45093</v>
      </c>
      <c r="U2" s="29">
        <v>45094</v>
      </c>
      <c r="V2" s="29">
        <v>45095</v>
      </c>
      <c r="W2" s="29">
        <v>45096</v>
      </c>
      <c r="X2" s="29">
        <v>45097</v>
      </c>
      <c r="Y2" s="29">
        <v>45098</v>
      </c>
      <c r="Z2" s="29">
        <v>45099</v>
      </c>
      <c r="AA2" s="29">
        <v>45100</v>
      </c>
      <c r="AB2" s="29">
        <v>45101</v>
      </c>
      <c r="AC2" s="29">
        <v>45102</v>
      </c>
      <c r="AD2" s="29">
        <v>45103</v>
      </c>
      <c r="AE2" s="29">
        <v>45104</v>
      </c>
      <c r="AF2" s="29">
        <v>45105</v>
      </c>
      <c r="AG2" s="29">
        <v>45106</v>
      </c>
      <c r="AH2" s="29">
        <v>45107</v>
      </c>
      <c r="AI2" s="29">
        <v>45108</v>
      </c>
      <c r="AJ2" s="29">
        <v>45109</v>
      </c>
      <c r="AK2" s="29">
        <v>45108</v>
      </c>
      <c r="AL2" s="29">
        <v>45109</v>
      </c>
    </row>
    <row r="3" spans="1:38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</row>
    <row r="4" spans="1:38" x14ac:dyDescent="0.35">
      <c r="A4" s="165" t="s">
        <v>1</v>
      </c>
      <c r="B4" s="16" t="s">
        <v>10</v>
      </c>
      <c r="C4" s="16" t="s">
        <v>10</v>
      </c>
      <c r="D4" s="16" t="s">
        <v>10</v>
      </c>
      <c r="E4" s="116" t="s">
        <v>2</v>
      </c>
      <c r="F4" s="116" t="s">
        <v>2</v>
      </c>
      <c r="G4" s="19" t="s">
        <v>42</v>
      </c>
      <c r="H4" s="19" t="s">
        <v>42</v>
      </c>
      <c r="I4" s="19" t="s">
        <v>41</v>
      </c>
      <c r="J4" s="19" t="s">
        <v>41</v>
      </c>
      <c r="K4" s="19" t="s">
        <v>41</v>
      </c>
      <c r="L4" s="19" t="s">
        <v>41</v>
      </c>
      <c r="M4" s="116" t="s">
        <v>2</v>
      </c>
      <c r="N4" s="122" t="s">
        <v>4</v>
      </c>
      <c r="O4" s="122" t="s">
        <v>4</v>
      </c>
      <c r="P4" s="19" t="s">
        <v>41</v>
      </c>
      <c r="Q4" s="19" t="s">
        <v>41</v>
      </c>
      <c r="R4" s="19" t="s">
        <v>41</v>
      </c>
      <c r="S4" s="19" t="s">
        <v>41</v>
      </c>
      <c r="T4" s="116" t="s">
        <v>2</v>
      </c>
      <c r="U4" s="19" t="s">
        <v>42</v>
      </c>
      <c r="V4" s="114" t="s">
        <v>4</v>
      </c>
      <c r="W4" s="122" t="s">
        <v>5</v>
      </c>
      <c r="X4" s="122" t="s">
        <v>5</v>
      </c>
      <c r="Y4" s="122" t="s">
        <v>5</v>
      </c>
      <c r="Z4" s="122" t="s">
        <v>5</v>
      </c>
      <c r="AA4" s="122" t="s">
        <v>5</v>
      </c>
      <c r="AB4" s="122" t="s">
        <v>4</v>
      </c>
      <c r="AC4" s="122" t="s">
        <v>4</v>
      </c>
      <c r="AD4" s="122" t="s">
        <v>5</v>
      </c>
      <c r="AE4" s="122" t="s">
        <v>5</v>
      </c>
      <c r="AF4" s="122" t="s">
        <v>5</v>
      </c>
      <c r="AG4" s="122" t="s">
        <v>5</v>
      </c>
      <c r="AH4" s="122" t="s">
        <v>5</v>
      </c>
      <c r="AI4" s="122" t="s">
        <v>4</v>
      </c>
      <c r="AJ4" s="122" t="s">
        <v>4</v>
      </c>
      <c r="AK4" s="122" t="s">
        <v>4</v>
      </c>
      <c r="AL4" s="122" t="s">
        <v>4</v>
      </c>
    </row>
    <row r="5" spans="1:38" x14ac:dyDescent="0.35">
      <c r="A5" s="141" t="s">
        <v>21</v>
      </c>
      <c r="B5" s="25" t="s">
        <v>6</v>
      </c>
      <c r="C5" s="25" t="s">
        <v>6</v>
      </c>
      <c r="D5" s="25" t="s">
        <v>6</v>
      </c>
      <c r="E5" s="116" t="s">
        <v>2</v>
      </c>
      <c r="F5" s="19" t="s">
        <v>41</v>
      </c>
      <c r="G5" s="114" t="s">
        <v>4</v>
      </c>
      <c r="H5" s="19" t="s">
        <v>42</v>
      </c>
      <c r="I5" s="116" t="s">
        <v>2</v>
      </c>
      <c r="J5" s="19" t="s">
        <v>41</v>
      </c>
      <c r="K5" s="116" t="s">
        <v>2</v>
      </c>
      <c r="L5" s="19" t="s">
        <v>41</v>
      </c>
      <c r="M5" s="19" t="s">
        <v>41</v>
      </c>
      <c r="N5" s="19" t="s">
        <v>42</v>
      </c>
      <c r="O5" s="114" t="s">
        <v>4</v>
      </c>
      <c r="P5" s="19" t="s">
        <v>41</v>
      </c>
      <c r="Q5" s="116" t="s">
        <v>2</v>
      </c>
      <c r="R5" s="19" t="s">
        <v>41</v>
      </c>
      <c r="S5" s="19" t="s">
        <v>41</v>
      </c>
      <c r="T5" s="19" t="s">
        <v>41</v>
      </c>
      <c r="U5" s="114" t="s">
        <v>4</v>
      </c>
      <c r="V5" s="19" t="s">
        <v>42</v>
      </c>
      <c r="W5" s="16" t="s">
        <v>10</v>
      </c>
      <c r="X5" s="16" t="s">
        <v>10</v>
      </c>
      <c r="Y5" s="16" t="s">
        <v>10</v>
      </c>
      <c r="Z5" s="16" t="s">
        <v>10</v>
      </c>
      <c r="AA5" s="16" t="s">
        <v>10</v>
      </c>
      <c r="AB5" s="16" t="s">
        <v>11</v>
      </c>
      <c r="AC5" s="114" t="s">
        <v>4</v>
      </c>
      <c r="AD5" s="19" t="s">
        <v>41</v>
      </c>
      <c r="AE5" s="19" t="s">
        <v>41</v>
      </c>
      <c r="AF5" s="19" t="s">
        <v>41</v>
      </c>
      <c r="AG5" s="19" t="s">
        <v>41</v>
      </c>
      <c r="AH5" s="19" t="s">
        <v>41</v>
      </c>
      <c r="AI5" s="19" t="s">
        <v>42</v>
      </c>
      <c r="AJ5" s="114" t="s">
        <v>4</v>
      </c>
      <c r="AK5" s="19" t="s">
        <v>42</v>
      </c>
      <c r="AL5" s="114" t="s">
        <v>4</v>
      </c>
    </row>
    <row r="6" spans="1:38" x14ac:dyDescent="0.35">
      <c r="A6" s="141" t="s">
        <v>69</v>
      </c>
      <c r="B6" s="25" t="s">
        <v>6</v>
      </c>
      <c r="C6" s="25" t="s">
        <v>6</v>
      </c>
      <c r="D6" s="25" t="s">
        <v>6</v>
      </c>
      <c r="E6" s="19" t="s">
        <v>41</v>
      </c>
      <c r="F6" s="116" t="s">
        <v>2</v>
      </c>
      <c r="G6" s="114" t="s">
        <v>4</v>
      </c>
      <c r="H6" s="114" t="s">
        <v>4</v>
      </c>
      <c r="I6" s="19" t="s">
        <v>41</v>
      </c>
      <c r="J6" s="19" t="s">
        <v>41</v>
      </c>
      <c r="K6" s="19" t="s">
        <v>41</v>
      </c>
      <c r="L6" s="116" t="s">
        <v>2</v>
      </c>
      <c r="M6" s="19" t="s">
        <v>41</v>
      </c>
      <c r="N6" s="114" t="s">
        <v>4</v>
      </c>
      <c r="O6" s="19" t="s">
        <v>42</v>
      </c>
      <c r="P6" s="19" t="s">
        <v>41</v>
      </c>
      <c r="Q6" s="19" t="s">
        <v>41</v>
      </c>
      <c r="R6" s="116" t="s">
        <v>2</v>
      </c>
      <c r="S6" s="116" t="s">
        <v>2</v>
      </c>
      <c r="T6" s="19" t="s">
        <v>41</v>
      </c>
      <c r="U6" s="114" t="s">
        <v>4</v>
      </c>
      <c r="V6" s="19" t="s">
        <v>42</v>
      </c>
      <c r="W6" s="19" t="s">
        <v>41</v>
      </c>
      <c r="X6" s="19" t="s">
        <v>41</v>
      </c>
      <c r="Y6" s="19" t="s">
        <v>41</v>
      </c>
      <c r="Z6" s="19" t="s">
        <v>41</v>
      </c>
      <c r="AA6" s="116" t="s">
        <v>2</v>
      </c>
      <c r="AB6" s="114" t="s">
        <v>4</v>
      </c>
      <c r="AC6" s="19" t="s">
        <v>42</v>
      </c>
      <c r="AD6" s="19" t="s">
        <v>41</v>
      </c>
      <c r="AE6" s="19" t="s">
        <v>41</v>
      </c>
      <c r="AF6" s="19" t="s">
        <v>41</v>
      </c>
      <c r="AG6" s="19" t="s">
        <v>41</v>
      </c>
      <c r="AH6" s="116" t="s">
        <v>2</v>
      </c>
      <c r="AI6" s="114" t="s">
        <v>4</v>
      </c>
      <c r="AJ6" s="16" t="s">
        <v>11</v>
      </c>
      <c r="AK6" s="114" t="s">
        <v>4</v>
      </c>
      <c r="AL6" s="16" t="s">
        <v>11</v>
      </c>
    </row>
    <row r="7" spans="1:38" x14ac:dyDescent="0.35">
      <c r="A7" s="141" t="s">
        <v>68</v>
      </c>
      <c r="B7" s="116" t="s">
        <v>2</v>
      </c>
      <c r="C7" s="25" t="s">
        <v>6</v>
      </c>
      <c r="D7" s="25" t="s">
        <v>6</v>
      </c>
      <c r="E7" s="19" t="s">
        <v>41</v>
      </c>
      <c r="F7" s="19" t="s">
        <v>41</v>
      </c>
      <c r="G7" s="19" t="s">
        <v>42</v>
      </c>
      <c r="H7" s="114" t="s">
        <v>4</v>
      </c>
      <c r="I7" s="19" t="s">
        <v>41</v>
      </c>
      <c r="J7" s="116" t="s">
        <v>2</v>
      </c>
      <c r="K7" s="19" t="s">
        <v>41</v>
      </c>
      <c r="L7" s="19" t="s">
        <v>41</v>
      </c>
      <c r="M7" s="19" t="s">
        <v>41</v>
      </c>
      <c r="N7" s="19" t="s">
        <v>42</v>
      </c>
      <c r="O7" s="114" t="s">
        <v>4</v>
      </c>
      <c r="P7" s="116" t="s">
        <v>2</v>
      </c>
      <c r="Q7" s="19" t="s">
        <v>41</v>
      </c>
      <c r="R7" s="19" t="s">
        <v>41</v>
      </c>
      <c r="S7" s="19" t="s">
        <v>41</v>
      </c>
      <c r="T7" s="19" t="s">
        <v>41</v>
      </c>
      <c r="U7" s="19" t="s">
        <v>42</v>
      </c>
      <c r="V7" s="114" t="s">
        <v>4</v>
      </c>
      <c r="W7" s="19" t="s">
        <v>41</v>
      </c>
      <c r="X7" s="19" t="s">
        <v>41</v>
      </c>
      <c r="Y7" s="19" t="s">
        <v>41</v>
      </c>
      <c r="Z7" s="19" t="s">
        <v>41</v>
      </c>
      <c r="AA7" s="19" t="s">
        <v>41</v>
      </c>
      <c r="AB7" s="19" t="s">
        <v>42</v>
      </c>
      <c r="AC7" s="114" t="s">
        <v>4</v>
      </c>
      <c r="AD7" s="19" t="s">
        <v>41</v>
      </c>
      <c r="AE7" s="116" t="s">
        <v>2</v>
      </c>
      <c r="AF7" s="116" t="s">
        <v>2</v>
      </c>
      <c r="AG7" s="19" t="s">
        <v>41</v>
      </c>
      <c r="AH7" s="19" t="s">
        <v>41</v>
      </c>
      <c r="AI7" s="19" t="s">
        <v>42</v>
      </c>
      <c r="AJ7" s="114" t="s">
        <v>4</v>
      </c>
      <c r="AK7" s="19" t="s">
        <v>42</v>
      </c>
      <c r="AL7" s="114" t="s">
        <v>4</v>
      </c>
    </row>
    <row r="8" spans="1:38" x14ac:dyDescent="0.35">
      <c r="A8" s="141" t="s">
        <v>70</v>
      </c>
      <c r="B8" s="25" t="s">
        <v>6</v>
      </c>
      <c r="C8" s="116" t="s">
        <v>2</v>
      </c>
      <c r="D8" s="25" t="s">
        <v>6</v>
      </c>
      <c r="E8" s="19" t="s">
        <v>41</v>
      </c>
      <c r="F8" s="19" t="s">
        <v>41</v>
      </c>
      <c r="G8" s="22" t="s">
        <v>30</v>
      </c>
      <c r="H8" s="114" t="s">
        <v>4</v>
      </c>
      <c r="I8" s="116" t="s">
        <v>2</v>
      </c>
      <c r="J8" s="22" t="s">
        <v>16</v>
      </c>
      <c r="K8" s="25" t="s">
        <v>6</v>
      </c>
      <c r="L8" s="19" t="s">
        <v>41</v>
      </c>
      <c r="M8" s="122" t="s">
        <v>5</v>
      </c>
      <c r="N8" s="114" t="s">
        <v>4</v>
      </c>
      <c r="O8" s="19" t="s">
        <v>42</v>
      </c>
      <c r="P8" s="19" t="s">
        <v>41</v>
      </c>
      <c r="Q8" s="19" t="s">
        <v>41</v>
      </c>
      <c r="R8" s="116" t="s">
        <v>2</v>
      </c>
      <c r="S8" s="19" t="s">
        <v>41</v>
      </c>
      <c r="T8" s="19" t="s">
        <v>41</v>
      </c>
      <c r="U8" s="114" t="s">
        <v>4</v>
      </c>
      <c r="V8" s="114" t="s">
        <v>4</v>
      </c>
      <c r="W8" s="19" t="s">
        <v>41</v>
      </c>
      <c r="X8" s="19" t="s">
        <v>41</v>
      </c>
      <c r="Y8" s="19" t="s">
        <v>41</v>
      </c>
      <c r="Z8" s="19" t="s">
        <v>41</v>
      </c>
      <c r="AA8" s="19" t="s">
        <v>41</v>
      </c>
      <c r="AB8" s="114" t="s">
        <v>4</v>
      </c>
      <c r="AC8" s="19" t="s">
        <v>42</v>
      </c>
      <c r="AD8" s="19" t="s">
        <v>41</v>
      </c>
      <c r="AE8" s="19" t="s">
        <v>41</v>
      </c>
      <c r="AF8" s="19" t="s">
        <v>41</v>
      </c>
      <c r="AG8" s="116" t="s">
        <v>2</v>
      </c>
      <c r="AH8" s="19" t="s">
        <v>41</v>
      </c>
      <c r="AI8" s="114" t="s">
        <v>4</v>
      </c>
      <c r="AJ8" s="16" t="s">
        <v>11</v>
      </c>
      <c r="AK8" s="114" t="s">
        <v>4</v>
      </c>
      <c r="AL8" s="16" t="s">
        <v>11</v>
      </c>
    </row>
    <row r="10" spans="1:38" x14ac:dyDescent="0.35">
      <c r="A10" s="165" t="s">
        <v>9</v>
      </c>
      <c r="B10" s="25" t="s">
        <v>6</v>
      </c>
      <c r="C10" s="25" t="s">
        <v>6</v>
      </c>
      <c r="D10" s="116" t="s">
        <v>2</v>
      </c>
      <c r="E10" s="16" t="s">
        <v>10</v>
      </c>
      <c r="F10" s="16" t="s">
        <v>10</v>
      </c>
      <c r="G10" s="16" t="s">
        <v>11</v>
      </c>
      <c r="H10" s="16" t="s">
        <v>11</v>
      </c>
      <c r="I10" s="16" t="s">
        <v>10</v>
      </c>
      <c r="J10" s="16" t="s">
        <v>10</v>
      </c>
      <c r="K10" s="16" t="s">
        <v>10</v>
      </c>
      <c r="L10" s="16" t="s">
        <v>10</v>
      </c>
      <c r="M10" s="122" t="s">
        <v>5</v>
      </c>
      <c r="N10" s="122" t="s">
        <v>4</v>
      </c>
      <c r="O10" s="16" t="s">
        <v>11</v>
      </c>
      <c r="P10" s="16" t="s">
        <v>10</v>
      </c>
      <c r="Q10" s="16" t="s">
        <v>10</v>
      </c>
      <c r="R10" s="16" t="s">
        <v>10</v>
      </c>
      <c r="S10" s="116" t="s">
        <v>2</v>
      </c>
      <c r="T10" s="116" t="s">
        <v>2</v>
      </c>
      <c r="U10" s="16" t="s">
        <v>11</v>
      </c>
      <c r="V10" s="16" t="s">
        <v>11</v>
      </c>
      <c r="W10" s="122" t="s">
        <v>5</v>
      </c>
      <c r="X10" s="122" t="s">
        <v>5</v>
      </c>
      <c r="Y10" s="122" t="s">
        <v>5</v>
      </c>
      <c r="Z10" s="122" t="s">
        <v>5</v>
      </c>
      <c r="AA10" s="122" t="s">
        <v>5</v>
      </c>
      <c r="AB10" s="122" t="s">
        <v>4</v>
      </c>
      <c r="AC10" s="16" t="s">
        <v>11</v>
      </c>
      <c r="AD10" s="16" t="s">
        <v>10</v>
      </c>
      <c r="AE10" s="16" t="s">
        <v>10</v>
      </c>
      <c r="AF10" s="16" t="s">
        <v>10</v>
      </c>
      <c r="AG10" s="16" t="s">
        <v>10</v>
      </c>
      <c r="AH10" s="16" t="s">
        <v>10</v>
      </c>
      <c r="AI10" s="16" t="s">
        <v>11</v>
      </c>
      <c r="AJ10" s="114" t="s">
        <v>4</v>
      </c>
      <c r="AK10" s="16" t="s">
        <v>11</v>
      </c>
      <c r="AL10" s="114" t="s">
        <v>4</v>
      </c>
    </row>
    <row r="11" spans="1:38" x14ac:dyDescent="0.35">
      <c r="A11" s="165" t="s">
        <v>15</v>
      </c>
      <c r="B11" s="19" t="s">
        <v>41</v>
      </c>
      <c r="C11" s="122" t="s">
        <v>5</v>
      </c>
      <c r="D11" s="19" t="s">
        <v>41</v>
      </c>
      <c r="E11" s="16" t="s">
        <v>10</v>
      </c>
      <c r="F11" s="116" t="s">
        <v>2</v>
      </c>
      <c r="G11" s="114" t="s">
        <v>4</v>
      </c>
      <c r="H11" s="114" t="s">
        <v>4</v>
      </c>
      <c r="I11" s="16" t="s">
        <v>10</v>
      </c>
      <c r="J11" s="16" t="s">
        <v>10</v>
      </c>
      <c r="K11" s="16" t="s">
        <v>10</v>
      </c>
      <c r="L11" s="16" t="s">
        <v>10</v>
      </c>
      <c r="M11" s="16" t="s">
        <v>10</v>
      </c>
      <c r="N11" s="16" t="s">
        <v>11</v>
      </c>
      <c r="O11" s="114" t="s">
        <v>4</v>
      </c>
      <c r="P11" s="116" t="s">
        <v>2</v>
      </c>
      <c r="Q11" s="16" t="s">
        <v>10</v>
      </c>
      <c r="R11" s="16" t="s">
        <v>10</v>
      </c>
      <c r="S11" s="16" t="s">
        <v>10</v>
      </c>
      <c r="T11" s="16" t="s">
        <v>10</v>
      </c>
      <c r="U11" s="16" t="s">
        <v>11</v>
      </c>
      <c r="V11" s="114" t="s">
        <v>4</v>
      </c>
      <c r="W11" s="116" t="s">
        <v>2</v>
      </c>
      <c r="X11" s="19" t="s">
        <v>41</v>
      </c>
      <c r="Y11" s="19" t="s">
        <v>41</v>
      </c>
      <c r="Z11" s="19" t="s">
        <v>41</v>
      </c>
      <c r="AA11" s="19" t="s">
        <v>41</v>
      </c>
      <c r="AB11" s="19" t="s">
        <v>42</v>
      </c>
      <c r="AC11" s="114" t="s">
        <v>4</v>
      </c>
      <c r="AD11" s="116" t="s">
        <v>2</v>
      </c>
      <c r="AE11" s="19" t="s">
        <v>41</v>
      </c>
      <c r="AF11" s="19" t="s">
        <v>41</v>
      </c>
      <c r="AG11" s="19" t="s">
        <v>41</v>
      </c>
      <c r="AH11" s="19" t="s">
        <v>41</v>
      </c>
      <c r="AI11" s="114" t="s">
        <v>4</v>
      </c>
      <c r="AJ11" s="25" t="s">
        <v>3</v>
      </c>
      <c r="AK11" s="114" t="s">
        <v>4</v>
      </c>
      <c r="AL11" s="19" t="s">
        <v>42</v>
      </c>
    </row>
    <row r="12" spans="1:38" x14ac:dyDescent="0.35">
      <c r="A12" s="141" t="s">
        <v>71</v>
      </c>
      <c r="B12" s="19" t="s">
        <v>41</v>
      </c>
      <c r="C12" s="19" t="s">
        <v>41</v>
      </c>
      <c r="D12" s="19" t="s">
        <v>41</v>
      </c>
      <c r="E12" s="16" t="s">
        <v>10</v>
      </c>
      <c r="F12" s="16" t="s">
        <v>10</v>
      </c>
      <c r="G12" s="16" t="s">
        <v>11</v>
      </c>
      <c r="H12" s="16" t="s">
        <v>11</v>
      </c>
      <c r="I12" s="16" t="s">
        <v>10</v>
      </c>
      <c r="J12" s="116" t="s">
        <v>2</v>
      </c>
      <c r="K12" s="116" t="s">
        <v>2</v>
      </c>
      <c r="L12" s="122" t="s">
        <v>5</v>
      </c>
      <c r="M12" s="16" t="s">
        <v>10</v>
      </c>
      <c r="N12" s="16" t="s">
        <v>11</v>
      </c>
      <c r="O12" s="16" t="s">
        <v>11</v>
      </c>
      <c r="P12" s="16" t="s">
        <v>10</v>
      </c>
      <c r="Q12" s="116" t="s">
        <v>2</v>
      </c>
      <c r="R12" s="116" t="s">
        <v>2</v>
      </c>
      <c r="S12" s="16" t="s">
        <v>10</v>
      </c>
      <c r="T12" s="16" t="s">
        <v>10</v>
      </c>
      <c r="U12" s="114" t="s">
        <v>4</v>
      </c>
      <c r="V12" s="16" t="s">
        <v>11</v>
      </c>
      <c r="W12" s="16" t="s">
        <v>10</v>
      </c>
      <c r="X12" s="16" t="s">
        <v>10</v>
      </c>
      <c r="Y12" s="116" t="s">
        <v>2</v>
      </c>
      <c r="Z12" s="16" t="s">
        <v>10</v>
      </c>
      <c r="AA12" s="16" t="s">
        <v>10</v>
      </c>
      <c r="AB12" s="16" t="s">
        <v>11</v>
      </c>
      <c r="AC12" s="16" t="s">
        <v>11</v>
      </c>
      <c r="AD12" s="16" t="s">
        <v>10</v>
      </c>
      <c r="AE12" s="116" t="s">
        <v>2</v>
      </c>
      <c r="AF12" s="16" t="s">
        <v>10</v>
      </c>
      <c r="AG12" s="16" t="s">
        <v>10</v>
      </c>
      <c r="AH12" s="16" t="s">
        <v>10</v>
      </c>
      <c r="AI12" s="16" t="s">
        <v>11</v>
      </c>
      <c r="AJ12" s="114" t="s">
        <v>4</v>
      </c>
      <c r="AK12" s="16" t="s">
        <v>11</v>
      </c>
      <c r="AL12" s="114" t="s">
        <v>4</v>
      </c>
    </row>
    <row r="13" spans="1:38" x14ac:dyDescent="0.35">
      <c r="A13" s="141" t="s">
        <v>149</v>
      </c>
      <c r="B13" s="19" t="s">
        <v>41</v>
      </c>
      <c r="C13" s="116" t="s">
        <v>2</v>
      </c>
      <c r="D13" s="116" t="s">
        <v>2</v>
      </c>
      <c r="E13" s="16" t="s">
        <v>10</v>
      </c>
      <c r="F13" s="16" t="s">
        <v>10</v>
      </c>
      <c r="G13" s="114" t="s">
        <v>4</v>
      </c>
      <c r="H13" s="16" t="s">
        <v>11</v>
      </c>
      <c r="I13" s="16" t="s">
        <v>10</v>
      </c>
      <c r="J13" s="16" t="s">
        <v>10</v>
      </c>
      <c r="K13" s="16" t="s">
        <v>10</v>
      </c>
      <c r="L13" s="116" t="s">
        <v>2</v>
      </c>
      <c r="M13" s="16" t="s">
        <v>10</v>
      </c>
      <c r="N13" s="114" t="s">
        <v>4</v>
      </c>
      <c r="O13" s="16" t="s">
        <v>11</v>
      </c>
      <c r="P13" s="16" t="s">
        <v>10</v>
      </c>
      <c r="Q13" s="16" t="s">
        <v>10</v>
      </c>
      <c r="R13" s="16" t="s">
        <v>10</v>
      </c>
      <c r="S13" s="16" t="s">
        <v>10</v>
      </c>
      <c r="T13" s="16" t="s">
        <v>10</v>
      </c>
      <c r="U13" s="114" t="s">
        <v>4</v>
      </c>
      <c r="V13" s="16" t="s">
        <v>11</v>
      </c>
      <c r="W13" s="16" t="s">
        <v>10</v>
      </c>
      <c r="X13" s="16" t="s">
        <v>10</v>
      </c>
      <c r="Y13" s="16" t="s">
        <v>10</v>
      </c>
      <c r="Z13" s="116" t="s">
        <v>2</v>
      </c>
      <c r="AA13" s="16" t="s">
        <v>10</v>
      </c>
      <c r="AB13" s="114" t="s">
        <v>4</v>
      </c>
      <c r="AC13" s="16" t="s">
        <v>11</v>
      </c>
      <c r="AD13" s="16" t="s">
        <v>10</v>
      </c>
      <c r="AE13" s="16" t="s">
        <v>10</v>
      </c>
      <c r="AF13" s="16" t="s">
        <v>10</v>
      </c>
      <c r="AG13" s="116" t="s">
        <v>2</v>
      </c>
      <c r="AH13" s="16" t="s">
        <v>10</v>
      </c>
      <c r="AI13" s="16" t="s">
        <v>11</v>
      </c>
      <c r="AJ13" s="114" t="s">
        <v>4</v>
      </c>
      <c r="AK13" s="16" t="s">
        <v>11</v>
      </c>
      <c r="AL13" s="114" t="s">
        <v>4</v>
      </c>
    </row>
    <row r="14" spans="1:38" x14ac:dyDescent="0.35">
      <c r="A14" s="141" t="s">
        <v>124</v>
      </c>
      <c r="B14" s="19" t="s">
        <v>41</v>
      </c>
      <c r="C14" s="19" t="s">
        <v>41</v>
      </c>
      <c r="D14" s="19" t="s">
        <v>41</v>
      </c>
      <c r="E14" s="22" t="s">
        <v>16</v>
      </c>
      <c r="F14" s="16" t="s">
        <v>10</v>
      </c>
      <c r="G14" s="16" t="s">
        <v>11</v>
      </c>
      <c r="H14" s="114" t="s">
        <v>4</v>
      </c>
      <c r="I14" s="116" t="s">
        <v>2</v>
      </c>
      <c r="J14" s="16" t="s">
        <v>10</v>
      </c>
      <c r="K14" s="16" t="s">
        <v>10</v>
      </c>
      <c r="L14" s="16" t="s">
        <v>10</v>
      </c>
      <c r="M14" s="16" t="s">
        <v>10</v>
      </c>
      <c r="N14" s="16" t="s">
        <v>11</v>
      </c>
      <c r="O14" s="114" t="s">
        <v>4</v>
      </c>
      <c r="P14" s="116" t="s">
        <v>2</v>
      </c>
      <c r="Q14" s="16" t="s">
        <v>10</v>
      </c>
      <c r="R14" s="16" t="s">
        <v>10</v>
      </c>
      <c r="S14" s="16" t="s">
        <v>10</v>
      </c>
      <c r="T14" s="16" t="s">
        <v>10</v>
      </c>
      <c r="U14" s="16" t="s">
        <v>11</v>
      </c>
      <c r="V14" s="114" t="s">
        <v>4</v>
      </c>
      <c r="W14" s="16" t="s">
        <v>10</v>
      </c>
      <c r="X14" s="16" t="s">
        <v>10</v>
      </c>
      <c r="Y14" s="16" t="s">
        <v>10</v>
      </c>
      <c r="Z14" s="16" t="s">
        <v>10</v>
      </c>
      <c r="AA14" s="16" t="s">
        <v>10</v>
      </c>
      <c r="AB14" s="16" t="s">
        <v>11</v>
      </c>
      <c r="AC14" s="114" t="s">
        <v>4</v>
      </c>
      <c r="AD14" s="122" t="s">
        <v>5</v>
      </c>
      <c r="AE14" s="16" t="s">
        <v>10</v>
      </c>
      <c r="AF14" s="16" t="s">
        <v>10</v>
      </c>
      <c r="AG14" s="16" t="s">
        <v>10</v>
      </c>
      <c r="AH14" s="16" t="s">
        <v>10</v>
      </c>
      <c r="AI14" s="114" t="s">
        <v>4</v>
      </c>
      <c r="AJ14" s="25" t="s">
        <v>3</v>
      </c>
      <c r="AK14" s="114" t="s">
        <v>4</v>
      </c>
      <c r="AL14" s="25" t="s">
        <v>3</v>
      </c>
    </row>
    <row r="16" spans="1:38" x14ac:dyDescent="0.35">
      <c r="A16" s="165" t="s">
        <v>57</v>
      </c>
      <c r="B16" s="116" t="s">
        <v>2</v>
      </c>
      <c r="C16" s="19" t="s">
        <v>41</v>
      </c>
      <c r="D16" s="19" t="s">
        <v>41</v>
      </c>
      <c r="E16" s="19" t="s">
        <v>41</v>
      </c>
      <c r="F16" s="19" t="s">
        <v>41</v>
      </c>
      <c r="G16" s="114" t="s">
        <v>4</v>
      </c>
      <c r="H16" s="25" t="s">
        <v>3</v>
      </c>
      <c r="I16" s="122" t="s">
        <v>5</v>
      </c>
      <c r="J16" s="122" t="s">
        <v>5</v>
      </c>
      <c r="K16" s="122" t="s">
        <v>5</v>
      </c>
      <c r="L16" s="122" t="s">
        <v>5</v>
      </c>
      <c r="M16" s="122" t="s">
        <v>5</v>
      </c>
      <c r="N16" s="122" t="s">
        <v>4</v>
      </c>
      <c r="O16" s="122" t="s">
        <v>4</v>
      </c>
      <c r="P16" s="122" t="s">
        <v>5</v>
      </c>
      <c r="Q16" s="122" t="s">
        <v>5</v>
      </c>
      <c r="R16" s="25" t="s">
        <v>6</v>
      </c>
      <c r="S16" s="25" t="s">
        <v>6</v>
      </c>
      <c r="T16" s="25" t="s">
        <v>6</v>
      </c>
      <c r="U16" s="25" t="s">
        <v>3</v>
      </c>
      <c r="V16" s="114" t="s">
        <v>4</v>
      </c>
      <c r="W16" s="25" t="s">
        <v>6</v>
      </c>
      <c r="X16" s="25" t="s">
        <v>6</v>
      </c>
      <c r="Y16" s="25" t="s">
        <v>6</v>
      </c>
      <c r="Z16" s="25" t="s">
        <v>6</v>
      </c>
      <c r="AA16" s="25" t="s">
        <v>6</v>
      </c>
      <c r="AB16" s="25" t="s">
        <v>3</v>
      </c>
      <c r="AC16" s="114" t="s">
        <v>4</v>
      </c>
      <c r="AD16" s="116" t="s">
        <v>2</v>
      </c>
      <c r="AE16" s="25" t="s">
        <v>6</v>
      </c>
      <c r="AF16" s="25" t="s">
        <v>6</v>
      </c>
      <c r="AG16" s="25" t="s">
        <v>6</v>
      </c>
      <c r="AH16" s="25" t="s">
        <v>6</v>
      </c>
      <c r="AI16" s="25" t="s">
        <v>3</v>
      </c>
      <c r="AJ16" s="114" t="s">
        <v>4</v>
      </c>
      <c r="AK16" s="25" t="s">
        <v>3</v>
      </c>
      <c r="AL16" s="114" t="s">
        <v>4</v>
      </c>
    </row>
    <row r="17" spans="1:38" x14ac:dyDescent="0.35">
      <c r="A17" s="165" t="s">
        <v>43</v>
      </c>
      <c r="B17" s="16" t="s">
        <v>10</v>
      </c>
      <c r="C17" s="16" t="s">
        <v>10</v>
      </c>
      <c r="D17" s="116" t="s">
        <v>2</v>
      </c>
      <c r="E17" s="25" t="s">
        <v>6</v>
      </c>
      <c r="F17" s="25" t="s">
        <v>6</v>
      </c>
      <c r="G17" s="25" t="s">
        <v>3</v>
      </c>
      <c r="H17" s="114" t="s">
        <v>4</v>
      </c>
      <c r="I17" s="25" t="s">
        <v>6</v>
      </c>
      <c r="J17" s="25" t="s">
        <v>6</v>
      </c>
      <c r="K17" s="25" t="s">
        <v>6</v>
      </c>
      <c r="L17" s="25" t="s">
        <v>6</v>
      </c>
      <c r="M17" s="25" t="s">
        <v>6</v>
      </c>
      <c r="N17" s="25" t="s">
        <v>3</v>
      </c>
      <c r="O17" s="114" t="s">
        <v>4</v>
      </c>
      <c r="P17" s="25" t="s">
        <v>6</v>
      </c>
      <c r="Q17" s="25" t="s">
        <v>6</v>
      </c>
      <c r="R17" s="25" t="s">
        <v>6</v>
      </c>
      <c r="S17" s="25" t="s">
        <v>6</v>
      </c>
      <c r="T17" s="122" t="s">
        <v>5</v>
      </c>
      <c r="U17" s="122" t="s">
        <v>4</v>
      </c>
      <c r="V17" s="122" t="s">
        <v>4</v>
      </c>
      <c r="W17" s="116" t="s">
        <v>2</v>
      </c>
      <c r="X17" s="25" t="s">
        <v>6</v>
      </c>
      <c r="Y17" s="25" t="s">
        <v>6</v>
      </c>
      <c r="Z17" s="25" t="s">
        <v>6</v>
      </c>
      <c r="AA17" s="116" t="s">
        <v>2</v>
      </c>
      <c r="AB17" s="114" t="s">
        <v>4</v>
      </c>
      <c r="AC17" s="25" t="s">
        <v>3</v>
      </c>
      <c r="AD17" s="25" t="s">
        <v>6</v>
      </c>
      <c r="AE17" s="25" t="s">
        <v>6</v>
      </c>
      <c r="AF17" s="25" t="s">
        <v>6</v>
      </c>
      <c r="AG17" s="25" t="s">
        <v>6</v>
      </c>
      <c r="AH17" s="116" t="s">
        <v>2</v>
      </c>
      <c r="AI17" s="114" t="s">
        <v>4</v>
      </c>
      <c r="AJ17" s="19" t="s">
        <v>42</v>
      </c>
      <c r="AK17" s="114" t="s">
        <v>4</v>
      </c>
      <c r="AL17" s="19" t="s">
        <v>42</v>
      </c>
    </row>
    <row r="18" spans="1:38" x14ac:dyDescent="0.35">
      <c r="A18" s="141" t="s">
        <v>150</v>
      </c>
      <c r="B18" s="16" t="s">
        <v>10</v>
      </c>
      <c r="C18" s="116" t="s">
        <v>2</v>
      </c>
      <c r="D18" s="22" t="s">
        <v>16</v>
      </c>
      <c r="E18" s="25" t="s">
        <v>6</v>
      </c>
      <c r="F18" s="116" t="s">
        <v>2</v>
      </c>
      <c r="G18" s="114" t="s">
        <v>4</v>
      </c>
      <c r="H18" s="25" t="s">
        <v>3</v>
      </c>
      <c r="I18" s="25" t="s">
        <v>6</v>
      </c>
      <c r="J18" s="122" t="s">
        <v>5</v>
      </c>
      <c r="K18" s="22" t="s">
        <v>16</v>
      </c>
      <c r="L18" s="25" t="s">
        <v>6</v>
      </c>
      <c r="M18" s="116" t="s">
        <v>2</v>
      </c>
      <c r="N18" s="25" t="s">
        <v>3</v>
      </c>
      <c r="O18" s="25" t="s">
        <v>3</v>
      </c>
      <c r="P18" s="25" t="s">
        <v>6</v>
      </c>
      <c r="Q18" s="116" t="s">
        <v>2</v>
      </c>
      <c r="R18" s="25" t="s">
        <v>6</v>
      </c>
      <c r="S18" s="25" t="s">
        <v>6</v>
      </c>
      <c r="T18" s="25" t="s">
        <v>6</v>
      </c>
      <c r="U18" s="25" t="s">
        <v>3</v>
      </c>
      <c r="V18" s="25" t="s">
        <v>3</v>
      </c>
      <c r="W18" s="25" t="s">
        <v>6</v>
      </c>
      <c r="X18" s="116" t="s">
        <v>2</v>
      </c>
      <c r="Y18" s="25" t="s">
        <v>6</v>
      </c>
      <c r="Z18" s="25" t="s">
        <v>6</v>
      </c>
      <c r="AA18" s="25" t="s">
        <v>6</v>
      </c>
      <c r="AB18" s="25" t="s">
        <v>3</v>
      </c>
      <c r="AC18" s="114" t="s">
        <v>4</v>
      </c>
      <c r="AD18" s="116" t="s">
        <v>2</v>
      </c>
      <c r="AE18" s="22" t="s">
        <v>16</v>
      </c>
      <c r="AF18" s="25" t="s">
        <v>6</v>
      </c>
      <c r="AG18" s="25" t="s">
        <v>6</v>
      </c>
      <c r="AH18" s="25" t="s">
        <v>6</v>
      </c>
      <c r="AI18" s="25" t="s">
        <v>3</v>
      </c>
      <c r="AJ18" s="114" t="s">
        <v>4</v>
      </c>
      <c r="AK18" s="25" t="s">
        <v>3</v>
      </c>
      <c r="AL18" s="25" t="s">
        <v>3</v>
      </c>
    </row>
    <row r="19" spans="1:38" x14ac:dyDescent="0.35">
      <c r="A19" s="141" t="s">
        <v>60</v>
      </c>
      <c r="B19" s="16" t="s">
        <v>10</v>
      </c>
      <c r="C19" s="16" t="s">
        <v>10</v>
      </c>
      <c r="D19" s="16" t="s">
        <v>10</v>
      </c>
      <c r="E19" s="116" t="s">
        <v>2</v>
      </c>
      <c r="F19" s="25" t="s">
        <v>6</v>
      </c>
      <c r="G19" s="25" t="s">
        <v>3</v>
      </c>
      <c r="H19" s="114" t="s">
        <v>4</v>
      </c>
      <c r="I19" s="25" t="s">
        <v>6</v>
      </c>
      <c r="J19" s="25" t="s">
        <v>6</v>
      </c>
      <c r="K19" s="122" t="s">
        <v>5</v>
      </c>
      <c r="L19" s="25" t="s">
        <v>6</v>
      </c>
      <c r="M19" s="25" t="s">
        <v>6</v>
      </c>
      <c r="N19" s="114" t="s">
        <v>4</v>
      </c>
      <c r="O19" s="25" t="s">
        <v>3</v>
      </c>
      <c r="P19" s="25" t="s">
        <v>6</v>
      </c>
      <c r="Q19" s="25" t="s">
        <v>6</v>
      </c>
      <c r="R19" s="116" t="s">
        <v>2</v>
      </c>
      <c r="S19" s="25" t="s">
        <v>6</v>
      </c>
      <c r="T19" s="25" t="s">
        <v>6</v>
      </c>
      <c r="U19" s="114" t="s">
        <v>4</v>
      </c>
      <c r="V19" s="25" t="s">
        <v>3</v>
      </c>
      <c r="W19" s="116" t="s">
        <v>2</v>
      </c>
      <c r="X19" s="25" t="s">
        <v>6</v>
      </c>
      <c r="Y19" s="116" t="s">
        <v>2</v>
      </c>
      <c r="Z19" s="25" t="s">
        <v>6</v>
      </c>
      <c r="AA19" s="22" t="s">
        <v>16</v>
      </c>
      <c r="AB19" s="114" t="s">
        <v>4</v>
      </c>
      <c r="AC19" s="25" t="s">
        <v>3</v>
      </c>
      <c r="AD19" s="25" t="s">
        <v>6</v>
      </c>
      <c r="AE19" s="25" t="s">
        <v>6</v>
      </c>
      <c r="AF19" s="116" t="s">
        <v>2</v>
      </c>
      <c r="AG19" s="25" t="s">
        <v>6</v>
      </c>
      <c r="AH19" s="25" t="s">
        <v>6</v>
      </c>
      <c r="AI19" s="114" t="s">
        <v>4</v>
      </c>
      <c r="AJ19" s="19" t="s">
        <v>42</v>
      </c>
      <c r="AK19" s="122" t="s">
        <v>4</v>
      </c>
      <c r="AL19" s="122" t="s">
        <v>4</v>
      </c>
    </row>
    <row r="20" spans="1:38" x14ac:dyDescent="0.35">
      <c r="A20" s="141" t="s">
        <v>148</v>
      </c>
      <c r="B20" s="116" t="s">
        <v>2</v>
      </c>
      <c r="C20" s="116" t="s">
        <v>2</v>
      </c>
      <c r="D20" s="22" t="s">
        <v>16</v>
      </c>
      <c r="E20" s="25" t="s">
        <v>6</v>
      </c>
      <c r="F20" s="25" t="s">
        <v>3</v>
      </c>
      <c r="G20" s="114" t="s">
        <v>4</v>
      </c>
      <c r="H20" s="114" t="s">
        <v>4</v>
      </c>
      <c r="I20" s="116" t="s">
        <v>2</v>
      </c>
      <c r="J20" s="25" t="s">
        <v>6</v>
      </c>
      <c r="K20" s="25" t="s">
        <v>6</v>
      </c>
      <c r="L20" s="25" t="s">
        <v>6</v>
      </c>
      <c r="M20" s="25" t="s">
        <v>6</v>
      </c>
      <c r="N20" s="22" t="s">
        <v>30</v>
      </c>
      <c r="O20" s="114" t="s">
        <v>4</v>
      </c>
      <c r="P20" s="25" t="s">
        <v>6</v>
      </c>
      <c r="Q20" s="25" t="s">
        <v>6</v>
      </c>
      <c r="R20" s="22" t="s">
        <v>16</v>
      </c>
      <c r="S20" s="116" t="s">
        <v>2</v>
      </c>
      <c r="T20" s="25" t="s">
        <v>6</v>
      </c>
      <c r="U20" s="22" t="s">
        <v>30</v>
      </c>
      <c r="V20" s="114" t="s">
        <v>4</v>
      </c>
      <c r="W20" s="25" t="s">
        <v>6</v>
      </c>
      <c r="X20" s="25" t="s">
        <v>6</v>
      </c>
      <c r="Y20" s="25" t="s">
        <v>6</v>
      </c>
      <c r="Z20" s="116" t="s">
        <v>2</v>
      </c>
      <c r="AA20" s="25" t="s">
        <v>6</v>
      </c>
      <c r="AB20" s="22" t="s">
        <v>30</v>
      </c>
      <c r="AC20" s="114" t="s">
        <v>4</v>
      </c>
      <c r="AD20" s="25" t="s">
        <v>6</v>
      </c>
      <c r="AE20" s="25" t="s">
        <v>6</v>
      </c>
      <c r="AF20" s="25" t="s">
        <v>6</v>
      </c>
      <c r="AG20" s="116" t="s">
        <v>2</v>
      </c>
      <c r="AH20" s="25" t="s">
        <v>6</v>
      </c>
      <c r="AI20" s="22" t="s">
        <v>30</v>
      </c>
      <c r="AJ20" s="114" t="s">
        <v>4</v>
      </c>
      <c r="AK20" s="22" t="s">
        <v>30</v>
      </c>
      <c r="AL20" s="114" t="s">
        <v>4</v>
      </c>
    </row>
    <row r="22" spans="1:38" x14ac:dyDescent="0.35">
      <c r="A22" s="128" t="s">
        <v>125</v>
      </c>
      <c r="B22">
        <f t="shared" ref="B22:E22" si="2">COUNTIF(B4:B20,"*MS")</f>
        <v>4</v>
      </c>
      <c r="C22">
        <f t="shared" si="2"/>
        <v>4</v>
      </c>
      <c r="D22">
        <f t="shared" si="2"/>
        <v>4</v>
      </c>
      <c r="E22">
        <f t="shared" si="2"/>
        <v>3</v>
      </c>
      <c r="F22">
        <f t="shared" ref="F22:H22" si="3">COUNTIF(F4:F20,"*MS")</f>
        <v>3</v>
      </c>
      <c r="G22">
        <f t="shared" si="3"/>
        <v>2</v>
      </c>
      <c r="H22">
        <f t="shared" si="3"/>
        <v>2</v>
      </c>
      <c r="I22">
        <f t="shared" ref="I22:AL22" si="4">COUNTIF(I4:I20,"*MS")</f>
        <v>3</v>
      </c>
      <c r="J22">
        <f t="shared" si="4"/>
        <v>3</v>
      </c>
      <c r="K22">
        <f t="shared" si="4"/>
        <v>3</v>
      </c>
      <c r="L22">
        <f t="shared" si="4"/>
        <v>4</v>
      </c>
      <c r="M22">
        <f t="shared" si="4"/>
        <v>3</v>
      </c>
      <c r="N22">
        <f t="shared" si="4"/>
        <v>2</v>
      </c>
      <c r="O22">
        <f t="shared" si="4"/>
        <v>2</v>
      </c>
      <c r="P22">
        <f t="shared" si="4"/>
        <v>4</v>
      </c>
      <c r="Q22">
        <f t="shared" si="4"/>
        <v>3</v>
      </c>
      <c r="R22">
        <f t="shared" ref="R22" si="5">COUNTIF(R4:R20,"*MS")</f>
        <v>3</v>
      </c>
      <c r="S22">
        <f t="shared" si="4"/>
        <v>4</v>
      </c>
      <c r="T22">
        <f t="shared" si="4"/>
        <v>4</v>
      </c>
      <c r="U22">
        <f t="shared" si="4"/>
        <v>2</v>
      </c>
      <c r="V22">
        <f t="shared" si="4"/>
        <v>2</v>
      </c>
      <c r="W22">
        <f t="shared" si="4"/>
        <v>3</v>
      </c>
      <c r="X22">
        <f t="shared" si="4"/>
        <v>4</v>
      </c>
      <c r="Y22">
        <f t="shared" si="4"/>
        <v>4</v>
      </c>
      <c r="Z22">
        <f>COUNTIF(Z4:Z20,"*MS")</f>
        <v>4</v>
      </c>
      <c r="AA22">
        <f t="shared" si="4"/>
        <v>3</v>
      </c>
      <c r="AB22">
        <f t="shared" si="4"/>
        <v>2</v>
      </c>
      <c r="AC22">
        <f t="shared" si="4"/>
        <v>2</v>
      </c>
      <c r="AD22">
        <f t="shared" si="4"/>
        <v>3</v>
      </c>
      <c r="AE22">
        <f t="shared" si="4"/>
        <v>4</v>
      </c>
      <c r="AF22">
        <f t="shared" si="4"/>
        <v>4</v>
      </c>
      <c r="AG22">
        <f t="shared" si="4"/>
        <v>4</v>
      </c>
      <c r="AH22">
        <f t="shared" si="4"/>
        <v>4</v>
      </c>
      <c r="AI22">
        <f t="shared" si="4"/>
        <v>2</v>
      </c>
      <c r="AJ22">
        <f t="shared" si="4"/>
        <v>2</v>
      </c>
      <c r="AK22">
        <f t="shared" si="4"/>
        <v>2</v>
      </c>
      <c r="AL22">
        <f t="shared" si="4"/>
        <v>2</v>
      </c>
    </row>
    <row r="23" spans="1:38" x14ac:dyDescent="0.35">
      <c r="A23" s="128" t="s">
        <v>126</v>
      </c>
      <c r="B23">
        <f t="shared" ref="B23:E23" si="6">COUNTIF(B4:B20,"*ASS1")</f>
        <v>4</v>
      </c>
      <c r="C23">
        <f t="shared" si="6"/>
        <v>3</v>
      </c>
      <c r="D23">
        <f t="shared" si="6"/>
        <v>4</v>
      </c>
      <c r="E23">
        <f t="shared" si="6"/>
        <v>4</v>
      </c>
      <c r="F23">
        <f t="shared" ref="F23:H23" si="7">COUNTIF(F4:F20,"*ASS1")</f>
        <v>4</v>
      </c>
      <c r="G23">
        <f t="shared" si="7"/>
        <v>2</v>
      </c>
      <c r="H23">
        <f t="shared" si="7"/>
        <v>2</v>
      </c>
      <c r="I23">
        <f t="shared" ref="I23:AL23" si="8">COUNTIF(I4:I20,"*ASS1")</f>
        <v>3</v>
      </c>
      <c r="J23">
        <f t="shared" si="8"/>
        <v>3</v>
      </c>
      <c r="K23">
        <f t="shared" si="8"/>
        <v>3</v>
      </c>
      <c r="L23">
        <f t="shared" si="8"/>
        <v>4</v>
      </c>
      <c r="M23">
        <f t="shared" si="8"/>
        <v>3</v>
      </c>
      <c r="N23">
        <f t="shared" si="8"/>
        <v>2</v>
      </c>
      <c r="O23">
        <f t="shared" si="8"/>
        <v>2</v>
      </c>
      <c r="P23">
        <f t="shared" si="8"/>
        <v>4</v>
      </c>
      <c r="Q23">
        <f t="shared" si="8"/>
        <v>4</v>
      </c>
      <c r="R23">
        <f t="shared" ref="R23" si="9">COUNTIF(R4:R20,"*ASS1")</f>
        <v>3</v>
      </c>
      <c r="S23">
        <f t="shared" si="8"/>
        <v>4</v>
      </c>
      <c r="T23">
        <f t="shared" si="8"/>
        <v>4</v>
      </c>
      <c r="U23">
        <f t="shared" si="8"/>
        <v>2</v>
      </c>
      <c r="V23">
        <f t="shared" si="8"/>
        <v>2</v>
      </c>
      <c r="W23">
        <f t="shared" si="8"/>
        <v>3</v>
      </c>
      <c r="X23">
        <f t="shared" si="8"/>
        <v>4</v>
      </c>
      <c r="Y23">
        <f t="shared" si="8"/>
        <v>4</v>
      </c>
      <c r="Z23">
        <f>COUNTIF(Z4:Z20,"*ASS1")</f>
        <v>4</v>
      </c>
      <c r="AA23">
        <f t="shared" si="8"/>
        <v>3</v>
      </c>
      <c r="AB23">
        <f t="shared" si="8"/>
        <v>2</v>
      </c>
      <c r="AC23">
        <f t="shared" si="8"/>
        <v>2</v>
      </c>
      <c r="AD23">
        <f t="shared" si="8"/>
        <v>4</v>
      </c>
      <c r="AE23">
        <f t="shared" si="8"/>
        <v>4</v>
      </c>
      <c r="AF23">
        <f t="shared" si="8"/>
        <v>4</v>
      </c>
      <c r="AG23">
        <f t="shared" si="8"/>
        <v>4</v>
      </c>
      <c r="AH23">
        <f t="shared" si="8"/>
        <v>4</v>
      </c>
      <c r="AI23">
        <f t="shared" si="8"/>
        <v>2</v>
      </c>
      <c r="AJ23">
        <f t="shared" si="8"/>
        <v>2</v>
      </c>
      <c r="AK23">
        <f t="shared" si="8"/>
        <v>2</v>
      </c>
      <c r="AL23">
        <f t="shared" si="8"/>
        <v>2</v>
      </c>
    </row>
    <row r="24" spans="1:38" x14ac:dyDescent="0.35">
      <c r="A24" s="128" t="s">
        <v>127</v>
      </c>
      <c r="B24">
        <f t="shared" ref="B24:E24" si="10">COUNTIF(B4:B20,"*NST7")</f>
        <v>4</v>
      </c>
      <c r="C24">
        <f t="shared" si="10"/>
        <v>3</v>
      </c>
      <c r="D24">
        <f t="shared" si="10"/>
        <v>2</v>
      </c>
      <c r="E24">
        <f t="shared" si="10"/>
        <v>4</v>
      </c>
      <c r="F24">
        <f t="shared" ref="F24:H24" si="11">COUNTIF(F4:F20,"*NST7")</f>
        <v>4</v>
      </c>
      <c r="G24">
        <f t="shared" si="11"/>
        <v>3</v>
      </c>
      <c r="H24">
        <f t="shared" si="11"/>
        <v>3</v>
      </c>
      <c r="I24">
        <f t="shared" ref="I24:AL24" si="12">COUNTIF(I4:I20,"*NST7")</f>
        <v>4</v>
      </c>
      <c r="J24">
        <f t="shared" si="12"/>
        <v>4</v>
      </c>
      <c r="K24">
        <f t="shared" si="12"/>
        <v>4</v>
      </c>
      <c r="L24">
        <f t="shared" si="12"/>
        <v>3</v>
      </c>
      <c r="M24">
        <f t="shared" si="12"/>
        <v>4</v>
      </c>
      <c r="N24">
        <f t="shared" si="12"/>
        <v>3</v>
      </c>
      <c r="O24">
        <f t="shared" si="12"/>
        <v>3</v>
      </c>
      <c r="P24">
        <f t="shared" si="12"/>
        <v>3</v>
      </c>
      <c r="Q24">
        <f t="shared" si="12"/>
        <v>4</v>
      </c>
      <c r="R24">
        <f t="shared" ref="R24" si="13">COUNTIF(R4:R20,"*NST7")</f>
        <v>4</v>
      </c>
      <c r="S24">
        <f t="shared" si="12"/>
        <v>4</v>
      </c>
      <c r="T24">
        <f t="shared" si="12"/>
        <v>4</v>
      </c>
      <c r="U24">
        <f t="shared" si="12"/>
        <v>3</v>
      </c>
      <c r="V24">
        <f t="shared" si="12"/>
        <v>3</v>
      </c>
      <c r="W24">
        <f t="shared" si="12"/>
        <v>4</v>
      </c>
      <c r="X24">
        <f t="shared" si="12"/>
        <v>4</v>
      </c>
      <c r="Y24">
        <f t="shared" si="12"/>
        <v>3</v>
      </c>
      <c r="Z24">
        <f>COUNTIF(Z4:Z20,"*NST7")</f>
        <v>3</v>
      </c>
      <c r="AA24">
        <f t="shared" si="12"/>
        <v>4</v>
      </c>
      <c r="AB24">
        <f t="shared" si="12"/>
        <v>3</v>
      </c>
      <c r="AC24">
        <f t="shared" si="12"/>
        <v>3</v>
      </c>
      <c r="AD24">
        <f t="shared" si="12"/>
        <v>3</v>
      </c>
      <c r="AE24">
        <f t="shared" si="12"/>
        <v>3</v>
      </c>
      <c r="AF24">
        <f t="shared" si="12"/>
        <v>4</v>
      </c>
      <c r="AG24">
        <f t="shared" si="12"/>
        <v>3</v>
      </c>
      <c r="AH24">
        <f t="shared" si="12"/>
        <v>4</v>
      </c>
      <c r="AI24">
        <f t="shared" si="12"/>
        <v>3</v>
      </c>
      <c r="AJ24">
        <f t="shared" si="12"/>
        <v>2</v>
      </c>
      <c r="AK24">
        <f t="shared" si="12"/>
        <v>3</v>
      </c>
      <c r="AL24">
        <f t="shared" si="12"/>
        <v>2</v>
      </c>
    </row>
    <row r="25" spans="1:38" x14ac:dyDescent="0.35">
      <c r="A25" s="128" t="s">
        <v>128</v>
      </c>
      <c r="B25">
        <f t="shared" ref="B25:E25" si="14">COUNTIF(B4:B20,"*GS")</f>
        <v>0</v>
      </c>
      <c r="C25">
        <f t="shared" si="14"/>
        <v>0</v>
      </c>
      <c r="D25">
        <f t="shared" si="14"/>
        <v>2</v>
      </c>
      <c r="E25">
        <f t="shared" si="14"/>
        <v>1</v>
      </c>
      <c r="F25">
        <f t="shared" ref="F25:H25" si="15">COUNTIF(F4:F20,"*GS")</f>
        <v>0</v>
      </c>
      <c r="G25">
        <f t="shared" si="15"/>
        <v>1</v>
      </c>
      <c r="H25">
        <f t="shared" si="15"/>
        <v>0</v>
      </c>
      <c r="I25">
        <f t="shared" ref="I25:AL25" si="16">COUNTIF(I4:I20,"*GS")</f>
        <v>0</v>
      </c>
      <c r="J25">
        <f t="shared" si="16"/>
        <v>1</v>
      </c>
      <c r="K25">
        <f t="shared" si="16"/>
        <v>1</v>
      </c>
      <c r="L25">
        <f t="shared" si="16"/>
        <v>0</v>
      </c>
      <c r="M25">
        <f t="shared" si="16"/>
        <v>0</v>
      </c>
      <c r="N25">
        <f t="shared" si="16"/>
        <v>1</v>
      </c>
      <c r="O25">
        <f t="shared" si="16"/>
        <v>0</v>
      </c>
      <c r="P25">
        <f t="shared" si="16"/>
        <v>0</v>
      </c>
      <c r="Q25">
        <f t="shared" si="16"/>
        <v>0</v>
      </c>
      <c r="R25">
        <f t="shared" ref="R25" si="17">COUNTIF(R4:R20,"*GS")</f>
        <v>1</v>
      </c>
      <c r="S25">
        <f t="shared" si="16"/>
        <v>0</v>
      </c>
      <c r="T25">
        <f t="shared" si="16"/>
        <v>0</v>
      </c>
      <c r="U25">
        <f t="shared" si="16"/>
        <v>1</v>
      </c>
      <c r="V25">
        <f t="shared" si="16"/>
        <v>0</v>
      </c>
      <c r="W25">
        <f t="shared" si="16"/>
        <v>0</v>
      </c>
      <c r="X25">
        <f t="shared" si="16"/>
        <v>0</v>
      </c>
      <c r="Y25">
        <f t="shared" si="16"/>
        <v>0</v>
      </c>
      <c r="Z25">
        <f>COUNTIF(Z4:Z20,"*GS")</f>
        <v>0</v>
      </c>
      <c r="AA25">
        <f t="shared" si="16"/>
        <v>1</v>
      </c>
      <c r="AB25">
        <f t="shared" si="16"/>
        <v>1</v>
      </c>
      <c r="AC25">
        <f t="shared" si="16"/>
        <v>0</v>
      </c>
      <c r="AD25">
        <f t="shared" si="16"/>
        <v>0</v>
      </c>
      <c r="AE25">
        <f t="shared" si="16"/>
        <v>1</v>
      </c>
      <c r="AF25">
        <f t="shared" si="16"/>
        <v>0</v>
      </c>
      <c r="AG25">
        <f t="shared" si="16"/>
        <v>0</v>
      </c>
      <c r="AH25">
        <f t="shared" si="16"/>
        <v>0</v>
      </c>
      <c r="AI25">
        <f t="shared" si="16"/>
        <v>1</v>
      </c>
      <c r="AJ25">
        <f t="shared" si="16"/>
        <v>0</v>
      </c>
      <c r="AK25">
        <f t="shared" si="16"/>
        <v>1</v>
      </c>
      <c r="AL25">
        <f t="shared" si="16"/>
        <v>0</v>
      </c>
    </row>
    <row r="26" spans="1:38" x14ac:dyDescent="0.35">
      <c r="A26" s="128" t="s">
        <v>129</v>
      </c>
      <c r="B26">
        <f t="shared" ref="B26:E26" si="18">COUNTIF(B4:B20,"C")</f>
        <v>3</v>
      </c>
      <c r="C26">
        <f t="shared" si="18"/>
        <v>4</v>
      </c>
      <c r="D26">
        <f t="shared" si="18"/>
        <v>3</v>
      </c>
      <c r="E26">
        <f t="shared" si="18"/>
        <v>3</v>
      </c>
      <c r="F26">
        <f t="shared" ref="F26" si="19">COUNTIF(F4:F20,"C")</f>
        <v>4</v>
      </c>
      <c r="G26">
        <f t="shared" ref="G26:H26" si="20">COUNTIF(G4:G20,"WO")</f>
        <v>7</v>
      </c>
      <c r="H26">
        <f t="shared" si="20"/>
        <v>8</v>
      </c>
      <c r="I26">
        <f t="shared" ref="I26:M26" si="21">COUNTIF(I4:I20,"C")</f>
        <v>4</v>
      </c>
      <c r="J26">
        <f t="shared" si="21"/>
        <v>2</v>
      </c>
      <c r="K26">
        <f t="shared" si="21"/>
        <v>2</v>
      </c>
      <c r="L26">
        <f t="shared" si="21"/>
        <v>2</v>
      </c>
      <c r="M26">
        <f t="shared" si="21"/>
        <v>2</v>
      </c>
      <c r="N26">
        <f t="shared" ref="N26:O26" si="22">COUNTIF(N4:N20,"WO")</f>
        <v>7</v>
      </c>
      <c r="O26">
        <f t="shared" si="22"/>
        <v>8</v>
      </c>
      <c r="P26">
        <f t="shared" ref="P26:T26" si="23">COUNTIF(P4:P20,"C")</f>
        <v>3</v>
      </c>
      <c r="Q26">
        <f t="shared" si="23"/>
        <v>3</v>
      </c>
      <c r="R26">
        <f t="shared" ref="R26" si="24">COUNTIF(R4:R20,"C")</f>
        <v>4</v>
      </c>
      <c r="S26">
        <f t="shared" si="23"/>
        <v>3</v>
      </c>
      <c r="T26">
        <f t="shared" si="23"/>
        <v>2</v>
      </c>
      <c r="U26">
        <f t="shared" ref="U26:V26" si="25">COUNTIF(U4:U20,"WO")</f>
        <v>7</v>
      </c>
      <c r="V26">
        <f t="shared" si="25"/>
        <v>8</v>
      </c>
      <c r="W26">
        <f t="shared" ref="W26:AA26" si="26">COUNTIF(W4:W20,"C")</f>
        <v>3</v>
      </c>
      <c r="X26">
        <f t="shared" si="26"/>
        <v>1</v>
      </c>
      <c r="Y26">
        <f t="shared" si="26"/>
        <v>2</v>
      </c>
      <c r="Z26">
        <f>COUNTIF(Z4:Z20,"C")</f>
        <v>2</v>
      </c>
      <c r="AA26">
        <f t="shared" si="26"/>
        <v>2</v>
      </c>
      <c r="AB26">
        <f t="shared" ref="AB26:AC26" si="27">COUNTIF(AB4:AB20,"WO")</f>
        <v>7</v>
      </c>
      <c r="AC26">
        <f t="shared" si="27"/>
        <v>8</v>
      </c>
      <c r="AD26">
        <f t="shared" ref="AD26:AH26" si="28">COUNTIF(AD4:AD20,"C")</f>
        <v>3</v>
      </c>
      <c r="AE26">
        <f t="shared" si="28"/>
        <v>2</v>
      </c>
      <c r="AF26">
        <f t="shared" si="28"/>
        <v>2</v>
      </c>
      <c r="AG26">
        <f t="shared" si="28"/>
        <v>3</v>
      </c>
      <c r="AH26">
        <f t="shared" si="28"/>
        <v>2</v>
      </c>
      <c r="AI26">
        <f t="shared" ref="AI26:AL26" si="29">COUNTIF(AI4:AI20,"WO")</f>
        <v>7</v>
      </c>
      <c r="AJ26">
        <f t="shared" si="29"/>
        <v>9</v>
      </c>
      <c r="AK26">
        <f t="shared" si="29"/>
        <v>7</v>
      </c>
      <c r="AL26">
        <f t="shared" si="29"/>
        <v>9</v>
      </c>
    </row>
    <row r="27" spans="1:38" x14ac:dyDescent="0.35">
      <c r="A27" s="128" t="s">
        <v>130</v>
      </c>
      <c r="B27">
        <f t="shared" ref="B27:E27" si="30">COUNTIF(B4:B20,"PL")</f>
        <v>0</v>
      </c>
      <c r="C27">
        <f t="shared" si="30"/>
        <v>1</v>
      </c>
      <c r="D27">
        <f t="shared" si="30"/>
        <v>0</v>
      </c>
      <c r="E27">
        <f t="shared" si="30"/>
        <v>0</v>
      </c>
      <c r="F27">
        <f t="shared" ref="F27:H27" si="31">COUNTIF(F4:F20,"PL")</f>
        <v>0</v>
      </c>
      <c r="G27">
        <f t="shared" si="31"/>
        <v>0</v>
      </c>
      <c r="H27">
        <f t="shared" si="31"/>
        <v>0</v>
      </c>
      <c r="I27">
        <f t="shared" ref="I27:AL27" si="32">COUNTIF(I4:I20,"PL")</f>
        <v>1</v>
      </c>
      <c r="J27">
        <f t="shared" si="32"/>
        <v>2</v>
      </c>
      <c r="K27">
        <f t="shared" si="32"/>
        <v>2</v>
      </c>
      <c r="L27">
        <f t="shared" si="32"/>
        <v>2</v>
      </c>
      <c r="M27">
        <f t="shared" si="32"/>
        <v>3</v>
      </c>
      <c r="N27">
        <f t="shared" si="32"/>
        <v>0</v>
      </c>
      <c r="O27">
        <f t="shared" si="32"/>
        <v>0</v>
      </c>
      <c r="P27">
        <f t="shared" si="32"/>
        <v>1</v>
      </c>
      <c r="Q27">
        <f t="shared" si="32"/>
        <v>1</v>
      </c>
      <c r="R27">
        <f t="shared" ref="R27" si="33">COUNTIF(R4:R20,"PL")</f>
        <v>0</v>
      </c>
      <c r="S27">
        <f t="shared" si="32"/>
        <v>0</v>
      </c>
      <c r="T27">
        <f t="shared" si="32"/>
        <v>1</v>
      </c>
      <c r="U27">
        <f t="shared" si="32"/>
        <v>0</v>
      </c>
      <c r="V27">
        <f t="shared" si="32"/>
        <v>0</v>
      </c>
      <c r="W27">
        <f t="shared" si="32"/>
        <v>2</v>
      </c>
      <c r="X27">
        <f t="shared" si="32"/>
        <v>2</v>
      </c>
      <c r="Y27">
        <f t="shared" si="32"/>
        <v>2</v>
      </c>
      <c r="Z27">
        <f>COUNTIF(Z4:Z20,"PL")</f>
        <v>2</v>
      </c>
      <c r="AA27">
        <f t="shared" si="32"/>
        <v>2</v>
      </c>
      <c r="AB27">
        <f t="shared" si="32"/>
        <v>0</v>
      </c>
      <c r="AC27">
        <f t="shared" si="32"/>
        <v>0</v>
      </c>
      <c r="AD27">
        <f t="shared" si="32"/>
        <v>2</v>
      </c>
      <c r="AE27">
        <f t="shared" si="32"/>
        <v>1</v>
      </c>
      <c r="AF27">
        <f t="shared" si="32"/>
        <v>1</v>
      </c>
      <c r="AG27">
        <f t="shared" si="32"/>
        <v>1</v>
      </c>
      <c r="AH27">
        <f t="shared" si="32"/>
        <v>1</v>
      </c>
      <c r="AI27">
        <f t="shared" si="32"/>
        <v>0</v>
      </c>
      <c r="AJ27">
        <f t="shared" si="32"/>
        <v>0</v>
      </c>
      <c r="AK27">
        <f t="shared" si="32"/>
        <v>0</v>
      </c>
      <c r="AL27">
        <f t="shared" si="32"/>
        <v>0</v>
      </c>
    </row>
    <row r="28" spans="1:38" x14ac:dyDescent="0.35">
      <c r="A28" s="128" t="s">
        <v>33</v>
      </c>
      <c r="B28">
        <f t="shared" ref="B28:E28" si="34">COUNTIF(B4:B20,"UPL")</f>
        <v>0</v>
      </c>
      <c r="C28">
        <f t="shared" si="34"/>
        <v>0</v>
      </c>
      <c r="D28">
        <f t="shared" si="34"/>
        <v>0</v>
      </c>
      <c r="E28">
        <f t="shared" si="34"/>
        <v>0</v>
      </c>
      <c r="F28">
        <f t="shared" ref="F28:H28" si="35">COUNTIF(F4:F20,"UPL")</f>
        <v>0</v>
      </c>
      <c r="G28">
        <f t="shared" si="35"/>
        <v>0</v>
      </c>
      <c r="H28">
        <f t="shared" si="35"/>
        <v>0</v>
      </c>
      <c r="I28">
        <f t="shared" ref="I28:AL28" si="36">COUNTIF(I4:I20,"UPL")</f>
        <v>0</v>
      </c>
      <c r="J28">
        <f t="shared" si="36"/>
        <v>0</v>
      </c>
      <c r="K28">
        <f t="shared" si="36"/>
        <v>0</v>
      </c>
      <c r="L28">
        <f t="shared" si="36"/>
        <v>0</v>
      </c>
      <c r="M28">
        <f t="shared" si="36"/>
        <v>0</v>
      </c>
      <c r="N28">
        <f t="shared" si="36"/>
        <v>0</v>
      </c>
      <c r="O28">
        <f t="shared" si="36"/>
        <v>0</v>
      </c>
      <c r="P28">
        <f t="shared" si="36"/>
        <v>0</v>
      </c>
      <c r="Q28">
        <f t="shared" si="36"/>
        <v>0</v>
      </c>
      <c r="R28">
        <f t="shared" ref="R28" si="37">COUNTIF(R4:R20,"UPL")</f>
        <v>0</v>
      </c>
      <c r="S28">
        <f t="shared" si="36"/>
        <v>0</v>
      </c>
      <c r="T28">
        <f t="shared" si="36"/>
        <v>0</v>
      </c>
      <c r="U28">
        <f t="shared" si="36"/>
        <v>0</v>
      </c>
      <c r="V28">
        <f t="shared" si="36"/>
        <v>0</v>
      </c>
      <c r="W28">
        <f t="shared" si="36"/>
        <v>0</v>
      </c>
      <c r="X28">
        <f t="shared" si="36"/>
        <v>0</v>
      </c>
      <c r="Y28">
        <f t="shared" si="36"/>
        <v>0</v>
      </c>
      <c r="Z28">
        <f>COUNTIF(Z4:Z20,"UPL")</f>
        <v>0</v>
      </c>
      <c r="AA28">
        <f t="shared" si="36"/>
        <v>0</v>
      </c>
      <c r="AB28">
        <f t="shared" si="36"/>
        <v>0</v>
      </c>
      <c r="AC28">
        <f t="shared" si="36"/>
        <v>0</v>
      </c>
      <c r="AD28">
        <f t="shared" si="36"/>
        <v>0</v>
      </c>
      <c r="AE28">
        <f t="shared" si="36"/>
        <v>0</v>
      </c>
      <c r="AF28">
        <f t="shared" si="36"/>
        <v>0</v>
      </c>
      <c r="AG28">
        <f t="shared" si="36"/>
        <v>0</v>
      </c>
      <c r="AH28">
        <f t="shared" si="36"/>
        <v>0</v>
      </c>
      <c r="AI28">
        <f t="shared" si="36"/>
        <v>0</v>
      </c>
      <c r="AJ28">
        <f t="shared" si="36"/>
        <v>0</v>
      </c>
      <c r="AK28">
        <f t="shared" si="36"/>
        <v>0</v>
      </c>
      <c r="AL28">
        <f t="shared" si="36"/>
        <v>0</v>
      </c>
    </row>
    <row r="29" spans="1:38" x14ac:dyDescent="0.35">
      <c r="A29" s="128" t="s">
        <v>141</v>
      </c>
      <c r="B29">
        <f t="shared" ref="B29:E29" si="38">COUNTIF(B4:B20,"H")</f>
        <v>0</v>
      </c>
      <c r="C29">
        <f t="shared" si="38"/>
        <v>0</v>
      </c>
      <c r="D29">
        <f t="shared" si="38"/>
        <v>0</v>
      </c>
      <c r="E29">
        <f t="shared" si="38"/>
        <v>0</v>
      </c>
      <c r="F29">
        <f t="shared" ref="F29:H29" si="39">COUNTIF(F4:F20,"H")</f>
        <v>0</v>
      </c>
      <c r="G29">
        <f t="shared" si="39"/>
        <v>0</v>
      </c>
      <c r="H29">
        <f t="shared" si="39"/>
        <v>0</v>
      </c>
      <c r="I29">
        <f t="shared" ref="I29:AL29" si="40">COUNTIF(I4:I20,"H")</f>
        <v>0</v>
      </c>
      <c r="J29">
        <f t="shared" si="40"/>
        <v>0</v>
      </c>
      <c r="K29">
        <f t="shared" si="40"/>
        <v>0</v>
      </c>
      <c r="L29">
        <f t="shared" si="40"/>
        <v>0</v>
      </c>
      <c r="M29">
        <f t="shared" si="40"/>
        <v>0</v>
      </c>
      <c r="N29">
        <f t="shared" si="40"/>
        <v>0</v>
      </c>
      <c r="O29">
        <f t="shared" si="40"/>
        <v>0</v>
      </c>
      <c r="P29">
        <f t="shared" si="40"/>
        <v>0</v>
      </c>
      <c r="Q29">
        <f t="shared" si="40"/>
        <v>0</v>
      </c>
      <c r="R29">
        <f t="shared" ref="R29" si="41">COUNTIF(R4:R20,"H")</f>
        <v>0</v>
      </c>
      <c r="S29">
        <f t="shared" si="40"/>
        <v>0</v>
      </c>
      <c r="T29">
        <f t="shared" si="40"/>
        <v>0</v>
      </c>
      <c r="U29">
        <f t="shared" si="40"/>
        <v>0</v>
      </c>
      <c r="V29">
        <f t="shared" si="40"/>
        <v>0</v>
      </c>
      <c r="W29">
        <f t="shared" si="40"/>
        <v>0</v>
      </c>
      <c r="X29">
        <f t="shared" si="40"/>
        <v>0</v>
      </c>
      <c r="Y29">
        <f t="shared" si="40"/>
        <v>0</v>
      </c>
      <c r="Z29">
        <f>COUNTIF(Z4:Z20,"H")</f>
        <v>0</v>
      </c>
      <c r="AA29">
        <f t="shared" si="40"/>
        <v>0</v>
      </c>
      <c r="AB29">
        <f t="shared" si="40"/>
        <v>0</v>
      </c>
      <c r="AC29">
        <f t="shared" si="40"/>
        <v>0</v>
      </c>
      <c r="AD29">
        <f t="shared" si="40"/>
        <v>0</v>
      </c>
      <c r="AE29">
        <f t="shared" si="40"/>
        <v>0</v>
      </c>
      <c r="AF29">
        <f t="shared" si="40"/>
        <v>0</v>
      </c>
      <c r="AG29">
        <f t="shared" si="40"/>
        <v>0</v>
      </c>
      <c r="AH29">
        <f t="shared" si="40"/>
        <v>0</v>
      </c>
      <c r="AI29">
        <f t="shared" si="40"/>
        <v>0</v>
      </c>
      <c r="AJ29">
        <f t="shared" si="40"/>
        <v>0</v>
      </c>
      <c r="AK29">
        <f t="shared" si="40"/>
        <v>0</v>
      </c>
      <c r="AL29">
        <f t="shared" si="40"/>
        <v>0</v>
      </c>
    </row>
    <row r="30" spans="1:38" x14ac:dyDescent="0.35">
      <c r="A30" s="128" t="s">
        <v>131</v>
      </c>
      <c r="B30" s="129">
        <f t="shared" ref="B30:D30" si="42">SUM(B22:B29)</f>
        <v>15</v>
      </c>
      <c r="C30" s="129">
        <f t="shared" si="42"/>
        <v>15</v>
      </c>
      <c r="D30" s="129">
        <f t="shared" si="42"/>
        <v>15</v>
      </c>
      <c r="E30" s="129">
        <f t="shared" ref="E30:H30" si="43">SUM(E22:E29)</f>
        <v>15</v>
      </c>
      <c r="F30" s="129">
        <f t="shared" si="43"/>
        <v>15</v>
      </c>
      <c r="G30" s="129">
        <f t="shared" si="43"/>
        <v>15</v>
      </c>
      <c r="H30" s="129">
        <f t="shared" si="43"/>
        <v>15</v>
      </c>
      <c r="I30" s="129">
        <f t="shared" ref="I30:AJ30" si="44">SUM(I22:I29)</f>
        <v>15</v>
      </c>
      <c r="J30" s="129">
        <f t="shared" si="44"/>
        <v>15</v>
      </c>
      <c r="K30" s="129">
        <f t="shared" si="44"/>
        <v>15</v>
      </c>
      <c r="L30" s="129">
        <f t="shared" si="44"/>
        <v>15</v>
      </c>
      <c r="M30" s="129">
        <f t="shared" si="44"/>
        <v>15</v>
      </c>
      <c r="N30" s="129">
        <f t="shared" si="44"/>
        <v>15</v>
      </c>
      <c r="O30" s="129">
        <f t="shared" si="44"/>
        <v>15</v>
      </c>
      <c r="P30" s="129">
        <f t="shared" si="44"/>
        <v>15</v>
      </c>
      <c r="Q30" s="129">
        <f t="shared" si="44"/>
        <v>15</v>
      </c>
      <c r="R30" s="129">
        <f t="shared" si="44"/>
        <v>15</v>
      </c>
      <c r="S30" s="129">
        <f t="shared" si="44"/>
        <v>15</v>
      </c>
      <c r="T30" s="129">
        <f t="shared" si="44"/>
        <v>15</v>
      </c>
      <c r="U30" s="129">
        <f t="shared" si="44"/>
        <v>15</v>
      </c>
      <c r="V30" s="129">
        <f t="shared" si="44"/>
        <v>15</v>
      </c>
      <c r="W30" s="129">
        <f t="shared" si="44"/>
        <v>15</v>
      </c>
      <c r="X30" s="129">
        <f t="shared" si="44"/>
        <v>15</v>
      </c>
      <c r="Y30" s="129">
        <f t="shared" si="44"/>
        <v>15</v>
      </c>
      <c r="Z30" s="129">
        <f t="shared" si="44"/>
        <v>15</v>
      </c>
      <c r="AA30" s="129">
        <f t="shared" si="44"/>
        <v>15</v>
      </c>
      <c r="AB30" s="129">
        <f t="shared" si="44"/>
        <v>15</v>
      </c>
      <c r="AC30" s="129">
        <f t="shared" si="44"/>
        <v>15</v>
      </c>
      <c r="AD30" s="129">
        <f t="shared" si="44"/>
        <v>15</v>
      </c>
      <c r="AE30" s="129">
        <f t="shared" si="44"/>
        <v>15</v>
      </c>
      <c r="AF30" s="129">
        <f t="shared" si="44"/>
        <v>15</v>
      </c>
      <c r="AG30" s="129">
        <f t="shared" si="44"/>
        <v>15</v>
      </c>
      <c r="AH30" s="129">
        <f t="shared" si="44"/>
        <v>15</v>
      </c>
      <c r="AI30" s="129">
        <f t="shared" si="44"/>
        <v>15</v>
      </c>
      <c r="AJ30" s="129">
        <f t="shared" si="44"/>
        <v>15</v>
      </c>
      <c r="AK30" s="129">
        <f t="shared" ref="AK30:AL30" si="45">SUM(AK22:AK29)</f>
        <v>15</v>
      </c>
      <c r="AL30" s="129">
        <f t="shared" si="45"/>
        <v>15</v>
      </c>
    </row>
  </sheetData>
  <conditionalFormatting sqref="B22:AL25">
    <cfRule type="cellIs" dxfId="836" priority="1" operator="lessThan">
      <formula>3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/>
  <dimension ref="A1:AF30"/>
  <sheetViews>
    <sheetView zoomScale="55" zoomScaleNormal="55" workbookViewId="0">
      <pane xSplit="1" topLeftCell="B1" activePane="topRight" state="frozen"/>
      <selection pane="topRight" activeCell="W10" sqref="W10"/>
    </sheetView>
  </sheetViews>
  <sheetFormatPr defaultRowHeight="14.5" x14ac:dyDescent="0.35"/>
  <cols>
    <col min="1" max="1" width="27" bestFit="1" customWidth="1"/>
    <col min="2" max="2" width="8.7265625" customWidth="1"/>
    <col min="3" max="3" width="8.54296875" customWidth="1"/>
    <col min="4" max="32" width="8.7265625" customWidth="1"/>
  </cols>
  <sheetData>
    <row r="1" spans="1:32" x14ac:dyDescent="0.35">
      <c r="A1" s="1"/>
      <c r="B1" s="2" t="str">
        <f t="shared" ref="B1:AF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</row>
    <row r="2" spans="1:32" x14ac:dyDescent="0.35">
      <c r="A2" s="95" t="s">
        <v>0</v>
      </c>
      <c r="B2" s="29">
        <v>45108</v>
      </c>
      <c r="C2" s="29">
        <v>45109</v>
      </c>
      <c r="D2" s="29">
        <v>45110</v>
      </c>
      <c r="E2" s="29">
        <v>45111</v>
      </c>
      <c r="F2" s="29">
        <v>45112</v>
      </c>
      <c r="G2" s="29">
        <v>45113</v>
      </c>
      <c r="H2" s="29">
        <v>45114</v>
      </c>
      <c r="I2" s="29">
        <v>45115</v>
      </c>
      <c r="J2" s="29">
        <v>45116</v>
      </c>
      <c r="K2" s="29">
        <v>45117</v>
      </c>
      <c r="L2" s="29">
        <v>45118</v>
      </c>
      <c r="M2" s="29">
        <v>45119</v>
      </c>
      <c r="N2" s="29">
        <v>45120</v>
      </c>
      <c r="O2" s="29">
        <v>45121</v>
      </c>
      <c r="P2" s="29">
        <v>45122</v>
      </c>
      <c r="Q2" s="29">
        <v>45123</v>
      </c>
      <c r="R2" s="29">
        <v>45124</v>
      </c>
      <c r="S2" s="29">
        <v>45125</v>
      </c>
      <c r="T2" s="29">
        <v>45126</v>
      </c>
      <c r="U2" s="29">
        <v>45127</v>
      </c>
      <c r="V2" s="29">
        <v>45128</v>
      </c>
      <c r="W2" s="29">
        <v>45129</v>
      </c>
      <c r="X2" s="29">
        <v>45130</v>
      </c>
      <c r="Y2" s="29">
        <v>45131</v>
      </c>
      <c r="Z2" s="29">
        <v>45132</v>
      </c>
      <c r="AA2" s="29">
        <v>45133</v>
      </c>
      <c r="AB2" s="29">
        <v>45134</v>
      </c>
      <c r="AC2" s="29">
        <v>45135</v>
      </c>
      <c r="AD2" s="29">
        <v>45136</v>
      </c>
      <c r="AE2" s="29">
        <v>45137</v>
      </c>
      <c r="AF2" s="29">
        <v>45138</v>
      </c>
    </row>
    <row r="3" spans="1:32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</row>
    <row r="4" spans="1:32" x14ac:dyDescent="0.35">
      <c r="A4" s="165" t="s">
        <v>57</v>
      </c>
      <c r="B4" s="25" t="s">
        <v>3</v>
      </c>
      <c r="C4" s="114" t="s">
        <v>4</v>
      </c>
      <c r="D4" s="16" t="s">
        <v>10</v>
      </c>
      <c r="E4" s="16" t="s">
        <v>10</v>
      </c>
      <c r="F4" s="16" t="s">
        <v>10</v>
      </c>
      <c r="G4" s="16" t="s">
        <v>10</v>
      </c>
      <c r="H4" s="116" t="s">
        <v>2</v>
      </c>
      <c r="I4" s="114" t="s">
        <v>4</v>
      </c>
      <c r="J4" s="16" t="s">
        <v>11</v>
      </c>
      <c r="K4" s="16" t="s">
        <v>10</v>
      </c>
      <c r="L4" s="16" t="s">
        <v>10</v>
      </c>
      <c r="M4" s="16" t="s">
        <v>10</v>
      </c>
      <c r="N4" s="16" t="s">
        <v>10</v>
      </c>
      <c r="O4" s="116" t="s">
        <v>2</v>
      </c>
      <c r="P4" s="114" t="s">
        <v>4</v>
      </c>
      <c r="Q4" s="16" t="s">
        <v>11</v>
      </c>
      <c r="R4" s="16" t="s">
        <v>10</v>
      </c>
      <c r="S4" s="16" t="s">
        <v>10</v>
      </c>
      <c r="T4" s="16" t="s">
        <v>10</v>
      </c>
      <c r="U4" s="16" t="s">
        <v>10</v>
      </c>
      <c r="V4" s="16" t="s">
        <v>10</v>
      </c>
      <c r="W4" s="114" t="s">
        <v>4</v>
      </c>
      <c r="X4" s="16" t="s">
        <v>11</v>
      </c>
      <c r="Y4" s="16" t="s">
        <v>10</v>
      </c>
      <c r="Z4" s="16" t="s">
        <v>10</v>
      </c>
      <c r="AA4" s="116" t="s">
        <v>2</v>
      </c>
      <c r="AB4" s="16" t="s">
        <v>10</v>
      </c>
      <c r="AC4" s="16" t="s">
        <v>10</v>
      </c>
      <c r="AD4" s="16" t="s">
        <v>11</v>
      </c>
      <c r="AE4" s="16" t="s">
        <v>11</v>
      </c>
      <c r="AF4" s="116" t="s">
        <v>2</v>
      </c>
    </row>
    <row r="5" spans="1:32" x14ac:dyDescent="0.35">
      <c r="A5" s="165" t="s">
        <v>21</v>
      </c>
      <c r="B5" s="19" t="s">
        <v>42</v>
      </c>
      <c r="C5" s="16" t="s">
        <v>11</v>
      </c>
      <c r="D5" s="16" t="s">
        <v>10</v>
      </c>
      <c r="E5" s="16" t="s">
        <v>10</v>
      </c>
      <c r="F5" s="116" t="s">
        <v>2</v>
      </c>
      <c r="G5" s="16" t="s">
        <v>10</v>
      </c>
      <c r="H5" s="16" t="s">
        <v>10</v>
      </c>
      <c r="I5" s="16" t="s">
        <v>11</v>
      </c>
      <c r="J5" s="114" t="s">
        <v>4</v>
      </c>
      <c r="K5" s="16" t="s">
        <v>10</v>
      </c>
      <c r="L5" s="16" t="s">
        <v>10</v>
      </c>
      <c r="M5" s="116" t="s">
        <v>2</v>
      </c>
      <c r="N5" s="16" t="s">
        <v>10</v>
      </c>
      <c r="O5" s="16" t="s">
        <v>10</v>
      </c>
      <c r="P5" s="16" t="s">
        <v>11</v>
      </c>
      <c r="Q5" s="114" t="s">
        <v>4</v>
      </c>
      <c r="R5" s="16" t="s">
        <v>10</v>
      </c>
      <c r="S5" s="16" t="s">
        <v>10</v>
      </c>
      <c r="T5" s="116" t="s">
        <v>2</v>
      </c>
      <c r="U5" s="16" t="s">
        <v>10</v>
      </c>
      <c r="V5" s="16" t="s">
        <v>10</v>
      </c>
      <c r="W5" s="16" t="s">
        <v>11</v>
      </c>
      <c r="X5" s="114" t="s">
        <v>4</v>
      </c>
      <c r="Y5" s="16" t="s">
        <v>10</v>
      </c>
      <c r="Z5" s="16" t="s">
        <v>10</v>
      </c>
      <c r="AA5" s="16" t="s">
        <v>10</v>
      </c>
      <c r="AB5" s="16" t="s">
        <v>10</v>
      </c>
      <c r="AC5" s="116" t="s">
        <v>2</v>
      </c>
      <c r="AD5" s="16" t="s">
        <v>11</v>
      </c>
      <c r="AE5" s="114" t="s">
        <v>4</v>
      </c>
      <c r="AF5" s="19" t="s">
        <v>41</v>
      </c>
    </row>
    <row r="6" spans="1:32" x14ac:dyDescent="0.35">
      <c r="A6" s="141" t="s">
        <v>69</v>
      </c>
      <c r="B6" s="114" t="s">
        <v>4</v>
      </c>
      <c r="C6" s="16" t="s">
        <v>11</v>
      </c>
      <c r="D6" s="16" t="s">
        <v>10</v>
      </c>
      <c r="E6" s="116" t="s">
        <v>2</v>
      </c>
      <c r="F6" s="16" t="s">
        <v>10</v>
      </c>
      <c r="G6" s="16" t="s">
        <v>10</v>
      </c>
      <c r="H6" s="16" t="s">
        <v>10</v>
      </c>
      <c r="I6" s="16" t="s">
        <v>11</v>
      </c>
      <c r="J6" s="114" t="s">
        <v>4</v>
      </c>
      <c r="K6" s="116" t="s">
        <v>2</v>
      </c>
      <c r="L6" s="16" t="s">
        <v>10</v>
      </c>
      <c r="M6" s="16" t="s">
        <v>10</v>
      </c>
      <c r="N6" s="16" t="s">
        <v>10</v>
      </c>
      <c r="O6" s="16" t="s">
        <v>10</v>
      </c>
      <c r="P6" s="16" t="s">
        <v>11</v>
      </c>
      <c r="Q6" s="114" t="s">
        <v>4</v>
      </c>
      <c r="R6" s="116" t="s">
        <v>2</v>
      </c>
      <c r="S6" s="16" t="s">
        <v>10</v>
      </c>
      <c r="T6" s="16" t="s">
        <v>10</v>
      </c>
      <c r="U6" s="16" t="s">
        <v>10</v>
      </c>
      <c r="V6" s="16" t="s">
        <v>10</v>
      </c>
      <c r="W6" s="16" t="s">
        <v>11</v>
      </c>
      <c r="X6" s="114" t="s">
        <v>4</v>
      </c>
      <c r="Y6" s="116" t="s">
        <v>2</v>
      </c>
      <c r="Z6" s="16" t="s">
        <v>10</v>
      </c>
      <c r="AA6" s="16" t="s">
        <v>10</v>
      </c>
      <c r="AB6" s="16" t="s">
        <v>10</v>
      </c>
      <c r="AC6" s="16" t="s">
        <v>10</v>
      </c>
      <c r="AD6" s="16" t="s">
        <v>11</v>
      </c>
      <c r="AE6" s="114" t="s">
        <v>4</v>
      </c>
      <c r="AF6" s="19" t="s">
        <v>41</v>
      </c>
    </row>
    <row r="7" spans="1:32" x14ac:dyDescent="0.35">
      <c r="A7" s="141" t="s">
        <v>70</v>
      </c>
      <c r="B7" s="114" t="s">
        <v>4</v>
      </c>
      <c r="C7" s="114" t="s">
        <v>4</v>
      </c>
      <c r="D7" s="16" t="s">
        <v>10</v>
      </c>
      <c r="E7" s="16" t="s">
        <v>10</v>
      </c>
      <c r="F7" s="16" t="s">
        <v>10</v>
      </c>
      <c r="G7" s="116" t="s">
        <v>2</v>
      </c>
      <c r="H7" s="16" t="s">
        <v>10</v>
      </c>
      <c r="I7" s="114" t="s">
        <v>4</v>
      </c>
      <c r="J7" s="16" t="s">
        <v>11</v>
      </c>
      <c r="K7" s="16" t="s">
        <v>10</v>
      </c>
      <c r="L7" s="116" t="s">
        <v>2</v>
      </c>
      <c r="M7" s="16" t="s">
        <v>10</v>
      </c>
      <c r="N7" s="16" t="s">
        <v>10</v>
      </c>
      <c r="O7" s="16" t="s">
        <v>10</v>
      </c>
      <c r="P7" s="114" t="s">
        <v>4</v>
      </c>
      <c r="Q7" s="16" t="s">
        <v>11</v>
      </c>
      <c r="R7" s="16" t="s">
        <v>10</v>
      </c>
      <c r="S7" s="116" t="s">
        <v>2</v>
      </c>
      <c r="T7" s="16" t="s">
        <v>10</v>
      </c>
      <c r="U7" s="16" t="s">
        <v>10</v>
      </c>
      <c r="V7" s="16" t="s">
        <v>10</v>
      </c>
      <c r="W7" s="114" t="s">
        <v>4</v>
      </c>
      <c r="X7" s="16" t="s">
        <v>11</v>
      </c>
      <c r="Y7" s="16" t="s">
        <v>10</v>
      </c>
      <c r="Z7" s="116" t="s">
        <v>2</v>
      </c>
      <c r="AA7" s="16" t="s">
        <v>10</v>
      </c>
      <c r="AB7" s="16" t="s">
        <v>10</v>
      </c>
      <c r="AC7" s="16" t="s">
        <v>10</v>
      </c>
      <c r="AD7" s="114" t="s">
        <v>4</v>
      </c>
      <c r="AE7" s="16" t="s">
        <v>11</v>
      </c>
      <c r="AF7" s="116" t="s">
        <v>2</v>
      </c>
    </row>
    <row r="8" spans="1:32" x14ac:dyDescent="0.35">
      <c r="A8" s="165" t="s">
        <v>1</v>
      </c>
      <c r="B8" s="122" t="s">
        <v>4</v>
      </c>
      <c r="C8" s="122" t="s">
        <v>4</v>
      </c>
      <c r="D8" s="122" t="s">
        <v>5</v>
      </c>
      <c r="E8" s="122" t="s">
        <v>5</v>
      </c>
      <c r="F8" s="122" t="s">
        <v>5</v>
      </c>
      <c r="G8" s="122" t="s">
        <v>5</v>
      </c>
      <c r="H8" s="122" t="s">
        <v>5</v>
      </c>
      <c r="I8" s="122" t="s">
        <v>4</v>
      </c>
      <c r="J8" s="122" t="s">
        <v>4</v>
      </c>
      <c r="K8" s="122" t="s">
        <v>5</v>
      </c>
      <c r="L8" s="122" t="s">
        <v>5</v>
      </c>
      <c r="M8" s="122" t="s">
        <v>5</v>
      </c>
      <c r="N8" s="122" t="s">
        <v>5</v>
      </c>
      <c r="O8" s="122" t="s">
        <v>5</v>
      </c>
      <c r="P8" s="122" t="s">
        <v>4</v>
      </c>
      <c r="Q8" s="122" t="s">
        <v>4</v>
      </c>
      <c r="R8" s="122" t="s">
        <v>5</v>
      </c>
      <c r="S8" s="122" t="s">
        <v>5</v>
      </c>
      <c r="T8" s="122" t="s">
        <v>5</v>
      </c>
      <c r="U8" s="122" t="s">
        <v>5</v>
      </c>
      <c r="V8" s="122" t="s">
        <v>5</v>
      </c>
      <c r="W8" s="122" t="s">
        <v>4</v>
      </c>
      <c r="X8" s="122" t="s">
        <v>4</v>
      </c>
      <c r="Y8" s="122" t="s">
        <v>5</v>
      </c>
      <c r="Z8" s="122" t="s">
        <v>5</v>
      </c>
      <c r="AA8" s="122" t="s">
        <v>5</v>
      </c>
      <c r="AB8" s="122" t="s">
        <v>5</v>
      </c>
      <c r="AC8" s="122" t="s">
        <v>5</v>
      </c>
      <c r="AD8" s="122" t="s">
        <v>4</v>
      </c>
      <c r="AE8" s="122" t="s">
        <v>4</v>
      </c>
      <c r="AF8" s="122" t="s">
        <v>5</v>
      </c>
    </row>
    <row r="10" spans="1:32" x14ac:dyDescent="0.35">
      <c r="A10" s="165" t="s">
        <v>9</v>
      </c>
      <c r="B10" s="16" t="s">
        <v>11</v>
      </c>
      <c r="C10" s="114" t="s">
        <v>4</v>
      </c>
      <c r="D10" s="175" t="s">
        <v>6</v>
      </c>
      <c r="E10" s="175" t="s">
        <v>6</v>
      </c>
      <c r="F10" s="116" t="s">
        <v>2</v>
      </c>
      <c r="G10" s="25" t="s">
        <v>6</v>
      </c>
      <c r="H10" s="25" t="s">
        <v>6</v>
      </c>
      <c r="I10" s="25" t="s">
        <v>3</v>
      </c>
      <c r="J10" s="114" t="s">
        <v>4</v>
      </c>
      <c r="K10" s="175" t="s">
        <v>6</v>
      </c>
      <c r="L10" s="175" t="s">
        <v>6</v>
      </c>
      <c r="M10" s="116" t="s">
        <v>2</v>
      </c>
      <c r="N10" s="25" t="s">
        <v>6</v>
      </c>
      <c r="O10" s="25" t="s">
        <v>6</v>
      </c>
      <c r="P10" s="25" t="s">
        <v>3</v>
      </c>
      <c r="Q10" s="114" t="s">
        <v>4</v>
      </c>
      <c r="R10" s="175" t="s">
        <v>6</v>
      </c>
      <c r="S10" s="175" t="s">
        <v>6</v>
      </c>
      <c r="T10" s="116" t="s">
        <v>2</v>
      </c>
      <c r="U10" s="25" t="s">
        <v>6</v>
      </c>
      <c r="V10" s="25" t="s">
        <v>6</v>
      </c>
      <c r="W10" s="25" t="s">
        <v>3</v>
      </c>
      <c r="X10" s="114" t="s">
        <v>4</v>
      </c>
      <c r="Y10" s="25" t="s">
        <v>6</v>
      </c>
      <c r="Z10" s="25" t="s">
        <v>6</v>
      </c>
      <c r="AA10" s="116" t="s">
        <v>2</v>
      </c>
      <c r="AB10" s="25" t="s">
        <v>6</v>
      </c>
      <c r="AC10" s="25" t="s">
        <v>6</v>
      </c>
      <c r="AD10" s="25" t="s">
        <v>3</v>
      </c>
      <c r="AE10" s="25" t="s">
        <v>3</v>
      </c>
      <c r="AF10" s="175" t="s">
        <v>6</v>
      </c>
    </row>
    <row r="11" spans="1:32" x14ac:dyDescent="0.35">
      <c r="A11" s="165" t="s">
        <v>124</v>
      </c>
      <c r="B11" s="114" t="s">
        <v>4</v>
      </c>
      <c r="C11" s="25" t="s">
        <v>3</v>
      </c>
      <c r="D11" s="25" t="s">
        <v>6</v>
      </c>
      <c r="E11" s="25" t="s">
        <v>6</v>
      </c>
      <c r="F11" s="25" t="s">
        <v>6</v>
      </c>
      <c r="G11" s="116" t="s">
        <v>2</v>
      </c>
      <c r="H11" s="25" t="s">
        <v>6</v>
      </c>
      <c r="I11" s="114" t="s">
        <v>4</v>
      </c>
      <c r="J11" s="25" t="s">
        <v>3</v>
      </c>
      <c r="K11" s="25" t="s">
        <v>6</v>
      </c>
      <c r="L11" s="25" t="s">
        <v>6</v>
      </c>
      <c r="M11" s="25" t="s">
        <v>6</v>
      </c>
      <c r="N11" s="116" t="s">
        <v>2</v>
      </c>
      <c r="O11" s="25" t="s">
        <v>6</v>
      </c>
      <c r="P11" s="114" t="s">
        <v>4</v>
      </c>
      <c r="Q11" s="25" t="s">
        <v>3</v>
      </c>
      <c r="R11" s="25" t="s">
        <v>6</v>
      </c>
      <c r="S11" s="25" t="s">
        <v>6</v>
      </c>
      <c r="T11" s="25" t="s">
        <v>6</v>
      </c>
      <c r="U11" s="25" t="s">
        <v>6</v>
      </c>
      <c r="V11" s="116" t="s">
        <v>2</v>
      </c>
      <c r="W11" s="114" t="s">
        <v>4</v>
      </c>
      <c r="X11" s="25" t="s">
        <v>3</v>
      </c>
      <c r="Y11" s="25" t="s">
        <v>6</v>
      </c>
      <c r="Z11" s="25" t="s">
        <v>6</v>
      </c>
      <c r="AA11" s="25" t="s">
        <v>6</v>
      </c>
      <c r="AB11" s="116" t="s">
        <v>2</v>
      </c>
      <c r="AC11" s="25" t="s">
        <v>6</v>
      </c>
      <c r="AD11" s="114" t="s">
        <v>4</v>
      </c>
      <c r="AE11" s="19" t="s">
        <v>42</v>
      </c>
      <c r="AF11" s="19" t="s">
        <v>41</v>
      </c>
    </row>
    <row r="12" spans="1:32" x14ac:dyDescent="0.35">
      <c r="A12" s="141" t="s">
        <v>22</v>
      </c>
      <c r="B12" s="25" t="s">
        <v>3</v>
      </c>
      <c r="C12" s="25" t="s">
        <v>3</v>
      </c>
      <c r="D12" s="116" t="s">
        <v>2</v>
      </c>
      <c r="E12" s="116" t="s">
        <v>2</v>
      </c>
      <c r="F12" s="25" t="s">
        <v>6</v>
      </c>
      <c r="G12" s="25" t="s">
        <v>6</v>
      </c>
      <c r="H12" s="116" t="s">
        <v>2</v>
      </c>
      <c r="I12" s="25" t="s">
        <v>3</v>
      </c>
      <c r="J12" s="114" t="s">
        <v>4</v>
      </c>
      <c r="K12" s="25" t="s">
        <v>6</v>
      </c>
      <c r="L12" s="25" t="s">
        <v>6</v>
      </c>
      <c r="M12" s="25" t="s">
        <v>6</v>
      </c>
      <c r="N12" s="25" t="s">
        <v>6</v>
      </c>
      <c r="O12" s="116" t="s">
        <v>2</v>
      </c>
      <c r="P12" s="114" t="s">
        <v>4</v>
      </c>
      <c r="Q12" s="25" t="s">
        <v>3</v>
      </c>
      <c r="R12" s="25" t="s">
        <v>6</v>
      </c>
      <c r="S12" s="25" t="s">
        <v>6</v>
      </c>
      <c r="T12" s="25" t="s">
        <v>6</v>
      </c>
      <c r="U12" s="116" t="s">
        <v>2</v>
      </c>
      <c r="V12" s="25" t="s">
        <v>6</v>
      </c>
      <c r="W12" s="25" t="s">
        <v>3</v>
      </c>
      <c r="X12" s="25" t="s">
        <v>3</v>
      </c>
      <c r="Y12" s="116" t="s">
        <v>2</v>
      </c>
      <c r="Z12" s="25" t="s">
        <v>6</v>
      </c>
      <c r="AA12" s="25" t="s">
        <v>6</v>
      </c>
      <c r="AB12" s="25" t="s">
        <v>6</v>
      </c>
      <c r="AC12" s="116" t="s">
        <v>2</v>
      </c>
      <c r="AD12" s="114" t="s">
        <v>4</v>
      </c>
      <c r="AE12" s="25" t="s">
        <v>3</v>
      </c>
      <c r="AF12" s="25" t="s">
        <v>6</v>
      </c>
    </row>
    <row r="13" spans="1:32" x14ac:dyDescent="0.35">
      <c r="A13" s="141" t="s">
        <v>149</v>
      </c>
      <c r="B13" s="16" t="s">
        <v>11</v>
      </c>
      <c r="C13" s="114" t="s">
        <v>4</v>
      </c>
      <c r="D13" s="25" t="s">
        <v>6</v>
      </c>
      <c r="E13" s="25" t="s">
        <v>6</v>
      </c>
      <c r="F13" s="25" t="s">
        <v>6</v>
      </c>
      <c r="G13" s="122" t="s">
        <v>5</v>
      </c>
      <c r="H13" s="25" t="s">
        <v>6</v>
      </c>
      <c r="I13" s="114" t="s">
        <v>4</v>
      </c>
      <c r="J13" s="114" t="s">
        <v>4</v>
      </c>
      <c r="K13" s="25" t="s">
        <v>6</v>
      </c>
      <c r="L13" s="116" t="s">
        <v>2</v>
      </c>
      <c r="M13" s="25" t="s">
        <v>6</v>
      </c>
      <c r="N13" s="25" t="s">
        <v>6</v>
      </c>
      <c r="O13" s="25" t="s">
        <v>6</v>
      </c>
      <c r="P13" s="22" t="s">
        <v>30</v>
      </c>
      <c r="Q13" s="114" t="s">
        <v>4</v>
      </c>
      <c r="R13" s="25" t="s">
        <v>6</v>
      </c>
      <c r="S13" s="116" t="s">
        <v>2</v>
      </c>
      <c r="T13" s="25" t="s">
        <v>6</v>
      </c>
      <c r="U13" s="25" t="s">
        <v>6</v>
      </c>
      <c r="V13" s="25" t="s">
        <v>6</v>
      </c>
      <c r="W13" s="22" t="s">
        <v>30</v>
      </c>
      <c r="X13" s="114" t="s">
        <v>4</v>
      </c>
      <c r="Y13" s="25" t="s">
        <v>6</v>
      </c>
      <c r="Z13" s="116" t="s">
        <v>2</v>
      </c>
      <c r="AA13" s="25" t="s">
        <v>6</v>
      </c>
      <c r="AB13" s="25" t="s">
        <v>6</v>
      </c>
      <c r="AC13" s="25" t="s">
        <v>6</v>
      </c>
      <c r="AD13" s="22" t="s">
        <v>30</v>
      </c>
      <c r="AE13" s="114" t="s">
        <v>4</v>
      </c>
      <c r="AF13" s="19" t="s">
        <v>41</v>
      </c>
    </row>
    <row r="14" spans="1:32" x14ac:dyDescent="0.35">
      <c r="A14" s="141" t="s">
        <v>68</v>
      </c>
      <c r="B14" s="19" t="s">
        <v>42</v>
      </c>
      <c r="C14" s="114" t="s">
        <v>4</v>
      </c>
      <c r="D14" s="116" t="s">
        <v>2</v>
      </c>
      <c r="E14" s="25" t="s">
        <v>6</v>
      </c>
      <c r="F14" s="25" t="s">
        <v>6</v>
      </c>
      <c r="G14" s="25" t="s">
        <v>6</v>
      </c>
      <c r="H14" s="25" t="s">
        <v>6</v>
      </c>
      <c r="I14" s="114" t="s">
        <v>4</v>
      </c>
      <c r="J14" s="25" t="s">
        <v>3</v>
      </c>
      <c r="K14" s="116" t="s">
        <v>2</v>
      </c>
      <c r="L14" s="25" t="s">
        <v>6</v>
      </c>
      <c r="M14" s="25" t="s">
        <v>6</v>
      </c>
      <c r="N14" s="25" t="s">
        <v>6</v>
      </c>
      <c r="O14" s="25" t="s">
        <v>6</v>
      </c>
      <c r="P14" s="25" t="s">
        <v>3</v>
      </c>
      <c r="Q14" s="114" t="s">
        <v>4</v>
      </c>
      <c r="R14" s="116" t="s">
        <v>2</v>
      </c>
      <c r="S14" s="25" t="s">
        <v>6</v>
      </c>
      <c r="T14" s="25" t="s">
        <v>6</v>
      </c>
      <c r="U14" s="25" t="s">
        <v>6</v>
      </c>
      <c r="V14" s="25" t="s">
        <v>6</v>
      </c>
      <c r="W14" s="114" t="s">
        <v>4</v>
      </c>
      <c r="X14" s="114" t="s">
        <v>4</v>
      </c>
      <c r="Y14" s="25" t="s">
        <v>6</v>
      </c>
      <c r="Z14" s="25" t="s">
        <v>6</v>
      </c>
      <c r="AA14" s="25" t="s">
        <v>6</v>
      </c>
      <c r="AB14" s="25" t="s">
        <v>6</v>
      </c>
      <c r="AC14" s="25" t="s">
        <v>6</v>
      </c>
      <c r="AD14" s="25" t="s">
        <v>3</v>
      </c>
      <c r="AE14" s="114" t="s">
        <v>4</v>
      </c>
      <c r="AF14" s="16" t="s">
        <v>10</v>
      </c>
    </row>
    <row r="16" spans="1:32" x14ac:dyDescent="0.35">
      <c r="A16" s="165" t="s">
        <v>15</v>
      </c>
      <c r="B16" s="114" t="s">
        <v>4</v>
      </c>
      <c r="C16" s="19" t="s">
        <v>42</v>
      </c>
      <c r="D16" s="19" t="s">
        <v>41</v>
      </c>
      <c r="E16" s="19" t="s">
        <v>41</v>
      </c>
      <c r="F16" s="19" t="s">
        <v>41</v>
      </c>
      <c r="G16" s="169" t="s">
        <v>34</v>
      </c>
      <c r="H16" s="116" t="s">
        <v>2</v>
      </c>
      <c r="I16" s="114" t="s">
        <v>4</v>
      </c>
      <c r="J16" s="19" t="s">
        <v>42</v>
      </c>
      <c r="K16" s="19" t="s">
        <v>41</v>
      </c>
      <c r="L16" s="19" t="s">
        <v>41</v>
      </c>
      <c r="M16" s="19" t="s">
        <v>41</v>
      </c>
      <c r="N16" s="19" t="s">
        <v>41</v>
      </c>
      <c r="O16" s="116" t="s">
        <v>2</v>
      </c>
      <c r="P16" s="19" t="s">
        <v>42</v>
      </c>
      <c r="Q16" s="19" t="s">
        <v>42</v>
      </c>
      <c r="R16" s="19" t="s">
        <v>41</v>
      </c>
      <c r="S16" s="19" t="s">
        <v>41</v>
      </c>
      <c r="T16" s="19" t="s">
        <v>41</v>
      </c>
      <c r="U16" s="19" t="s">
        <v>41</v>
      </c>
      <c r="V16" s="116" t="s">
        <v>2</v>
      </c>
      <c r="W16" s="114" t="s">
        <v>4</v>
      </c>
      <c r="X16" s="114" t="s">
        <v>4</v>
      </c>
      <c r="Y16" s="19" t="s">
        <v>41</v>
      </c>
      <c r="Z16" s="19" t="s">
        <v>41</v>
      </c>
      <c r="AA16" s="19" t="s">
        <v>41</v>
      </c>
      <c r="AB16" s="19" t="s">
        <v>41</v>
      </c>
      <c r="AC16" s="116" t="s">
        <v>2</v>
      </c>
      <c r="AD16" s="114" t="s">
        <v>4</v>
      </c>
      <c r="AE16" s="114" t="s">
        <v>4</v>
      </c>
      <c r="AF16" s="25" t="s">
        <v>6</v>
      </c>
    </row>
    <row r="17" spans="1:32" x14ac:dyDescent="0.35">
      <c r="A17" s="165" t="s">
        <v>43</v>
      </c>
      <c r="B17" s="114" t="s">
        <v>4</v>
      </c>
      <c r="C17" s="19" t="s">
        <v>42</v>
      </c>
      <c r="D17" s="116" t="s">
        <v>2</v>
      </c>
      <c r="E17" s="19" t="s">
        <v>41</v>
      </c>
      <c r="F17" s="19" t="s">
        <v>41</v>
      </c>
      <c r="G17" s="19" t="s">
        <v>41</v>
      </c>
      <c r="H17" s="19" t="s">
        <v>41</v>
      </c>
      <c r="I17" s="19" t="s">
        <v>42</v>
      </c>
      <c r="J17" s="114" t="s">
        <v>4</v>
      </c>
      <c r="K17" s="116" t="s">
        <v>2</v>
      </c>
      <c r="L17" s="19" t="s">
        <v>41</v>
      </c>
      <c r="M17" s="19" t="s">
        <v>41</v>
      </c>
      <c r="N17" s="19" t="s">
        <v>41</v>
      </c>
      <c r="O17" s="19" t="s">
        <v>41</v>
      </c>
      <c r="P17" s="114" t="s">
        <v>4</v>
      </c>
      <c r="Q17" s="114" t="s">
        <v>4</v>
      </c>
      <c r="R17" s="116" t="s">
        <v>2</v>
      </c>
      <c r="S17" s="19" t="s">
        <v>41</v>
      </c>
      <c r="T17" s="19" t="s">
        <v>41</v>
      </c>
      <c r="U17" s="19" t="s">
        <v>41</v>
      </c>
      <c r="V17" s="19" t="s">
        <v>41</v>
      </c>
      <c r="W17" s="19" t="s">
        <v>42</v>
      </c>
      <c r="X17" s="19" t="s">
        <v>42</v>
      </c>
      <c r="Y17" s="116" t="s">
        <v>2</v>
      </c>
      <c r="Z17" s="116" t="s">
        <v>2</v>
      </c>
      <c r="AA17" s="19" t="s">
        <v>41</v>
      </c>
      <c r="AB17" s="19" t="s">
        <v>41</v>
      </c>
      <c r="AC17" s="19" t="s">
        <v>41</v>
      </c>
      <c r="AD17" s="19" t="s">
        <v>42</v>
      </c>
      <c r="AE17" s="114" t="s">
        <v>4</v>
      </c>
      <c r="AF17" s="16" t="s">
        <v>10</v>
      </c>
    </row>
    <row r="18" spans="1:32" x14ac:dyDescent="0.35">
      <c r="A18" s="141" t="s">
        <v>60</v>
      </c>
      <c r="B18" s="122" t="s">
        <v>4</v>
      </c>
      <c r="C18" s="122" t="s">
        <v>4</v>
      </c>
      <c r="D18" s="19" t="s">
        <v>41</v>
      </c>
      <c r="E18" s="19" t="s">
        <v>41</v>
      </c>
      <c r="F18" s="19" t="s">
        <v>41</v>
      </c>
      <c r="G18" s="116" t="s">
        <v>2</v>
      </c>
      <c r="H18" s="19" t="s">
        <v>41</v>
      </c>
      <c r="I18" s="19" t="s">
        <v>42</v>
      </c>
      <c r="J18" s="114" t="s">
        <v>4</v>
      </c>
      <c r="K18" s="19" t="s">
        <v>41</v>
      </c>
      <c r="L18" s="122" t="s">
        <v>5</v>
      </c>
      <c r="M18" s="122" t="s">
        <v>5</v>
      </c>
      <c r="N18" s="122" t="s">
        <v>5</v>
      </c>
      <c r="O18" s="19" t="s">
        <v>41</v>
      </c>
      <c r="P18" s="19" t="s">
        <v>42</v>
      </c>
      <c r="Q18" s="19" t="s">
        <v>42</v>
      </c>
      <c r="R18" s="19" t="s">
        <v>41</v>
      </c>
      <c r="S18" s="19" t="s">
        <v>41</v>
      </c>
      <c r="T18" s="19" t="s">
        <v>41</v>
      </c>
      <c r="U18" s="116" t="s">
        <v>2</v>
      </c>
      <c r="V18" s="19" t="s">
        <v>41</v>
      </c>
      <c r="W18" s="114" t="s">
        <v>4</v>
      </c>
      <c r="X18" s="19" t="s">
        <v>42</v>
      </c>
      <c r="Y18" s="19" t="s">
        <v>41</v>
      </c>
      <c r="Z18" s="19" t="s">
        <v>41</v>
      </c>
      <c r="AA18" s="19" t="s">
        <v>41</v>
      </c>
      <c r="AB18" s="116" t="s">
        <v>2</v>
      </c>
      <c r="AC18" s="19" t="s">
        <v>41</v>
      </c>
      <c r="AD18" s="19" t="s">
        <v>42</v>
      </c>
      <c r="AE18" s="114" t="s">
        <v>4</v>
      </c>
      <c r="AF18" s="16" t="s">
        <v>10</v>
      </c>
    </row>
    <row r="19" spans="1:32" x14ac:dyDescent="0.35">
      <c r="A19" s="141" t="s">
        <v>151</v>
      </c>
      <c r="B19" s="22" t="s">
        <v>30</v>
      </c>
      <c r="C19" s="114" t="s">
        <v>4</v>
      </c>
      <c r="D19" s="19" t="s">
        <v>41</v>
      </c>
      <c r="E19" s="116" t="s">
        <v>2</v>
      </c>
      <c r="F19" s="19" t="s">
        <v>41</v>
      </c>
      <c r="G19" s="19" t="s">
        <v>41</v>
      </c>
      <c r="H19" s="19" t="s">
        <v>41</v>
      </c>
      <c r="I19" s="22" t="s">
        <v>30</v>
      </c>
      <c r="J19" s="114" t="s">
        <v>4</v>
      </c>
      <c r="K19" s="19" t="s">
        <v>41</v>
      </c>
      <c r="L19" s="19" t="s">
        <v>41</v>
      </c>
      <c r="M19" s="19" t="s">
        <v>41</v>
      </c>
      <c r="N19" s="19" t="s">
        <v>41</v>
      </c>
      <c r="O19" s="19" t="s">
        <v>41</v>
      </c>
      <c r="P19" s="114" t="s">
        <v>4</v>
      </c>
      <c r="Q19" s="114" t="s">
        <v>4</v>
      </c>
      <c r="R19" s="19" t="s">
        <v>41</v>
      </c>
      <c r="S19" s="116" t="s">
        <v>2</v>
      </c>
      <c r="T19" s="19" t="s">
        <v>41</v>
      </c>
      <c r="U19" s="19" t="s">
        <v>41</v>
      </c>
      <c r="V19" s="19" t="s">
        <v>41</v>
      </c>
      <c r="W19" s="114" t="s">
        <v>4</v>
      </c>
      <c r="X19" s="114" t="s">
        <v>4</v>
      </c>
      <c r="Y19" s="19" t="s">
        <v>41</v>
      </c>
      <c r="Z19" s="19" t="s">
        <v>41</v>
      </c>
      <c r="AA19" s="19" t="s">
        <v>41</v>
      </c>
      <c r="AB19" s="19" t="s">
        <v>41</v>
      </c>
      <c r="AC19" s="19" t="s">
        <v>41</v>
      </c>
      <c r="AD19" s="114" t="s">
        <v>4</v>
      </c>
      <c r="AE19" s="114" t="s">
        <v>4</v>
      </c>
      <c r="AF19" s="16" t="s">
        <v>10</v>
      </c>
    </row>
    <row r="20" spans="1:32" x14ac:dyDescent="0.35">
      <c r="A20" s="141" t="s">
        <v>71</v>
      </c>
      <c r="B20" s="16" t="s">
        <v>11</v>
      </c>
      <c r="C20" s="114" t="s">
        <v>4</v>
      </c>
      <c r="D20" s="19" t="s">
        <v>41</v>
      </c>
      <c r="E20" s="19" t="s">
        <v>41</v>
      </c>
      <c r="F20" s="116" t="s">
        <v>2</v>
      </c>
      <c r="G20" s="19" t="s">
        <v>41</v>
      </c>
      <c r="H20" s="19" t="s">
        <v>41</v>
      </c>
      <c r="I20" s="114" t="s">
        <v>4</v>
      </c>
      <c r="J20" s="19" t="s">
        <v>42</v>
      </c>
      <c r="K20" s="19" t="s">
        <v>41</v>
      </c>
      <c r="L20" s="19" t="s">
        <v>41</v>
      </c>
      <c r="M20" s="19" t="s">
        <v>41</v>
      </c>
      <c r="N20" s="19" t="s">
        <v>41</v>
      </c>
      <c r="O20" s="19" t="s">
        <v>41</v>
      </c>
      <c r="P20" s="114" t="s">
        <v>4</v>
      </c>
      <c r="Q20" s="114" t="s">
        <v>4</v>
      </c>
      <c r="R20" s="19" t="s">
        <v>41</v>
      </c>
      <c r="S20" s="19" t="s">
        <v>41</v>
      </c>
      <c r="T20" s="116" t="s">
        <v>2</v>
      </c>
      <c r="U20" s="19" t="s">
        <v>41</v>
      </c>
      <c r="V20" s="19" t="s">
        <v>41</v>
      </c>
      <c r="W20" s="19" t="s">
        <v>42</v>
      </c>
      <c r="X20" s="114" t="s">
        <v>4</v>
      </c>
      <c r="Y20" s="19" t="s">
        <v>41</v>
      </c>
      <c r="Z20" s="19" t="s">
        <v>41</v>
      </c>
      <c r="AA20" s="116" t="s">
        <v>2</v>
      </c>
      <c r="AB20" s="19" t="s">
        <v>41</v>
      </c>
      <c r="AC20" s="19" t="s">
        <v>41</v>
      </c>
      <c r="AD20" s="114" t="s">
        <v>4</v>
      </c>
      <c r="AE20" s="19" t="s">
        <v>42</v>
      </c>
      <c r="AF20" s="116" t="s">
        <v>2</v>
      </c>
    </row>
    <row r="22" spans="1:32" x14ac:dyDescent="0.35">
      <c r="A22" s="128" t="s">
        <v>125</v>
      </c>
      <c r="B22">
        <f t="shared" ref="B22:H22" si="1">COUNTIF(B4:B20,"*MS")</f>
        <v>2</v>
      </c>
      <c r="C22">
        <f t="shared" si="1"/>
        <v>2</v>
      </c>
      <c r="D22">
        <f t="shared" si="1"/>
        <v>3</v>
      </c>
      <c r="E22">
        <f t="shared" si="1"/>
        <v>4</v>
      </c>
      <c r="F22">
        <f t="shared" si="1"/>
        <v>4</v>
      </c>
      <c r="G22">
        <f t="shared" si="1"/>
        <v>3</v>
      </c>
      <c r="H22">
        <f t="shared" si="1"/>
        <v>4</v>
      </c>
      <c r="I22">
        <f t="shared" ref="I22:O22" si="2">COUNTIF(I4:I20,"*MS")</f>
        <v>2</v>
      </c>
      <c r="J22">
        <f t="shared" si="2"/>
        <v>2</v>
      </c>
      <c r="K22">
        <f t="shared" si="2"/>
        <v>4</v>
      </c>
      <c r="L22">
        <f t="shared" si="2"/>
        <v>4</v>
      </c>
      <c r="M22">
        <f t="shared" si="2"/>
        <v>4</v>
      </c>
      <c r="N22">
        <f t="shared" si="2"/>
        <v>4</v>
      </c>
      <c r="O22">
        <f t="shared" si="2"/>
        <v>4</v>
      </c>
      <c r="P22">
        <f t="shared" ref="P22:Q22" si="3">COUNTIF(P4:P20,"*MS")</f>
        <v>2</v>
      </c>
      <c r="Q22">
        <f t="shared" si="3"/>
        <v>2</v>
      </c>
      <c r="R22">
        <f t="shared" ref="R22:V22" si="4">COUNTIF(R4:R20,"*MS")</f>
        <v>4</v>
      </c>
      <c r="S22">
        <f t="shared" si="4"/>
        <v>4</v>
      </c>
      <c r="T22">
        <f t="shared" si="4"/>
        <v>4</v>
      </c>
      <c r="U22">
        <f t="shared" si="4"/>
        <v>4</v>
      </c>
      <c r="V22">
        <f t="shared" si="4"/>
        <v>4</v>
      </c>
      <c r="W22">
        <f>COUNTIF(W4:W20,"*MS")</f>
        <v>2</v>
      </c>
      <c r="X22">
        <f>COUNTIF(X4:X20,"*MS")</f>
        <v>2</v>
      </c>
      <c r="Y22">
        <f t="shared" ref="Y22:AC22" si="5">COUNTIF(Y4:Y20,"*MS")</f>
        <v>4</v>
      </c>
      <c r="Z22">
        <f t="shared" si="5"/>
        <v>4</v>
      </c>
      <c r="AA22">
        <f t="shared" si="5"/>
        <v>4</v>
      </c>
      <c r="AB22">
        <f t="shared" si="5"/>
        <v>4</v>
      </c>
      <c r="AC22">
        <f t="shared" si="5"/>
        <v>4</v>
      </c>
      <c r="AD22">
        <f t="shared" ref="AD22:AF22" si="6">COUNTIF(AD4:AD20,"*MS")</f>
        <v>2</v>
      </c>
      <c r="AE22">
        <f t="shared" si="6"/>
        <v>2</v>
      </c>
      <c r="AF22">
        <f t="shared" si="6"/>
        <v>3</v>
      </c>
    </row>
    <row r="23" spans="1:32" x14ac:dyDescent="0.35">
      <c r="A23" s="128" t="s">
        <v>126</v>
      </c>
      <c r="B23">
        <f t="shared" ref="B23:H23" si="7">COUNTIF(B4:B20,"*ASS1")</f>
        <v>2</v>
      </c>
      <c r="C23">
        <f t="shared" si="7"/>
        <v>2</v>
      </c>
      <c r="D23">
        <f t="shared" si="7"/>
        <v>4</v>
      </c>
      <c r="E23">
        <f t="shared" si="7"/>
        <v>4</v>
      </c>
      <c r="F23">
        <f t="shared" si="7"/>
        <v>4</v>
      </c>
      <c r="G23">
        <f t="shared" si="7"/>
        <v>3</v>
      </c>
      <c r="H23">
        <f t="shared" si="7"/>
        <v>4</v>
      </c>
      <c r="I23">
        <f t="shared" ref="I23:O23" si="8">COUNTIF(I4:I20,"*ASS1")</f>
        <v>2</v>
      </c>
      <c r="J23">
        <f t="shared" si="8"/>
        <v>2</v>
      </c>
      <c r="K23">
        <f t="shared" si="8"/>
        <v>4</v>
      </c>
      <c r="L23">
        <f t="shared" si="8"/>
        <v>4</v>
      </c>
      <c r="M23">
        <f t="shared" si="8"/>
        <v>4</v>
      </c>
      <c r="N23">
        <f t="shared" si="8"/>
        <v>4</v>
      </c>
      <c r="O23">
        <f t="shared" si="8"/>
        <v>4</v>
      </c>
      <c r="P23">
        <f t="shared" ref="P23:Q23" si="9">COUNTIF(P4:P20,"*ASS1")</f>
        <v>2</v>
      </c>
      <c r="Q23">
        <f t="shared" si="9"/>
        <v>2</v>
      </c>
      <c r="R23">
        <f t="shared" ref="R23:V23" si="10">COUNTIF(R4:R20,"*ASS1")</f>
        <v>4</v>
      </c>
      <c r="S23">
        <f t="shared" si="10"/>
        <v>4</v>
      </c>
      <c r="T23">
        <f t="shared" si="10"/>
        <v>4</v>
      </c>
      <c r="U23">
        <f t="shared" si="10"/>
        <v>4</v>
      </c>
      <c r="V23">
        <f t="shared" si="10"/>
        <v>4</v>
      </c>
      <c r="W23">
        <f>COUNTIF(W4:W20,"*ASS1")</f>
        <v>2</v>
      </c>
      <c r="X23">
        <f>COUNTIF(X4:X20,"*ASS1")</f>
        <v>2</v>
      </c>
      <c r="Y23">
        <f t="shared" ref="Y23:AC23" si="11">COUNTIF(Y4:Y20,"*ASS1")</f>
        <v>4</v>
      </c>
      <c r="Z23">
        <f t="shared" si="11"/>
        <v>4</v>
      </c>
      <c r="AA23">
        <f t="shared" si="11"/>
        <v>4</v>
      </c>
      <c r="AB23">
        <f t="shared" si="11"/>
        <v>4</v>
      </c>
      <c r="AC23">
        <f t="shared" si="11"/>
        <v>4</v>
      </c>
      <c r="AD23">
        <f t="shared" ref="AD23:AF23" si="12">COUNTIF(AD4:AD20,"*ASS1")</f>
        <v>2</v>
      </c>
      <c r="AE23">
        <f t="shared" si="12"/>
        <v>2</v>
      </c>
      <c r="AF23">
        <f t="shared" si="12"/>
        <v>4</v>
      </c>
    </row>
    <row r="24" spans="1:32" x14ac:dyDescent="0.35">
      <c r="A24" s="128" t="s">
        <v>127</v>
      </c>
      <c r="B24">
        <f t="shared" ref="B24:H24" si="13">COUNTIF(B4:B20,"*NST7")</f>
        <v>3</v>
      </c>
      <c r="C24">
        <f t="shared" si="13"/>
        <v>2</v>
      </c>
      <c r="D24">
        <f t="shared" si="13"/>
        <v>4</v>
      </c>
      <c r="E24">
        <f t="shared" si="13"/>
        <v>3</v>
      </c>
      <c r="F24">
        <f t="shared" si="13"/>
        <v>3</v>
      </c>
      <c r="G24">
        <f t="shared" si="13"/>
        <v>3</v>
      </c>
      <c r="H24">
        <f t="shared" si="13"/>
        <v>3</v>
      </c>
      <c r="I24">
        <f t="shared" ref="I24:O24" si="14">COUNTIF(I4:I20,"*NST7")</f>
        <v>2</v>
      </c>
      <c r="J24">
        <f t="shared" si="14"/>
        <v>2</v>
      </c>
      <c r="K24">
        <f t="shared" si="14"/>
        <v>3</v>
      </c>
      <c r="L24">
        <f t="shared" si="14"/>
        <v>3</v>
      </c>
      <c r="M24">
        <f t="shared" si="14"/>
        <v>3</v>
      </c>
      <c r="N24">
        <f t="shared" si="14"/>
        <v>4</v>
      </c>
      <c r="O24">
        <f t="shared" si="14"/>
        <v>3</v>
      </c>
      <c r="P24">
        <f t="shared" ref="P24:Q24" si="15">COUNTIF(P4:P20,"*NST7")</f>
        <v>2</v>
      </c>
      <c r="Q24">
        <f t="shared" si="15"/>
        <v>2</v>
      </c>
      <c r="R24">
        <f t="shared" ref="R24:V24" si="16">COUNTIF(R4:R20,"*NST7")</f>
        <v>3</v>
      </c>
      <c r="S24">
        <f t="shared" si="16"/>
        <v>3</v>
      </c>
      <c r="T24">
        <f t="shared" si="16"/>
        <v>3</v>
      </c>
      <c r="U24">
        <f t="shared" si="16"/>
        <v>4</v>
      </c>
      <c r="V24">
        <f t="shared" si="16"/>
        <v>4</v>
      </c>
      <c r="W24">
        <f>COUNTIF(W4:W20,"*NST7")</f>
        <v>2</v>
      </c>
      <c r="X24">
        <f>COUNTIF(X4:X20,"*NST7")</f>
        <v>2</v>
      </c>
      <c r="Y24">
        <f t="shared" ref="Y24:AC24" si="17">COUNTIF(Y4:Y20,"*NST7")</f>
        <v>3</v>
      </c>
      <c r="Z24">
        <f t="shared" si="17"/>
        <v>3</v>
      </c>
      <c r="AA24">
        <f t="shared" si="17"/>
        <v>3</v>
      </c>
      <c r="AB24">
        <f t="shared" si="17"/>
        <v>4</v>
      </c>
      <c r="AC24">
        <f t="shared" si="17"/>
        <v>3</v>
      </c>
      <c r="AD24">
        <f t="shared" ref="AD24:AF24" si="18">COUNTIF(AD4:AD20,"*NST7")</f>
        <v>3</v>
      </c>
      <c r="AE24">
        <f t="shared" si="18"/>
        <v>2</v>
      </c>
      <c r="AF24">
        <f t="shared" si="18"/>
        <v>4</v>
      </c>
    </row>
    <row r="25" spans="1:32" x14ac:dyDescent="0.35">
      <c r="A25" s="128" t="s">
        <v>128</v>
      </c>
      <c r="B25">
        <f t="shared" ref="B25:H25" si="19">COUNTIF(B4:B20,"*GS")</f>
        <v>1</v>
      </c>
      <c r="C25">
        <f t="shared" si="19"/>
        <v>0</v>
      </c>
      <c r="D25">
        <f t="shared" si="19"/>
        <v>0</v>
      </c>
      <c r="E25">
        <f t="shared" si="19"/>
        <v>0</v>
      </c>
      <c r="F25">
        <f t="shared" si="19"/>
        <v>0</v>
      </c>
      <c r="G25">
        <f t="shared" si="19"/>
        <v>0</v>
      </c>
      <c r="H25">
        <f t="shared" si="19"/>
        <v>0</v>
      </c>
      <c r="I25">
        <f t="shared" ref="I25:O25" si="20">COUNTIF(I4:I20,"*GS")</f>
        <v>1</v>
      </c>
      <c r="J25">
        <f t="shared" si="20"/>
        <v>0</v>
      </c>
      <c r="K25">
        <f t="shared" si="20"/>
        <v>0</v>
      </c>
      <c r="L25">
        <f t="shared" si="20"/>
        <v>0</v>
      </c>
      <c r="M25">
        <f t="shared" si="20"/>
        <v>0</v>
      </c>
      <c r="N25">
        <f t="shared" si="20"/>
        <v>0</v>
      </c>
      <c r="O25">
        <f t="shared" si="20"/>
        <v>0</v>
      </c>
      <c r="P25">
        <f t="shared" ref="P25:Q25" si="21">COUNTIF(P4:P20,"*GS")</f>
        <v>1</v>
      </c>
      <c r="Q25">
        <f t="shared" si="21"/>
        <v>0</v>
      </c>
      <c r="R25">
        <f t="shared" ref="R25:V25" si="22">COUNTIF(R4:R20,"*GS")</f>
        <v>0</v>
      </c>
      <c r="S25">
        <f t="shared" si="22"/>
        <v>0</v>
      </c>
      <c r="T25">
        <f t="shared" si="22"/>
        <v>0</v>
      </c>
      <c r="U25">
        <f t="shared" si="22"/>
        <v>0</v>
      </c>
      <c r="V25">
        <f t="shared" si="22"/>
        <v>0</v>
      </c>
      <c r="W25">
        <f>COUNTIF(W4:W20,"*GS")</f>
        <v>1</v>
      </c>
      <c r="X25">
        <f>COUNTIF(X4:X20,"*GS")</f>
        <v>0</v>
      </c>
      <c r="Y25">
        <f t="shared" ref="Y25:AC25" si="23">COUNTIF(Y4:Y20,"*GS")</f>
        <v>0</v>
      </c>
      <c r="Z25">
        <f t="shared" si="23"/>
        <v>0</v>
      </c>
      <c r="AA25">
        <f t="shared" si="23"/>
        <v>0</v>
      </c>
      <c r="AB25">
        <f t="shared" si="23"/>
        <v>0</v>
      </c>
      <c r="AC25">
        <f t="shared" si="23"/>
        <v>0</v>
      </c>
      <c r="AD25">
        <f t="shared" ref="AD25:AF25" si="24">COUNTIF(AD4:AD20,"*GS")</f>
        <v>1</v>
      </c>
      <c r="AE25">
        <f t="shared" si="24"/>
        <v>0</v>
      </c>
      <c r="AF25">
        <f t="shared" si="24"/>
        <v>0</v>
      </c>
    </row>
    <row r="26" spans="1:32" x14ac:dyDescent="0.35">
      <c r="A26" s="128" t="s">
        <v>129</v>
      </c>
      <c r="B26">
        <f t="shared" ref="B26:C26" si="25">COUNTIF(B4:B20,"WO")</f>
        <v>7</v>
      </c>
      <c r="C26">
        <f t="shared" si="25"/>
        <v>9</v>
      </c>
      <c r="D26">
        <f t="shared" ref="D26:H26" si="26">COUNTIF(D4:D20,"C")</f>
        <v>3</v>
      </c>
      <c r="E26">
        <f t="shared" si="26"/>
        <v>3</v>
      </c>
      <c r="F26">
        <f t="shared" si="26"/>
        <v>3</v>
      </c>
      <c r="G26">
        <f t="shared" si="26"/>
        <v>3</v>
      </c>
      <c r="H26">
        <f t="shared" si="26"/>
        <v>3</v>
      </c>
      <c r="I26">
        <f t="shared" ref="I26:J26" si="27">COUNTIF(I4:I20,"WO")</f>
        <v>8</v>
      </c>
      <c r="J26">
        <f t="shared" si="27"/>
        <v>9</v>
      </c>
      <c r="K26">
        <f t="shared" ref="K26:O26" si="28">COUNTIF(K4:K20,"C")</f>
        <v>3</v>
      </c>
      <c r="L26">
        <f t="shared" si="28"/>
        <v>2</v>
      </c>
      <c r="M26">
        <f t="shared" si="28"/>
        <v>2</v>
      </c>
      <c r="N26">
        <f t="shared" si="28"/>
        <v>1</v>
      </c>
      <c r="O26">
        <f t="shared" si="28"/>
        <v>3</v>
      </c>
      <c r="P26">
        <f t="shared" ref="P26:Q26" si="29">COUNTIF(P4:P20,"WO")</f>
        <v>8</v>
      </c>
      <c r="Q26">
        <f t="shared" si="29"/>
        <v>9</v>
      </c>
      <c r="R26">
        <f t="shared" ref="R26:V26" si="30">COUNTIF(R4:R20,"C")</f>
        <v>3</v>
      </c>
      <c r="S26">
        <f t="shared" si="30"/>
        <v>3</v>
      </c>
      <c r="T26">
        <f t="shared" si="30"/>
        <v>3</v>
      </c>
      <c r="U26">
        <f t="shared" si="30"/>
        <v>2</v>
      </c>
      <c r="V26">
        <f t="shared" si="30"/>
        <v>2</v>
      </c>
      <c r="W26">
        <f>COUNTIF(W4:W20,"WO")</f>
        <v>8</v>
      </c>
      <c r="X26">
        <f>COUNTIF(X4:X20,"WO")</f>
        <v>9</v>
      </c>
      <c r="Y26">
        <f t="shared" ref="Y26:AC26" si="31">COUNTIF(Y4:Y20,"C")</f>
        <v>3</v>
      </c>
      <c r="Z26">
        <f t="shared" si="31"/>
        <v>3</v>
      </c>
      <c r="AA26">
        <f t="shared" si="31"/>
        <v>3</v>
      </c>
      <c r="AB26">
        <f t="shared" si="31"/>
        <v>2</v>
      </c>
      <c r="AC26">
        <f t="shared" si="31"/>
        <v>3</v>
      </c>
      <c r="AD26">
        <f t="shared" ref="AD26:AE26" si="32">COUNTIF(AD4:AD20,"WO")</f>
        <v>7</v>
      </c>
      <c r="AE26">
        <f t="shared" si="32"/>
        <v>9</v>
      </c>
      <c r="AF26">
        <f t="shared" ref="AF26" si="33">COUNTIF(AF4:AF20,"C")</f>
        <v>3</v>
      </c>
    </row>
    <row r="27" spans="1:32" x14ac:dyDescent="0.35">
      <c r="A27" s="128" t="s">
        <v>130</v>
      </c>
      <c r="B27">
        <f t="shared" ref="B27:H27" si="34">COUNTIF(B4:B20,"PL")</f>
        <v>0</v>
      </c>
      <c r="C27">
        <f t="shared" si="34"/>
        <v>0</v>
      </c>
      <c r="D27">
        <f t="shared" si="34"/>
        <v>1</v>
      </c>
      <c r="E27">
        <f t="shared" si="34"/>
        <v>1</v>
      </c>
      <c r="F27">
        <f t="shared" si="34"/>
        <v>1</v>
      </c>
      <c r="G27">
        <f t="shared" si="34"/>
        <v>2</v>
      </c>
      <c r="H27">
        <f t="shared" si="34"/>
        <v>1</v>
      </c>
      <c r="I27">
        <f t="shared" ref="I27:O27" si="35">COUNTIF(I4:I20,"PL")</f>
        <v>0</v>
      </c>
      <c r="J27">
        <f t="shared" si="35"/>
        <v>0</v>
      </c>
      <c r="K27">
        <f t="shared" si="35"/>
        <v>1</v>
      </c>
      <c r="L27">
        <f t="shared" si="35"/>
        <v>2</v>
      </c>
      <c r="M27">
        <f t="shared" si="35"/>
        <v>2</v>
      </c>
      <c r="N27">
        <f t="shared" si="35"/>
        <v>2</v>
      </c>
      <c r="O27">
        <f t="shared" si="35"/>
        <v>1</v>
      </c>
      <c r="P27">
        <f t="shared" ref="P27:Q27" si="36">COUNTIF(P4:P20,"PL")</f>
        <v>0</v>
      </c>
      <c r="Q27">
        <f t="shared" si="36"/>
        <v>0</v>
      </c>
      <c r="R27">
        <f t="shared" ref="R27:V27" si="37">COUNTIF(R4:R20,"PL")</f>
        <v>1</v>
      </c>
      <c r="S27">
        <f t="shared" si="37"/>
        <v>1</v>
      </c>
      <c r="T27">
        <f t="shared" si="37"/>
        <v>1</v>
      </c>
      <c r="U27">
        <f t="shared" si="37"/>
        <v>1</v>
      </c>
      <c r="V27">
        <f t="shared" si="37"/>
        <v>1</v>
      </c>
      <c r="W27">
        <f>COUNTIF(W4:W20,"PL")</f>
        <v>0</v>
      </c>
      <c r="X27">
        <f>COUNTIF(X4:X20,"PL")</f>
        <v>0</v>
      </c>
      <c r="Y27">
        <f t="shared" ref="Y27:AC27" si="38">COUNTIF(Y4:Y20,"PL")</f>
        <v>1</v>
      </c>
      <c r="Z27">
        <f t="shared" si="38"/>
        <v>1</v>
      </c>
      <c r="AA27">
        <f t="shared" si="38"/>
        <v>1</v>
      </c>
      <c r="AB27">
        <f t="shared" si="38"/>
        <v>1</v>
      </c>
      <c r="AC27">
        <f t="shared" si="38"/>
        <v>1</v>
      </c>
      <c r="AD27">
        <f t="shared" ref="AD27:AF27" si="39">COUNTIF(AD4:AD20,"PL")</f>
        <v>0</v>
      </c>
      <c r="AE27">
        <f t="shared" si="39"/>
        <v>0</v>
      </c>
      <c r="AF27">
        <f t="shared" si="39"/>
        <v>1</v>
      </c>
    </row>
    <row r="28" spans="1:32" x14ac:dyDescent="0.35">
      <c r="A28" s="128" t="s">
        <v>33</v>
      </c>
      <c r="B28">
        <f t="shared" ref="B28:H28" si="40">COUNTIF(B4:B20,"UPL")</f>
        <v>0</v>
      </c>
      <c r="C28">
        <f t="shared" si="40"/>
        <v>0</v>
      </c>
      <c r="D28">
        <f t="shared" si="40"/>
        <v>0</v>
      </c>
      <c r="E28">
        <f t="shared" si="40"/>
        <v>0</v>
      </c>
      <c r="F28">
        <f t="shared" si="40"/>
        <v>0</v>
      </c>
      <c r="G28">
        <f t="shared" si="40"/>
        <v>1</v>
      </c>
      <c r="H28">
        <f t="shared" si="40"/>
        <v>0</v>
      </c>
      <c r="I28">
        <f t="shared" ref="I28:O28" si="41">COUNTIF(I4:I20,"UPL")</f>
        <v>0</v>
      </c>
      <c r="J28">
        <f t="shared" si="41"/>
        <v>0</v>
      </c>
      <c r="K28">
        <f t="shared" si="41"/>
        <v>0</v>
      </c>
      <c r="L28">
        <f t="shared" si="41"/>
        <v>0</v>
      </c>
      <c r="M28">
        <f t="shared" si="41"/>
        <v>0</v>
      </c>
      <c r="N28">
        <f t="shared" si="41"/>
        <v>0</v>
      </c>
      <c r="O28">
        <f t="shared" si="41"/>
        <v>0</v>
      </c>
      <c r="P28">
        <f t="shared" ref="P28:Q28" si="42">COUNTIF(P4:P20,"UPL")</f>
        <v>0</v>
      </c>
      <c r="Q28">
        <f t="shared" si="42"/>
        <v>0</v>
      </c>
      <c r="R28">
        <f t="shared" ref="R28:V28" si="43">COUNTIF(R4:R20,"UPL")</f>
        <v>0</v>
      </c>
      <c r="S28">
        <f t="shared" si="43"/>
        <v>0</v>
      </c>
      <c r="T28">
        <f t="shared" si="43"/>
        <v>0</v>
      </c>
      <c r="U28">
        <f t="shared" si="43"/>
        <v>0</v>
      </c>
      <c r="V28">
        <f t="shared" si="43"/>
        <v>0</v>
      </c>
      <c r="W28">
        <f>COUNTIF(W4:W20,"UPL")</f>
        <v>0</v>
      </c>
      <c r="X28">
        <f>COUNTIF(X4:X20,"UPL")</f>
        <v>0</v>
      </c>
      <c r="Y28">
        <f t="shared" ref="Y28:AC28" si="44">COUNTIF(Y4:Y20,"UPL")</f>
        <v>0</v>
      </c>
      <c r="Z28">
        <f t="shared" si="44"/>
        <v>0</v>
      </c>
      <c r="AA28">
        <f t="shared" si="44"/>
        <v>0</v>
      </c>
      <c r="AB28">
        <f t="shared" si="44"/>
        <v>0</v>
      </c>
      <c r="AC28">
        <f t="shared" si="44"/>
        <v>0</v>
      </c>
      <c r="AD28">
        <f t="shared" ref="AD28:AF28" si="45">COUNTIF(AD4:AD20,"UPL")</f>
        <v>0</v>
      </c>
      <c r="AE28">
        <f t="shared" si="45"/>
        <v>0</v>
      </c>
      <c r="AF28">
        <f t="shared" si="45"/>
        <v>0</v>
      </c>
    </row>
    <row r="29" spans="1:32" x14ac:dyDescent="0.35">
      <c r="A29" s="128" t="s">
        <v>141</v>
      </c>
      <c r="B29">
        <f t="shared" ref="B29:H29" si="46">COUNTIF(B4:B20,"H")</f>
        <v>0</v>
      </c>
      <c r="C29">
        <f t="shared" si="46"/>
        <v>0</v>
      </c>
      <c r="D29">
        <f t="shared" si="46"/>
        <v>0</v>
      </c>
      <c r="E29">
        <f t="shared" si="46"/>
        <v>0</v>
      </c>
      <c r="F29">
        <f t="shared" si="46"/>
        <v>0</v>
      </c>
      <c r="G29">
        <f t="shared" si="46"/>
        <v>0</v>
      </c>
      <c r="H29">
        <f t="shared" si="46"/>
        <v>0</v>
      </c>
      <c r="I29">
        <f t="shared" ref="I29:O29" si="47">COUNTIF(I4:I20,"H")</f>
        <v>0</v>
      </c>
      <c r="J29">
        <f t="shared" si="47"/>
        <v>0</v>
      </c>
      <c r="K29">
        <f t="shared" si="47"/>
        <v>0</v>
      </c>
      <c r="L29">
        <f t="shared" si="47"/>
        <v>0</v>
      </c>
      <c r="M29">
        <f t="shared" si="47"/>
        <v>0</v>
      </c>
      <c r="N29">
        <f t="shared" si="47"/>
        <v>0</v>
      </c>
      <c r="O29">
        <f t="shared" si="47"/>
        <v>0</v>
      </c>
      <c r="P29">
        <f t="shared" ref="P29:Q29" si="48">COUNTIF(P4:P20,"H")</f>
        <v>0</v>
      </c>
      <c r="Q29">
        <f t="shared" si="48"/>
        <v>0</v>
      </c>
      <c r="R29">
        <f t="shared" ref="R29:V29" si="49">COUNTIF(R4:R20,"H")</f>
        <v>0</v>
      </c>
      <c r="S29">
        <f t="shared" si="49"/>
        <v>0</v>
      </c>
      <c r="T29">
        <f t="shared" si="49"/>
        <v>0</v>
      </c>
      <c r="U29">
        <f t="shared" si="49"/>
        <v>0</v>
      </c>
      <c r="V29">
        <f t="shared" si="49"/>
        <v>0</v>
      </c>
      <c r="W29">
        <f>COUNTIF(W4:W20,"H")</f>
        <v>0</v>
      </c>
      <c r="X29">
        <f>COUNTIF(X4:X20,"H")</f>
        <v>0</v>
      </c>
      <c r="Y29">
        <f t="shared" ref="Y29:AC29" si="50">COUNTIF(Y4:Y20,"H")</f>
        <v>0</v>
      </c>
      <c r="Z29">
        <f t="shared" si="50"/>
        <v>0</v>
      </c>
      <c r="AA29">
        <f t="shared" si="50"/>
        <v>0</v>
      </c>
      <c r="AB29">
        <f t="shared" si="50"/>
        <v>0</v>
      </c>
      <c r="AC29">
        <f t="shared" si="50"/>
        <v>0</v>
      </c>
      <c r="AD29">
        <f t="shared" ref="AD29:AF29" si="51">COUNTIF(AD4:AD20,"H")</f>
        <v>0</v>
      </c>
      <c r="AE29">
        <f t="shared" si="51"/>
        <v>0</v>
      </c>
      <c r="AF29">
        <f t="shared" si="51"/>
        <v>0</v>
      </c>
    </row>
    <row r="30" spans="1:32" x14ac:dyDescent="0.35">
      <c r="A30" s="128" t="s">
        <v>131</v>
      </c>
      <c r="B30" s="129">
        <f t="shared" ref="B30:H30" si="52">SUM(B22:B29)</f>
        <v>15</v>
      </c>
      <c r="C30" s="129">
        <f t="shared" si="52"/>
        <v>15</v>
      </c>
      <c r="D30" s="129">
        <f t="shared" si="52"/>
        <v>15</v>
      </c>
      <c r="E30" s="129">
        <f t="shared" si="52"/>
        <v>15</v>
      </c>
      <c r="F30" s="129">
        <f t="shared" si="52"/>
        <v>15</v>
      </c>
      <c r="G30" s="129">
        <f t="shared" si="52"/>
        <v>15</v>
      </c>
      <c r="H30" s="129">
        <f t="shared" si="52"/>
        <v>15</v>
      </c>
      <c r="I30" s="129">
        <f t="shared" ref="I30:O30" si="53">SUM(I22:I29)</f>
        <v>15</v>
      </c>
      <c r="J30" s="129">
        <f t="shared" si="53"/>
        <v>15</v>
      </c>
      <c r="K30" s="129">
        <f t="shared" si="53"/>
        <v>15</v>
      </c>
      <c r="L30" s="129">
        <f t="shared" si="53"/>
        <v>15</v>
      </c>
      <c r="M30" s="129">
        <f t="shared" si="53"/>
        <v>15</v>
      </c>
      <c r="N30" s="129">
        <f t="shared" si="53"/>
        <v>15</v>
      </c>
      <c r="O30" s="129">
        <f t="shared" si="53"/>
        <v>15</v>
      </c>
      <c r="P30" s="129">
        <f t="shared" ref="P30:Q30" si="54">SUM(P22:P29)</f>
        <v>15</v>
      </c>
      <c r="Q30" s="129">
        <f t="shared" si="54"/>
        <v>15</v>
      </c>
      <c r="R30" s="129">
        <f t="shared" ref="R30:V30" si="55">SUM(R22:R29)</f>
        <v>15</v>
      </c>
      <c r="S30" s="129">
        <f t="shared" si="55"/>
        <v>15</v>
      </c>
      <c r="T30" s="129">
        <f t="shared" si="55"/>
        <v>15</v>
      </c>
      <c r="U30" s="129">
        <f t="shared" si="55"/>
        <v>15</v>
      </c>
      <c r="V30" s="129">
        <f t="shared" si="55"/>
        <v>15</v>
      </c>
      <c r="W30" s="129">
        <f t="shared" ref="W30:AC30" si="56">SUM(W22:W29)</f>
        <v>15</v>
      </c>
      <c r="X30" s="129">
        <f t="shared" si="56"/>
        <v>15</v>
      </c>
      <c r="Y30" s="129">
        <f t="shared" si="56"/>
        <v>15</v>
      </c>
      <c r="Z30" s="129">
        <f t="shared" si="56"/>
        <v>15</v>
      </c>
      <c r="AA30" s="129">
        <f t="shared" si="56"/>
        <v>15</v>
      </c>
      <c r="AB30" s="129">
        <f t="shared" si="56"/>
        <v>15</v>
      </c>
      <c r="AC30" s="129">
        <f t="shared" si="56"/>
        <v>15</v>
      </c>
      <c r="AD30" s="129">
        <f t="shared" ref="AD30:AF30" si="57">SUM(AD22:AD29)</f>
        <v>15</v>
      </c>
      <c r="AE30" s="129">
        <f t="shared" si="57"/>
        <v>15</v>
      </c>
      <c r="AF30" s="129">
        <f t="shared" si="57"/>
        <v>15</v>
      </c>
    </row>
  </sheetData>
  <conditionalFormatting sqref="B22:AF25">
    <cfRule type="cellIs" dxfId="835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A1:AL32"/>
  <sheetViews>
    <sheetView zoomScale="56" zoomScaleNormal="56" workbookViewId="0">
      <pane xSplit="1" topLeftCell="F1" activePane="topRight" state="frozen"/>
      <selection pane="topRight" activeCell="M23" sqref="M23"/>
    </sheetView>
  </sheetViews>
  <sheetFormatPr defaultRowHeight="14.5" x14ac:dyDescent="0.35"/>
  <cols>
    <col min="1" max="1" width="21.7265625" bestFit="1" customWidth="1"/>
    <col min="2" max="3" width="6.90625" customWidth="1"/>
    <col min="4" max="4" width="7.36328125" hidden="1" customWidth="1"/>
    <col min="5" max="5" width="8.7265625" customWidth="1"/>
    <col min="6" max="6" width="8.90625" customWidth="1"/>
    <col min="7" max="38" width="8.7265625" customWidth="1"/>
  </cols>
  <sheetData>
    <row r="1" spans="1:38" x14ac:dyDescent="0.35">
      <c r="A1" s="1"/>
      <c r="B1" s="2" t="str">
        <f t="shared" ref="B1:D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ref="E1:AH1" si="1">TEXT(E2,"ddd")</f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  <c r="AH1" s="2" t="str">
        <f t="shared" si="1"/>
        <v>Wed</v>
      </c>
      <c r="AI1" s="2" t="str">
        <f>TEXT(AI2,"ddd")</f>
        <v>Thu</v>
      </c>
      <c r="AJ1" s="2" t="str">
        <f>TEXT(AJ2,"ddd")</f>
        <v>Fri</v>
      </c>
      <c r="AK1" s="2" t="str">
        <f>TEXT(AK2,"ddd")</f>
        <v>Sat</v>
      </c>
      <c r="AL1" s="2" t="str">
        <f>TEXT(AL2,"ddd")</f>
        <v>Sun</v>
      </c>
    </row>
    <row r="2" spans="1:38" x14ac:dyDescent="0.35">
      <c r="A2" s="95" t="s">
        <v>0</v>
      </c>
      <c r="B2" s="29">
        <v>45136</v>
      </c>
      <c r="C2" s="29">
        <v>45137</v>
      </c>
      <c r="D2" s="29">
        <v>45138</v>
      </c>
      <c r="E2" s="29">
        <v>45139</v>
      </c>
      <c r="F2" s="29">
        <v>45140</v>
      </c>
      <c r="G2" s="29">
        <v>45141</v>
      </c>
      <c r="H2" s="29">
        <v>45142</v>
      </c>
      <c r="I2" s="29">
        <v>45143</v>
      </c>
      <c r="J2" s="29">
        <v>45144</v>
      </c>
      <c r="K2" s="29">
        <v>45145</v>
      </c>
      <c r="L2" s="29">
        <v>45146</v>
      </c>
      <c r="M2" s="29">
        <v>45147</v>
      </c>
      <c r="N2" s="29">
        <v>45148</v>
      </c>
      <c r="O2" s="29">
        <v>45149</v>
      </c>
      <c r="P2" s="29">
        <v>45150</v>
      </c>
      <c r="Q2" s="29">
        <v>45151</v>
      </c>
      <c r="R2" s="29">
        <v>45152</v>
      </c>
      <c r="S2" s="29">
        <v>45153</v>
      </c>
      <c r="T2" s="29">
        <v>45154</v>
      </c>
      <c r="U2" s="29">
        <v>45155</v>
      </c>
      <c r="V2" s="29">
        <v>45156</v>
      </c>
      <c r="W2" s="29">
        <v>45157</v>
      </c>
      <c r="X2" s="29">
        <v>45158</v>
      </c>
      <c r="Y2" s="29">
        <v>45159</v>
      </c>
      <c r="Z2" s="29">
        <v>45160</v>
      </c>
      <c r="AA2" s="29">
        <v>45161</v>
      </c>
      <c r="AB2" s="29">
        <v>45162</v>
      </c>
      <c r="AC2" s="29">
        <v>45163</v>
      </c>
      <c r="AD2" s="29">
        <v>45164</v>
      </c>
      <c r="AE2" s="29">
        <v>45165</v>
      </c>
      <c r="AF2" s="29">
        <v>45166</v>
      </c>
      <c r="AG2" s="29">
        <v>45167</v>
      </c>
      <c r="AH2" s="29">
        <v>45168</v>
      </c>
      <c r="AI2" s="29">
        <v>45169</v>
      </c>
      <c r="AJ2" s="29">
        <v>45170</v>
      </c>
      <c r="AK2" s="29">
        <v>45171</v>
      </c>
      <c r="AL2" s="29">
        <v>45172</v>
      </c>
    </row>
    <row r="3" spans="1:38" x14ac:dyDescent="0.35">
      <c r="A3" s="96"/>
      <c r="B3" s="96"/>
      <c r="C3" s="96"/>
      <c r="D3" s="96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</row>
    <row r="4" spans="1:38" x14ac:dyDescent="0.35">
      <c r="A4" s="165" t="s">
        <v>9</v>
      </c>
      <c r="B4" s="25" t="s">
        <v>3</v>
      </c>
      <c r="C4" s="25" t="s">
        <v>3</v>
      </c>
      <c r="D4" s="25" t="s">
        <v>6</v>
      </c>
      <c r="E4" s="175" t="s">
        <v>6</v>
      </c>
      <c r="F4" s="116" t="s">
        <v>2</v>
      </c>
      <c r="G4" s="116" t="s">
        <v>2</v>
      </c>
      <c r="H4" s="25" t="s">
        <v>6</v>
      </c>
      <c r="I4" s="25" t="s">
        <v>3</v>
      </c>
      <c r="J4" s="25" t="s">
        <v>3</v>
      </c>
      <c r="K4" s="175" t="s">
        <v>6</v>
      </c>
      <c r="L4" s="174" t="s">
        <v>34</v>
      </c>
      <c r="M4" s="116" t="s">
        <v>2</v>
      </c>
      <c r="N4" s="116" t="s">
        <v>2</v>
      </c>
      <c r="O4" s="25" t="s">
        <v>6</v>
      </c>
      <c r="P4" s="25" t="s">
        <v>3</v>
      </c>
      <c r="Q4" s="25" t="s">
        <v>3</v>
      </c>
      <c r="R4" s="175" t="s">
        <v>6</v>
      </c>
      <c r="S4" s="25" t="s">
        <v>3</v>
      </c>
      <c r="T4" s="116" t="s">
        <v>2</v>
      </c>
      <c r="U4" s="116" t="s">
        <v>2</v>
      </c>
      <c r="V4" s="25" t="s">
        <v>6</v>
      </c>
      <c r="W4" s="25" t="s">
        <v>3</v>
      </c>
      <c r="X4" s="25" t="s">
        <v>3</v>
      </c>
      <c r="Y4" s="175" t="s">
        <v>6</v>
      </c>
      <c r="Z4" s="175" t="s">
        <v>6</v>
      </c>
      <c r="AA4" s="116" t="s">
        <v>2</v>
      </c>
      <c r="AB4" s="116" t="s">
        <v>2</v>
      </c>
      <c r="AC4" s="25" t="s">
        <v>6</v>
      </c>
      <c r="AD4" s="25" t="s">
        <v>3</v>
      </c>
      <c r="AE4" s="25" t="s">
        <v>3</v>
      </c>
      <c r="AF4" s="175" t="s">
        <v>6</v>
      </c>
      <c r="AG4" s="175" t="s">
        <v>6</v>
      </c>
      <c r="AH4" s="25" t="s">
        <v>6</v>
      </c>
      <c r="AI4" s="116" t="s">
        <v>2</v>
      </c>
      <c r="AJ4" s="16" t="s">
        <v>10</v>
      </c>
      <c r="AK4" s="16" t="s">
        <v>11</v>
      </c>
      <c r="AL4" s="16" t="s">
        <v>11</v>
      </c>
    </row>
    <row r="5" spans="1:38" x14ac:dyDescent="0.35">
      <c r="A5" s="165" t="s">
        <v>15</v>
      </c>
      <c r="B5" s="114" t="s">
        <v>4</v>
      </c>
      <c r="C5" s="114" t="s">
        <v>4</v>
      </c>
      <c r="D5" s="25" t="s">
        <v>6</v>
      </c>
      <c r="E5" s="25" t="s">
        <v>6</v>
      </c>
      <c r="F5" s="25" t="s">
        <v>6</v>
      </c>
      <c r="G5" s="25" t="s">
        <v>6</v>
      </c>
      <c r="H5" s="25" t="s">
        <v>6</v>
      </c>
      <c r="I5" s="25" t="s">
        <v>3</v>
      </c>
      <c r="J5" s="114" t="s">
        <v>4</v>
      </c>
      <c r="K5" s="116" t="s">
        <v>2</v>
      </c>
      <c r="L5" s="25" t="s">
        <v>6</v>
      </c>
      <c r="M5" s="25" t="s">
        <v>6</v>
      </c>
      <c r="N5" s="25" t="s">
        <v>6</v>
      </c>
      <c r="O5" s="174" t="s">
        <v>34</v>
      </c>
      <c r="P5" s="114" t="s">
        <v>4</v>
      </c>
      <c r="Q5" s="114" t="s">
        <v>4</v>
      </c>
      <c r="R5" s="25" t="s">
        <v>6</v>
      </c>
      <c r="S5" s="25" t="s">
        <v>3</v>
      </c>
      <c r="T5" s="25" t="s">
        <v>6</v>
      </c>
      <c r="U5" s="25" t="s">
        <v>6</v>
      </c>
      <c r="V5" s="25" t="s">
        <v>6</v>
      </c>
      <c r="W5" s="19" t="s">
        <v>42</v>
      </c>
      <c r="X5" s="114" t="s">
        <v>4</v>
      </c>
      <c r="Y5" s="25" t="s">
        <v>6</v>
      </c>
      <c r="Z5" s="25" t="s">
        <v>6</v>
      </c>
      <c r="AA5" s="25" t="s">
        <v>6</v>
      </c>
      <c r="AB5" s="25" t="s">
        <v>6</v>
      </c>
      <c r="AC5" s="116" t="s">
        <v>2</v>
      </c>
      <c r="AD5" s="114" t="s">
        <v>4</v>
      </c>
      <c r="AE5" s="114" t="s">
        <v>4</v>
      </c>
      <c r="AF5" s="25" t="s">
        <v>6</v>
      </c>
      <c r="AG5" s="25" t="s">
        <v>6</v>
      </c>
      <c r="AH5" s="25" t="s">
        <v>6</v>
      </c>
      <c r="AI5" s="25" t="s">
        <v>6</v>
      </c>
      <c r="AJ5" s="116" t="s">
        <v>2</v>
      </c>
      <c r="AK5" s="114" t="s">
        <v>4</v>
      </c>
      <c r="AL5" s="16" t="s">
        <v>11</v>
      </c>
    </row>
    <row r="6" spans="1:38" x14ac:dyDescent="0.35">
      <c r="A6" s="141" t="s">
        <v>71</v>
      </c>
      <c r="B6" s="114" t="s">
        <v>4</v>
      </c>
      <c r="C6" s="19" t="s">
        <v>42</v>
      </c>
      <c r="D6" s="116" t="s">
        <v>2</v>
      </c>
      <c r="E6" s="25" t="s">
        <v>6</v>
      </c>
      <c r="F6" s="25" t="s">
        <v>6</v>
      </c>
      <c r="G6" s="22" t="s">
        <v>16</v>
      </c>
      <c r="H6" s="25" t="s">
        <v>6</v>
      </c>
      <c r="I6" s="22" t="s">
        <v>30</v>
      </c>
      <c r="J6" s="114" t="s">
        <v>4</v>
      </c>
      <c r="K6" s="25" t="s">
        <v>6</v>
      </c>
      <c r="L6" s="116" t="s">
        <v>2</v>
      </c>
      <c r="M6" s="25" t="s">
        <v>6</v>
      </c>
      <c r="N6" s="25" t="s">
        <v>6</v>
      </c>
      <c r="O6" s="25" t="s">
        <v>6</v>
      </c>
      <c r="P6" s="25" t="s">
        <v>3</v>
      </c>
      <c r="Q6" s="114" t="s">
        <v>4</v>
      </c>
      <c r="R6" s="116" t="s">
        <v>2</v>
      </c>
      <c r="S6" s="25" t="s">
        <v>3</v>
      </c>
      <c r="T6" s="25" t="s">
        <v>6</v>
      </c>
      <c r="U6" s="25" t="s">
        <v>6</v>
      </c>
      <c r="V6" s="25" t="s">
        <v>6</v>
      </c>
      <c r="W6" s="25" t="s">
        <v>3</v>
      </c>
      <c r="X6" s="114" t="s">
        <v>4</v>
      </c>
      <c r="Y6" s="116" t="s">
        <v>2</v>
      </c>
      <c r="Z6" s="25" t="s">
        <v>6</v>
      </c>
      <c r="AA6" s="25" t="s">
        <v>6</v>
      </c>
      <c r="AB6" s="25" t="s">
        <v>6</v>
      </c>
      <c r="AC6" s="25" t="s">
        <v>6</v>
      </c>
      <c r="AD6" s="25" t="s">
        <v>3</v>
      </c>
      <c r="AE6" s="114" t="s">
        <v>4</v>
      </c>
      <c r="AF6" s="116" t="s">
        <v>2</v>
      </c>
      <c r="AG6" s="25" t="s">
        <v>6</v>
      </c>
      <c r="AH6" s="25" t="s">
        <v>6</v>
      </c>
      <c r="AI6" s="25" t="s">
        <v>6</v>
      </c>
      <c r="AJ6" s="16" t="s">
        <v>10</v>
      </c>
      <c r="AK6" s="16" t="s">
        <v>11</v>
      </c>
      <c r="AL6" s="114" t="s">
        <v>4</v>
      </c>
    </row>
    <row r="7" spans="1:38" x14ac:dyDescent="0.35">
      <c r="A7" s="141" t="s">
        <v>150</v>
      </c>
      <c r="B7" s="114" t="s">
        <v>4</v>
      </c>
      <c r="C7" s="25" t="s">
        <v>3</v>
      </c>
      <c r="D7" s="25" t="s">
        <v>6</v>
      </c>
      <c r="E7" s="25" t="s">
        <v>6</v>
      </c>
      <c r="F7" s="22" t="s">
        <v>16</v>
      </c>
      <c r="G7" s="25" t="s">
        <v>6</v>
      </c>
      <c r="H7" s="116" t="s">
        <v>2</v>
      </c>
      <c r="I7" s="114" t="s">
        <v>4</v>
      </c>
      <c r="J7" s="25" t="s">
        <v>3</v>
      </c>
      <c r="K7" s="25" t="s">
        <v>6</v>
      </c>
      <c r="L7" s="25" t="s">
        <v>6</v>
      </c>
      <c r="M7" s="25" t="s">
        <v>6</v>
      </c>
      <c r="N7" s="25" t="s">
        <v>6</v>
      </c>
      <c r="O7" s="116" t="s">
        <v>2</v>
      </c>
      <c r="P7" s="114" t="s">
        <v>4</v>
      </c>
      <c r="Q7" s="25" t="s">
        <v>3</v>
      </c>
      <c r="R7" s="25" t="s">
        <v>6</v>
      </c>
      <c r="S7" s="22" t="s">
        <v>30</v>
      </c>
      <c r="T7" s="25" t="s">
        <v>6</v>
      </c>
      <c r="U7" s="25" t="s">
        <v>6</v>
      </c>
      <c r="V7" s="25" t="s">
        <v>6</v>
      </c>
      <c r="W7" s="114" t="s">
        <v>4</v>
      </c>
      <c r="X7" s="25" t="s">
        <v>3</v>
      </c>
      <c r="Y7" s="25" t="s">
        <v>6</v>
      </c>
      <c r="Z7" s="116" t="s">
        <v>2</v>
      </c>
      <c r="AA7" s="25" t="s">
        <v>6</v>
      </c>
      <c r="AB7" s="25" t="s">
        <v>6</v>
      </c>
      <c r="AC7" s="25" t="s">
        <v>6</v>
      </c>
      <c r="AD7" s="22" t="s">
        <v>30</v>
      </c>
      <c r="AE7" s="114" t="s">
        <v>4</v>
      </c>
      <c r="AF7" s="25" t="s">
        <v>3</v>
      </c>
      <c r="AG7" s="116" t="s">
        <v>2</v>
      </c>
      <c r="AH7" s="25" t="s">
        <v>6</v>
      </c>
      <c r="AI7" s="25" t="s">
        <v>6</v>
      </c>
      <c r="AJ7" s="25" t="s">
        <v>6</v>
      </c>
      <c r="AK7" s="25" t="s">
        <v>3</v>
      </c>
      <c r="AL7" s="114" t="s">
        <v>4</v>
      </c>
    </row>
    <row r="8" spans="1:38" x14ac:dyDescent="0.35">
      <c r="A8" s="141" t="s">
        <v>70</v>
      </c>
      <c r="B8" s="114" t="s">
        <v>4</v>
      </c>
      <c r="C8" s="16" t="s">
        <v>11</v>
      </c>
      <c r="D8" s="116" t="s">
        <v>2</v>
      </c>
      <c r="E8" s="22" t="s">
        <v>16</v>
      </c>
      <c r="F8" s="25" t="s">
        <v>6</v>
      </c>
      <c r="G8" s="25" t="s">
        <v>6</v>
      </c>
      <c r="H8" s="174" t="s">
        <v>34</v>
      </c>
      <c r="I8" s="122" t="s">
        <v>4</v>
      </c>
      <c r="J8" s="122" t="s">
        <v>4</v>
      </c>
      <c r="K8" s="25" t="s">
        <v>6</v>
      </c>
      <c r="L8" s="25" t="s">
        <v>6</v>
      </c>
      <c r="M8" s="25" t="s">
        <v>6</v>
      </c>
      <c r="N8" s="25" t="s">
        <v>6</v>
      </c>
      <c r="O8" s="25" t="s">
        <v>6</v>
      </c>
      <c r="P8" s="22" t="s">
        <v>30</v>
      </c>
      <c r="Q8" s="114" t="s">
        <v>4</v>
      </c>
      <c r="R8" s="116" t="s">
        <v>2</v>
      </c>
      <c r="S8" s="115" t="s">
        <v>37</v>
      </c>
      <c r="T8" s="25" t="s">
        <v>6</v>
      </c>
      <c r="U8" s="25" t="s">
        <v>6</v>
      </c>
      <c r="V8" s="116" t="s">
        <v>2</v>
      </c>
      <c r="W8" s="114" t="s">
        <v>4</v>
      </c>
      <c r="X8" s="114" t="s">
        <v>4</v>
      </c>
      <c r="Y8" s="25" t="s">
        <v>6</v>
      </c>
      <c r="Z8" s="25" t="s">
        <v>6</v>
      </c>
      <c r="AA8" s="25" t="s">
        <v>6</v>
      </c>
      <c r="AB8" s="25" t="s">
        <v>6</v>
      </c>
      <c r="AC8" s="25" t="s">
        <v>6</v>
      </c>
      <c r="AD8" s="114" t="s">
        <v>4</v>
      </c>
      <c r="AE8" s="25" t="s">
        <v>3</v>
      </c>
      <c r="AF8" s="25" t="s">
        <v>6</v>
      </c>
      <c r="AG8" s="25" t="s">
        <v>6</v>
      </c>
      <c r="AH8" s="116" t="s">
        <v>2</v>
      </c>
      <c r="AI8" s="25" t="s">
        <v>6</v>
      </c>
      <c r="AJ8" s="25" t="s">
        <v>6</v>
      </c>
      <c r="AK8" s="22" t="s">
        <v>30</v>
      </c>
      <c r="AL8" s="114" t="s">
        <v>4</v>
      </c>
    </row>
    <row r="9" spans="1:38" x14ac:dyDescent="0.35">
      <c r="A9" s="173" t="s">
        <v>152</v>
      </c>
      <c r="B9" s="114" t="s">
        <v>4</v>
      </c>
      <c r="C9" s="114" t="s">
        <v>4</v>
      </c>
      <c r="D9" s="22" t="s">
        <v>16</v>
      </c>
      <c r="E9" s="22" t="s">
        <v>16</v>
      </c>
      <c r="F9" s="22" t="s">
        <v>16</v>
      </c>
      <c r="G9" s="22" t="s">
        <v>16</v>
      </c>
      <c r="H9" s="22" t="s">
        <v>16</v>
      </c>
      <c r="I9" s="114" t="s">
        <v>4</v>
      </c>
      <c r="J9" s="114" t="s">
        <v>4</v>
      </c>
      <c r="K9" s="22" t="s">
        <v>16</v>
      </c>
      <c r="L9" s="22" t="s">
        <v>16</v>
      </c>
      <c r="M9" s="22" t="s">
        <v>16</v>
      </c>
      <c r="N9" s="22" t="s">
        <v>16</v>
      </c>
      <c r="O9" s="22" t="s">
        <v>16</v>
      </c>
      <c r="P9" s="114" t="s">
        <v>4</v>
      </c>
      <c r="Q9" s="114" t="s">
        <v>4</v>
      </c>
      <c r="R9" s="22" t="s">
        <v>16</v>
      </c>
      <c r="S9" s="115" t="s">
        <v>37</v>
      </c>
      <c r="T9" s="22" t="s">
        <v>16</v>
      </c>
      <c r="U9" s="22" t="s">
        <v>16</v>
      </c>
      <c r="V9" s="22" t="s">
        <v>16</v>
      </c>
      <c r="W9" s="114" t="s">
        <v>4</v>
      </c>
      <c r="X9" s="114" t="s">
        <v>4</v>
      </c>
      <c r="Y9" s="22" t="s">
        <v>16</v>
      </c>
      <c r="Z9" s="122" t="s">
        <v>5</v>
      </c>
      <c r="AA9" s="122" t="s">
        <v>5</v>
      </c>
      <c r="AB9" s="22" t="s">
        <v>16</v>
      </c>
      <c r="AC9" s="22" t="s">
        <v>16</v>
      </c>
      <c r="AD9" s="114" t="s">
        <v>4</v>
      </c>
      <c r="AE9" s="114" t="s">
        <v>4</v>
      </c>
      <c r="AF9" s="22" t="s">
        <v>16</v>
      </c>
      <c r="AG9" s="22" t="s">
        <v>16</v>
      </c>
      <c r="AH9" s="22" t="s">
        <v>16</v>
      </c>
      <c r="AI9" s="22" t="s">
        <v>16</v>
      </c>
      <c r="AJ9" s="25" t="s">
        <v>6</v>
      </c>
      <c r="AK9" s="114" t="s">
        <v>4</v>
      </c>
      <c r="AL9" s="114" t="s">
        <v>4</v>
      </c>
    </row>
    <row r="11" spans="1:38" x14ac:dyDescent="0.35">
      <c r="A11" s="165" t="s">
        <v>57</v>
      </c>
      <c r="B11" s="16" t="s">
        <v>11</v>
      </c>
      <c r="C11" s="16" t="s">
        <v>11</v>
      </c>
      <c r="D11" s="116" t="s">
        <v>2</v>
      </c>
      <c r="E11" s="19" t="s">
        <v>41</v>
      </c>
      <c r="F11" s="19" t="s">
        <v>41</v>
      </c>
      <c r="G11" s="25" t="s">
        <v>6</v>
      </c>
      <c r="H11" s="122" t="s">
        <v>5</v>
      </c>
      <c r="I11" s="122" t="s">
        <v>4</v>
      </c>
      <c r="J11" s="122" t="s">
        <v>4</v>
      </c>
      <c r="K11" s="122" t="s">
        <v>5</v>
      </c>
      <c r="L11" s="122" t="s">
        <v>5</v>
      </c>
      <c r="M11" s="122" t="s">
        <v>5</v>
      </c>
      <c r="N11" s="122" t="s">
        <v>5</v>
      </c>
      <c r="O11" s="122" t="s">
        <v>5</v>
      </c>
      <c r="P11" s="122" t="s">
        <v>4</v>
      </c>
      <c r="Q11" s="122" t="s">
        <v>4</v>
      </c>
      <c r="R11" s="122" t="s">
        <v>5</v>
      </c>
      <c r="S11" s="19" t="s">
        <v>42</v>
      </c>
      <c r="T11" s="19" t="s">
        <v>41</v>
      </c>
      <c r="U11" s="19" t="s">
        <v>41</v>
      </c>
      <c r="V11" s="19" t="s">
        <v>41</v>
      </c>
      <c r="W11" s="114" t="s">
        <v>4</v>
      </c>
      <c r="X11" s="19" t="s">
        <v>42</v>
      </c>
      <c r="Y11" s="116" t="s">
        <v>2</v>
      </c>
      <c r="Z11" s="19" t="s">
        <v>41</v>
      </c>
      <c r="AA11" s="22" t="s">
        <v>16</v>
      </c>
      <c r="AB11" s="19" t="s">
        <v>41</v>
      </c>
      <c r="AC11" s="19" t="s">
        <v>41</v>
      </c>
      <c r="AD11" s="19" t="s">
        <v>42</v>
      </c>
      <c r="AE11" s="114" t="s">
        <v>4</v>
      </c>
      <c r="AF11" s="116" t="s">
        <v>2</v>
      </c>
      <c r="AG11" s="19" t="s">
        <v>41</v>
      </c>
      <c r="AH11" s="19" t="s">
        <v>41</v>
      </c>
      <c r="AI11" s="19" t="s">
        <v>41</v>
      </c>
      <c r="AJ11" s="25" t="s">
        <v>6</v>
      </c>
      <c r="AK11" s="25" t="s">
        <v>3</v>
      </c>
      <c r="AL11" s="122" t="s">
        <v>5</v>
      </c>
    </row>
    <row r="12" spans="1:38" x14ac:dyDescent="0.35">
      <c r="A12" s="165" t="s">
        <v>124</v>
      </c>
      <c r="B12" s="114" t="s">
        <v>4</v>
      </c>
      <c r="C12" s="19" t="s">
        <v>42</v>
      </c>
      <c r="D12" s="19" t="s">
        <v>41</v>
      </c>
      <c r="E12" s="116" t="s">
        <v>2</v>
      </c>
      <c r="F12" s="19" t="s">
        <v>41</v>
      </c>
      <c r="G12" s="19" t="s">
        <v>41</v>
      </c>
      <c r="H12" s="19" t="s">
        <v>41</v>
      </c>
      <c r="I12" s="19" t="s">
        <v>42</v>
      </c>
      <c r="J12" s="114" t="s">
        <v>4</v>
      </c>
      <c r="K12" s="116" t="s">
        <v>2</v>
      </c>
      <c r="L12" s="19" t="s">
        <v>41</v>
      </c>
      <c r="M12" s="19" t="s">
        <v>41</v>
      </c>
      <c r="N12" s="19" t="s">
        <v>41</v>
      </c>
      <c r="O12" s="19" t="s">
        <v>41</v>
      </c>
      <c r="P12" s="19" t="s">
        <v>42</v>
      </c>
      <c r="Q12" s="114" t="s">
        <v>4</v>
      </c>
      <c r="R12" s="116" t="s">
        <v>2</v>
      </c>
      <c r="S12" s="19" t="s">
        <v>42</v>
      </c>
      <c r="T12" s="19" t="s">
        <v>41</v>
      </c>
      <c r="U12" s="116" t="s">
        <v>2</v>
      </c>
      <c r="V12" s="19" t="s">
        <v>41</v>
      </c>
      <c r="W12" s="22" t="s">
        <v>30</v>
      </c>
      <c r="X12" s="114" t="s">
        <v>4</v>
      </c>
      <c r="Y12" s="19" t="s">
        <v>41</v>
      </c>
      <c r="Z12" s="19" t="s">
        <v>41</v>
      </c>
      <c r="AA12" s="19" t="s">
        <v>41</v>
      </c>
      <c r="AB12" s="116" t="s">
        <v>2</v>
      </c>
      <c r="AC12" s="19" t="s">
        <v>41</v>
      </c>
      <c r="AD12" s="122" t="s">
        <v>4</v>
      </c>
      <c r="AE12" s="122" t="s">
        <v>4</v>
      </c>
      <c r="AF12" s="122" t="s">
        <v>5</v>
      </c>
      <c r="AG12" s="122" t="s">
        <v>5</v>
      </c>
      <c r="AH12" s="122" t="s">
        <v>5</v>
      </c>
      <c r="AI12" s="122" t="s">
        <v>5</v>
      </c>
      <c r="AJ12" s="16" t="s">
        <v>10</v>
      </c>
      <c r="AK12" s="114" t="s">
        <v>4</v>
      </c>
      <c r="AL12" s="16" t="s">
        <v>11</v>
      </c>
    </row>
    <row r="13" spans="1:38" x14ac:dyDescent="0.35">
      <c r="A13" s="141" t="s">
        <v>69</v>
      </c>
      <c r="B13" s="16" t="s">
        <v>11</v>
      </c>
      <c r="C13" s="114" t="s">
        <v>4</v>
      </c>
      <c r="D13" s="19" t="s">
        <v>41</v>
      </c>
      <c r="E13" s="19" t="s">
        <v>41</v>
      </c>
      <c r="F13" s="116" t="s">
        <v>2</v>
      </c>
      <c r="G13" s="19" t="s">
        <v>41</v>
      </c>
      <c r="H13" s="19" t="s">
        <v>41</v>
      </c>
      <c r="I13" s="19" t="s">
        <v>42</v>
      </c>
      <c r="J13" s="114" t="s">
        <v>4</v>
      </c>
      <c r="K13" s="19" t="s">
        <v>41</v>
      </c>
      <c r="L13" s="19" t="s">
        <v>41</v>
      </c>
      <c r="M13" s="19" t="s">
        <v>41</v>
      </c>
      <c r="N13" s="19" t="s">
        <v>41</v>
      </c>
      <c r="O13" s="19" t="s">
        <v>41</v>
      </c>
      <c r="P13" s="19" t="s">
        <v>42</v>
      </c>
      <c r="Q13" s="114" t="s">
        <v>4</v>
      </c>
      <c r="R13" s="19" t="s">
        <v>41</v>
      </c>
      <c r="S13" s="115" t="s">
        <v>37</v>
      </c>
      <c r="T13" s="116" t="s">
        <v>2</v>
      </c>
      <c r="U13" s="19" t="s">
        <v>41</v>
      </c>
      <c r="V13" s="19" t="s">
        <v>41</v>
      </c>
      <c r="W13" s="19" t="s">
        <v>42</v>
      </c>
      <c r="X13" s="114" t="s">
        <v>4</v>
      </c>
      <c r="Y13" s="19" t="s">
        <v>41</v>
      </c>
      <c r="Z13" s="19" t="s">
        <v>41</v>
      </c>
      <c r="AA13" s="116" t="s">
        <v>2</v>
      </c>
      <c r="AB13" s="19" t="s">
        <v>41</v>
      </c>
      <c r="AC13" s="19" t="s">
        <v>41</v>
      </c>
      <c r="AD13" s="19" t="s">
        <v>42</v>
      </c>
      <c r="AE13" s="114" t="s">
        <v>4</v>
      </c>
      <c r="AF13" s="19" t="s">
        <v>41</v>
      </c>
      <c r="AG13" s="19" t="s">
        <v>41</v>
      </c>
      <c r="AH13" s="19" t="s">
        <v>41</v>
      </c>
      <c r="AI13" s="19" t="s">
        <v>41</v>
      </c>
      <c r="AJ13" s="19" t="s">
        <v>41</v>
      </c>
      <c r="AK13" s="114" t="s">
        <v>4</v>
      </c>
      <c r="AL13" s="25" t="s">
        <v>3</v>
      </c>
    </row>
    <row r="14" spans="1:38" x14ac:dyDescent="0.35">
      <c r="A14" s="141" t="s">
        <v>149</v>
      </c>
      <c r="B14" s="22" t="s">
        <v>30</v>
      </c>
      <c r="C14" s="114" t="s">
        <v>4</v>
      </c>
      <c r="D14" s="19" t="s">
        <v>41</v>
      </c>
      <c r="E14" s="19" t="s">
        <v>41</v>
      </c>
      <c r="F14" s="19" t="s">
        <v>41</v>
      </c>
      <c r="G14" s="19" t="s">
        <v>41</v>
      </c>
      <c r="H14" s="19" t="s">
        <v>41</v>
      </c>
      <c r="I14" s="114" t="s">
        <v>4</v>
      </c>
      <c r="J14" s="19" t="s">
        <v>42</v>
      </c>
      <c r="K14" s="19" t="s">
        <v>41</v>
      </c>
      <c r="L14" s="19" t="s">
        <v>41</v>
      </c>
      <c r="M14" s="19" t="s">
        <v>41</v>
      </c>
      <c r="N14" s="19" t="s">
        <v>41</v>
      </c>
      <c r="O14" s="116" t="s">
        <v>2</v>
      </c>
      <c r="P14" s="114" t="s">
        <v>4</v>
      </c>
      <c r="Q14" s="19" t="s">
        <v>42</v>
      </c>
      <c r="R14" s="19" t="s">
        <v>41</v>
      </c>
      <c r="S14" s="115" t="s">
        <v>37</v>
      </c>
      <c r="T14" s="19" t="s">
        <v>41</v>
      </c>
      <c r="U14" s="19" t="s">
        <v>41</v>
      </c>
      <c r="V14" s="19" t="s">
        <v>41</v>
      </c>
      <c r="W14" s="114" t="s">
        <v>4</v>
      </c>
      <c r="X14" s="19" t="s">
        <v>42</v>
      </c>
      <c r="Y14" s="19" t="s">
        <v>41</v>
      </c>
      <c r="Z14" s="19" t="s">
        <v>41</v>
      </c>
      <c r="AA14" s="19" t="s">
        <v>41</v>
      </c>
      <c r="AB14" s="19" t="s">
        <v>41</v>
      </c>
      <c r="AC14" s="116" t="s">
        <v>2</v>
      </c>
      <c r="AD14" s="114" t="s">
        <v>4</v>
      </c>
      <c r="AE14" s="19" t="s">
        <v>42</v>
      </c>
      <c r="AF14" s="19" t="s">
        <v>41</v>
      </c>
      <c r="AG14" s="19" t="s">
        <v>41</v>
      </c>
      <c r="AH14" s="122" t="s">
        <v>5</v>
      </c>
      <c r="AI14" s="19" t="s">
        <v>41</v>
      </c>
      <c r="AJ14" s="16" t="s">
        <v>10</v>
      </c>
      <c r="AK14" s="16" t="s">
        <v>11</v>
      </c>
      <c r="AL14" s="114" t="s">
        <v>4</v>
      </c>
    </row>
    <row r="15" spans="1:38" x14ac:dyDescent="0.35">
      <c r="A15" s="141" t="s">
        <v>62</v>
      </c>
      <c r="B15" s="16" t="s">
        <v>11</v>
      </c>
      <c r="C15" s="114" t="s">
        <v>4</v>
      </c>
      <c r="D15" s="19" t="s">
        <v>41</v>
      </c>
      <c r="E15" s="19" t="s">
        <v>41</v>
      </c>
      <c r="F15" s="19" t="s">
        <v>41</v>
      </c>
      <c r="G15" s="19" t="s">
        <v>41</v>
      </c>
      <c r="H15" s="19" t="s">
        <v>41</v>
      </c>
      <c r="I15" s="114" t="s">
        <v>4</v>
      </c>
      <c r="J15" s="19" t="s">
        <v>42</v>
      </c>
      <c r="K15" s="19" t="s">
        <v>41</v>
      </c>
      <c r="L15" s="116" t="s">
        <v>2</v>
      </c>
      <c r="M15" s="122" t="s">
        <v>5</v>
      </c>
      <c r="N15" s="19" t="s">
        <v>41</v>
      </c>
      <c r="O15" s="19" t="s">
        <v>41</v>
      </c>
      <c r="P15" s="114" t="s">
        <v>4</v>
      </c>
      <c r="Q15" s="19" t="s">
        <v>42</v>
      </c>
      <c r="R15" s="19" t="s">
        <v>41</v>
      </c>
      <c r="S15" s="19" t="s">
        <v>42</v>
      </c>
      <c r="T15" s="19" t="s">
        <v>41</v>
      </c>
      <c r="U15" s="19" t="s">
        <v>41</v>
      </c>
      <c r="V15" s="116" t="s">
        <v>2</v>
      </c>
      <c r="W15" s="114" t="s">
        <v>4</v>
      </c>
      <c r="X15" s="114" t="s">
        <v>4</v>
      </c>
      <c r="Y15" s="122" t="s">
        <v>5</v>
      </c>
      <c r="Z15" s="122" t="s">
        <v>5</v>
      </c>
      <c r="AA15" s="19" t="s">
        <v>41</v>
      </c>
      <c r="AB15" s="19" t="s">
        <v>41</v>
      </c>
      <c r="AC15" s="19" t="s">
        <v>41</v>
      </c>
      <c r="AD15" s="114" t="s">
        <v>4</v>
      </c>
      <c r="AE15" s="19" t="s">
        <v>42</v>
      </c>
      <c r="AF15" s="19" t="s">
        <v>41</v>
      </c>
      <c r="AG15" s="116" t="s">
        <v>2</v>
      </c>
      <c r="AH15" s="19" t="s">
        <v>41</v>
      </c>
      <c r="AI15" s="19" t="s">
        <v>41</v>
      </c>
      <c r="AJ15" s="19" t="s">
        <v>41</v>
      </c>
      <c r="AK15" s="114" t="s">
        <v>4</v>
      </c>
      <c r="AL15" s="25" t="s">
        <v>3</v>
      </c>
    </row>
    <row r="16" spans="1:38" x14ac:dyDescent="0.35">
      <c r="A16" s="173" t="s">
        <v>153</v>
      </c>
      <c r="B16" s="114" t="s">
        <v>4</v>
      </c>
      <c r="C16" s="114" t="s">
        <v>4</v>
      </c>
      <c r="D16" s="22" t="s">
        <v>16</v>
      </c>
      <c r="E16" s="22" t="s">
        <v>16</v>
      </c>
      <c r="F16" s="22" t="s">
        <v>16</v>
      </c>
      <c r="G16" s="22" t="s">
        <v>16</v>
      </c>
      <c r="H16" s="22" t="s">
        <v>16</v>
      </c>
      <c r="I16" s="114" t="s">
        <v>4</v>
      </c>
      <c r="J16" s="114" t="s">
        <v>4</v>
      </c>
      <c r="K16" s="22" t="s">
        <v>16</v>
      </c>
      <c r="L16" s="22" t="s">
        <v>16</v>
      </c>
      <c r="M16" s="22" t="s">
        <v>16</v>
      </c>
      <c r="N16" s="22" t="s">
        <v>16</v>
      </c>
      <c r="O16" s="22" t="s">
        <v>16</v>
      </c>
      <c r="P16" s="114" t="s">
        <v>4</v>
      </c>
      <c r="Q16" s="114" t="s">
        <v>4</v>
      </c>
      <c r="R16" s="174" t="s">
        <v>34</v>
      </c>
      <c r="S16" s="115" t="s">
        <v>37</v>
      </c>
      <c r="T16" s="22" t="s">
        <v>16</v>
      </c>
      <c r="U16" s="22" t="s">
        <v>16</v>
      </c>
      <c r="V16" s="22" t="s">
        <v>16</v>
      </c>
      <c r="W16" s="114" t="s">
        <v>4</v>
      </c>
      <c r="X16" s="114" t="s">
        <v>4</v>
      </c>
      <c r="Y16" s="22" t="s">
        <v>16</v>
      </c>
      <c r="Z16" s="22" t="s">
        <v>16</v>
      </c>
      <c r="AA16" s="22" t="s">
        <v>16</v>
      </c>
      <c r="AB16" s="22" t="s">
        <v>16</v>
      </c>
      <c r="AC16" s="22" t="s">
        <v>16</v>
      </c>
      <c r="AD16" s="114" t="s">
        <v>4</v>
      </c>
      <c r="AE16" s="114" t="s">
        <v>4</v>
      </c>
      <c r="AF16" s="22" t="s">
        <v>16</v>
      </c>
      <c r="AG16" s="22" t="s">
        <v>16</v>
      </c>
      <c r="AH16" s="22" t="s">
        <v>16</v>
      </c>
      <c r="AI16" s="22" t="s">
        <v>16</v>
      </c>
      <c r="AJ16" s="22" t="s">
        <v>16</v>
      </c>
      <c r="AK16" s="114" t="s">
        <v>4</v>
      </c>
      <c r="AL16" s="114" t="s">
        <v>4</v>
      </c>
    </row>
    <row r="18" spans="1:38" x14ac:dyDescent="0.35">
      <c r="A18" s="165" t="s">
        <v>1</v>
      </c>
      <c r="B18" s="122" t="s">
        <v>4</v>
      </c>
      <c r="C18" s="122" t="s">
        <v>4</v>
      </c>
      <c r="D18" s="122" t="s">
        <v>5</v>
      </c>
      <c r="E18" s="122" t="s">
        <v>5</v>
      </c>
      <c r="F18" s="122" t="s">
        <v>5</v>
      </c>
      <c r="G18" s="16" t="s">
        <v>10</v>
      </c>
      <c r="H18" s="16" t="s">
        <v>10</v>
      </c>
      <c r="I18" s="114" t="s">
        <v>4</v>
      </c>
      <c r="J18" s="16" t="s">
        <v>11</v>
      </c>
      <c r="K18" s="16" t="s">
        <v>10</v>
      </c>
      <c r="L18" s="16" t="s">
        <v>10</v>
      </c>
      <c r="M18" s="16" t="s">
        <v>10</v>
      </c>
      <c r="N18" s="116" t="s">
        <v>2</v>
      </c>
      <c r="O18" s="16" t="s">
        <v>10</v>
      </c>
      <c r="P18" s="16" t="s">
        <v>11</v>
      </c>
      <c r="Q18" s="114" t="s">
        <v>4</v>
      </c>
      <c r="R18" s="16" t="s">
        <v>10</v>
      </c>
      <c r="S18" s="16" t="s">
        <v>11</v>
      </c>
      <c r="T18" s="16" t="s">
        <v>10</v>
      </c>
      <c r="U18" s="116" t="s">
        <v>2</v>
      </c>
      <c r="V18" s="16" t="s">
        <v>10</v>
      </c>
      <c r="W18" s="16" t="s">
        <v>11</v>
      </c>
      <c r="X18" s="114" t="s">
        <v>4</v>
      </c>
      <c r="Y18" s="16" t="s">
        <v>10</v>
      </c>
      <c r="Z18" s="16" t="s">
        <v>10</v>
      </c>
      <c r="AA18" s="16" t="s">
        <v>10</v>
      </c>
      <c r="AB18" s="116" t="s">
        <v>2</v>
      </c>
      <c r="AC18" s="16" t="s">
        <v>10</v>
      </c>
      <c r="AD18" s="16" t="s">
        <v>11</v>
      </c>
      <c r="AE18" s="16" t="s">
        <v>11</v>
      </c>
      <c r="AF18" s="16" t="s">
        <v>10</v>
      </c>
      <c r="AG18" s="16" t="s">
        <v>10</v>
      </c>
      <c r="AH18" s="16" t="s">
        <v>10</v>
      </c>
      <c r="AI18" s="16" t="s">
        <v>10</v>
      </c>
      <c r="AJ18" s="116" t="s">
        <v>2</v>
      </c>
      <c r="AK18" s="19" t="s">
        <v>42</v>
      </c>
      <c r="AL18" s="19" t="s">
        <v>42</v>
      </c>
    </row>
    <row r="19" spans="1:38" x14ac:dyDescent="0.35">
      <c r="A19" s="165" t="s">
        <v>43</v>
      </c>
      <c r="B19" s="19" t="s">
        <v>42</v>
      </c>
      <c r="C19" s="114" t="s">
        <v>4</v>
      </c>
      <c r="D19" s="16" t="s">
        <v>10</v>
      </c>
      <c r="E19" s="16" t="s">
        <v>10</v>
      </c>
      <c r="F19" s="16" t="s">
        <v>10</v>
      </c>
      <c r="G19" s="16" t="s">
        <v>10</v>
      </c>
      <c r="H19" s="116" t="s">
        <v>2</v>
      </c>
      <c r="I19" s="16" t="s">
        <v>11</v>
      </c>
      <c r="J19" s="16" t="s">
        <v>11</v>
      </c>
      <c r="K19" s="116" t="s">
        <v>2</v>
      </c>
      <c r="L19" s="16" t="s">
        <v>10</v>
      </c>
      <c r="M19" s="16" t="s">
        <v>10</v>
      </c>
      <c r="N19" s="16" t="s">
        <v>10</v>
      </c>
      <c r="O19" s="116" t="s">
        <v>2</v>
      </c>
      <c r="P19" s="114" t="s">
        <v>4</v>
      </c>
      <c r="Q19" s="16" t="s">
        <v>11</v>
      </c>
      <c r="R19" s="116" t="s">
        <v>2</v>
      </c>
      <c r="S19" s="115" t="s">
        <v>37</v>
      </c>
      <c r="T19" s="16" t="s">
        <v>10</v>
      </c>
      <c r="U19" s="16" t="s">
        <v>10</v>
      </c>
      <c r="V19" s="116" t="s">
        <v>2</v>
      </c>
      <c r="W19" s="114" t="s">
        <v>4</v>
      </c>
      <c r="X19" s="16" t="s">
        <v>11</v>
      </c>
      <c r="Y19" s="16" t="s">
        <v>10</v>
      </c>
      <c r="Z19" s="16" t="s">
        <v>10</v>
      </c>
      <c r="AA19" s="16" t="s">
        <v>10</v>
      </c>
      <c r="AB19" s="16" t="s">
        <v>10</v>
      </c>
      <c r="AC19" s="116" t="s">
        <v>2</v>
      </c>
      <c r="AD19" s="114" t="s">
        <v>4</v>
      </c>
      <c r="AE19" s="114" t="s">
        <v>4</v>
      </c>
      <c r="AF19" s="16" t="s">
        <v>10</v>
      </c>
      <c r="AG19" s="16" t="s">
        <v>10</v>
      </c>
      <c r="AH19" s="16" t="s">
        <v>10</v>
      </c>
      <c r="AI19" s="116" t="s">
        <v>2</v>
      </c>
      <c r="AJ19" s="19" t="s">
        <v>41</v>
      </c>
      <c r="AK19" s="19" t="s">
        <v>42</v>
      </c>
      <c r="AL19" s="114" t="s">
        <v>4</v>
      </c>
    </row>
    <row r="20" spans="1:38" x14ac:dyDescent="0.35">
      <c r="A20" s="141" t="s">
        <v>68</v>
      </c>
      <c r="B20" s="25" t="s">
        <v>3</v>
      </c>
      <c r="C20" s="114" t="s">
        <v>4</v>
      </c>
      <c r="D20" s="16" t="s">
        <v>10</v>
      </c>
      <c r="E20" s="16" t="s">
        <v>10</v>
      </c>
      <c r="F20" s="16" t="s">
        <v>10</v>
      </c>
      <c r="G20" s="16" t="s">
        <v>10</v>
      </c>
      <c r="H20" s="16" t="s">
        <v>10</v>
      </c>
      <c r="I20" s="16" t="s">
        <v>11</v>
      </c>
      <c r="J20" s="114" t="s">
        <v>4</v>
      </c>
      <c r="K20" s="16" t="s">
        <v>10</v>
      </c>
      <c r="L20" s="16" t="s">
        <v>10</v>
      </c>
      <c r="M20" s="116" t="s">
        <v>2</v>
      </c>
      <c r="N20" s="16" t="s">
        <v>10</v>
      </c>
      <c r="O20" s="16" t="s">
        <v>10</v>
      </c>
      <c r="P20" s="122" t="s">
        <v>4</v>
      </c>
      <c r="Q20" s="122" t="s">
        <v>4</v>
      </c>
      <c r="R20" s="16" t="s">
        <v>10</v>
      </c>
      <c r="S20" s="16" t="s">
        <v>11</v>
      </c>
      <c r="T20" s="16" t="s">
        <v>10</v>
      </c>
      <c r="U20" s="16" t="s">
        <v>10</v>
      </c>
      <c r="V20" s="16" t="s">
        <v>10</v>
      </c>
      <c r="W20" s="16" t="s">
        <v>11</v>
      </c>
      <c r="X20" s="114" t="s">
        <v>4</v>
      </c>
      <c r="Y20" s="16" t="s">
        <v>10</v>
      </c>
      <c r="Z20" s="116" t="s">
        <v>2</v>
      </c>
      <c r="AA20" s="116" t="s">
        <v>2</v>
      </c>
      <c r="AB20" s="16" t="s">
        <v>10</v>
      </c>
      <c r="AC20" s="16" t="s">
        <v>10</v>
      </c>
      <c r="AD20" s="122" t="s">
        <v>4</v>
      </c>
      <c r="AE20" s="122" t="s">
        <v>4</v>
      </c>
      <c r="AF20" s="16" t="s">
        <v>10</v>
      </c>
      <c r="AG20" s="16" t="s">
        <v>10</v>
      </c>
      <c r="AH20" s="16" t="s">
        <v>10</v>
      </c>
      <c r="AI20" s="16" t="s">
        <v>10</v>
      </c>
      <c r="AJ20" s="116" t="s">
        <v>2</v>
      </c>
      <c r="AK20" s="114" t="s">
        <v>4</v>
      </c>
      <c r="AL20" s="19" t="s">
        <v>42</v>
      </c>
    </row>
    <row r="21" spans="1:38" x14ac:dyDescent="0.35">
      <c r="A21" s="141" t="s">
        <v>60</v>
      </c>
      <c r="B21" s="19" t="s">
        <v>42</v>
      </c>
      <c r="C21" s="114" t="s">
        <v>4</v>
      </c>
      <c r="D21" s="16" t="s">
        <v>10</v>
      </c>
      <c r="E21" s="16" t="s">
        <v>10</v>
      </c>
      <c r="F21" s="16" t="s">
        <v>10</v>
      </c>
      <c r="G21" s="116" t="s">
        <v>2</v>
      </c>
      <c r="H21" s="16" t="s">
        <v>10</v>
      </c>
      <c r="I21" s="114" t="s">
        <v>4</v>
      </c>
      <c r="J21" s="114" t="s">
        <v>4</v>
      </c>
      <c r="K21" s="16" t="s">
        <v>10</v>
      </c>
      <c r="L21" s="16" t="s">
        <v>10</v>
      </c>
      <c r="M21" s="16" t="s">
        <v>10</v>
      </c>
      <c r="N21" s="16" t="s">
        <v>10</v>
      </c>
      <c r="O21" s="116" t="s">
        <v>2</v>
      </c>
      <c r="P21" s="16" t="s">
        <v>11</v>
      </c>
      <c r="Q21" s="16" t="s">
        <v>11</v>
      </c>
      <c r="R21" s="16" t="s">
        <v>10</v>
      </c>
      <c r="S21" s="115" t="s">
        <v>37</v>
      </c>
      <c r="T21" s="16" t="s">
        <v>10</v>
      </c>
      <c r="U21" s="16" t="s">
        <v>10</v>
      </c>
      <c r="V21" s="116" t="s">
        <v>2</v>
      </c>
      <c r="W21" s="114" t="s">
        <v>4</v>
      </c>
      <c r="X21" s="16" t="s">
        <v>11</v>
      </c>
      <c r="Y21" s="16" t="s">
        <v>10</v>
      </c>
      <c r="Z21" s="16" t="s">
        <v>10</v>
      </c>
      <c r="AA21" s="16" t="s">
        <v>10</v>
      </c>
      <c r="AB21" s="16" t="s">
        <v>10</v>
      </c>
      <c r="AC21" s="116" t="s">
        <v>2</v>
      </c>
      <c r="AD21" s="114" t="s">
        <v>4</v>
      </c>
      <c r="AE21" s="16" t="s">
        <v>11</v>
      </c>
      <c r="AF21" s="16" t="s">
        <v>10</v>
      </c>
      <c r="AG21" s="16" t="s">
        <v>10</v>
      </c>
      <c r="AH21" s="116" t="s">
        <v>2</v>
      </c>
      <c r="AI21" s="116" t="s">
        <v>2</v>
      </c>
      <c r="AJ21" s="19" t="s">
        <v>41</v>
      </c>
      <c r="AK21" s="114" t="s">
        <v>4</v>
      </c>
      <c r="AL21" s="114" t="s">
        <v>4</v>
      </c>
    </row>
    <row r="22" spans="1:38" x14ac:dyDescent="0.35">
      <c r="A22" s="141" t="s">
        <v>148</v>
      </c>
      <c r="B22" s="114" t="s">
        <v>4</v>
      </c>
      <c r="C22" s="114" t="s">
        <v>4</v>
      </c>
      <c r="D22" s="16" t="s">
        <v>10</v>
      </c>
      <c r="E22" s="16" t="s">
        <v>10</v>
      </c>
      <c r="F22" s="116" t="s">
        <v>2</v>
      </c>
      <c r="G22" s="16" t="s">
        <v>10</v>
      </c>
      <c r="H22" s="16" t="s">
        <v>10</v>
      </c>
      <c r="I22" s="16" t="s">
        <v>11</v>
      </c>
      <c r="J22" s="114" t="s">
        <v>4</v>
      </c>
      <c r="K22" s="16" t="s">
        <v>10</v>
      </c>
      <c r="L22" s="116" t="s">
        <v>2</v>
      </c>
      <c r="M22" s="16" t="s">
        <v>10</v>
      </c>
      <c r="N22" s="16" t="s">
        <v>10</v>
      </c>
      <c r="O22" s="16" t="s">
        <v>10</v>
      </c>
      <c r="P22" s="16" t="s">
        <v>11</v>
      </c>
      <c r="Q22" s="114" t="s">
        <v>4</v>
      </c>
      <c r="R22" s="16" t="s">
        <v>10</v>
      </c>
      <c r="S22" s="16" t="s">
        <v>11</v>
      </c>
      <c r="T22" s="116" t="s">
        <v>2</v>
      </c>
      <c r="U22" s="16" t="s">
        <v>10</v>
      </c>
      <c r="V22" s="16" t="s">
        <v>10</v>
      </c>
      <c r="W22" s="16" t="s">
        <v>11</v>
      </c>
      <c r="X22" s="114" t="s">
        <v>4</v>
      </c>
      <c r="Y22" s="116" t="s">
        <v>2</v>
      </c>
      <c r="Z22" s="16" t="s">
        <v>10</v>
      </c>
      <c r="AA22" s="16" t="s">
        <v>10</v>
      </c>
      <c r="AB22" s="16" t="s">
        <v>10</v>
      </c>
      <c r="AC22" s="16" t="s">
        <v>10</v>
      </c>
      <c r="AD22" s="16" t="s">
        <v>11</v>
      </c>
      <c r="AE22" s="114" t="s">
        <v>4</v>
      </c>
      <c r="AF22" s="116" t="s">
        <v>2</v>
      </c>
      <c r="AG22" s="116" t="s">
        <v>2</v>
      </c>
      <c r="AH22" s="16" t="s">
        <v>10</v>
      </c>
      <c r="AI22" s="16" t="s">
        <v>10</v>
      </c>
      <c r="AJ22" s="116" t="s">
        <v>2</v>
      </c>
      <c r="AK22" s="114" t="s">
        <v>4</v>
      </c>
      <c r="AL22" s="114" t="s">
        <v>4</v>
      </c>
    </row>
    <row r="24" spans="1:38" x14ac:dyDescent="0.35">
      <c r="A24" s="128" t="s">
        <v>125</v>
      </c>
      <c r="B24">
        <f>COUNTIF(B4:B22,"*MS")</f>
        <v>2</v>
      </c>
      <c r="C24">
        <f>COUNTIF(C5:C22,"*MS")</f>
        <v>1</v>
      </c>
      <c r="D24">
        <f>COUNTIF(D4:D22,"*MS")</f>
        <v>3</v>
      </c>
      <c r="E24">
        <f t="shared" ref="E24:H24" si="2">COUNTIF(E4:E22,"*MS")</f>
        <v>4</v>
      </c>
      <c r="F24">
        <f t="shared" si="2"/>
        <v>3</v>
      </c>
      <c r="G24">
        <f t="shared" si="2"/>
        <v>4</v>
      </c>
      <c r="H24">
        <f t="shared" si="2"/>
        <v>3</v>
      </c>
      <c r="I24">
        <f>COUNTIF(I4:I22,"*MS")</f>
        <v>2</v>
      </c>
      <c r="J24">
        <f>COUNTIF(J4:J22,"*MS")</f>
        <v>2</v>
      </c>
      <c r="K24">
        <f>COUNTIF(K4:K22,"*MS")</f>
        <v>4</v>
      </c>
      <c r="L24">
        <f t="shared" ref="L24:O24" si="3">COUNTIF(L4:L22,"*MS")</f>
        <v>3</v>
      </c>
      <c r="M24">
        <f>COUNTIF(M4:M22,"*MS")</f>
        <v>4</v>
      </c>
      <c r="N24">
        <f t="shared" si="3"/>
        <v>4</v>
      </c>
      <c r="O24">
        <f t="shared" si="3"/>
        <v>3</v>
      </c>
      <c r="P24">
        <f>COUNTIF(P4:P22,"*MS")</f>
        <v>2</v>
      </c>
      <c r="Q24">
        <f>COUNTIF(Q4:Q22,"*MS")</f>
        <v>2</v>
      </c>
      <c r="R24">
        <f>COUNTIF(R4:R22,"*MS")</f>
        <v>3</v>
      </c>
      <c r="S24">
        <f t="shared" ref="S24:V24" si="4">COUNTIF(S4:S22,"*MS")</f>
        <v>3</v>
      </c>
      <c r="T24">
        <f t="shared" si="4"/>
        <v>4</v>
      </c>
      <c r="U24">
        <f t="shared" si="4"/>
        <v>4</v>
      </c>
      <c r="V24">
        <f t="shared" si="4"/>
        <v>4</v>
      </c>
      <c r="W24">
        <f>COUNTIF(W4:W22,"*MS")</f>
        <v>2</v>
      </c>
      <c r="X24">
        <f>COUNTIF(X4:X22,"*MS")</f>
        <v>2</v>
      </c>
      <c r="Y24">
        <f>COUNTIF(Y4:Y22,"*MS")</f>
        <v>4</v>
      </c>
      <c r="Z24">
        <f t="shared" ref="Z24:AC24" si="5">COUNTIF(Z4:Z22,"*MS")</f>
        <v>4</v>
      </c>
      <c r="AA24">
        <f t="shared" si="5"/>
        <v>4</v>
      </c>
      <c r="AB24">
        <f t="shared" si="5"/>
        <v>4</v>
      </c>
      <c r="AC24">
        <f t="shared" si="5"/>
        <v>4</v>
      </c>
      <c r="AD24">
        <f>COUNTIF(AD4:AD22,"*MS")</f>
        <v>2</v>
      </c>
      <c r="AE24">
        <f>COUNTIF(AE4:AE22,"*MS")</f>
        <v>2</v>
      </c>
      <c r="AF24">
        <f>COUNTIF(AF4:AF22,"*MS")</f>
        <v>4</v>
      </c>
      <c r="AG24">
        <f t="shared" ref="AG24:AH24" si="6">COUNTIF(AG4:AG22,"*MS")</f>
        <v>4</v>
      </c>
      <c r="AH24">
        <f t="shared" si="6"/>
        <v>4</v>
      </c>
      <c r="AI24">
        <f>COUNTIF(AI5:AI22,"*MS")</f>
        <v>4</v>
      </c>
      <c r="AJ24">
        <f t="shared" ref="AJ24" si="7">COUNTIF(AJ4:AJ22,"*MS")</f>
        <v>4</v>
      </c>
      <c r="AK24">
        <f>COUNTIF(AK4:AK22,"*MS")</f>
        <v>2</v>
      </c>
      <c r="AL24">
        <f>COUNTIF(AL4:AL22,"*MS")</f>
        <v>2</v>
      </c>
    </row>
    <row r="25" spans="1:38" x14ac:dyDescent="0.35">
      <c r="A25" s="128" t="s">
        <v>126</v>
      </c>
      <c r="B25">
        <f>COUNTIF(B4:B22,"*ASS1")</f>
        <v>2</v>
      </c>
      <c r="C25">
        <f>COUNTIF(C5:C22,"*ASS1")</f>
        <v>2</v>
      </c>
      <c r="D25">
        <f>COUNTIF(D4:D22,"*ASS1")</f>
        <v>4</v>
      </c>
      <c r="E25">
        <f t="shared" ref="E25:H25" si="8">COUNTIF(E4:E22,"*ASS1")</f>
        <v>4</v>
      </c>
      <c r="F25">
        <f t="shared" si="8"/>
        <v>4</v>
      </c>
      <c r="G25">
        <f t="shared" si="8"/>
        <v>4</v>
      </c>
      <c r="H25">
        <f t="shared" si="8"/>
        <v>4</v>
      </c>
      <c r="I25">
        <f>COUNTIF(I4:I22,"*ASS1")</f>
        <v>2</v>
      </c>
      <c r="J25">
        <f>COUNTIF(J4:J22,"*ASS1")</f>
        <v>2</v>
      </c>
      <c r="K25">
        <f>COUNTIF(K4:K22,"*ASS1")</f>
        <v>3</v>
      </c>
      <c r="L25">
        <f t="shared" ref="L25:O25" si="9">COUNTIF(L4:L22,"*ASS1")</f>
        <v>3</v>
      </c>
      <c r="M25">
        <f>COUNTIF(M4:M22,"*ASS1")</f>
        <v>3</v>
      </c>
      <c r="N25">
        <f t="shared" si="9"/>
        <v>4</v>
      </c>
      <c r="O25">
        <f t="shared" si="9"/>
        <v>3</v>
      </c>
      <c r="P25">
        <f>COUNTIF(P4:P22,"*ASS1")</f>
        <v>2</v>
      </c>
      <c r="Q25">
        <f>COUNTIF(Q4:Q22,"*ASS1")</f>
        <v>2</v>
      </c>
      <c r="R25">
        <f>COUNTIF(R4:R22,"*ASS1")</f>
        <v>3</v>
      </c>
      <c r="S25">
        <f t="shared" ref="S25:V25" si="10">COUNTIF(S4:S22,"*ASS1")</f>
        <v>3</v>
      </c>
      <c r="T25">
        <f t="shared" si="10"/>
        <v>4</v>
      </c>
      <c r="U25">
        <f t="shared" si="10"/>
        <v>4</v>
      </c>
      <c r="V25">
        <f t="shared" si="10"/>
        <v>4</v>
      </c>
      <c r="W25">
        <f>COUNTIF(W4:W22,"*ASS1")</f>
        <v>2</v>
      </c>
      <c r="X25">
        <f>COUNTIF(X4:X22,"*ASS1")</f>
        <v>2</v>
      </c>
      <c r="Y25">
        <f>COUNTIF(Y4:Y22,"*ASS1")</f>
        <v>3</v>
      </c>
      <c r="Z25">
        <f t="shared" ref="Z25:AC25" si="11">COUNTIF(Z4:Z22,"*ASS1")</f>
        <v>4</v>
      </c>
      <c r="AA25">
        <f t="shared" si="11"/>
        <v>3</v>
      </c>
      <c r="AB25">
        <f t="shared" si="11"/>
        <v>4</v>
      </c>
      <c r="AC25">
        <f t="shared" si="11"/>
        <v>4</v>
      </c>
      <c r="AD25">
        <f>COUNTIF(AD4:AD22,"*ASS1")</f>
        <v>2</v>
      </c>
      <c r="AE25">
        <f>COUNTIF(AE4:AE22,"*ASS1")</f>
        <v>2</v>
      </c>
      <c r="AF25">
        <f>COUNTIF(AF4:AF22,"*ASS1")</f>
        <v>3</v>
      </c>
      <c r="AG25">
        <f t="shared" ref="AG25:AH25" si="12">COUNTIF(AG4:AG22,"*ASS1")</f>
        <v>3</v>
      </c>
      <c r="AH25">
        <f t="shared" si="12"/>
        <v>3</v>
      </c>
      <c r="AI25">
        <f>COUNTIF(AI5:AI22,"*ASS1")</f>
        <v>4</v>
      </c>
      <c r="AJ25">
        <f t="shared" ref="AJ25" si="13">COUNTIF(AJ4:AJ22,"*ASS1")</f>
        <v>4</v>
      </c>
      <c r="AK25">
        <f>COUNTIF(AK4:AK22,"*ASS1")</f>
        <v>2</v>
      </c>
      <c r="AL25">
        <f>COUNTIF(AL4:AL22,"*ASS1")</f>
        <v>2</v>
      </c>
    </row>
    <row r="26" spans="1:38" x14ac:dyDescent="0.35">
      <c r="A26" s="128" t="s">
        <v>127</v>
      </c>
      <c r="B26">
        <f>COUNTIF(B4:B22,"*NST7")</f>
        <v>3</v>
      </c>
      <c r="C26">
        <f>COUNTIF(C5:C22,"*NST7")</f>
        <v>2</v>
      </c>
      <c r="D26">
        <f>COUNTIF(D4:D22,"*NST7")</f>
        <v>4</v>
      </c>
      <c r="E26">
        <f t="shared" ref="E26:H26" si="14">COUNTIF(E4:E22,"*NST7")</f>
        <v>4</v>
      </c>
      <c r="F26">
        <f t="shared" si="14"/>
        <v>3</v>
      </c>
      <c r="G26">
        <f t="shared" si="14"/>
        <v>4</v>
      </c>
      <c r="H26">
        <f t="shared" si="14"/>
        <v>4</v>
      </c>
      <c r="I26">
        <f>COUNTIF(I4:I22,"*NST7")</f>
        <v>3</v>
      </c>
      <c r="J26">
        <f>COUNTIF(J4:J22,"*NST7")</f>
        <v>2</v>
      </c>
      <c r="K26">
        <f>COUNTIF(K4:K22,"*NST7")</f>
        <v>4</v>
      </c>
      <c r="L26">
        <f t="shared" ref="L26:O26" si="15">COUNTIF(L4:L22,"*NST7")</f>
        <v>4</v>
      </c>
      <c r="M26">
        <f>COUNTIF(M4:M22,"*NST7")</f>
        <v>4</v>
      </c>
      <c r="N26">
        <f t="shared" si="15"/>
        <v>4</v>
      </c>
      <c r="O26">
        <f t="shared" si="15"/>
        <v>3</v>
      </c>
      <c r="P26">
        <f>COUNTIF(P4:P22,"*NST7")</f>
        <v>3</v>
      </c>
      <c r="Q26">
        <f>COUNTIF(Q4:Q22,"*NST7")</f>
        <v>2</v>
      </c>
      <c r="R26">
        <f>COUNTIF(R4:R22,"*NST7")</f>
        <v>4</v>
      </c>
      <c r="S26">
        <f t="shared" ref="S26:V26" si="16">COUNTIF(S4:S22,"*NST7")</f>
        <v>3</v>
      </c>
      <c r="T26">
        <f t="shared" si="16"/>
        <v>4</v>
      </c>
      <c r="U26">
        <f t="shared" si="16"/>
        <v>4</v>
      </c>
      <c r="V26">
        <f t="shared" si="16"/>
        <v>3</v>
      </c>
      <c r="W26">
        <f>COUNTIF(W4:W22,"*NST7")</f>
        <v>3</v>
      </c>
      <c r="X26">
        <f>COUNTIF(X4:X22,"*NST7")</f>
        <v>2</v>
      </c>
      <c r="Y26">
        <f>COUNTIF(Y4:Y22,"*NST7")</f>
        <v>4</v>
      </c>
      <c r="Z26">
        <f t="shared" ref="Z26:AC26" si="17">COUNTIF(Z4:Z22,"*NST7")</f>
        <v>4</v>
      </c>
      <c r="AA26">
        <f t="shared" si="17"/>
        <v>4</v>
      </c>
      <c r="AB26">
        <f t="shared" si="17"/>
        <v>4</v>
      </c>
      <c r="AC26">
        <f t="shared" si="17"/>
        <v>3</v>
      </c>
      <c r="AD26">
        <f>COUNTIF(AD4:AD22,"*NST7")</f>
        <v>2</v>
      </c>
      <c r="AE26">
        <f>COUNTIF(AE4:AE22,"*NST7")</f>
        <v>2</v>
      </c>
      <c r="AF26">
        <f>COUNTIF(AF4:AF22,"*NST7")</f>
        <v>4</v>
      </c>
      <c r="AG26">
        <f t="shared" ref="AG26:AH26" si="18">COUNTIF(AG4:AG22,"*NST7")</f>
        <v>4</v>
      </c>
      <c r="AH26">
        <f t="shared" si="18"/>
        <v>4</v>
      </c>
      <c r="AI26">
        <f>COUNTIF(AI5:AI22,"*NST7")</f>
        <v>3</v>
      </c>
      <c r="AJ26">
        <f t="shared" ref="AJ26" si="19">COUNTIF(AJ4:AJ22,"*NST7")</f>
        <v>4</v>
      </c>
      <c r="AK26">
        <f>COUNTIF(AK4:AK22,"*NST7")</f>
        <v>3</v>
      </c>
      <c r="AL26">
        <f>COUNTIF(AL4:AL22,"*NST7")</f>
        <v>3</v>
      </c>
    </row>
    <row r="27" spans="1:38" x14ac:dyDescent="0.35">
      <c r="A27" s="128" t="s">
        <v>128</v>
      </c>
      <c r="B27">
        <f>COUNTIF(B4:B22,"*GS")</f>
        <v>1</v>
      </c>
      <c r="C27">
        <f>COUNTIF(C5:C22,"*GS")</f>
        <v>0</v>
      </c>
      <c r="D27">
        <f>COUNTIF(D4:D22,"*GS")</f>
        <v>2</v>
      </c>
      <c r="E27">
        <f t="shared" ref="E27:H27" si="20">COUNTIF(E4:E22,"*GS")</f>
        <v>3</v>
      </c>
      <c r="F27">
        <f t="shared" si="20"/>
        <v>3</v>
      </c>
      <c r="G27">
        <f t="shared" si="20"/>
        <v>3</v>
      </c>
      <c r="H27">
        <f t="shared" si="20"/>
        <v>2</v>
      </c>
      <c r="I27">
        <f>COUNTIF(I4:I22,"*GS")</f>
        <v>1</v>
      </c>
      <c r="J27">
        <f>COUNTIF(J4:J22,"*GS")</f>
        <v>0</v>
      </c>
      <c r="K27">
        <f>COUNTIF(K4:K22,"*GS")</f>
        <v>2</v>
      </c>
      <c r="L27">
        <f t="shared" ref="L27:O27" si="21">COUNTIF(L4:L22,"*GS")</f>
        <v>2</v>
      </c>
      <c r="M27">
        <f>COUNTIF(M4:M22,"*GS")</f>
        <v>2</v>
      </c>
      <c r="N27">
        <f t="shared" si="21"/>
        <v>2</v>
      </c>
      <c r="O27">
        <f t="shared" si="21"/>
        <v>2</v>
      </c>
      <c r="P27">
        <f>COUNTIF(P4:P22,"*GS")</f>
        <v>1</v>
      </c>
      <c r="Q27">
        <f>COUNTIF(Q4:Q22,"*GS")</f>
        <v>0</v>
      </c>
      <c r="R27">
        <f>COUNTIF(R4:R22,"*GS")</f>
        <v>1</v>
      </c>
      <c r="S27">
        <f t="shared" ref="S27:V27" si="22">COUNTIF(S4:S22,"*GS")</f>
        <v>1</v>
      </c>
      <c r="T27">
        <f t="shared" si="22"/>
        <v>2</v>
      </c>
      <c r="U27">
        <f t="shared" si="22"/>
        <v>2</v>
      </c>
      <c r="V27">
        <f t="shared" si="22"/>
        <v>2</v>
      </c>
      <c r="W27">
        <f>COUNTIF(W4:W22,"*GS")</f>
        <v>1</v>
      </c>
      <c r="X27">
        <f>COUNTIF(X4:X22,"*GS")</f>
        <v>0</v>
      </c>
      <c r="Y27">
        <f>COUNTIF(Y4:Y22,"*GS")</f>
        <v>2</v>
      </c>
      <c r="Z27">
        <f t="shared" ref="Z27:AC27" si="23">COUNTIF(Z4:Z22,"*GS")</f>
        <v>1</v>
      </c>
      <c r="AA27">
        <f t="shared" si="23"/>
        <v>2</v>
      </c>
      <c r="AB27">
        <f t="shared" si="23"/>
        <v>2</v>
      </c>
      <c r="AC27">
        <f t="shared" si="23"/>
        <v>2</v>
      </c>
      <c r="AD27">
        <f>COUNTIF(AD4:AD22,"*GS")</f>
        <v>1</v>
      </c>
      <c r="AE27">
        <f>COUNTIF(AE4:AE22,"*GS")</f>
        <v>0</v>
      </c>
      <c r="AF27">
        <f>COUNTIF(AF4:AF22,"*GS")</f>
        <v>2</v>
      </c>
      <c r="AG27">
        <f t="shared" ref="AG27:AH27" si="24">COUNTIF(AG4:AG22,"*GS")</f>
        <v>2</v>
      </c>
      <c r="AH27">
        <f t="shared" si="24"/>
        <v>2</v>
      </c>
      <c r="AI27">
        <f>COUNTIF(AI5:AI22,"*GS")</f>
        <v>2</v>
      </c>
      <c r="AJ27">
        <f t="shared" ref="AJ27" si="25">COUNTIF(AJ4:AJ22,"*GS")</f>
        <v>1</v>
      </c>
      <c r="AK27">
        <f>COUNTIF(AK4:AK22,"*GS")</f>
        <v>1</v>
      </c>
      <c r="AL27">
        <f>COUNTIF(AL4:AL22,"*GS")</f>
        <v>0</v>
      </c>
    </row>
    <row r="28" spans="1:38" x14ac:dyDescent="0.35">
      <c r="A28" s="128" t="s">
        <v>129</v>
      </c>
      <c r="B28">
        <f>COUNTIF(B4:B22,"WO")</f>
        <v>9</v>
      </c>
      <c r="C28">
        <f>COUNTIF(C5:C22,"WO")</f>
        <v>11</v>
      </c>
      <c r="D28">
        <f>COUNTIF(D4:D22,"C")</f>
        <v>3</v>
      </c>
      <c r="E28">
        <f t="shared" ref="E28:H28" si="26">COUNTIF(E4:E22,"C")</f>
        <v>1</v>
      </c>
      <c r="F28">
        <f t="shared" si="26"/>
        <v>3</v>
      </c>
      <c r="G28">
        <f t="shared" si="26"/>
        <v>2</v>
      </c>
      <c r="H28">
        <f t="shared" si="26"/>
        <v>2</v>
      </c>
      <c r="I28">
        <f>COUNTIF(I4:I22,"WO")</f>
        <v>9</v>
      </c>
      <c r="J28">
        <f>COUNTIF(J4:J22,"WO")</f>
        <v>11</v>
      </c>
      <c r="K28">
        <f>COUNTIF(K4:K22,"C")</f>
        <v>3</v>
      </c>
      <c r="L28">
        <f t="shared" ref="L28:O28" si="27">COUNTIF(L4:L22,"C")</f>
        <v>3</v>
      </c>
      <c r="M28">
        <f>COUNTIF(M4:M22,"C")</f>
        <v>2</v>
      </c>
      <c r="N28">
        <f t="shared" si="27"/>
        <v>2</v>
      </c>
      <c r="O28">
        <f t="shared" si="27"/>
        <v>4</v>
      </c>
      <c r="P28">
        <f>COUNTIF(P4:P22,"WO")</f>
        <v>9</v>
      </c>
      <c r="Q28">
        <f>COUNTIF(Q4:Q22,"WO")</f>
        <v>11</v>
      </c>
      <c r="R28">
        <f>COUNTIF(R4:R22,"C")</f>
        <v>4</v>
      </c>
      <c r="S28">
        <f t="shared" ref="S28:V28" si="28">COUNTIF(S4:S22,"C")</f>
        <v>0</v>
      </c>
      <c r="T28">
        <f t="shared" si="28"/>
        <v>3</v>
      </c>
      <c r="U28">
        <f t="shared" si="28"/>
        <v>3</v>
      </c>
      <c r="V28">
        <f t="shared" si="28"/>
        <v>4</v>
      </c>
      <c r="W28">
        <f>COUNTIF(W4:W22,"WO")</f>
        <v>9</v>
      </c>
      <c r="X28">
        <f>COUNTIF(X4:X22,"WO")</f>
        <v>11</v>
      </c>
      <c r="Y28">
        <f>COUNTIF(Y4:Y22,"C")</f>
        <v>3</v>
      </c>
      <c r="Z28">
        <f t="shared" ref="Z28:AC28" si="29">COUNTIF(Z4:Z22,"C")</f>
        <v>2</v>
      </c>
      <c r="AA28">
        <f t="shared" si="29"/>
        <v>3</v>
      </c>
      <c r="AB28">
        <f t="shared" si="29"/>
        <v>3</v>
      </c>
      <c r="AC28">
        <f t="shared" si="29"/>
        <v>4</v>
      </c>
      <c r="AD28">
        <f>COUNTIF(AD4:AD22,"WO")</f>
        <v>10</v>
      </c>
      <c r="AE28">
        <f>COUNTIF(AE4:AE22,"WO")</f>
        <v>11</v>
      </c>
      <c r="AF28">
        <f>COUNTIF(AF4:AF22,"C")</f>
        <v>3</v>
      </c>
      <c r="AG28">
        <f t="shared" ref="AG28:AH28" si="30">COUNTIF(AG4:AG22,"C")</f>
        <v>3</v>
      </c>
      <c r="AH28">
        <f t="shared" si="30"/>
        <v>2</v>
      </c>
      <c r="AI28">
        <f>COUNTIF(AI5:AI22,"C")</f>
        <v>2</v>
      </c>
      <c r="AJ28">
        <f t="shared" ref="AJ28" si="31">COUNTIF(AJ4:AJ22,"C")</f>
        <v>4</v>
      </c>
      <c r="AK28">
        <f>COUNTIF(AK4:AK22,"WO")</f>
        <v>9</v>
      </c>
      <c r="AL28">
        <f>COUNTIF(AL4:AL22,"WO")</f>
        <v>9</v>
      </c>
    </row>
    <row r="29" spans="1:38" x14ac:dyDescent="0.35">
      <c r="A29" s="128" t="s">
        <v>130</v>
      </c>
      <c r="B29">
        <f>COUNTIF(B4:B22,"PL")</f>
        <v>0</v>
      </c>
      <c r="C29">
        <f>COUNTIF(C5:C22,"PL")</f>
        <v>0</v>
      </c>
      <c r="D29">
        <f>COUNTIF(D4:D22,"PL")</f>
        <v>1</v>
      </c>
      <c r="E29">
        <f t="shared" ref="E29:H29" si="32">COUNTIF(E4:E22,"PL")</f>
        <v>1</v>
      </c>
      <c r="F29">
        <f t="shared" si="32"/>
        <v>1</v>
      </c>
      <c r="G29">
        <f t="shared" si="32"/>
        <v>0</v>
      </c>
      <c r="H29">
        <f t="shared" si="32"/>
        <v>1</v>
      </c>
      <c r="I29">
        <f>COUNTIF(I4:I22,"PL")</f>
        <v>0</v>
      </c>
      <c r="J29">
        <f>COUNTIF(J4:J22,"PL")</f>
        <v>0</v>
      </c>
      <c r="K29">
        <f>COUNTIF(K4:K22,"PL")</f>
        <v>1</v>
      </c>
      <c r="L29">
        <f t="shared" ref="L29:O29" si="33">COUNTIF(L4:L22,"PL")</f>
        <v>1</v>
      </c>
      <c r="M29">
        <f>COUNTIF(M4:M22,"PL")</f>
        <v>2</v>
      </c>
      <c r="N29">
        <f t="shared" si="33"/>
        <v>1</v>
      </c>
      <c r="O29">
        <f t="shared" si="33"/>
        <v>1</v>
      </c>
      <c r="P29">
        <f>COUNTIF(P4:P22,"PL")</f>
        <v>0</v>
      </c>
      <c r="Q29">
        <f>COUNTIF(Q4:Q22,"PL")</f>
        <v>0</v>
      </c>
      <c r="R29">
        <f>COUNTIF(R4:R22,"PL")</f>
        <v>1</v>
      </c>
      <c r="S29">
        <f t="shared" ref="S29:V29" si="34">COUNTIF(S4:S22,"PL")</f>
        <v>0</v>
      </c>
      <c r="T29">
        <f t="shared" si="34"/>
        <v>0</v>
      </c>
      <c r="U29">
        <f t="shared" si="34"/>
        <v>0</v>
      </c>
      <c r="V29">
        <f t="shared" si="34"/>
        <v>0</v>
      </c>
      <c r="W29">
        <f>COUNTIF(W4:W22,"PL")</f>
        <v>0</v>
      </c>
      <c r="X29">
        <f>COUNTIF(X4:X22,"PL")</f>
        <v>0</v>
      </c>
      <c r="Y29">
        <f>COUNTIF(Y4:Y22,"PL")</f>
        <v>1</v>
      </c>
      <c r="Z29">
        <f t="shared" ref="Z29:AC29" si="35">COUNTIF(Z4:Z22,"PL")</f>
        <v>2</v>
      </c>
      <c r="AA29">
        <f t="shared" si="35"/>
        <v>1</v>
      </c>
      <c r="AB29">
        <f t="shared" si="35"/>
        <v>0</v>
      </c>
      <c r="AC29">
        <f t="shared" si="35"/>
        <v>0</v>
      </c>
      <c r="AD29">
        <f>COUNTIF(AD4:AD22,"PL")</f>
        <v>0</v>
      </c>
      <c r="AE29">
        <f>COUNTIF(AE4:AE22,"PL")</f>
        <v>0</v>
      </c>
      <c r="AF29">
        <f>COUNTIF(AF4:AF22,"PL")</f>
        <v>1</v>
      </c>
      <c r="AG29">
        <f t="shared" ref="AG29:AH29" si="36">COUNTIF(AG4:AG22,"PL")</f>
        <v>1</v>
      </c>
      <c r="AH29">
        <f t="shared" si="36"/>
        <v>2</v>
      </c>
      <c r="AI29">
        <f>COUNTIF(AI5:AI22,"PL")</f>
        <v>1</v>
      </c>
      <c r="AJ29">
        <f t="shared" ref="AJ29" si="37">COUNTIF(AJ4:AJ22,"PL")</f>
        <v>0</v>
      </c>
      <c r="AK29">
        <f>COUNTIF(AK4:AK22,"PL")</f>
        <v>0</v>
      </c>
      <c r="AL29">
        <f>COUNTIF(AL4:AL22,"PL")</f>
        <v>1</v>
      </c>
    </row>
    <row r="30" spans="1:38" x14ac:dyDescent="0.35">
      <c r="A30" s="128" t="s">
        <v>33</v>
      </c>
      <c r="B30">
        <f>COUNTIF(B4:B22,"UPL")</f>
        <v>0</v>
      </c>
      <c r="C30">
        <f>COUNTIF(C5:C22,"UPL")</f>
        <v>0</v>
      </c>
      <c r="D30">
        <f>COUNTIF(D4:D22,"UPL")</f>
        <v>0</v>
      </c>
      <c r="E30">
        <f t="shared" ref="E30:H30" si="38">COUNTIF(E4:E22,"UPL")</f>
        <v>0</v>
      </c>
      <c r="F30">
        <f t="shared" si="38"/>
        <v>0</v>
      </c>
      <c r="G30">
        <f t="shared" si="38"/>
        <v>0</v>
      </c>
      <c r="H30">
        <f t="shared" si="38"/>
        <v>1</v>
      </c>
      <c r="I30">
        <f>COUNTIF(I4:I22,"UPL")</f>
        <v>0</v>
      </c>
      <c r="J30">
        <f>COUNTIF(J4:J22,"UPL")</f>
        <v>0</v>
      </c>
      <c r="K30">
        <f>COUNTIF(K4:K22,"UPL")</f>
        <v>0</v>
      </c>
      <c r="L30">
        <f t="shared" ref="L30:O30" si="39">COUNTIF(L4:L22,"UPL")</f>
        <v>1</v>
      </c>
      <c r="M30">
        <f>COUNTIF(M4:M22,"UPL")</f>
        <v>0</v>
      </c>
      <c r="N30">
        <f t="shared" si="39"/>
        <v>0</v>
      </c>
      <c r="O30">
        <f t="shared" si="39"/>
        <v>1</v>
      </c>
      <c r="P30">
        <f>COUNTIF(P4:P22,"UPL")</f>
        <v>0</v>
      </c>
      <c r="Q30">
        <f>COUNTIF(Q4:Q22,"UPL")</f>
        <v>0</v>
      </c>
      <c r="R30">
        <f>COUNTIF(R4:R22,"UPL")</f>
        <v>1</v>
      </c>
      <c r="S30">
        <f t="shared" ref="S30:V30" si="40">COUNTIF(S4:S22,"UPL")</f>
        <v>0</v>
      </c>
      <c r="T30">
        <f t="shared" si="40"/>
        <v>0</v>
      </c>
      <c r="U30">
        <f t="shared" si="40"/>
        <v>0</v>
      </c>
      <c r="V30">
        <f t="shared" si="40"/>
        <v>0</v>
      </c>
      <c r="W30">
        <f>COUNTIF(W4:W22,"UPL")</f>
        <v>0</v>
      </c>
      <c r="X30">
        <f>COUNTIF(X4:X22,"UPL")</f>
        <v>0</v>
      </c>
      <c r="Y30">
        <f>COUNTIF(Y4:Y22,"UPL")</f>
        <v>0</v>
      </c>
      <c r="Z30">
        <f t="shared" ref="Z30:AC30" si="41">COUNTIF(Z4:Z22,"UPL")</f>
        <v>0</v>
      </c>
      <c r="AA30">
        <f t="shared" si="41"/>
        <v>0</v>
      </c>
      <c r="AB30">
        <f t="shared" si="41"/>
        <v>0</v>
      </c>
      <c r="AC30">
        <f t="shared" si="41"/>
        <v>0</v>
      </c>
      <c r="AD30">
        <f>COUNTIF(AD4:AD22,"UPL")</f>
        <v>0</v>
      </c>
      <c r="AE30">
        <f>COUNTIF(AE4:AE22,"UPL")</f>
        <v>0</v>
      </c>
      <c r="AF30">
        <f>COUNTIF(AF4:AF22,"UPL")</f>
        <v>0</v>
      </c>
      <c r="AG30">
        <f t="shared" ref="AG30:AH30" si="42">COUNTIF(AG4:AG22,"UPL")</f>
        <v>0</v>
      </c>
      <c r="AH30">
        <f t="shared" si="42"/>
        <v>0</v>
      </c>
      <c r="AI30">
        <f>COUNTIF(AI5:AI22,"UPL")</f>
        <v>0</v>
      </c>
      <c r="AJ30">
        <f t="shared" ref="AJ30" si="43">COUNTIF(AJ4:AJ22,"UPL")</f>
        <v>0</v>
      </c>
      <c r="AK30">
        <f>COUNTIF(AK4:AK22,"UPL")</f>
        <v>0</v>
      </c>
      <c r="AL30">
        <f>COUNTIF(AL4:AL22,"UPL")</f>
        <v>0</v>
      </c>
    </row>
    <row r="31" spans="1:38" x14ac:dyDescent="0.35">
      <c r="A31" s="128" t="s">
        <v>141</v>
      </c>
      <c r="B31">
        <f>COUNTIF(B4:B22,"H")</f>
        <v>0</v>
      </c>
      <c r="C31">
        <f>COUNTIF(C5:C22,"H")</f>
        <v>0</v>
      </c>
      <c r="D31">
        <f>COUNTIF(D4:D22,"H")</f>
        <v>0</v>
      </c>
      <c r="E31">
        <f t="shared" ref="E31:H31" si="44">COUNTIF(E4:E22,"H")</f>
        <v>0</v>
      </c>
      <c r="F31">
        <f t="shared" si="44"/>
        <v>0</v>
      </c>
      <c r="G31">
        <f t="shared" si="44"/>
        <v>0</v>
      </c>
      <c r="H31">
        <f t="shared" si="44"/>
        <v>0</v>
      </c>
      <c r="I31">
        <f>COUNTIF(I4:I22,"H")</f>
        <v>0</v>
      </c>
      <c r="J31">
        <f>COUNTIF(J4:J22,"H")</f>
        <v>0</v>
      </c>
      <c r="K31">
        <f>COUNTIF(K4:K22,"H")</f>
        <v>0</v>
      </c>
      <c r="L31">
        <f t="shared" ref="L31:O31" si="45">COUNTIF(L4:L22,"H")</f>
        <v>0</v>
      </c>
      <c r="M31">
        <f>COUNTIF(M4:M22,"H")</f>
        <v>0</v>
      </c>
      <c r="N31">
        <f t="shared" si="45"/>
        <v>0</v>
      </c>
      <c r="O31">
        <f t="shared" si="45"/>
        <v>0</v>
      </c>
      <c r="P31">
        <f>COUNTIF(P4:P22,"H")</f>
        <v>0</v>
      </c>
      <c r="Q31">
        <f>COUNTIF(Q4:Q22,"H")</f>
        <v>0</v>
      </c>
      <c r="R31">
        <f>COUNTIF(R4:R22,"H")</f>
        <v>0</v>
      </c>
      <c r="S31">
        <f t="shared" ref="S31:V31" si="46">COUNTIF(S4:S22,"H")</f>
        <v>7</v>
      </c>
      <c r="T31">
        <f t="shared" si="46"/>
        <v>0</v>
      </c>
      <c r="U31">
        <f t="shared" si="46"/>
        <v>0</v>
      </c>
      <c r="V31">
        <f t="shared" si="46"/>
        <v>0</v>
      </c>
      <c r="W31">
        <f>COUNTIF(W4:W22,"H")</f>
        <v>0</v>
      </c>
      <c r="X31">
        <f>COUNTIF(X4:X22,"H")</f>
        <v>0</v>
      </c>
      <c r="Y31">
        <f>COUNTIF(Y4:Y22,"H")</f>
        <v>0</v>
      </c>
      <c r="Z31">
        <f t="shared" ref="Z31:AC31" si="47">COUNTIF(Z4:Z22,"H")</f>
        <v>0</v>
      </c>
      <c r="AA31">
        <f t="shared" si="47"/>
        <v>0</v>
      </c>
      <c r="AB31">
        <f t="shared" si="47"/>
        <v>0</v>
      </c>
      <c r="AC31">
        <f t="shared" si="47"/>
        <v>0</v>
      </c>
      <c r="AD31">
        <f>COUNTIF(AD4:AD22,"H")</f>
        <v>0</v>
      </c>
      <c r="AE31">
        <f>COUNTIF(AE4:AE22,"H")</f>
        <v>0</v>
      </c>
      <c r="AF31">
        <f>COUNTIF(AF4:AF22,"H")</f>
        <v>0</v>
      </c>
      <c r="AG31">
        <f t="shared" ref="AG31:AH31" si="48">COUNTIF(AG4:AG22,"H")</f>
        <v>0</v>
      </c>
      <c r="AH31">
        <f t="shared" si="48"/>
        <v>0</v>
      </c>
      <c r="AI31">
        <f>COUNTIF(AI5:AI22,"H")</f>
        <v>0</v>
      </c>
      <c r="AJ31">
        <f t="shared" ref="AJ31" si="49">COUNTIF(AJ4:AJ22,"H")</f>
        <v>0</v>
      </c>
      <c r="AK31">
        <f>COUNTIF(AK4:AK22,"H")</f>
        <v>0</v>
      </c>
      <c r="AL31">
        <f>COUNTIF(AL4:AL22,"H")</f>
        <v>0</v>
      </c>
    </row>
    <row r="32" spans="1:38" x14ac:dyDescent="0.35">
      <c r="A32" s="128" t="s">
        <v>131</v>
      </c>
      <c r="B32" s="129">
        <f t="shared" ref="B32:D32" si="50">SUM(B24:B31)</f>
        <v>17</v>
      </c>
      <c r="C32" s="129">
        <f t="shared" si="50"/>
        <v>16</v>
      </c>
      <c r="D32" s="129">
        <f t="shared" si="50"/>
        <v>17</v>
      </c>
      <c r="E32" s="129">
        <f t="shared" ref="E32:K32" si="51">SUM(E24:E31)</f>
        <v>17</v>
      </c>
      <c r="F32" s="129">
        <f t="shared" si="51"/>
        <v>17</v>
      </c>
      <c r="G32" s="129">
        <f t="shared" si="51"/>
        <v>17</v>
      </c>
      <c r="H32" s="129">
        <f t="shared" si="51"/>
        <v>17</v>
      </c>
      <c r="I32" s="129">
        <f t="shared" si="51"/>
        <v>17</v>
      </c>
      <c r="J32" s="129">
        <f t="shared" si="51"/>
        <v>17</v>
      </c>
      <c r="K32" s="129">
        <f t="shared" si="51"/>
        <v>17</v>
      </c>
      <c r="L32" s="129">
        <f t="shared" ref="L32:AE32" si="52">SUM(L24:L31)</f>
        <v>17</v>
      </c>
      <c r="M32" s="129">
        <f t="shared" si="52"/>
        <v>17</v>
      </c>
      <c r="N32" s="129">
        <f t="shared" si="52"/>
        <v>17</v>
      </c>
      <c r="O32" s="129">
        <f t="shared" si="52"/>
        <v>17</v>
      </c>
      <c r="P32" s="129">
        <f t="shared" si="52"/>
        <v>17</v>
      </c>
      <c r="Q32" s="129">
        <f t="shared" si="52"/>
        <v>17</v>
      </c>
      <c r="R32" s="129">
        <f t="shared" si="52"/>
        <v>17</v>
      </c>
      <c r="S32" s="129">
        <f t="shared" si="52"/>
        <v>17</v>
      </c>
      <c r="T32" s="129">
        <f t="shared" si="52"/>
        <v>17</v>
      </c>
      <c r="U32" s="129">
        <f t="shared" si="52"/>
        <v>17</v>
      </c>
      <c r="V32" s="129">
        <f t="shared" si="52"/>
        <v>17</v>
      </c>
      <c r="W32" s="129">
        <f t="shared" si="52"/>
        <v>17</v>
      </c>
      <c r="X32" s="129">
        <f t="shared" si="52"/>
        <v>17</v>
      </c>
      <c r="Y32" s="129">
        <f t="shared" si="52"/>
        <v>17</v>
      </c>
      <c r="Z32" s="129">
        <f t="shared" si="52"/>
        <v>17</v>
      </c>
      <c r="AA32" s="129">
        <f t="shared" si="52"/>
        <v>17</v>
      </c>
      <c r="AB32" s="129">
        <f t="shared" si="52"/>
        <v>17</v>
      </c>
      <c r="AC32" s="129">
        <f t="shared" si="52"/>
        <v>17</v>
      </c>
      <c r="AD32" s="129">
        <f t="shared" ref="AD32" si="53">SUM(AD24:AD31)</f>
        <v>17</v>
      </c>
      <c r="AE32" s="129">
        <f t="shared" si="52"/>
        <v>17</v>
      </c>
      <c r="AF32" s="129">
        <f t="shared" ref="AF32:AH32" si="54">SUM(AF24:AF31)</f>
        <v>17</v>
      </c>
      <c r="AG32" s="129">
        <f t="shared" si="54"/>
        <v>17</v>
      </c>
      <c r="AH32" s="129">
        <f t="shared" si="54"/>
        <v>17</v>
      </c>
      <c r="AI32" s="129">
        <f>SUM(AI24:AI31)</f>
        <v>16</v>
      </c>
      <c r="AJ32" s="129">
        <f t="shared" ref="AJ32:AL32" si="55">SUM(AJ24:AJ31)</f>
        <v>17</v>
      </c>
      <c r="AK32" s="129">
        <f t="shared" si="55"/>
        <v>17</v>
      </c>
      <c r="AL32" s="129">
        <f t="shared" si="55"/>
        <v>17</v>
      </c>
    </row>
  </sheetData>
  <conditionalFormatting sqref="B24:AL27">
    <cfRule type="cellIs" dxfId="834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A1:AF31"/>
  <sheetViews>
    <sheetView zoomScale="55" zoomScaleNormal="55" workbookViewId="0">
      <selection activeCell="T20" sqref="T20"/>
    </sheetView>
  </sheetViews>
  <sheetFormatPr defaultRowHeight="14.5" x14ac:dyDescent="0.35"/>
  <cols>
    <col min="1" max="1" width="21.7265625" customWidth="1"/>
    <col min="2" max="17" width="8.7265625" customWidth="1"/>
    <col min="18" max="18" width="8.54296875" customWidth="1"/>
    <col min="19" max="32" width="8.7265625" customWidth="1"/>
  </cols>
  <sheetData>
    <row r="1" spans="1:32" x14ac:dyDescent="0.35">
      <c r="A1" s="1"/>
      <c r="B1" s="2" t="str">
        <f>TEXT(B2,"ddd")</f>
        <v>Fri</v>
      </c>
      <c r="C1" s="2" t="str">
        <f>TEXT(C2,"ddd")</f>
        <v>Sat</v>
      </c>
      <c r="D1" s="2" t="str">
        <f>TEXT(D2,"ddd")</f>
        <v>Sun</v>
      </c>
      <c r="E1" s="2" t="str">
        <f t="shared" ref="E1:AF1" si="0">TEXT(E2,"ddd")</f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 x14ac:dyDescent="0.35">
      <c r="A2" s="95" t="s">
        <v>0</v>
      </c>
      <c r="B2" s="29">
        <v>45170</v>
      </c>
      <c r="C2" s="29">
        <v>45171</v>
      </c>
      <c r="D2" s="29">
        <v>45172</v>
      </c>
      <c r="E2" s="29">
        <v>45173</v>
      </c>
      <c r="F2" s="29">
        <v>45174</v>
      </c>
      <c r="G2" s="29">
        <v>45175</v>
      </c>
      <c r="H2" s="29">
        <v>45176</v>
      </c>
      <c r="I2" s="29">
        <v>45177</v>
      </c>
      <c r="J2" s="29">
        <v>45178</v>
      </c>
      <c r="K2" s="29">
        <v>45179</v>
      </c>
      <c r="L2" s="29">
        <v>45180</v>
      </c>
      <c r="M2" s="29">
        <v>45181</v>
      </c>
      <c r="N2" s="29">
        <v>45182</v>
      </c>
      <c r="O2" s="29">
        <v>45183</v>
      </c>
      <c r="P2" s="29">
        <v>45184</v>
      </c>
      <c r="Q2" s="29">
        <v>45185</v>
      </c>
      <c r="R2" s="29">
        <v>45186</v>
      </c>
      <c r="S2" s="29">
        <v>45187</v>
      </c>
      <c r="T2" s="29">
        <v>45188</v>
      </c>
      <c r="U2" s="29">
        <v>45189</v>
      </c>
      <c r="V2" s="29">
        <v>45190</v>
      </c>
      <c r="W2" s="29">
        <v>45191</v>
      </c>
      <c r="X2" s="29">
        <v>45192</v>
      </c>
      <c r="Y2" s="29">
        <v>45193</v>
      </c>
      <c r="Z2" s="29">
        <v>45194</v>
      </c>
      <c r="AA2" s="29">
        <v>45195</v>
      </c>
      <c r="AB2" s="29">
        <v>45196</v>
      </c>
      <c r="AC2" s="29">
        <v>45197</v>
      </c>
      <c r="AD2" s="29">
        <v>45198</v>
      </c>
      <c r="AE2" s="29">
        <v>45199</v>
      </c>
      <c r="AF2" s="29">
        <v>45200</v>
      </c>
    </row>
    <row r="3" spans="1:32" x14ac:dyDescent="0.3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</row>
    <row r="4" spans="1:32" x14ac:dyDescent="0.35">
      <c r="A4" s="165" t="s">
        <v>57</v>
      </c>
      <c r="B4" s="25" t="s">
        <v>6</v>
      </c>
      <c r="C4" s="25" t="s">
        <v>3</v>
      </c>
      <c r="D4" s="122" t="s">
        <v>5</v>
      </c>
      <c r="E4" s="25" t="s">
        <v>6</v>
      </c>
      <c r="F4" s="116" t="s">
        <v>2</v>
      </c>
      <c r="G4" s="25" t="s">
        <v>6</v>
      </c>
      <c r="H4" s="25" t="s">
        <v>6</v>
      </c>
      <c r="I4" s="25" t="s">
        <v>6</v>
      </c>
      <c r="J4" s="114" t="s">
        <v>4</v>
      </c>
      <c r="K4" s="25" t="s">
        <v>3</v>
      </c>
      <c r="L4" s="25" t="s">
        <v>6</v>
      </c>
      <c r="M4" s="25" t="s">
        <v>6</v>
      </c>
      <c r="N4" s="116" t="s">
        <v>2</v>
      </c>
      <c r="O4" s="25" t="s">
        <v>6</v>
      </c>
      <c r="P4" s="25" t="s">
        <v>6</v>
      </c>
      <c r="Q4" s="122" t="s">
        <v>4</v>
      </c>
      <c r="R4" s="122" t="s">
        <v>4</v>
      </c>
      <c r="S4" s="116" t="s">
        <v>2</v>
      </c>
      <c r="T4" s="25" t="s">
        <v>3</v>
      </c>
      <c r="U4" s="25" t="s">
        <v>6</v>
      </c>
      <c r="V4" s="25" t="s">
        <v>6</v>
      </c>
      <c r="W4" s="25" t="s">
        <v>6</v>
      </c>
      <c r="X4" s="25" t="s">
        <v>3</v>
      </c>
      <c r="Y4" s="114" t="s">
        <v>4</v>
      </c>
      <c r="Z4" s="116" t="s">
        <v>2</v>
      </c>
      <c r="AA4" s="25" t="s">
        <v>6</v>
      </c>
      <c r="AB4" s="174" t="s">
        <v>34</v>
      </c>
      <c r="AC4" s="116" t="s">
        <v>2</v>
      </c>
      <c r="AD4" s="25" t="s">
        <v>6</v>
      </c>
      <c r="AE4" s="25" t="s">
        <v>3</v>
      </c>
      <c r="AF4" s="16" t="s">
        <v>11</v>
      </c>
    </row>
    <row r="5" spans="1:32" x14ac:dyDescent="0.35">
      <c r="A5" s="165" t="s">
        <v>69</v>
      </c>
      <c r="B5" s="19" t="s">
        <v>41</v>
      </c>
      <c r="C5" s="114" t="s">
        <v>4</v>
      </c>
      <c r="D5" s="25" t="s">
        <v>3</v>
      </c>
      <c r="E5" s="25" t="s">
        <v>6</v>
      </c>
      <c r="F5" s="19" t="s">
        <v>41</v>
      </c>
      <c r="G5" s="25" t="s">
        <v>6</v>
      </c>
      <c r="H5" s="116" t="s">
        <v>2</v>
      </c>
      <c r="I5" s="25" t="s">
        <v>6</v>
      </c>
      <c r="J5" s="25" t="s">
        <v>3</v>
      </c>
      <c r="K5" s="114" t="s">
        <v>4</v>
      </c>
      <c r="L5" s="25" t="s">
        <v>6</v>
      </c>
      <c r="M5" s="25" t="s">
        <v>6</v>
      </c>
      <c r="N5" s="25" t="s">
        <v>6</v>
      </c>
      <c r="O5" s="25" t="s">
        <v>6</v>
      </c>
      <c r="P5" s="116" t="s">
        <v>2</v>
      </c>
      <c r="Q5" s="25" t="s">
        <v>3</v>
      </c>
      <c r="R5" s="25" t="s">
        <v>3</v>
      </c>
      <c r="S5" s="25" t="s">
        <v>6</v>
      </c>
      <c r="T5" s="19" t="s">
        <v>42</v>
      </c>
      <c r="U5" s="25" t="s">
        <v>6</v>
      </c>
      <c r="V5" s="116" t="s">
        <v>2</v>
      </c>
      <c r="W5" s="116" t="s">
        <v>2</v>
      </c>
      <c r="X5" s="114" t="s">
        <v>4</v>
      </c>
      <c r="Y5" s="25" t="s">
        <v>3</v>
      </c>
      <c r="Z5" s="25" t="s">
        <v>6</v>
      </c>
      <c r="AA5" s="25" t="s">
        <v>6</v>
      </c>
      <c r="AB5" s="25" t="s">
        <v>6</v>
      </c>
      <c r="AC5" s="25" t="s">
        <v>6</v>
      </c>
      <c r="AD5" s="116" t="s">
        <v>2</v>
      </c>
      <c r="AE5" s="114" t="s">
        <v>4</v>
      </c>
      <c r="AF5" s="16" t="s">
        <v>11</v>
      </c>
    </row>
    <row r="6" spans="1:32" x14ac:dyDescent="0.35">
      <c r="A6" s="141" t="s">
        <v>21</v>
      </c>
      <c r="B6" s="19" t="s">
        <v>41</v>
      </c>
      <c r="C6" s="114" t="s">
        <v>4</v>
      </c>
      <c r="D6" s="25" t="s">
        <v>3</v>
      </c>
      <c r="E6" s="25" t="s">
        <v>6</v>
      </c>
      <c r="F6" s="25" t="s">
        <v>6</v>
      </c>
      <c r="G6" s="25" t="s">
        <v>6</v>
      </c>
      <c r="H6" s="25" t="s">
        <v>3</v>
      </c>
      <c r="I6" s="116" t="s">
        <v>2</v>
      </c>
      <c r="J6" s="114" t="s">
        <v>4</v>
      </c>
      <c r="K6" s="25" t="s">
        <v>3</v>
      </c>
      <c r="L6" s="122" t="s">
        <v>5</v>
      </c>
      <c r="M6" s="122" t="s">
        <v>5</v>
      </c>
      <c r="N6" s="25" t="s">
        <v>6</v>
      </c>
      <c r="O6" s="25" t="s">
        <v>6</v>
      </c>
      <c r="P6" s="25" t="s">
        <v>6</v>
      </c>
      <c r="Q6" s="114" t="s">
        <v>4</v>
      </c>
      <c r="R6" s="25" t="s">
        <v>3</v>
      </c>
      <c r="S6" s="25" t="s">
        <v>6</v>
      </c>
      <c r="T6" s="25" t="s">
        <v>3</v>
      </c>
      <c r="U6" s="122" t="s">
        <v>5</v>
      </c>
      <c r="V6" s="122" t="s">
        <v>5</v>
      </c>
      <c r="W6" s="122" t="s">
        <v>5</v>
      </c>
      <c r="X6" s="114" t="s">
        <v>4</v>
      </c>
      <c r="Y6" s="25" t="s">
        <v>3</v>
      </c>
      <c r="Z6" s="25" t="s">
        <v>6</v>
      </c>
      <c r="AA6" s="116" t="s">
        <v>2</v>
      </c>
      <c r="AB6" s="25" t="s">
        <v>6</v>
      </c>
      <c r="AC6" s="25" t="s">
        <v>6</v>
      </c>
      <c r="AD6" s="25" t="s">
        <v>6</v>
      </c>
      <c r="AE6" s="19" t="s">
        <v>42</v>
      </c>
      <c r="AF6" s="114" t="s">
        <v>4</v>
      </c>
    </row>
    <row r="7" spans="1:32" x14ac:dyDescent="0.35">
      <c r="A7" s="141" t="s">
        <v>22</v>
      </c>
      <c r="B7" s="25" t="s">
        <v>6</v>
      </c>
      <c r="C7" s="25" t="s">
        <v>3</v>
      </c>
      <c r="D7" s="114" t="s">
        <v>4</v>
      </c>
      <c r="E7" s="25" t="s">
        <v>6</v>
      </c>
      <c r="F7" s="25" t="s">
        <v>6</v>
      </c>
      <c r="G7" s="116" t="s">
        <v>2</v>
      </c>
      <c r="H7" s="22" t="s">
        <v>16</v>
      </c>
      <c r="I7" s="25" t="s">
        <v>6</v>
      </c>
      <c r="J7" s="25" t="s">
        <v>3</v>
      </c>
      <c r="K7" s="114" t="s">
        <v>4</v>
      </c>
      <c r="L7" s="116" t="s">
        <v>2</v>
      </c>
      <c r="M7" s="22" t="s">
        <v>16</v>
      </c>
      <c r="N7" s="25" t="s">
        <v>6</v>
      </c>
      <c r="O7" s="25" t="s">
        <v>6</v>
      </c>
      <c r="P7" s="25" t="s">
        <v>6</v>
      </c>
      <c r="Q7" s="25" t="s">
        <v>3</v>
      </c>
      <c r="R7" s="114" t="s">
        <v>4</v>
      </c>
      <c r="S7" s="25" t="s">
        <v>6</v>
      </c>
      <c r="T7" s="25" t="s">
        <v>3</v>
      </c>
      <c r="U7" s="116" t="s">
        <v>2</v>
      </c>
      <c r="V7" s="25" t="s">
        <v>6</v>
      </c>
      <c r="W7" s="25" t="s">
        <v>6</v>
      </c>
      <c r="X7" s="25" t="s">
        <v>3</v>
      </c>
      <c r="Y7" s="114" t="s">
        <v>4</v>
      </c>
      <c r="Z7" s="25" t="s">
        <v>6</v>
      </c>
      <c r="AA7" s="25" t="s">
        <v>6</v>
      </c>
      <c r="AB7" s="116" t="s">
        <v>2</v>
      </c>
      <c r="AC7" s="25" t="s">
        <v>6</v>
      </c>
      <c r="AD7" s="25" t="s">
        <v>6</v>
      </c>
      <c r="AE7" s="25" t="s">
        <v>3</v>
      </c>
      <c r="AF7" s="114" t="s">
        <v>4</v>
      </c>
    </row>
    <row r="8" spans="1:32" x14ac:dyDescent="0.35">
      <c r="A8" s="141" t="s">
        <v>70</v>
      </c>
      <c r="B8" s="25" t="s">
        <v>6</v>
      </c>
      <c r="C8" s="22" t="s">
        <v>30</v>
      </c>
      <c r="D8" s="114" t="s">
        <v>4</v>
      </c>
      <c r="E8" s="122" t="s">
        <v>5</v>
      </c>
      <c r="F8" s="122" t="s">
        <v>5</v>
      </c>
      <c r="G8" s="122" t="s">
        <v>5</v>
      </c>
      <c r="H8" s="25" t="s">
        <v>6</v>
      </c>
      <c r="I8" s="25" t="s">
        <v>6</v>
      </c>
      <c r="J8" s="114" t="s">
        <v>4</v>
      </c>
      <c r="K8" s="114" t="s">
        <v>4</v>
      </c>
      <c r="L8" s="25" t="s">
        <v>6</v>
      </c>
      <c r="M8" s="25" t="s">
        <v>6</v>
      </c>
      <c r="N8" s="25" t="s">
        <v>6</v>
      </c>
      <c r="O8" s="19" t="s">
        <v>41</v>
      </c>
      <c r="P8" s="22" t="s">
        <v>16</v>
      </c>
      <c r="Q8" s="114" t="s">
        <v>4</v>
      </c>
      <c r="R8" s="114" t="s">
        <v>4</v>
      </c>
      <c r="S8" s="122" t="s">
        <v>5</v>
      </c>
      <c r="T8" s="122" t="s">
        <v>5</v>
      </c>
      <c r="U8" s="25" t="s">
        <v>6</v>
      </c>
      <c r="V8" s="25" t="s">
        <v>6</v>
      </c>
      <c r="W8" s="25" t="s">
        <v>6</v>
      </c>
      <c r="X8" s="22" t="s">
        <v>30</v>
      </c>
      <c r="Y8" s="114" t="s">
        <v>4</v>
      </c>
      <c r="Z8" s="116" t="s">
        <v>2</v>
      </c>
      <c r="AA8" s="22" t="s">
        <v>16</v>
      </c>
      <c r="AB8" s="25" t="s">
        <v>6</v>
      </c>
      <c r="AC8" s="174" t="s">
        <v>34</v>
      </c>
      <c r="AD8" s="174" t="s">
        <v>34</v>
      </c>
      <c r="AE8" s="114" t="s">
        <v>4</v>
      </c>
      <c r="AF8" s="16" t="s">
        <v>11</v>
      </c>
    </row>
    <row r="9" spans="1:32" x14ac:dyDescent="0.35">
      <c r="A9" s="173" t="s">
        <v>152</v>
      </c>
      <c r="B9" s="25" t="s">
        <v>6</v>
      </c>
      <c r="C9" s="114" t="s">
        <v>4</v>
      </c>
      <c r="D9" s="114" t="s">
        <v>4</v>
      </c>
      <c r="E9" s="22" t="s">
        <v>16</v>
      </c>
      <c r="F9" s="25" t="s">
        <v>6</v>
      </c>
      <c r="G9" s="25" t="s">
        <v>6</v>
      </c>
      <c r="H9" s="25" t="s">
        <v>6</v>
      </c>
      <c r="I9" s="22" t="s">
        <v>16</v>
      </c>
      <c r="J9" s="114" t="s">
        <v>4</v>
      </c>
      <c r="K9" s="114" t="s">
        <v>4</v>
      </c>
      <c r="L9" s="25" t="s">
        <v>6</v>
      </c>
      <c r="M9" s="25" t="s">
        <v>6</v>
      </c>
      <c r="N9" s="22" t="s">
        <v>16</v>
      </c>
      <c r="O9" s="22" t="s">
        <v>16</v>
      </c>
      <c r="P9" s="25" t="s">
        <v>6</v>
      </c>
      <c r="Q9" s="114" t="s">
        <v>4</v>
      </c>
      <c r="R9" s="114" t="s">
        <v>4</v>
      </c>
      <c r="S9" s="25" t="s">
        <v>6</v>
      </c>
      <c r="T9" s="25" t="s">
        <v>3</v>
      </c>
      <c r="U9" s="25" t="s">
        <v>6</v>
      </c>
      <c r="V9" s="25" t="s">
        <v>6</v>
      </c>
      <c r="W9" s="25" t="s">
        <v>6</v>
      </c>
      <c r="X9" s="114" t="s">
        <v>4</v>
      </c>
      <c r="Y9" s="114" t="s">
        <v>4</v>
      </c>
      <c r="Z9" s="25" t="s">
        <v>6</v>
      </c>
      <c r="AA9" s="25" t="s">
        <v>6</v>
      </c>
      <c r="AB9" s="25" t="s">
        <v>6</v>
      </c>
      <c r="AC9" s="25" t="s">
        <v>6</v>
      </c>
      <c r="AD9" s="25" t="s">
        <v>6</v>
      </c>
      <c r="AE9" s="114" t="s">
        <v>4</v>
      </c>
      <c r="AF9" s="114" t="s">
        <v>4</v>
      </c>
    </row>
    <row r="11" spans="1:32" x14ac:dyDescent="0.35">
      <c r="A11" s="165" t="s">
        <v>9</v>
      </c>
      <c r="B11" s="16" t="s">
        <v>10</v>
      </c>
      <c r="C11" s="16" t="s">
        <v>11</v>
      </c>
      <c r="D11" s="16" t="s">
        <v>11</v>
      </c>
      <c r="E11" s="116" t="s">
        <v>2</v>
      </c>
      <c r="F11" s="16" t="s">
        <v>10</v>
      </c>
      <c r="G11" s="16" t="s">
        <v>10</v>
      </c>
      <c r="H11" s="116" t="s">
        <v>2</v>
      </c>
      <c r="I11" s="16" t="s">
        <v>10</v>
      </c>
      <c r="J11" s="16" t="s">
        <v>11</v>
      </c>
      <c r="K11" s="16" t="s">
        <v>11</v>
      </c>
      <c r="L11" s="16" t="s">
        <v>10</v>
      </c>
      <c r="M11" s="16" t="s">
        <v>10</v>
      </c>
      <c r="N11" s="116" t="s">
        <v>2</v>
      </c>
      <c r="O11" s="116" t="s">
        <v>2</v>
      </c>
      <c r="P11" s="16" t="s">
        <v>10</v>
      </c>
      <c r="Q11" s="16" t="s">
        <v>11</v>
      </c>
      <c r="R11" s="16" t="s">
        <v>11</v>
      </c>
      <c r="S11" s="16" t="s">
        <v>10</v>
      </c>
      <c r="T11" s="16" t="s">
        <v>11</v>
      </c>
      <c r="U11" s="116" t="s">
        <v>2</v>
      </c>
      <c r="V11" s="116" t="s">
        <v>2</v>
      </c>
      <c r="W11" s="16" t="s">
        <v>10</v>
      </c>
      <c r="X11" s="16" t="s">
        <v>11</v>
      </c>
      <c r="Y11" s="16" t="s">
        <v>11</v>
      </c>
      <c r="Z11" s="16" t="s">
        <v>10</v>
      </c>
      <c r="AA11" s="16" t="s">
        <v>10</v>
      </c>
      <c r="AB11" s="116" t="s">
        <v>2</v>
      </c>
      <c r="AC11" s="122" t="s">
        <v>5</v>
      </c>
      <c r="AD11" s="122" t="s">
        <v>5</v>
      </c>
      <c r="AE11" s="114" t="s">
        <v>4</v>
      </c>
      <c r="AF11" s="114" t="s">
        <v>4</v>
      </c>
    </row>
    <row r="12" spans="1:32" x14ac:dyDescent="0.35">
      <c r="A12" s="165" t="s">
        <v>15</v>
      </c>
      <c r="B12" s="116" t="s">
        <v>2</v>
      </c>
      <c r="C12" s="114" t="s">
        <v>4</v>
      </c>
      <c r="D12" s="16" t="s">
        <v>11</v>
      </c>
      <c r="E12" s="16" t="s">
        <v>10</v>
      </c>
      <c r="F12" s="16" t="s">
        <v>10</v>
      </c>
      <c r="G12" s="16" t="s">
        <v>10</v>
      </c>
      <c r="H12" s="16" t="s">
        <v>10</v>
      </c>
      <c r="I12" s="116" t="s">
        <v>2</v>
      </c>
      <c r="J12" s="16" t="s">
        <v>11</v>
      </c>
      <c r="K12" s="16" t="s">
        <v>11</v>
      </c>
      <c r="L12" s="16" t="s">
        <v>10</v>
      </c>
      <c r="M12" s="16" t="s">
        <v>10</v>
      </c>
      <c r="N12" s="16" t="s">
        <v>10</v>
      </c>
      <c r="O12" s="16" t="s">
        <v>10</v>
      </c>
      <c r="P12" s="116" t="s">
        <v>2</v>
      </c>
      <c r="Q12" s="16" t="s">
        <v>11</v>
      </c>
      <c r="R12" s="16" t="s">
        <v>11</v>
      </c>
      <c r="S12" s="122" t="s">
        <v>5</v>
      </c>
      <c r="T12" s="122" t="s">
        <v>5</v>
      </c>
      <c r="U12" s="16" t="s">
        <v>10</v>
      </c>
      <c r="V12" s="16" t="s">
        <v>10</v>
      </c>
      <c r="W12" s="16" t="s">
        <v>10</v>
      </c>
      <c r="X12" s="114" t="s">
        <v>4</v>
      </c>
      <c r="Y12" s="16" t="s">
        <v>11</v>
      </c>
      <c r="Z12" s="16" t="s">
        <v>10</v>
      </c>
      <c r="AA12" s="16" t="s">
        <v>10</v>
      </c>
      <c r="AB12" s="16" t="s">
        <v>10</v>
      </c>
      <c r="AC12" s="16" t="s">
        <v>10</v>
      </c>
      <c r="AD12" s="16" t="s">
        <v>10</v>
      </c>
      <c r="AE12" s="16" t="s">
        <v>11</v>
      </c>
      <c r="AF12" s="114" t="s">
        <v>4</v>
      </c>
    </row>
    <row r="13" spans="1:32" x14ac:dyDescent="0.35">
      <c r="A13" s="141" t="s">
        <v>71</v>
      </c>
      <c r="B13" s="16" t="s">
        <v>10</v>
      </c>
      <c r="C13" s="16" t="s">
        <v>11</v>
      </c>
      <c r="D13" s="114" t="s">
        <v>4</v>
      </c>
      <c r="E13" s="116" t="s">
        <v>2</v>
      </c>
      <c r="F13" s="16" t="s">
        <v>10</v>
      </c>
      <c r="G13" s="16" t="s">
        <v>10</v>
      </c>
      <c r="H13" s="16" t="s">
        <v>10</v>
      </c>
      <c r="I13" s="16" t="s">
        <v>10</v>
      </c>
      <c r="J13" s="16" t="s">
        <v>11</v>
      </c>
      <c r="K13" s="114" t="s">
        <v>4</v>
      </c>
      <c r="L13" s="116" t="s">
        <v>2</v>
      </c>
      <c r="M13" s="16" t="s">
        <v>10</v>
      </c>
      <c r="N13" s="16" t="s">
        <v>10</v>
      </c>
      <c r="O13" s="16" t="s">
        <v>10</v>
      </c>
      <c r="P13" s="16" t="s">
        <v>10</v>
      </c>
      <c r="Q13" s="16" t="s">
        <v>11</v>
      </c>
      <c r="R13" s="114" t="s">
        <v>4</v>
      </c>
      <c r="S13" s="16" t="s">
        <v>10</v>
      </c>
      <c r="T13" s="16" t="s">
        <v>11</v>
      </c>
      <c r="U13" s="16" t="s">
        <v>10</v>
      </c>
      <c r="V13" s="16" t="s">
        <v>10</v>
      </c>
      <c r="W13" s="116" t="s">
        <v>2</v>
      </c>
      <c r="X13" s="16" t="s">
        <v>11</v>
      </c>
      <c r="Y13" s="114" t="s">
        <v>4</v>
      </c>
      <c r="Z13" s="116" t="s">
        <v>2</v>
      </c>
      <c r="AA13" s="16" t="s">
        <v>10</v>
      </c>
      <c r="AB13" s="16" t="s">
        <v>10</v>
      </c>
      <c r="AC13" s="16" t="s">
        <v>10</v>
      </c>
      <c r="AD13" s="16" t="s">
        <v>10</v>
      </c>
      <c r="AE13" s="16" t="s">
        <v>11</v>
      </c>
      <c r="AF13" s="114" t="s">
        <v>4</v>
      </c>
    </row>
    <row r="14" spans="1:32" x14ac:dyDescent="0.35">
      <c r="A14" s="141" t="s">
        <v>149</v>
      </c>
      <c r="B14" s="16" t="s">
        <v>10</v>
      </c>
      <c r="C14" s="16" t="s">
        <v>11</v>
      </c>
      <c r="D14" s="114" t="s">
        <v>4</v>
      </c>
      <c r="E14" s="16" t="s">
        <v>10</v>
      </c>
      <c r="F14" s="16" t="s">
        <v>10</v>
      </c>
      <c r="G14" s="116" t="s">
        <v>2</v>
      </c>
      <c r="H14" s="16" t="s">
        <v>10</v>
      </c>
      <c r="I14" s="16" t="s">
        <v>10</v>
      </c>
      <c r="J14" s="16" t="s">
        <v>11</v>
      </c>
      <c r="K14" s="114" t="s">
        <v>4</v>
      </c>
      <c r="L14" s="16" t="s">
        <v>10</v>
      </c>
      <c r="M14" s="16" t="s">
        <v>10</v>
      </c>
      <c r="N14" s="116" t="s">
        <v>2</v>
      </c>
      <c r="O14" s="116" t="s">
        <v>2</v>
      </c>
      <c r="P14" s="16" t="s">
        <v>10</v>
      </c>
      <c r="Q14" s="114" t="s">
        <v>4</v>
      </c>
      <c r="R14" s="16" t="s">
        <v>11</v>
      </c>
      <c r="S14" s="16" t="s">
        <v>10</v>
      </c>
      <c r="T14" s="16" t="s">
        <v>11</v>
      </c>
      <c r="U14" s="116" t="s">
        <v>2</v>
      </c>
      <c r="V14" s="16" t="s">
        <v>10</v>
      </c>
      <c r="W14" s="16" t="s">
        <v>10</v>
      </c>
      <c r="X14" s="16" t="s">
        <v>11</v>
      </c>
      <c r="Y14" s="114" t="s">
        <v>4</v>
      </c>
      <c r="Z14" s="16" t="s">
        <v>10</v>
      </c>
      <c r="AA14" s="16" t="s">
        <v>10</v>
      </c>
      <c r="AB14" s="16" t="s">
        <v>10</v>
      </c>
      <c r="AC14" s="116" t="s">
        <v>2</v>
      </c>
      <c r="AD14" s="16" t="s">
        <v>10</v>
      </c>
      <c r="AE14" s="114" t="s">
        <v>4</v>
      </c>
      <c r="AF14" s="19" t="s">
        <v>42</v>
      </c>
    </row>
    <row r="15" spans="1:32" x14ac:dyDescent="0.35">
      <c r="A15" s="141" t="s">
        <v>124</v>
      </c>
      <c r="B15" s="16" t="s">
        <v>10</v>
      </c>
      <c r="C15" s="114" t="s">
        <v>4</v>
      </c>
      <c r="D15" s="16" t="s">
        <v>11</v>
      </c>
      <c r="E15" s="16" t="s">
        <v>10</v>
      </c>
      <c r="F15" s="116" t="s">
        <v>2</v>
      </c>
      <c r="G15" s="16" t="s">
        <v>10</v>
      </c>
      <c r="H15" s="16" t="s">
        <v>10</v>
      </c>
      <c r="I15" s="16" t="s">
        <v>10</v>
      </c>
      <c r="J15" s="114" t="s">
        <v>4</v>
      </c>
      <c r="K15" s="16" t="s">
        <v>11</v>
      </c>
      <c r="L15" s="16" t="s">
        <v>10</v>
      </c>
      <c r="M15" s="116" t="s">
        <v>2</v>
      </c>
      <c r="N15" s="16" t="s">
        <v>10</v>
      </c>
      <c r="O15" s="16" t="s">
        <v>10</v>
      </c>
      <c r="P15" s="16" t="s">
        <v>10</v>
      </c>
      <c r="Q15" s="114" t="s">
        <v>4</v>
      </c>
      <c r="R15" s="122" t="s">
        <v>5</v>
      </c>
      <c r="S15" s="16" t="s">
        <v>10</v>
      </c>
      <c r="T15" s="16" t="s">
        <v>11</v>
      </c>
      <c r="U15" s="16" t="s">
        <v>10</v>
      </c>
      <c r="V15" s="16" t="s">
        <v>10</v>
      </c>
      <c r="W15" s="16" t="s">
        <v>10</v>
      </c>
      <c r="X15" s="114" t="s">
        <v>4</v>
      </c>
      <c r="Y15" s="16" t="s">
        <v>11</v>
      </c>
      <c r="Z15" s="16" t="s">
        <v>10</v>
      </c>
      <c r="AA15" s="116" t="s">
        <v>2</v>
      </c>
      <c r="AB15" s="16" t="s">
        <v>10</v>
      </c>
      <c r="AC15" s="16" t="s">
        <v>10</v>
      </c>
      <c r="AD15" s="116" t="s">
        <v>2</v>
      </c>
      <c r="AE15" s="114" t="s">
        <v>4</v>
      </c>
      <c r="AF15" s="114" t="s">
        <v>4</v>
      </c>
    </row>
    <row r="17" spans="1:32" x14ac:dyDescent="0.35">
      <c r="A17" s="165" t="s">
        <v>1</v>
      </c>
      <c r="B17" s="19" t="s">
        <v>41</v>
      </c>
      <c r="C17" s="19" t="s">
        <v>42</v>
      </c>
      <c r="D17" s="19" t="s">
        <v>42</v>
      </c>
      <c r="E17" s="116" t="s">
        <v>2</v>
      </c>
      <c r="F17" s="19" t="s">
        <v>41</v>
      </c>
      <c r="G17" s="19" t="s">
        <v>41</v>
      </c>
      <c r="H17" s="19" t="s">
        <v>41</v>
      </c>
      <c r="I17" s="19" t="s">
        <v>41</v>
      </c>
      <c r="J17" s="19" t="s">
        <v>42</v>
      </c>
      <c r="K17" s="19" t="s">
        <v>42</v>
      </c>
      <c r="L17" s="19" t="s">
        <v>41</v>
      </c>
      <c r="M17" s="19" t="s">
        <v>41</v>
      </c>
      <c r="N17" s="22" t="s">
        <v>16</v>
      </c>
      <c r="O17" s="22" t="s">
        <v>16</v>
      </c>
      <c r="P17" s="116" t="s">
        <v>2</v>
      </c>
      <c r="Q17" s="19" t="s">
        <v>42</v>
      </c>
      <c r="R17" s="19" t="s">
        <v>42</v>
      </c>
      <c r="S17" s="19" t="s">
        <v>41</v>
      </c>
      <c r="T17" s="115" t="s">
        <v>37</v>
      </c>
      <c r="U17" s="122" t="s">
        <v>5</v>
      </c>
      <c r="V17" s="122" t="s">
        <v>5</v>
      </c>
      <c r="W17" s="122" t="s">
        <v>5</v>
      </c>
      <c r="X17" s="122" t="s">
        <v>4</v>
      </c>
      <c r="Y17" s="19" t="s">
        <v>42</v>
      </c>
      <c r="Z17" s="19" t="s">
        <v>41</v>
      </c>
      <c r="AA17" s="19" t="s">
        <v>41</v>
      </c>
      <c r="AB17" s="19" t="s">
        <v>41</v>
      </c>
      <c r="AC17" s="115" t="s">
        <v>74</v>
      </c>
      <c r="AD17" s="22" t="s">
        <v>16</v>
      </c>
      <c r="AE17" s="19" t="s">
        <v>42</v>
      </c>
      <c r="AF17" s="25" t="s">
        <v>3</v>
      </c>
    </row>
    <row r="18" spans="1:32" x14ac:dyDescent="0.35">
      <c r="A18" s="165" t="s">
        <v>43</v>
      </c>
      <c r="B18" s="19" t="s">
        <v>41</v>
      </c>
      <c r="C18" s="19" t="s">
        <v>42</v>
      </c>
      <c r="D18" s="114" t="s">
        <v>4</v>
      </c>
      <c r="E18" s="19" t="s">
        <v>41</v>
      </c>
      <c r="F18" s="25" t="s">
        <v>6</v>
      </c>
      <c r="G18" s="122" t="s">
        <v>5</v>
      </c>
      <c r="H18" s="122" t="s">
        <v>5</v>
      </c>
      <c r="I18" s="122" t="s">
        <v>5</v>
      </c>
      <c r="J18" s="122" t="s">
        <v>4</v>
      </c>
      <c r="K18" s="122" t="s">
        <v>4</v>
      </c>
      <c r="L18" s="19" t="s">
        <v>41</v>
      </c>
      <c r="M18" s="19" t="s">
        <v>41</v>
      </c>
      <c r="N18" s="19" t="s">
        <v>41</v>
      </c>
      <c r="O18" s="19" t="s">
        <v>41</v>
      </c>
      <c r="P18" s="19" t="s">
        <v>41</v>
      </c>
      <c r="Q18" s="19" t="s">
        <v>42</v>
      </c>
      <c r="R18" s="114" t="s">
        <v>4</v>
      </c>
      <c r="S18" s="19" t="s">
        <v>41</v>
      </c>
      <c r="T18" s="19" t="s">
        <v>42</v>
      </c>
      <c r="U18" s="19" t="s">
        <v>41</v>
      </c>
      <c r="V18" s="19" t="s">
        <v>41</v>
      </c>
      <c r="W18" s="19" t="s">
        <v>41</v>
      </c>
      <c r="X18" s="19" t="s">
        <v>42</v>
      </c>
      <c r="Y18" s="114" t="s">
        <v>4</v>
      </c>
      <c r="Z18" s="19" t="s">
        <v>41</v>
      </c>
      <c r="AA18" s="19" t="s">
        <v>41</v>
      </c>
      <c r="AB18" s="116" t="s">
        <v>2</v>
      </c>
      <c r="AC18" s="19" t="s">
        <v>41</v>
      </c>
      <c r="AD18" s="19" t="s">
        <v>41</v>
      </c>
      <c r="AE18" s="22" t="s">
        <v>30</v>
      </c>
      <c r="AF18" s="19" t="s">
        <v>42</v>
      </c>
    </row>
    <row r="19" spans="1:32" x14ac:dyDescent="0.35">
      <c r="A19" s="141" t="s">
        <v>68</v>
      </c>
      <c r="B19" s="116" t="s">
        <v>2</v>
      </c>
      <c r="C19" s="114" t="s">
        <v>4</v>
      </c>
      <c r="D19" s="19" t="s">
        <v>42</v>
      </c>
      <c r="E19" s="19" t="s">
        <v>41</v>
      </c>
      <c r="F19" s="19" t="s">
        <v>41</v>
      </c>
      <c r="G19" s="122" t="s">
        <v>5</v>
      </c>
      <c r="H19" s="122" t="s">
        <v>5</v>
      </c>
      <c r="I19" s="122" t="s">
        <v>5</v>
      </c>
      <c r="J19" s="122" t="s">
        <v>4</v>
      </c>
      <c r="K19" s="19" t="s">
        <v>42</v>
      </c>
      <c r="L19" s="19" t="s">
        <v>41</v>
      </c>
      <c r="M19" s="116" t="s">
        <v>2</v>
      </c>
      <c r="N19" s="19" t="s">
        <v>41</v>
      </c>
      <c r="O19" s="19" t="s">
        <v>41</v>
      </c>
      <c r="P19" s="19" t="s">
        <v>41</v>
      </c>
      <c r="Q19" s="122" t="s">
        <v>4</v>
      </c>
      <c r="R19" s="19" t="s">
        <v>42</v>
      </c>
      <c r="S19" s="122" t="s">
        <v>5</v>
      </c>
      <c r="T19" s="19" t="s">
        <v>42</v>
      </c>
      <c r="U19" s="19" t="s">
        <v>41</v>
      </c>
      <c r="V19" s="19" t="s">
        <v>41</v>
      </c>
      <c r="W19" s="19" t="s">
        <v>41</v>
      </c>
      <c r="X19" s="19" t="s">
        <v>42</v>
      </c>
      <c r="Y19" s="19" t="s">
        <v>42</v>
      </c>
      <c r="Z19" s="116" t="s">
        <v>2</v>
      </c>
      <c r="AA19" s="116" t="s">
        <v>2</v>
      </c>
      <c r="AB19" s="19" t="s">
        <v>41</v>
      </c>
      <c r="AC19" s="19" t="s">
        <v>41</v>
      </c>
      <c r="AD19" s="19" t="s">
        <v>41</v>
      </c>
      <c r="AE19" s="114" t="s">
        <v>4</v>
      </c>
      <c r="AF19" s="122" t="s">
        <v>5</v>
      </c>
    </row>
    <row r="20" spans="1:32" x14ac:dyDescent="0.35">
      <c r="A20" s="141" t="s">
        <v>60</v>
      </c>
      <c r="B20" s="19" t="s">
        <v>41</v>
      </c>
      <c r="C20" s="114" t="s">
        <v>4</v>
      </c>
      <c r="D20" s="114" t="s">
        <v>4</v>
      </c>
      <c r="E20" s="19" t="s">
        <v>41</v>
      </c>
      <c r="F20" s="19" t="s">
        <v>41</v>
      </c>
      <c r="G20" s="19" t="s">
        <v>41</v>
      </c>
      <c r="H20" s="19" t="s">
        <v>41</v>
      </c>
      <c r="I20" s="19" t="s">
        <v>41</v>
      </c>
      <c r="J20" s="19" t="s">
        <v>42</v>
      </c>
      <c r="K20" s="114" t="s">
        <v>4</v>
      </c>
      <c r="L20" s="19" t="s">
        <v>41</v>
      </c>
      <c r="M20" s="19" t="s">
        <v>41</v>
      </c>
      <c r="N20" s="19" t="s">
        <v>41</v>
      </c>
      <c r="O20" s="116" t="s">
        <v>2</v>
      </c>
      <c r="P20" s="19" t="s">
        <v>41</v>
      </c>
      <c r="Q20" s="22" t="s">
        <v>30</v>
      </c>
      <c r="R20" s="114" t="s">
        <v>4</v>
      </c>
      <c r="S20" s="122" t="s">
        <v>5</v>
      </c>
      <c r="T20" s="115" t="s">
        <v>37</v>
      </c>
      <c r="U20" s="19" t="s">
        <v>41</v>
      </c>
      <c r="V20" s="19" t="s">
        <v>41</v>
      </c>
      <c r="W20" s="19" t="s">
        <v>41</v>
      </c>
      <c r="X20" s="122" t="s">
        <v>4</v>
      </c>
      <c r="Y20" s="122" t="s">
        <v>4</v>
      </c>
      <c r="Z20" s="122" t="s">
        <v>5</v>
      </c>
      <c r="AA20" s="19" t="s">
        <v>41</v>
      </c>
      <c r="AB20" s="19" t="s">
        <v>41</v>
      </c>
      <c r="AC20" s="19" t="s">
        <v>41</v>
      </c>
      <c r="AD20" s="19" t="s">
        <v>41</v>
      </c>
      <c r="AE20" s="114" t="s">
        <v>4</v>
      </c>
      <c r="AF20" s="25" t="s">
        <v>3</v>
      </c>
    </row>
    <row r="21" spans="1:32" x14ac:dyDescent="0.35">
      <c r="A21" s="173" t="s">
        <v>153</v>
      </c>
      <c r="B21" s="22" t="s">
        <v>16</v>
      </c>
      <c r="C21" s="114" t="s">
        <v>4</v>
      </c>
      <c r="D21" s="114" t="s">
        <v>4</v>
      </c>
      <c r="E21" s="22" t="s">
        <v>16</v>
      </c>
      <c r="F21" s="19" t="s">
        <v>41</v>
      </c>
      <c r="G21" s="19" t="s">
        <v>41</v>
      </c>
      <c r="H21" s="19" t="s">
        <v>41</v>
      </c>
      <c r="I21" s="19" t="s">
        <v>41</v>
      </c>
      <c r="J21" s="22" t="s">
        <v>30</v>
      </c>
      <c r="K21" s="114" t="s">
        <v>4</v>
      </c>
      <c r="L21" s="116" t="s">
        <v>2</v>
      </c>
      <c r="M21" s="19" t="s">
        <v>41</v>
      </c>
      <c r="N21" s="19" t="s">
        <v>41</v>
      </c>
      <c r="O21" s="19" t="s">
        <v>41</v>
      </c>
      <c r="P21" s="22" t="s">
        <v>16</v>
      </c>
      <c r="Q21" s="114" t="s">
        <v>4</v>
      </c>
      <c r="R21" s="114" t="s">
        <v>4</v>
      </c>
      <c r="S21" s="19" t="s">
        <v>41</v>
      </c>
      <c r="T21" s="19" t="s">
        <v>42</v>
      </c>
      <c r="U21" s="19" t="s">
        <v>41</v>
      </c>
      <c r="V21" s="19" t="s">
        <v>41</v>
      </c>
      <c r="W21" s="19" t="s">
        <v>41</v>
      </c>
      <c r="X21" s="114" t="s">
        <v>4</v>
      </c>
      <c r="Y21" s="114" t="s">
        <v>4</v>
      </c>
      <c r="Z21" s="19" t="s">
        <v>41</v>
      </c>
      <c r="AA21" s="19" t="s">
        <v>41</v>
      </c>
      <c r="AB21" s="19" t="s">
        <v>41</v>
      </c>
      <c r="AC21" s="19" t="s">
        <v>41</v>
      </c>
      <c r="AD21" s="22" t="s">
        <v>16</v>
      </c>
      <c r="AE21" s="114" t="s">
        <v>4</v>
      </c>
      <c r="AF21" s="114" t="s">
        <v>4</v>
      </c>
    </row>
    <row r="23" spans="1:32" x14ac:dyDescent="0.35">
      <c r="A23" s="128" t="s">
        <v>125</v>
      </c>
      <c r="B23">
        <f t="shared" ref="B23:AF23" si="1">COUNTIF(B4:B21,"*MS")</f>
        <v>4</v>
      </c>
      <c r="C23">
        <f t="shared" si="1"/>
        <v>2</v>
      </c>
      <c r="D23">
        <f t="shared" si="1"/>
        <v>2</v>
      </c>
      <c r="E23">
        <f t="shared" si="1"/>
        <v>4</v>
      </c>
      <c r="F23">
        <f t="shared" si="1"/>
        <v>4</v>
      </c>
      <c r="G23">
        <f t="shared" si="1"/>
        <v>4</v>
      </c>
      <c r="H23">
        <f t="shared" si="1"/>
        <v>4</v>
      </c>
      <c r="I23">
        <f t="shared" si="1"/>
        <v>4</v>
      </c>
      <c r="J23">
        <f t="shared" si="1"/>
        <v>2</v>
      </c>
      <c r="K23">
        <f t="shared" si="1"/>
        <v>2</v>
      </c>
      <c r="L23">
        <f t="shared" si="1"/>
        <v>4</v>
      </c>
      <c r="M23">
        <f t="shared" si="1"/>
        <v>4</v>
      </c>
      <c r="N23">
        <f t="shared" si="1"/>
        <v>4</v>
      </c>
      <c r="O23">
        <f t="shared" si="1"/>
        <v>4</v>
      </c>
      <c r="P23">
        <f t="shared" si="1"/>
        <v>4</v>
      </c>
      <c r="Q23">
        <f t="shared" si="1"/>
        <v>2</v>
      </c>
      <c r="R23">
        <f t="shared" si="1"/>
        <v>2</v>
      </c>
      <c r="S23">
        <f t="shared" si="1"/>
        <v>4</v>
      </c>
      <c r="T23">
        <f t="shared" si="1"/>
        <v>4</v>
      </c>
      <c r="U23">
        <f t="shared" si="1"/>
        <v>4</v>
      </c>
      <c r="V23">
        <f t="shared" si="1"/>
        <v>4</v>
      </c>
      <c r="W23">
        <f t="shared" si="1"/>
        <v>4</v>
      </c>
      <c r="X23">
        <f t="shared" si="1"/>
        <v>2</v>
      </c>
      <c r="Y23">
        <f t="shared" si="1"/>
        <v>2</v>
      </c>
      <c r="Z23">
        <f t="shared" si="1"/>
        <v>4</v>
      </c>
      <c r="AA23">
        <f t="shared" si="1"/>
        <v>4</v>
      </c>
      <c r="AB23">
        <f t="shared" si="1"/>
        <v>4</v>
      </c>
      <c r="AC23">
        <f t="shared" si="1"/>
        <v>4</v>
      </c>
      <c r="AD23">
        <f t="shared" si="1"/>
        <v>4</v>
      </c>
      <c r="AE23">
        <f t="shared" si="1"/>
        <v>2</v>
      </c>
      <c r="AF23">
        <f t="shared" si="1"/>
        <v>2</v>
      </c>
    </row>
    <row r="24" spans="1:32" x14ac:dyDescent="0.35">
      <c r="A24" s="128" t="s">
        <v>126</v>
      </c>
      <c r="B24">
        <f t="shared" ref="B24:AF24" si="2">COUNTIF(B4:B21,"*ASS1")</f>
        <v>5</v>
      </c>
      <c r="C24">
        <f t="shared" si="2"/>
        <v>2</v>
      </c>
      <c r="D24">
        <f t="shared" si="2"/>
        <v>2</v>
      </c>
      <c r="E24">
        <f t="shared" si="2"/>
        <v>3</v>
      </c>
      <c r="F24">
        <f t="shared" si="2"/>
        <v>5</v>
      </c>
      <c r="G24">
        <f t="shared" si="2"/>
        <v>3</v>
      </c>
      <c r="H24">
        <f t="shared" si="2"/>
        <v>3</v>
      </c>
      <c r="I24">
        <f t="shared" si="2"/>
        <v>3</v>
      </c>
      <c r="J24">
        <f t="shared" si="2"/>
        <v>2</v>
      </c>
      <c r="K24">
        <f t="shared" si="2"/>
        <v>2</v>
      </c>
      <c r="L24">
        <f t="shared" si="2"/>
        <v>4</v>
      </c>
      <c r="M24">
        <f t="shared" si="2"/>
        <v>4</v>
      </c>
      <c r="N24">
        <f t="shared" si="2"/>
        <v>4</v>
      </c>
      <c r="O24">
        <f t="shared" si="2"/>
        <v>4</v>
      </c>
      <c r="P24">
        <f t="shared" si="2"/>
        <v>3</v>
      </c>
      <c r="Q24">
        <f t="shared" si="2"/>
        <v>2</v>
      </c>
      <c r="R24">
        <f t="shared" si="2"/>
        <v>2</v>
      </c>
      <c r="S24">
        <f t="shared" si="2"/>
        <v>3</v>
      </c>
      <c r="T24">
        <f t="shared" si="2"/>
        <v>4</v>
      </c>
      <c r="U24">
        <f t="shared" si="2"/>
        <v>4</v>
      </c>
      <c r="V24">
        <f t="shared" si="2"/>
        <v>4</v>
      </c>
      <c r="W24">
        <f t="shared" si="2"/>
        <v>4</v>
      </c>
      <c r="X24">
        <f t="shared" si="2"/>
        <v>2</v>
      </c>
      <c r="Y24">
        <f t="shared" si="2"/>
        <v>2</v>
      </c>
      <c r="Z24">
        <f t="shared" si="2"/>
        <v>3</v>
      </c>
      <c r="AA24">
        <f t="shared" si="2"/>
        <v>4</v>
      </c>
      <c r="AB24">
        <f t="shared" si="2"/>
        <v>4</v>
      </c>
      <c r="AC24">
        <f t="shared" si="2"/>
        <v>4</v>
      </c>
      <c r="AD24">
        <f t="shared" si="2"/>
        <v>3</v>
      </c>
      <c r="AE24">
        <f t="shared" si="2"/>
        <v>2</v>
      </c>
      <c r="AF24">
        <f t="shared" si="2"/>
        <v>2</v>
      </c>
    </row>
    <row r="25" spans="1:32" x14ac:dyDescent="0.35">
      <c r="A25" s="128" t="s">
        <v>127</v>
      </c>
      <c r="B25">
        <f t="shared" ref="B25:AF25" si="3">COUNTIF(B4:B21,"*NST7")</f>
        <v>4</v>
      </c>
      <c r="C25">
        <f t="shared" si="3"/>
        <v>3</v>
      </c>
      <c r="D25">
        <f t="shared" si="3"/>
        <v>3</v>
      </c>
      <c r="E25">
        <f t="shared" si="3"/>
        <v>3</v>
      </c>
      <c r="F25">
        <f t="shared" si="3"/>
        <v>4</v>
      </c>
      <c r="G25">
        <f t="shared" si="3"/>
        <v>4</v>
      </c>
      <c r="H25">
        <f t="shared" si="3"/>
        <v>4</v>
      </c>
      <c r="I25">
        <f t="shared" si="3"/>
        <v>4</v>
      </c>
      <c r="J25">
        <f t="shared" si="3"/>
        <v>4</v>
      </c>
      <c r="K25">
        <f t="shared" si="3"/>
        <v>3</v>
      </c>
      <c r="L25">
        <f t="shared" si="3"/>
        <v>4</v>
      </c>
      <c r="M25">
        <f t="shared" si="3"/>
        <v>4</v>
      </c>
      <c r="N25">
        <f t="shared" si="3"/>
        <v>3</v>
      </c>
      <c r="O25">
        <f t="shared" si="3"/>
        <v>3</v>
      </c>
      <c r="P25">
        <f t="shared" si="3"/>
        <v>4</v>
      </c>
      <c r="Q25">
        <f t="shared" si="3"/>
        <v>3</v>
      </c>
      <c r="R25">
        <f t="shared" si="3"/>
        <v>3</v>
      </c>
      <c r="S25">
        <f t="shared" si="3"/>
        <v>4</v>
      </c>
      <c r="T25">
        <f t="shared" si="3"/>
        <v>4</v>
      </c>
      <c r="U25">
        <f t="shared" si="3"/>
        <v>3</v>
      </c>
      <c r="V25">
        <f t="shared" si="3"/>
        <v>4</v>
      </c>
      <c r="W25">
        <f t="shared" si="3"/>
        <v>4</v>
      </c>
      <c r="X25">
        <f t="shared" si="3"/>
        <v>3</v>
      </c>
      <c r="Y25">
        <f t="shared" si="3"/>
        <v>3</v>
      </c>
      <c r="Z25">
        <f t="shared" si="3"/>
        <v>4</v>
      </c>
      <c r="AA25">
        <f t="shared" si="3"/>
        <v>4</v>
      </c>
      <c r="AB25">
        <f t="shared" si="3"/>
        <v>4</v>
      </c>
      <c r="AC25">
        <f t="shared" si="3"/>
        <v>3</v>
      </c>
      <c r="AD25">
        <f t="shared" si="3"/>
        <v>3</v>
      </c>
      <c r="AE25">
        <f t="shared" si="3"/>
        <v>2</v>
      </c>
      <c r="AF25">
        <f t="shared" si="3"/>
        <v>3</v>
      </c>
    </row>
    <row r="26" spans="1:32" x14ac:dyDescent="0.35">
      <c r="A26" s="128" t="s">
        <v>128</v>
      </c>
      <c r="B26">
        <f t="shared" ref="B26:AF26" si="4">COUNTIF(B4:B21,"*GS")</f>
        <v>1</v>
      </c>
      <c r="C26">
        <f t="shared" si="4"/>
        <v>1</v>
      </c>
      <c r="D26">
        <f t="shared" si="4"/>
        <v>0</v>
      </c>
      <c r="E26">
        <f t="shared" si="4"/>
        <v>2</v>
      </c>
      <c r="F26">
        <f t="shared" si="4"/>
        <v>0</v>
      </c>
      <c r="G26">
        <f t="shared" si="4"/>
        <v>0</v>
      </c>
      <c r="H26">
        <f t="shared" si="4"/>
        <v>1</v>
      </c>
      <c r="I26">
        <f t="shared" si="4"/>
        <v>1</v>
      </c>
      <c r="J26">
        <f t="shared" si="4"/>
        <v>1</v>
      </c>
      <c r="K26">
        <f t="shared" si="4"/>
        <v>0</v>
      </c>
      <c r="L26">
        <f t="shared" si="4"/>
        <v>0</v>
      </c>
      <c r="M26">
        <f t="shared" si="4"/>
        <v>1</v>
      </c>
      <c r="N26">
        <f t="shared" si="4"/>
        <v>2</v>
      </c>
      <c r="O26">
        <f t="shared" si="4"/>
        <v>2</v>
      </c>
      <c r="P26">
        <f t="shared" si="4"/>
        <v>2</v>
      </c>
      <c r="Q26">
        <f t="shared" si="4"/>
        <v>1</v>
      </c>
      <c r="R26">
        <f t="shared" si="4"/>
        <v>0</v>
      </c>
      <c r="S26">
        <f t="shared" si="4"/>
        <v>0</v>
      </c>
      <c r="T26">
        <f t="shared" si="4"/>
        <v>0</v>
      </c>
      <c r="U26">
        <f t="shared" si="4"/>
        <v>0</v>
      </c>
      <c r="V26">
        <f t="shared" si="4"/>
        <v>0</v>
      </c>
      <c r="W26">
        <f t="shared" si="4"/>
        <v>0</v>
      </c>
      <c r="X26">
        <f t="shared" si="4"/>
        <v>1</v>
      </c>
      <c r="Y26">
        <f t="shared" si="4"/>
        <v>0</v>
      </c>
      <c r="Z26">
        <f t="shared" si="4"/>
        <v>0</v>
      </c>
      <c r="AA26">
        <f t="shared" si="4"/>
        <v>1</v>
      </c>
      <c r="AB26">
        <f t="shared" si="4"/>
        <v>0</v>
      </c>
      <c r="AC26">
        <f t="shared" si="4"/>
        <v>0</v>
      </c>
      <c r="AD26">
        <f t="shared" si="4"/>
        <v>2</v>
      </c>
      <c r="AE26">
        <f t="shared" si="4"/>
        <v>1</v>
      </c>
      <c r="AF26">
        <f t="shared" si="4"/>
        <v>0</v>
      </c>
    </row>
    <row r="27" spans="1:32" x14ac:dyDescent="0.35">
      <c r="A27" s="128" t="s">
        <v>129</v>
      </c>
      <c r="B27">
        <f>COUNTIF(B4:B21,"C")</f>
        <v>2</v>
      </c>
      <c r="C27">
        <f>COUNTIF(C4:C21,"WO")</f>
        <v>8</v>
      </c>
      <c r="D27">
        <f>COUNTIF(D4:D21,"WO")</f>
        <v>8</v>
      </c>
      <c r="E27">
        <f>COUNTIF(E4:E21,"C")</f>
        <v>3</v>
      </c>
      <c r="F27">
        <f>COUNTIF(F4:F21,"C")</f>
        <v>2</v>
      </c>
      <c r="G27">
        <f>COUNTIF(G4:G21,"C")</f>
        <v>2</v>
      </c>
      <c r="H27">
        <f>COUNTIF(H4:H21,"C")</f>
        <v>2</v>
      </c>
      <c r="I27">
        <f>COUNTIF(I4:I21,"C")</f>
        <v>2</v>
      </c>
      <c r="J27">
        <f>COUNTIF(J4:J21,"WO")</f>
        <v>7</v>
      </c>
      <c r="K27">
        <f>COUNTIF(K4:K21,"WO")</f>
        <v>9</v>
      </c>
      <c r="L27">
        <f>COUNTIF(L4:L21,"C")</f>
        <v>3</v>
      </c>
      <c r="M27">
        <f>COUNTIF(M4:M21,"C")</f>
        <v>2</v>
      </c>
      <c r="N27">
        <f>COUNTIF(N4:N21,"C")</f>
        <v>3</v>
      </c>
      <c r="O27">
        <f>COUNTIF(O4:O21,"C")</f>
        <v>3</v>
      </c>
      <c r="P27">
        <f>COUNTIF(P4:P21,"C")</f>
        <v>3</v>
      </c>
      <c r="Q27">
        <f>COUNTIF(Q4:Q21,"WO")</f>
        <v>8</v>
      </c>
      <c r="R27">
        <f>COUNTIF(R4:R21,"WO")</f>
        <v>8</v>
      </c>
      <c r="S27">
        <f>COUNTIF(S4:S21,"C")</f>
        <v>1</v>
      </c>
      <c r="T27">
        <f>COUNTIF(T4:T21,"C")</f>
        <v>0</v>
      </c>
      <c r="U27">
        <f>COUNTIF(U4:U21,"C")</f>
        <v>3</v>
      </c>
      <c r="V27">
        <f>COUNTIF(V4:V21,"C")</f>
        <v>2</v>
      </c>
      <c r="W27">
        <f>COUNTIF(W4:W21,"C")</f>
        <v>2</v>
      </c>
      <c r="X27">
        <f>COUNTIF(X4:X21,"WO")</f>
        <v>8</v>
      </c>
      <c r="Y27">
        <f>COUNTIF(Y4:Y21,"WO")</f>
        <v>9</v>
      </c>
      <c r="Z27">
        <f>COUNTIF(Z4:Z21,"C")</f>
        <v>4</v>
      </c>
      <c r="AA27">
        <f>COUNTIF(AA4:AA21,"C")</f>
        <v>3</v>
      </c>
      <c r="AB27">
        <f>COUNTIF(AB4:AB21,"C")</f>
        <v>3</v>
      </c>
      <c r="AC27">
        <f>COUNTIF(AC4:AC21,"C")</f>
        <v>2</v>
      </c>
      <c r="AD27">
        <f>COUNTIF(AD4:AD21,"C")</f>
        <v>2</v>
      </c>
      <c r="AE27">
        <f>COUNTIF(AE4:AE21,"WO")</f>
        <v>9</v>
      </c>
      <c r="AF27">
        <f>COUNTIF(AF4:AF21,"WO")</f>
        <v>8</v>
      </c>
    </row>
    <row r="28" spans="1:32" x14ac:dyDescent="0.35">
      <c r="A28" s="128" t="s">
        <v>130</v>
      </c>
      <c r="B28">
        <f t="shared" ref="B28:AF28" si="5">COUNTIF(B4:B21,"PL")</f>
        <v>0</v>
      </c>
      <c r="C28">
        <f t="shared" si="5"/>
        <v>0</v>
      </c>
      <c r="D28">
        <f t="shared" si="5"/>
        <v>1</v>
      </c>
      <c r="E28">
        <f t="shared" si="5"/>
        <v>1</v>
      </c>
      <c r="F28">
        <f t="shared" si="5"/>
        <v>1</v>
      </c>
      <c r="G28">
        <f t="shared" si="5"/>
        <v>3</v>
      </c>
      <c r="H28">
        <f t="shared" si="5"/>
        <v>2</v>
      </c>
      <c r="I28">
        <f t="shared" si="5"/>
        <v>2</v>
      </c>
      <c r="J28">
        <f t="shared" si="5"/>
        <v>0</v>
      </c>
      <c r="K28">
        <f t="shared" si="5"/>
        <v>0</v>
      </c>
      <c r="L28">
        <f t="shared" si="5"/>
        <v>1</v>
      </c>
      <c r="M28">
        <f t="shared" si="5"/>
        <v>1</v>
      </c>
      <c r="N28">
        <f t="shared" si="5"/>
        <v>0</v>
      </c>
      <c r="O28">
        <f t="shared" si="5"/>
        <v>0</v>
      </c>
      <c r="P28">
        <f t="shared" si="5"/>
        <v>0</v>
      </c>
      <c r="Q28">
        <f t="shared" si="5"/>
        <v>0</v>
      </c>
      <c r="R28">
        <f t="shared" si="5"/>
        <v>1</v>
      </c>
      <c r="S28">
        <f t="shared" si="5"/>
        <v>4</v>
      </c>
      <c r="T28">
        <f t="shared" si="5"/>
        <v>2</v>
      </c>
      <c r="U28">
        <f t="shared" si="5"/>
        <v>2</v>
      </c>
      <c r="V28">
        <f t="shared" si="5"/>
        <v>2</v>
      </c>
      <c r="W28">
        <f t="shared" si="5"/>
        <v>2</v>
      </c>
      <c r="X28">
        <f t="shared" si="5"/>
        <v>0</v>
      </c>
      <c r="Y28">
        <f t="shared" si="5"/>
        <v>0</v>
      </c>
      <c r="Z28">
        <f t="shared" si="5"/>
        <v>1</v>
      </c>
      <c r="AA28">
        <f t="shared" si="5"/>
        <v>0</v>
      </c>
      <c r="AB28">
        <f t="shared" si="5"/>
        <v>0</v>
      </c>
      <c r="AC28">
        <f t="shared" si="5"/>
        <v>1</v>
      </c>
      <c r="AD28">
        <f t="shared" si="5"/>
        <v>1</v>
      </c>
      <c r="AE28">
        <f t="shared" si="5"/>
        <v>0</v>
      </c>
      <c r="AF28">
        <f t="shared" si="5"/>
        <v>1</v>
      </c>
    </row>
    <row r="29" spans="1:32" x14ac:dyDescent="0.35">
      <c r="A29" s="128" t="s">
        <v>33</v>
      </c>
      <c r="B29">
        <f t="shared" ref="B29:AF29" si="6">COUNTIF(B4:B21,"UPL")</f>
        <v>0</v>
      </c>
      <c r="C29">
        <f t="shared" si="6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  <c r="K29">
        <f t="shared" si="6"/>
        <v>0</v>
      </c>
      <c r="L29">
        <f t="shared" si="6"/>
        <v>0</v>
      </c>
      <c r="M29">
        <f t="shared" si="6"/>
        <v>0</v>
      </c>
      <c r="N29">
        <f t="shared" si="6"/>
        <v>0</v>
      </c>
      <c r="O29">
        <f t="shared" si="6"/>
        <v>0</v>
      </c>
      <c r="P29">
        <f t="shared" si="6"/>
        <v>0</v>
      </c>
      <c r="Q29">
        <f t="shared" si="6"/>
        <v>0</v>
      </c>
      <c r="R29">
        <f t="shared" si="6"/>
        <v>0</v>
      </c>
      <c r="S29">
        <f t="shared" si="6"/>
        <v>0</v>
      </c>
      <c r="T29">
        <f t="shared" si="6"/>
        <v>0</v>
      </c>
      <c r="U29">
        <f t="shared" si="6"/>
        <v>0</v>
      </c>
      <c r="V29">
        <f t="shared" si="6"/>
        <v>0</v>
      </c>
      <c r="W29">
        <f t="shared" si="6"/>
        <v>0</v>
      </c>
      <c r="X29">
        <f t="shared" si="6"/>
        <v>0</v>
      </c>
      <c r="Y29">
        <f t="shared" si="6"/>
        <v>0</v>
      </c>
      <c r="Z29">
        <f t="shared" si="6"/>
        <v>0</v>
      </c>
      <c r="AA29">
        <f t="shared" si="6"/>
        <v>0</v>
      </c>
      <c r="AB29">
        <f t="shared" si="6"/>
        <v>1</v>
      </c>
      <c r="AC29">
        <f t="shared" si="6"/>
        <v>1</v>
      </c>
      <c r="AD29">
        <f t="shared" si="6"/>
        <v>1</v>
      </c>
      <c r="AE29">
        <f t="shared" si="6"/>
        <v>0</v>
      </c>
      <c r="AF29">
        <f t="shared" si="6"/>
        <v>0</v>
      </c>
    </row>
    <row r="30" spans="1:32" x14ac:dyDescent="0.35">
      <c r="A30" s="128" t="s">
        <v>141</v>
      </c>
      <c r="B30">
        <f t="shared" ref="B30:AF30" si="7">COUNTIF(B4:B21,"H")</f>
        <v>0</v>
      </c>
      <c r="C30">
        <f t="shared" si="7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7"/>
        <v>0</v>
      </c>
      <c r="I30">
        <f t="shared" si="7"/>
        <v>0</v>
      </c>
      <c r="J30">
        <f t="shared" si="7"/>
        <v>0</v>
      </c>
      <c r="K30">
        <f t="shared" si="7"/>
        <v>0</v>
      </c>
      <c r="L30">
        <f t="shared" si="7"/>
        <v>0</v>
      </c>
      <c r="M30">
        <f t="shared" si="7"/>
        <v>0</v>
      </c>
      <c r="N30">
        <f t="shared" si="7"/>
        <v>0</v>
      </c>
      <c r="O30">
        <f t="shared" si="7"/>
        <v>0</v>
      </c>
      <c r="P30">
        <f t="shared" si="7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7"/>
        <v>2</v>
      </c>
      <c r="U30">
        <f t="shared" si="7"/>
        <v>0</v>
      </c>
      <c r="V30">
        <f t="shared" si="7"/>
        <v>0</v>
      </c>
      <c r="W30">
        <f t="shared" si="7"/>
        <v>0</v>
      </c>
      <c r="X30">
        <f t="shared" si="7"/>
        <v>0</v>
      </c>
      <c r="Y30">
        <f t="shared" si="7"/>
        <v>0</v>
      </c>
      <c r="Z30">
        <f t="shared" si="7"/>
        <v>0</v>
      </c>
      <c r="AA30">
        <f t="shared" si="7"/>
        <v>0</v>
      </c>
      <c r="AB30">
        <f t="shared" si="7"/>
        <v>0</v>
      </c>
      <c r="AC30">
        <f t="shared" si="7"/>
        <v>0</v>
      </c>
      <c r="AD30">
        <f t="shared" si="7"/>
        <v>0</v>
      </c>
      <c r="AE30">
        <f t="shared" si="7"/>
        <v>0</v>
      </c>
      <c r="AF30">
        <f t="shared" si="7"/>
        <v>0</v>
      </c>
    </row>
    <row r="31" spans="1:32" x14ac:dyDescent="0.35">
      <c r="A31" s="128" t="s">
        <v>131</v>
      </c>
      <c r="B31" s="129">
        <f t="shared" ref="B31" si="8">SUM(B23:B30)</f>
        <v>16</v>
      </c>
      <c r="C31" s="129">
        <f t="shared" ref="C31:D31" si="9">SUM(C23:C30)</f>
        <v>16</v>
      </c>
      <c r="D31" s="129">
        <f t="shared" si="9"/>
        <v>16</v>
      </c>
      <c r="E31" s="129">
        <f t="shared" ref="E31:I31" si="10">SUM(E23:E30)</f>
        <v>16</v>
      </c>
      <c r="F31" s="129">
        <f t="shared" si="10"/>
        <v>16</v>
      </c>
      <c r="G31" s="129">
        <f t="shared" si="10"/>
        <v>16</v>
      </c>
      <c r="H31" s="129">
        <f t="shared" si="10"/>
        <v>16</v>
      </c>
      <c r="I31" s="129">
        <f t="shared" si="10"/>
        <v>16</v>
      </c>
      <c r="J31" s="129">
        <f t="shared" ref="J31:K31" si="11">SUM(J23:J30)</f>
        <v>16</v>
      </c>
      <c r="K31" s="129">
        <f t="shared" si="11"/>
        <v>16</v>
      </c>
      <c r="L31" s="129">
        <f t="shared" ref="L31:P31" si="12">SUM(L23:L30)</f>
        <v>16</v>
      </c>
      <c r="M31" s="129">
        <f t="shared" si="12"/>
        <v>16</v>
      </c>
      <c r="N31" s="129">
        <f t="shared" si="12"/>
        <v>16</v>
      </c>
      <c r="O31" s="129">
        <f t="shared" si="12"/>
        <v>16</v>
      </c>
      <c r="P31" s="129">
        <f t="shared" si="12"/>
        <v>16</v>
      </c>
      <c r="Q31" s="129">
        <f t="shared" ref="Q31:R31" si="13">SUM(Q23:Q30)</f>
        <v>16</v>
      </c>
      <c r="R31" s="129">
        <f t="shared" si="13"/>
        <v>16</v>
      </c>
      <c r="S31" s="129">
        <f t="shared" ref="S31:W31" si="14">SUM(S23:S30)</f>
        <v>16</v>
      </c>
      <c r="T31" s="129">
        <f t="shared" si="14"/>
        <v>16</v>
      </c>
      <c r="U31" s="129">
        <f t="shared" si="14"/>
        <v>16</v>
      </c>
      <c r="V31" s="129">
        <f t="shared" si="14"/>
        <v>16</v>
      </c>
      <c r="W31" s="129">
        <f t="shared" si="14"/>
        <v>16</v>
      </c>
      <c r="X31" s="129">
        <f t="shared" ref="X31:Y31" si="15">SUM(X23:X30)</f>
        <v>16</v>
      </c>
      <c r="Y31" s="129">
        <f t="shared" si="15"/>
        <v>16</v>
      </c>
      <c r="Z31" s="129">
        <f t="shared" ref="Z31:AD31" si="16">SUM(Z23:Z30)</f>
        <v>16</v>
      </c>
      <c r="AA31" s="129">
        <f t="shared" si="16"/>
        <v>16</v>
      </c>
      <c r="AB31" s="129">
        <f t="shared" si="16"/>
        <v>16</v>
      </c>
      <c r="AC31" s="129">
        <f t="shared" si="16"/>
        <v>15</v>
      </c>
      <c r="AD31" s="129">
        <f t="shared" si="16"/>
        <v>16</v>
      </c>
      <c r="AE31" s="129">
        <f t="shared" ref="AE31:AF31" si="17">SUM(AE23:AE30)</f>
        <v>16</v>
      </c>
      <c r="AF31" s="129">
        <f t="shared" si="17"/>
        <v>16</v>
      </c>
    </row>
  </sheetData>
  <conditionalFormatting sqref="B23:AF26">
    <cfRule type="cellIs" dxfId="833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/>
  <dimension ref="A1:AK31"/>
  <sheetViews>
    <sheetView zoomScale="60" zoomScaleNormal="60" workbookViewId="0">
      <pane xSplit="1" topLeftCell="B1" activePane="topRight" state="frozen"/>
      <selection pane="topRight" activeCell="C6" sqref="C6:C7"/>
    </sheetView>
  </sheetViews>
  <sheetFormatPr defaultRowHeight="14.5" x14ac:dyDescent="0.35"/>
  <cols>
    <col min="1" max="1" width="23.08984375" bestFit="1" customWidth="1"/>
    <col min="2" max="37" width="8.7265625" customWidth="1"/>
  </cols>
  <sheetData>
    <row r="1" spans="1:37" x14ac:dyDescent="0.35">
      <c r="A1" s="1"/>
      <c r="B1" s="2" t="str">
        <f t="shared" ref="B1:AK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  <c r="AG1" s="2" t="str">
        <f t="shared" si="0"/>
        <v>Wed</v>
      </c>
      <c r="AH1" s="2" t="str">
        <f t="shared" si="0"/>
        <v>Thu</v>
      </c>
      <c r="AI1" s="2" t="str">
        <f t="shared" si="0"/>
        <v>Fri</v>
      </c>
      <c r="AJ1" s="2" t="str">
        <f t="shared" si="0"/>
        <v>Sat</v>
      </c>
      <c r="AK1" s="2" t="str">
        <f t="shared" si="0"/>
        <v>Sun</v>
      </c>
    </row>
    <row r="2" spans="1:37" x14ac:dyDescent="0.35">
      <c r="A2" s="95" t="s">
        <v>0</v>
      </c>
      <c r="B2" s="29">
        <v>45200</v>
      </c>
      <c r="C2" s="29">
        <v>45201</v>
      </c>
      <c r="D2" s="29">
        <v>45202</v>
      </c>
      <c r="E2" s="29">
        <v>45203</v>
      </c>
      <c r="F2" s="29">
        <v>45204</v>
      </c>
      <c r="G2" s="29">
        <v>45205</v>
      </c>
      <c r="H2" s="29">
        <v>45206</v>
      </c>
      <c r="I2" s="29">
        <v>45207</v>
      </c>
      <c r="J2" s="29">
        <v>45208</v>
      </c>
      <c r="K2" s="29">
        <v>45209</v>
      </c>
      <c r="L2" s="29">
        <v>45210</v>
      </c>
      <c r="M2" s="29">
        <v>45211</v>
      </c>
      <c r="N2" s="29">
        <v>45212</v>
      </c>
      <c r="O2" s="29">
        <v>45213</v>
      </c>
      <c r="P2" s="29">
        <v>45214</v>
      </c>
      <c r="Q2" s="29">
        <v>45215</v>
      </c>
      <c r="R2" s="29">
        <v>45216</v>
      </c>
      <c r="S2" s="29">
        <v>45217</v>
      </c>
      <c r="T2" s="29">
        <v>45218</v>
      </c>
      <c r="U2" s="29">
        <v>45219</v>
      </c>
      <c r="V2" s="29">
        <v>45220</v>
      </c>
      <c r="W2" s="29">
        <v>45221</v>
      </c>
      <c r="X2" s="29">
        <v>45222</v>
      </c>
      <c r="Y2" s="29">
        <v>45223</v>
      </c>
      <c r="Z2" s="29">
        <v>45224</v>
      </c>
      <c r="AA2" s="29">
        <v>45225</v>
      </c>
      <c r="AB2" s="29">
        <v>45226</v>
      </c>
      <c r="AC2" s="29">
        <v>45227</v>
      </c>
      <c r="AD2" s="29">
        <v>45228</v>
      </c>
      <c r="AE2" s="29">
        <v>45229</v>
      </c>
      <c r="AF2" s="29">
        <v>45230</v>
      </c>
      <c r="AG2" s="29">
        <v>45231</v>
      </c>
      <c r="AH2" s="29">
        <v>45232</v>
      </c>
      <c r="AI2" s="29">
        <v>45233</v>
      </c>
      <c r="AJ2" s="29">
        <v>45234</v>
      </c>
      <c r="AK2" s="29">
        <v>45235</v>
      </c>
    </row>
    <row r="3" spans="1:37" x14ac:dyDescent="0.3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</row>
    <row r="4" spans="1:37" x14ac:dyDescent="0.35">
      <c r="A4" s="165" t="s">
        <v>57</v>
      </c>
      <c r="B4" s="16" t="s">
        <v>11</v>
      </c>
      <c r="C4" s="16" t="s">
        <v>11</v>
      </c>
      <c r="D4" s="16" t="s">
        <v>10</v>
      </c>
      <c r="E4" s="116" t="s">
        <v>2</v>
      </c>
      <c r="F4" s="16" t="s">
        <v>10</v>
      </c>
      <c r="G4" s="116" t="s">
        <v>2</v>
      </c>
      <c r="H4" s="114" t="s">
        <v>4</v>
      </c>
      <c r="I4" s="16" t="s">
        <v>11</v>
      </c>
      <c r="J4" s="16" t="s">
        <v>10</v>
      </c>
      <c r="K4" s="16" t="s">
        <v>10</v>
      </c>
      <c r="L4" s="16" t="s">
        <v>10</v>
      </c>
      <c r="M4" s="16" t="s">
        <v>10</v>
      </c>
      <c r="N4" s="116" t="s">
        <v>2</v>
      </c>
      <c r="O4" s="114" t="s">
        <v>4</v>
      </c>
      <c r="P4" s="16" t="s">
        <v>11</v>
      </c>
      <c r="Q4" s="16" t="s">
        <v>10</v>
      </c>
      <c r="R4" s="16" t="s">
        <v>10</v>
      </c>
      <c r="S4" s="16" t="s">
        <v>10</v>
      </c>
      <c r="T4" s="116" t="s">
        <v>2</v>
      </c>
      <c r="U4" s="16" t="s">
        <v>10</v>
      </c>
      <c r="V4" s="16" t="s">
        <v>11</v>
      </c>
      <c r="W4" s="114" t="s">
        <v>4</v>
      </c>
      <c r="X4" s="16" t="s">
        <v>10</v>
      </c>
      <c r="Y4" s="16" t="s">
        <v>11</v>
      </c>
      <c r="Z4" s="116" t="s">
        <v>2</v>
      </c>
      <c r="AA4" s="16" t="s">
        <v>10</v>
      </c>
      <c r="AB4" s="16" t="s">
        <v>10</v>
      </c>
      <c r="AC4" s="16" t="s">
        <v>11</v>
      </c>
      <c r="AD4" s="16" t="s">
        <v>11</v>
      </c>
      <c r="AE4" s="116" t="s">
        <v>2</v>
      </c>
      <c r="AF4" s="116" t="s">
        <v>2</v>
      </c>
      <c r="AJ4" s="114" t="s">
        <v>4</v>
      </c>
      <c r="AK4" s="114" t="s">
        <v>4</v>
      </c>
    </row>
    <row r="5" spans="1:37" x14ac:dyDescent="0.35">
      <c r="A5" s="165" t="s">
        <v>69</v>
      </c>
      <c r="B5" s="16" t="s">
        <v>11</v>
      </c>
      <c r="C5" s="16" t="s">
        <v>11</v>
      </c>
      <c r="D5" s="116" t="s">
        <v>2</v>
      </c>
      <c r="E5" s="16" t="s">
        <v>10</v>
      </c>
      <c r="F5" s="116" t="s">
        <v>2</v>
      </c>
      <c r="G5" s="16" t="s">
        <v>10</v>
      </c>
      <c r="H5" s="16" t="s">
        <v>11</v>
      </c>
      <c r="I5" s="114" t="s">
        <v>4</v>
      </c>
      <c r="J5" s="116" t="s">
        <v>2</v>
      </c>
      <c r="K5" s="16" t="s">
        <v>10</v>
      </c>
      <c r="L5" s="16" t="s">
        <v>10</v>
      </c>
      <c r="M5" s="16" t="s">
        <v>10</v>
      </c>
      <c r="N5" s="16" t="s">
        <v>10</v>
      </c>
      <c r="O5" s="16" t="s">
        <v>11</v>
      </c>
      <c r="P5" s="114" t="s">
        <v>4</v>
      </c>
      <c r="Q5" s="116" t="s">
        <v>2</v>
      </c>
      <c r="R5" s="16" t="s">
        <v>10</v>
      </c>
      <c r="S5" s="16" t="s">
        <v>10</v>
      </c>
      <c r="T5" s="16" t="s">
        <v>10</v>
      </c>
      <c r="U5" s="122" t="s">
        <v>5</v>
      </c>
      <c r="V5" s="122" t="s">
        <v>5</v>
      </c>
      <c r="W5" s="122" t="s">
        <v>5</v>
      </c>
      <c r="X5" s="16" t="s">
        <v>10</v>
      </c>
      <c r="Y5" s="16" t="s">
        <v>11</v>
      </c>
      <c r="Z5" s="16" t="s">
        <v>10</v>
      </c>
      <c r="AA5" s="122" t="s">
        <v>5</v>
      </c>
      <c r="AB5" s="122" t="s">
        <v>5</v>
      </c>
      <c r="AC5" s="122" t="s">
        <v>5</v>
      </c>
      <c r="AD5" s="122" t="s">
        <v>5</v>
      </c>
      <c r="AE5" s="16" t="s">
        <v>10</v>
      </c>
      <c r="AF5" s="16" t="s">
        <v>10</v>
      </c>
      <c r="AJ5" s="114" t="s">
        <v>4</v>
      </c>
      <c r="AK5" s="114" t="s">
        <v>4</v>
      </c>
    </row>
    <row r="6" spans="1:37" x14ac:dyDescent="0.35">
      <c r="A6" s="141" t="s">
        <v>21</v>
      </c>
      <c r="B6" s="114" t="s">
        <v>4</v>
      </c>
      <c r="C6" s="115" t="s">
        <v>37</v>
      </c>
      <c r="D6" s="16" t="s">
        <v>10</v>
      </c>
      <c r="E6" s="16" t="s">
        <v>10</v>
      </c>
      <c r="F6" s="16" t="s">
        <v>10</v>
      </c>
      <c r="G6" s="16" t="s">
        <v>10</v>
      </c>
      <c r="H6" s="16" t="s">
        <v>11</v>
      </c>
      <c r="I6" s="114" t="s">
        <v>4</v>
      </c>
      <c r="J6" s="16" t="s">
        <v>10</v>
      </c>
      <c r="K6" s="16" t="s">
        <v>10</v>
      </c>
      <c r="L6" s="16" t="s">
        <v>10</v>
      </c>
      <c r="M6" s="16" t="s">
        <v>10</v>
      </c>
      <c r="N6" s="16" t="s">
        <v>10</v>
      </c>
      <c r="O6" s="16" t="s">
        <v>11</v>
      </c>
      <c r="P6" s="114" t="s">
        <v>4</v>
      </c>
      <c r="Q6" s="16" t="s">
        <v>10</v>
      </c>
      <c r="R6" s="16" t="s">
        <v>10</v>
      </c>
      <c r="S6" s="16" t="s">
        <v>10</v>
      </c>
      <c r="T6" s="116" t="s">
        <v>2</v>
      </c>
      <c r="U6" s="16" t="s">
        <v>10</v>
      </c>
      <c r="V6" s="16" t="s">
        <v>11</v>
      </c>
      <c r="W6" s="16" t="s">
        <v>11</v>
      </c>
      <c r="X6" s="16" t="s">
        <v>10</v>
      </c>
      <c r="Y6" s="16" t="s">
        <v>11</v>
      </c>
      <c r="Z6" s="16" t="s">
        <v>10</v>
      </c>
      <c r="AA6" s="116" t="s">
        <v>2</v>
      </c>
      <c r="AB6" s="25" t="s">
        <v>3</v>
      </c>
      <c r="AC6" s="16" t="s">
        <v>11</v>
      </c>
      <c r="AD6" s="114" t="s">
        <v>4</v>
      </c>
      <c r="AE6" s="16" t="s">
        <v>10</v>
      </c>
      <c r="AF6" s="16" t="s">
        <v>10</v>
      </c>
      <c r="AJ6" s="114" t="s">
        <v>4</v>
      </c>
      <c r="AK6" s="114" t="s">
        <v>4</v>
      </c>
    </row>
    <row r="7" spans="1:37" x14ac:dyDescent="0.35">
      <c r="A7" s="141" t="s">
        <v>22</v>
      </c>
      <c r="B7" s="114" t="s">
        <v>4</v>
      </c>
      <c r="C7" s="115" t="s">
        <v>37</v>
      </c>
      <c r="D7" s="16" t="s">
        <v>10</v>
      </c>
      <c r="E7" s="16" t="s">
        <v>10</v>
      </c>
      <c r="F7" s="16" t="s">
        <v>10</v>
      </c>
      <c r="G7" s="16" t="s">
        <v>10</v>
      </c>
      <c r="H7" s="114" t="s">
        <v>4</v>
      </c>
      <c r="I7" s="16" t="s">
        <v>11</v>
      </c>
      <c r="J7" s="16" t="s">
        <v>10</v>
      </c>
      <c r="K7" s="116" t="s">
        <v>2</v>
      </c>
      <c r="L7" s="16" t="s">
        <v>10</v>
      </c>
      <c r="M7" s="122" t="s">
        <v>5</v>
      </c>
      <c r="N7" s="122" t="s">
        <v>5</v>
      </c>
      <c r="O7" s="114" t="s">
        <v>4</v>
      </c>
      <c r="P7" s="16" t="s">
        <v>11</v>
      </c>
      <c r="Q7" s="16" t="s">
        <v>10</v>
      </c>
      <c r="R7" s="116" t="s">
        <v>2</v>
      </c>
      <c r="S7" s="16" t="s">
        <v>10</v>
      </c>
      <c r="T7" s="16" t="s">
        <v>10</v>
      </c>
      <c r="U7" s="16" t="s">
        <v>10</v>
      </c>
      <c r="V7" s="114" t="s">
        <v>4</v>
      </c>
      <c r="W7" s="16" t="s">
        <v>11</v>
      </c>
      <c r="X7" s="122" t="s">
        <v>5</v>
      </c>
      <c r="Y7" s="122" t="s">
        <v>5</v>
      </c>
      <c r="Z7" s="122" t="s">
        <v>5</v>
      </c>
      <c r="AA7" s="16" t="s">
        <v>10</v>
      </c>
      <c r="AB7" s="16" t="s">
        <v>10</v>
      </c>
      <c r="AC7" s="114" t="s">
        <v>4</v>
      </c>
      <c r="AD7" s="16" t="s">
        <v>11</v>
      </c>
      <c r="AE7" s="16" t="s">
        <v>10</v>
      </c>
      <c r="AF7" s="116" t="s">
        <v>2</v>
      </c>
      <c r="AJ7" s="114" t="s">
        <v>4</v>
      </c>
      <c r="AK7" s="114" t="s">
        <v>4</v>
      </c>
    </row>
    <row r="8" spans="1:37" x14ac:dyDescent="0.35">
      <c r="A8" s="141" t="s">
        <v>70</v>
      </c>
      <c r="B8" s="16" t="s">
        <v>11</v>
      </c>
      <c r="C8" s="16" t="s">
        <v>11</v>
      </c>
      <c r="D8" s="16" t="s">
        <v>10</v>
      </c>
      <c r="E8" s="116" t="s">
        <v>2</v>
      </c>
      <c r="F8" s="116" t="s">
        <v>2</v>
      </c>
      <c r="G8" s="16" t="s">
        <v>10</v>
      </c>
      <c r="H8" s="16" t="s">
        <v>11</v>
      </c>
      <c r="I8" s="114" t="s">
        <v>4</v>
      </c>
      <c r="J8" s="16" t="s">
        <v>10</v>
      </c>
      <c r="K8" s="16" t="s">
        <v>10</v>
      </c>
      <c r="L8" s="116" t="s">
        <v>2</v>
      </c>
      <c r="M8" s="16" t="s">
        <v>10</v>
      </c>
      <c r="N8" s="16" t="s">
        <v>10</v>
      </c>
      <c r="O8" s="16" t="s">
        <v>11</v>
      </c>
      <c r="P8" s="114" t="s">
        <v>4</v>
      </c>
      <c r="Q8" s="16" t="s">
        <v>10</v>
      </c>
      <c r="R8" s="16" t="s">
        <v>10</v>
      </c>
      <c r="S8" s="116" t="s">
        <v>2</v>
      </c>
      <c r="T8" s="16" t="s">
        <v>10</v>
      </c>
      <c r="U8" s="16" t="s">
        <v>10</v>
      </c>
      <c r="V8" s="16" t="s">
        <v>11</v>
      </c>
      <c r="W8" s="114" t="s">
        <v>4</v>
      </c>
      <c r="X8" s="122" t="s">
        <v>5</v>
      </c>
      <c r="Y8" s="122" t="s">
        <v>5</v>
      </c>
      <c r="Z8" s="16" t="s">
        <v>10</v>
      </c>
      <c r="AA8" s="16" t="s">
        <v>10</v>
      </c>
      <c r="AB8" s="16" t="s">
        <v>10</v>
      </c>
      <c r="AC8" s="16" t="s">
        <v>11</v>
      </c>
      <c r="AD8" s="114" t="s">
        <v>4</v>
      </c>
      <c r="AE8" s="16" t="s">
        <v>10</v>
      </c>
      <c r="AF8" s="116" t="s">
        <v>2</v>
      </c>
      <c r="AJ8" s="114" t="s">
        <v>4</v>
      </c>
      <c r="AK8" s="114" t="s">
        <v>4</v>
      </c>
    </row>
    <row r="10" spans="1:37" x14ac:dyDescent="0.35">
      <c r="A10" s="165" t="s">
        <v>1</v>
      </c>
      <c r="B10" s="25" t="s">
        <v>3</v>
      </c>
      <c r="C10" s="19" t="s">
        <v>42</v>
      </c>
      <c r="D10" s="19" t="s">
        <v>41</v>
      </c>
      <c r="E10" s="19" t="s">
        <v>41</v>
      </c>
      <c r="F10" s="19" t="s">
        <v>41</v>
      </c>
      <c r="G10" s="116" t="s">
        <v>2</v>
      </c>
      <c r="H10" s="19" t="s">
        <v>42</v>
      </c>
      <c r="I10" s="19" t="s">
        <v>42</v>
      </c>
      <c r="J10" s="19" t="s">
        <v>41</v>
      </c>
      <c r="K10" s="19" t="s">
        <v>41</v>
      </c>
      <c r="L10" s="19" t="s">
        <v>41</v>
      </c>
      <c r="M10" s="19" t="s">
        <v>41</v>
      </c>
      <c r="N10" s="116" t="s">
        <v>2</v>
      </c>
      <c r="O10" s="19" t="s">
        <v>42</v>
      </c>
      <c r="P10" s="122" t="s">
        <v>5</v>
      </c>
      <c r="Q10" s="122" t="s">
        <v>5</v>
      </c>
      <c r="R10" s="122" t="s">
        <v>5</v>
      </c>
      <c r="S10" s="19" t="s">
        <v>41</v>
      </c>
      <c r="T10" s="19" t="s">
        <v>41</v>
      </c>
      <c r="U10" s="122" t="s">
        <v>5</v>
      </c>
      <c r="V10" s="114" t="s">
        <v>4</v>
      </c>
      <c r="W10" s="114" t="s">
        <v>4</v>
      </c>
      <c r="X10" s="116" t="s">
        <v>2</v>
      </c>
      <c r="Y10" s="115" t="s">
        <v>37</v>
      </c>
      <c r="Z10" s="19" t="s">
        <v>41</v>
      </c>
      <c r="AA10" s="19" t="s">
        <v>41</v>
      </c>
      <c r="AB10" s="19" t="s">
        <v>41</v>
      </c>
      <c r="AC10" s="19" t="s">
        <v>42</v>
      </c>
      <c r="AD10" s="114" t="s">
        <v>4</v>
      </c>
      <c r="AE10" s="116" t="s">
        <v>2</v>
      </c>
      <c r="AF10" s="116" t="s">
        <v>2</v>
      </c>
      <c r="AG10" s="122" t="s">
        <v>5</v>
      </c>
      <c r="AH10" s="122" t="s">
        <v>5</v>
      </c>
      <c r="AI10" s="122" t="s">
        <v>5</v>
      </c>
      <c r="AJ10" s="122" t="s">
        <v>5</v>
      </c>
      <c r="AK10" s="122" t="s">
        <v>5</v>
      </c>
    </row>
    <row r="11" spans="1:37" x14ac:dyDescent="0.35">
      <c r="A11" s="165" t="s">
        <v>15</v>
      </c>
      <c r="B11" s="114" t="s">
        <v>4</v>
      </c>
      <c r="C11" s="19" t="s">
        <v>42</v>
      </c>
      <c r="D11" s="122" t="s">
        <v>5</v>
      </c>
      <c r="E11" s="122" t="s">
        <v>5</v>
      </c>
      <c r="F11" s="122" t="s">
        <v>5</v>
      </c>
      <c r="G11" s="19" t="s">
        <v>41</v>
      </c>
      <c r="H11" s="114" t="s">
        <v>4</v>
      </c>
      <c r="I11" s="114" t="s">
        <v>4</v>
      </c>
      <c r="J11" s="19" t="s">
        <v>41</v>
      </c>
      <c r="K11" s="122" t="s">
        <v>5</v>
      </c>
      <c r="L11" s="122" t="s">
        <v>5</v>
      </c>
      <c r="M11" s="122" t="s">
        <v>5</v>
      </c>
      <c r="N11" s="19" t="s">
        <v>41</v>
      </c>
      <c r="O11" s="114" t="s">
        <v>4</v>
      </c>
      <c r="P11" s="19" t="s">
        <v>42</v>
      </c>
      <c r="Q11" s="19" t="s">
        <v>41</v>
      </c>
      <c r="R11" s="19" t="s">
        <v>41</v>
      </c>
      <c r="S11" s="19" t="s">
        <v>41</v>
      </c>
      <c r="T11" s="19" t="s">
        <v>41</v>
      </c>
      <c r="U11" s="19" t="s">
        <v>41</v>
      </c>
      <c r="V11" s="114" t="s">
        <v>4</v>
      </c>
      <c r="W11" s="19" t="s">
        <v>42</v>
      </c>
      <c r="X11" s="19" t="s">
        <v>41</v>
      </c>
      <c r="Y11" s="19" t="s">
        <v>42</v>
      </c>
      <c r="Z11" s="19" t="s">
        <v>41</v>
      </c>
      <c r="AA11" s="116" t="s">
        <v>2</v>
      </c>
      <c r="AB11" s="122" t="s">
        <v>5</v>
      </c>
      <c r="AC11" s="114" t="s">
        <v>4</v>
      </c>
      <c r="AD11" s="19" t="s">
        <v>42</v>
      </c>
      <c r="AE11" s="19" t="s">
        <v>41</v>
      </c>
      <c r="AF11" s="19" t="s">
        <v>41</v>
      </c>
      <c r="AJ11" s="114" t="s">
        <v>4</v>
      </c>
      <c r="AK11" s="114" t="s">
        <v>4</v>
      </c>
    </row>
    <row r="12" spans="1:37" x14ac:dyDescent="0.35">
      <c r="A12" s="141" t="s">
        <v>71</v>
      </c>
      <c r="B12" s="114" t="s">
        <v>4</v>
      </c>
      <c r="C12" s="115" t="s">
        <v>37</v>
      </c>
      <c r="D12" s="116" t="s">
        <v>2</v>
      </c>
      <c r="E12" s="116" t="s">
        <v>2</v>
      </c>
      <c r="F12" s="116" t="s">
        <v>2</v>
      </c>
      <c r="G12" s="19" t="s">
        <v>41</v>
      </c>
      <c r="H12" s="114" t="s">
        <v>4</v>
      </c>
      <c r="I12" s="25" t="s">
        <v>3</v>
      </c>
      <c r="J12" s="19" t="s">
        <v>41</v>
      </c>
      <c r="K12" s="116" t="s">
        <v>2</v>
      </c>
      <c r="L12" s="116" t="s">
        <v>2</v>
      </c>
      <c r="M12" s="116" t="s">
        <v>2</v>
      </c>
      <c r="N12" s="19" t="s">
        <v>41</v>
      </c>
      <c r="O12" s="114" t="s">
        <v>4</v>
      </c>
      <c r="P12" s="114" t="s">
        <v>4</v>
      </c>
      <c r="Q12" s="19" t="s">
        <v>41</v>
      </c>
      <c r="R12" s="19" t="s">
        <v>41</v>
      </c>
      <c r="S12" s="116" t="s">
        <v>2</v>
      </c>
      <c r="T12" s="19" t="s">
        <v>41</v>
      </c>
      <c r="U12" s="19" t="s">
        <v>41</v>
      </c>
      <c r="V12" s="19" t="s">
        <v>42</v>
      </c>
      <c r="W12" s="114" t="s">
        <v>4</v>
      </c>
      <c r="X12" s="122" t="s">
        <v>5</v>
      </c>
      <c r="Y12" s="115" t="s">
        <v>37</v>
      </c>
      <c r="Z12" s="19" t="s">
        <v>41</v>
      </c>
      <c r="AA12" s="19" t="s">
        <v>41</v>
      </c>
      <c r="AB12" s="19" t="s">
        <v>41</v>
      </c>
      <c r="AC12" s="25" t="s">
        <v>3</v>
      </c>
      <c r="AD12" s="114" t="s">
        <v>4</v>
      </c>
      <c r="AE12" s="19" t="s">
        <v>41</v>
      </c>
      <c r="AF12" s="116" t="s">
        <v>2</v>
      </c>
      <c r="AJ12" s="114" t="s">
        <v>4</v>
      </c>
      <c r="AK12" s="114" t="s">
        <v>4</v>
      </c>
    </row>
    <row r="13" spans="1:37" x14ac:dyDescent="0.35">
      <c r="A13" s="141" t="s">
        <v>149</v>
      </c>
      <c r="B13" s="19" t="s">
        <v>42</v>
      </c>
      <c r="C13" s="19" t="s">
        <v>42</v>
      </c>
      <c r="D13" s="19" t="s">
        <v>41</v>
      </c>
      <c r="E13" s="19" t="s">
        <v>41</v>
      </c>
      <c r="F13" s="19" t="s">
        <v>41</v>
      </c>
      <c r="G13" s="116" t="s">
        <v>2</v>
      </c>
      <c r="H13" s="114" t="s">
        <v>4</v>
      </c>
      <c r="I13" s="19" t="s">
        <v>42</v>
      </c>
      <c r="J13" s="19" t="s">
        <v>41</v>
      </c>
      <c r="K13" s="19" t="s">
        <v>41</v>
      </c>
      <c r="L13" s="19" t="s">
        <v>41</v>
      </c>
      <c r="M13" s="19" t="s">
        <v>41</v>
      </c>
      <c r="N13" s="116" t="s">
        <v>2</v>
      </c>
      <c r="O13" s="22" t="s">
        <v>30</v>
      </c>
      <c r="P13" s="19" t="s">
        <v>42</v>
      </c>
      <c r="Q13" s="19" t="s">
        <v>41</v>
      </c>
      <c r="R13" s="19" t="s">
        <v>41</v>
      </c>
      <c r="S13" s="19" t="s">
        <v>41</v>
      </c>
      <c r="T13" s="116" t="s">
        <v>2</v>
      </c>
      <c r="U13" s="116" t="s">
        <v>2</v>
      </c>
      <c r="V13" s="114" t="s">
        <v>4</v>
      </c>
      <c r="W13" s="19" t="s">
        <v>42</v>
      </c>
      <c r="X13" s="19" t="s">
        <v>41</v>
      </c>
      <c r="Y13" s="122" t="s">
        <v>5</v>
      </c>
      <c r="Z13" s="122" t="s">
        <v>5</v>
      </c>
      <c r="AA13" s="19" t="s">
        <v>41</v>
      </c>
      <c r="AB13" s="116" t="s">
        <v>2</v>
      </c>
      <c r="AC13" s="114" t="s">
        <v>4</v>
      </c>
      <c r="AD13" s="19" t="s">
        <v>42</v>
      </c>
      <c r="AE13" s="19" t="s">
        <v>41</v>
      </c>
      <c r="AF13" s="19" t="s">
        <v>41</v>
      </c>
      <c r="AJ13" s="114" t="s">
        <v>4</v>
      </c>
      <c r="AK13" s="114" t="s">
        <v>4</v>
      </c>
    </row>
    <row r="14" spans="1:37" x14ac:dyDescent="0.35">
      <c r="A14" s="141" t="s">
        <v>124</v>
      </c>
      <c r="B14" s="114" t="s">
        <v>4</v>
      </c>
      <c r="C14" s="115" t="s">
        <v>37</v>
      </c>
      <c r="D14" s="19" t="s">
        <v>41</v>
      </c>
      <c r="E14" s="19" t="s">
        <v>41</v>
      </c>
      <c r="F14" s="19" t="s">
        <v>41</v>
      </c>
      <c r="G14" s="19" t="s">
        <v>41</v>
      </c>
      <c r="H14" s="19" t="s">
        <v>42</v>
      </c>
      <c r="I14" s="114" t="s">
        <v>4</v>
      </c>
      <c r="J14" s="116" t="s">
        <v>2</v>
      </c>
      <c r="K14" s="19" t="s">
        <v>41</v>
      </c>
      <c r="L14" s="19" t="s">
        <v>41</v>
      </c>
      <c r="M14" s="19" t="s">
        <v>41</v>
      </c>
      <c r="N14" s="19" t="s">
        <v>41</v>
      </c>
      <c r="O14" s="19" t="s">
        <v>42</v>
      </c>
      <c r="P14" s="114" t="s">
        <v>4</v>
      </c>
      <c r="Q14" s="116" t="s">
        <v>2</v>
      </c>
      <c r="R14" s="116" t="s">
        <v>2</v>
      </c>
      <c r="S14" s="19" t="s">
        <v>41</v>
      </c>
      <c r="T14" s="19" t="s">
        <v>41</v>
      </c>
      <c r="U14" s="19" t="s">
        <v>41</v>
      </c>
      <c r="V14" s="19" t="s">
        <v>42</v>
      </c>
      <c r="W14" s="114" t="s">
        <v>4</v>
      </c>
      <c r="X14" s="19" t="s">
        <v>41</v>
      </c>
      <c r="Y14" s="19" t="s">
        <v>42</v>
      </c>
      <c r="Z14" s="19" t="s">
        <v>41</v>
      </c>
      <c r="AA14" s="19" t="s">
        <v>41</v>
      </c>
      <c r="AB14" s="19" t="s">
        <v>41</v>
      </c>
      <c r="AC14" s="19" t="s">
        <v>42</v>
      </c>
      <c r="AD14" s="114" t="s">
        <v>4</v>
      </c>
      <c r="AE14" s="116" t="s">
        <v>2</v>
      </c>
      <c r="AF14" s="19" t="s">
        <v>41</v>
      </c>
      <c r="AJ14" s="114" t="s">
        <v>4</v>
      </c>
      <c r="AK14" s="114" t="s">
        <v>4</v>
      </c>
    </row>
    <row r="15" spans="1:37" x14ac:dyDescent="0.35">
      <c r="A15" s="173" t="s">
        <v>152</v>
      </c>
      <c r="B15" s="114" t="s">
        <v>4</v>
      </c>
      <c r="C15" s="115" t="s">
        <v>37</v>
      </c>
      <c r="D15" s="19" t="s">
        <v>41</v>
      </c>
      <c r="E15" s="19" t="s">
        <v>41</v>
      </c>
      <c r="F15" s="19" t="s">
        <v>41</v>
      </c>
      <c r="G15" s="19" t="s">
        <v>41</v>
      </c>
      <c r="H15" s="114" t="s">
        <v>4</v>
      </c>
      <c r="I15" s="114" t="s">
        <v>4</v>
      </c>
      <c r="J15" s="19" t="s">
        <v>41</v>
      </c>
      <c r="K15" s="19" t="s">
        <v>41</v>
      </c>
      <c r="L15" s="19" t="s">
        <v>41</v>
      </c>
      <c r="M15" s="19" t="s">
        <v>41</v>
      </c>
      <c r="N15" s="19" t="s">
        <v>41</v>
      </c>
      <c r="O15" s="114" t="s">
        <v>4</v>
      </c>
      <c r="P15" s="114" t="s">
        <v>4</v>
      </c>
      <c r="Q15" s="19" t="s">
        <v>41</v>
      </c>
      <c r="R15" s="19" t="s">
        <v>41</v>
      </c>
      <c r="S15" s="19" t="s">
        <v>41</v>
      </c>
      <c r="T15" s="19" t="s">
        <v>41</v>
      </c>
      <c r="U15" s="19" t="s">
        <v>41</v>
      </c>
      <c r="V15" s="22" t="s">
        <v>30</v>
      </c>
      <c r="W15" s="114" t="s">
        <v>4</v>
      </c>
      <c r="X15" s="19" t="s">
        <v>41</v>
      </c>
      <c r="Y15" s="19" t="s">
        <v>42</v>
      </c>
      <c r="Z15" s="19" t="s">
        <v>41</v>
      </c>
      <c r="AA15" s="116" t="s">
        <v>2</v>
      </c>
      <c r="AB15" s="19" t="s">
        <v>41</v>
      </c>
      <c r="AC15" s="22" t="s">
        <v>30</v>
      </c>
      <c r="AD15" s="114" t="s">
        <v>4</v>
      </c>
      <c r="AE15" s="19" t="s">
        <v>41</v>
      </c>
      <c r="AF15" s="19" t="s">
        <v>41</v>
      </c>
      <c r="AJ15" s="114" t="s">
        <v>4</v>
      </c>
      <c r="AK15" s="114" t="s">
        <v>4</v>
      </c>
    </row>
    <row r="17" spans="1:37" x14ac:dyDescent="0.35">
      <c r="A17" s="165" t="s">
        <v>9</v>
      </c>
      <c r="B17" s="114" t="s">
        <v>4</v>
      </c>
      <c r="C17" s="25" t="s">
        <v>3</v>
      </c>
      <c r="D17" s="122" t="s">
        <v>5</v>
      </c>
      <c r="E17" s="122" t="s">
        <v>5</v>
      </c>
      <c r="F17" s="122" t="s">
        <v>5</v>
      </c>
      <c r="G17" s="122" t="s">
        <v>5</v>
      </c>
      <c r="H17" s="25" t="s">
        <v>3</v>
      </c>
      <c r="I17" s="25" t="s">
        <v>3</v>
      </c>
      <c r="J17" s="122" t="s">
        <v>5</v>
      </c>
      <c r="K17" s="122" t="s">
        <v>5</v>
      </c>
      <c r="L17" s="122" t="s">
        <v>5</v>
      </c>
      <c r="M17" s="122" t="s">
        <v>5</v>
      </c>
      <c r="N17" s="122" t="s">
        <v>5</v>
      </c>
      <c r="O17" s="25" t="s">
        <v>3</v>
      </c>
      <c r="P17" s="114" t="s">
        <v>4</v>
      </c>
      <c r="Q17" s="25" t="s">
        <v>6</v>
      </c>
      <c r="R17" s="25" t="s">
        <v>6</v>
      </c>
      <c r="S17" s="25" t="s">
        <v>6</v>
      </c>
      <c r="T17" s="116" t="s">
        <v>2</v>
      </c>
      <c r="U17" s="25" t="s">
        <v>6</v>
      </c>
      <c r="V17" s="25" t="s">
        <v>3</v>
      </c>
      <c r="W17" s="114" t="s">
        <v>4</v>
      </c>
      <c r="X17" s="116" t="s">
        <v>2</v>
      </c>
      <c r="Y17" s="115" t="s">
        <v>37</v>
      </c>
      <c r="Z17" s="122" t="s">
        <v>5</v>
      </c>
      <c r="AA17" s="122" t="s">
        <v>5</v>
      </c>
      <c r="AB17" s="122" t="s">
        <v>5</v>
      </c>
      <c r="AC17" s="114" t="s">
        <v>4</v>
      </c>
      <c r="AD17" s="25" t="s">
        <v>3</v>
      </c>
      <c r="AE17" s="25" t="s">
        <v>6</v>
      </c>
      <c r="AF17" s="25" t="s">
        <v>6</v>
      </c>
      <c r="AJ17" s="114" t="s">
        <v>4</v>
      </c>
      <c r="AK17" s="114" t="s">
        <v>4</v>
      </c>
    </row>
    <row r="18" spans="1:37" x14ac:dyDescent="0.35">
      <c r="A18" s="165" t="s">
        <v>43</v>
      </c>
      <c r="B18" s="19" t="s">
        <v>42</v>
      </c>
      <c r="C18" s="25" t="s">
        <v>3</v>
      </c>
      <c r="D18" s="25" t="s">
        <v>6</v>
      </c>
      <c r="E18" s="25" t="s">
        <v>6</v>
      </c>
      <c r="F18" s="25" t="s">
        <v>6</v>
      </c>
      <c r="G18" s="25" t="s">
        <v>6</v>
      </c>
      <c r="H18" s="114" t="s">
        <v>4</v>
      </c>
      <c r="I18" s="114" t="s">
        <v>4</v>
      </c>
      <c r="J18" s="25" t="s">
        <v>6</v>
      </c>
      <c r="K18" s="25" t="s">
        <v>6</v>
      </c>
      <c r="L18" s="25" t="s">
        <v>6</v>
      </c>
      <c r="M18" s="25" t="s">
        <v>6</v>
      </c>
      <c r="N18" s="25" t="s">
        <v>6</v>
      </c>
      <c r="O18" s="114" t="s">
        <v>4</v>
      </c>
      <c r="P18" s="25" t="s">
        <v>3</v>
      </c>
      <c r="Q18" s="25" t="s">
        <v>6</v>
      </c>
      <c r="R18" s="25" t="s">
        <v>6</v>
      </c>
      <c r="S18" s="25" t="s">
        <v>6</v>
      </c>
      <c r="T18" s="25" t="s">
        <v>6</v>
      </c>
      <c r="U18" s="116" t="s">
        <v>2</v>
      </c>
      <c r="V18" s="114" t="s">
        <v>4</v>
      </c>
      <c r="W18" s="25" t="s">
        <v>3</v>
      </c>
      <c r="X18" s="25" t="s">
        <v>6</v>
      </c>
      <c r="Y18" s="25" t="s">
        <v>3</v>
      </c>
      <c r="Z18" s="25" t="s">
        <v>6</v>
      </c>
      <c r="AA18" s="25" t="s">
        <v>6</v>
      </c>
      <c r="AB18" s="122" t="s">
        <v>5</v>
      </c>
      <c r="AC18" s="122" t="s">
        <v>5</v>
      </c>
      <c r="AD18" s="122" t="s">
        <v>5</v>
      </c>
      <c r="AE18" s="122" t="s">
        <v>5</v>
      </c>
      <c r="AF18" s="122" t="s">
        <v>5</v>
      </c>
      <c r="AJ18" s="114" t="s">
        <v>4</v>
      </c>
      <c r="AK18" s="114" t="s">
        <v>4</v>
      </c>
    </row>
    <row r="19" spans="1:37" x14ac:dyDescent="0.35">
      <c r="A19" s="141" t="s">
        <v>68</v>
      </c>
      <c r="B19" s="122" t="s">
        <v>5</v>
      </c>
      <c r="C19" s="22" t="s">
        <v>30</v>
      </c>
      <c r="D19" s="25" t="s">
        <v>6</v>
      </c>
      <c r="E19" s="25" t="s">
        <v>6</v>
      </c>
      <c r="F19" s="25" t="s">
        <v>6</v>
      </c>
      <c r="G19" s="25" t="s">
        <v>6</v>
      </c>
      <c r="H19" s="25" t="s">
        <v>3</v>
      </c>
      <c r="I19" s="114" t="s">
        <v>4</v>
      </c>
      <c r="J19" s="116" t="s">
        <v>2</v>
      </c>
      <c r="K19" s="25" t="s">
        <v>6</v>
      </c>
      <c r="L19" s="25" t="s">
        <v>6</v>
      </c>
      <c r="M19" s="25" t="s">
        <v>6</v>
      </c>
      <c r="N19" s="25" t="s">
        <v>6</v>
      </c>
      <c r="O19" s="25" t="s">
        <v>3</v>
      </c>
      <c r="P19" s="114" t="s">
        <v>4</v>
      </c>
      <c r="Q19" s="116" t="s">
        <v>2</v>
      </c>
      <c r="R19" s="116" t="s">
        <v>2</v>
      </c>
      <c r="S19" s="25" t="s">
        <v>6</v>
      </c>
      <c r="T19" s="25" t="s">
        <v>6</v>
      </c>
      <c r="U19" s="25" t="s">
        <v>6</v>
      </c>
      <c r="V19" s="25" t="s">
        <v>3</v>
      </c>
      <c r="W19" s="114" t="s">
        <v>4</v>
      </c>
      <c r="X19" s="25" t="s">
        <v>6</v>
      </c>
      <c r="Y19" s="25" t="s">
        <v>3</v>
      </c>
      <c r="Z19" s="25" t="s">
        <v>6</v>
      </c>
      <c r="AA19" s="25" t="s">
        <v>6</v>
      </c>
      <c r="AB19" s="25" t="s">
        <v>6</v>
      </c>
      <c r="AC19" s="25" t="s">
        <v>3</v>
      </c>
      <c r="AD19" s="114" t="s">
        <v>4</v>
      </c>
      <c r="AE19" s="25" t="s">
        <v>6</v>
      </c>
      <c r="AF19" s="25" t="s">
        <v>6</v>
      </c>
      <c r="AJ19" s="114" t="s">
        <v>4</v>
      </c>
      <c r="AK19" s="114" t="s">
        <v>4</v>
      </c>
    </row>
    <row r="20" spans="1:37" x14ac:dyDescent="0.35">
      <c r="A20" s="141" t="s">
        <v>60</v>
      </c>
      <c r="B20" s="25" t="s">
        <v>3</v>
      </c>
      <c r="C20" s="25" t="s">
        <v>3</v>
      </c>
      <c r="D20" s="25" t="s">
        <v>6</v>
      </c>
      <c r="E20" s="116" t="s">
        <v>2</v>
      </c>
      <c r="F20" s="25" t="s">
        <v>6</v>
      </c>
      <c r="G20" s="25" t="s">
        <v>6</v>
      </c>
      <c r="H20" s="22" t="s">
        <v>30</v>
      </c>
      <c r="I20" s="114" t="s">
        <v>4</v>
      </c>
      <c r="J20" s="25" t="s">
        <v>6</v>
      </c>
      <c r="K20" s="25" t="s">
        <v>6</v>
      </c>
      <c r="L20" s="116" t="s">
        <v>2</v>
      </c>
      <c r="M20" s="25" t="s">
        <v>6</v>
      </c>
      <c r="N20" s="25" t="s">
        <v>6</v>
      </c>
      <c r="O20" s="114" t="s">
        <v>4</v>
      </c>
      <c r="P20" s="114" t="s">
        <v>4</v>
      </c>
      <c r="Q20" s="25" t="s">
        <v>6</v>
      </c>
      <c r="R20" s="25" t="s">
        <v>6</v>
      </c>
      <c r="S20" s="116" t="s">
        <v>2</v>
      </c>
      <c r="T20" s="25" t="s">
        <v>6</v>
      </c>
      <c r="U20" s="25" t="s">
        <v>6</v>
      </c>
      <c r="V20" s="114" t="s">
        <v>4</v>
      </c>
      <c r="W20" s="25" t="s">
        <v>3</v>
      </c>
      <c r="X20" s="25" t="s">
        <v>6</v>
      </c>
      <c r="Y20" s="25" t="s">
        <v>3</v>
      </c>
      <c r="Z20" s="116" t="s">
        <v>2</v>
      </c>
      <c r="AA20" s="25" t="s">
        <v>6</v>
      </c>
      <c r="AB20" s="25" t="s">
        <v>6</v>
      </c>
      <c r="AC20" s="114" t="s">
        <v>4</v>
      </c>
      <c r="AD20" s="25" t="s">
        <v>3</v>
      </c>
      <c r="AE20" s="25" t="s">
        <v>6</v>
      </c>
      <c r="AF20" s="25" t="s">
        <v>6</v>
      </c>
      <c r="AJ20" s="114" t="s">
        <v>4</v>
      </c>
      <c r="AK20" s="114" t="s">
        <v>4</v>
      </c>
    </row>
    <row r="21" spans="1:37" x14ac:dyDescent="0.35">
      <c r="A21" s="173" t="s">
        <v>153</v>
      </c>
      <c r="B21" s="114" t="s">
        <v>4</v>
      </c>
      <c r="C21" s="115" t="s">
        <v>37</v>
      </c>
      <c r="D21" s="25" t="s">
        <v>6</v>
      </c>
      <c r="E21" s="25" t="s">
        <v>6</v>
      </c>
      <c r="F21" s="25" t="s">
        <v>6</v>
      </c>
      <c r="G21" s="25" t="s">
        <v>6</v>
      </c>
      <c r="H21" s="114" t="s">
        <v>4</v>
      </c>
      <c r="I21" s="114" t="s">
        <v>4</v>
      </c>
      <c r="J21" s="25" t="s">
        <v>6</v>
      </c>
      <c r="K21" s="25" t="s">
        <v>6</v>
      </c>
      <c r="L21" s="25" t="s">
        <v>6</v>
      </c>
      <c r="M21" s="25" t="s">
        <v>6</v>
      </c>
      <c r="N21" s="25" t="s">
        <v>6</v>
      </c>
      <c r="O21" s="114" t="s">
        <v>4</v>
      </c>
      <c r="P21" s="25" t="s">
        <v>3</v>
      </c>
      <c r="Q21" s="25" t="s">
        <v>6</v>
      </c>
      <c r="R21" s="25" t="s">
        <v>6</v>
      </c>
      <c r="S21" s="25" t="s">
        <v>6</v>
      </c>
      <c r="T21" s="25" t="s">
        <v>6</v>
      </c>
      <c r="U21" s="25" t="s">
        <v>6</v>
      </c>
      <c r="V21" s="114" t="s">
        <v>4</v>
      </c>
      <c r="W21" s="114" t="s">
        <v>4</v>
      </c>
      <c r="X21" s="122" t="s">
        <v>5</v>
      </c>
      <c r="Y21" s="115" t="s">
        <v>37</v>
      </c>
      <c r="Z21" s="25" t="s">
        <v>6</v>
      </c>
      <c r="AA21" s="25" t="s">
        <v>6</v>
      </c>
      <c r="AB21" s="25" t="s">
        <v>6</v>
      </c>
      <c r="AC21" s="114" t="s">
        <v>4</v>
      </c>
      <c r="AD21" s="114" t="s">
        <v>4</v>
      </c>
      <c r="AE21" s="25" t="s">
        <v>6</v>
      </c>
      <c r="AF21" s="25" t="s">
        <v>6</v>
      </c>
      <c r="AJ21" s="114" t="s">
        <v>4</v>
      </c>
      <c r="AK21" s="114" t="s">
        <v>4</v>
      </c>
    </row>
    <row r="23" spans="1:37" x14ac:dyDescent="0.35">
      <c r="A23" s="128" t="s">
        <v>125</v>
      </c>
      <c r="B23">
        <f t="shared" ref="B23:AD23" si="1">COUNTIF(B4:B21,"*MS")</f>
        <v>2</v>
      </c>
      <c r="C23">
        <f t="shared" si="1"/>
        <v>3</v>
      </c>
      <c r="D23">
        <f t="shared" si="1"/>
        <v>4</v>
      </c>
      <c r="E23">
        <f t="shared" si="1"/>
        <v>3</v>
      </c>
      <c r="F23">
        <f t="shared" si="1"/>
        <v>4</v>
      </c>
      <c r="G23">
        <f t="shared" si="1"/>
        <v>4</v>
      </c>
      <c r="H23">
        <f t="shared" si="1"/>
        <v>2</v>
      </c>
      <c r="I23">
        <f t="shared" si="1"/>
        <v>2</v>
      </c>
      <c r="J23">
        <f t="shared" si="1"/>
        <v>3</v>
      </c>
      <c r="K23">
        <f t="shared" si="1"/>
        <v>4</v>
      </c>
      <c r="L23">
        <f t="shared" si="1"/>
        <v>3</v>
      </c>
      <c r="M23">
        <f t="shared" si="1"/>
        <v>4</v>
      </c>
      <c r="N23">
        <f t="shared" si="1"/>
        <v>4</v>
      </c>
      <c r="O23">
        <f t="shared" si="1"/>
        <v>2</v>
      </c>
      <c r="P23">
        <f>COUNTIF(P4:P21,"*MS")</f>
        <v>2</v>
      </c>
      <c r="Q23">
        <f t="shared" si="1"/>
        <v>4</v>
      </c>
      <c r="R23">
        <f t="shared" si="1"/>
        <v>4</v>
      </c>
      <c r="S23">
        <f t="shared" si="1"/>
        <v>4</v>
      </c>
      <c r="T23">
        <f t="shared" si="1"/>
        <v>4</v>
      </c>
      <c r="U23">
        <f t="shared" si="1"/>
        <v>4</v>
      </c>
      <c r="V23">
        <f t="shared" si="1"/>
        <v>2</v>
      </c>
      <c r="W23">
        <f t="shared" si="1"/>
        <v>2</v>
      </c>
      <c r="X23">
        <f t="shared" si="1"/>
        <v>3</v>
      </c>
      <c r="Y23">
        <f t="shared" si="1"/>
        <v>3</v>
      </c>
      <c r="Z23">
        <f t="shared" si="1"/>
        <v>3</v>
      </c>
      <c r="AA23">
        <f t="shared" si="1"/>
        <v>4</v>
      </c>
      <c r="AB23">
        <f t="shared" si="1"/>
        <v>4</v>
      </c>
      <c r="AC23">
        <f t="shared" si="1"/>
        <v>2</v>
      </c>
      <c r="AD23">
        <f t="shared" si="1"/>
        <v>2</v>
      </c>
      <c r="AE23">
        <f t="shared" ref="AE23:AF23" si="2">COUNTIF(AE4:AE21,"*MS")</f>
        <v>4</v>
      </c>
      <c r="AF23">
        <f t="shared" si="2"/>
        <v>4</v>
      </c>
    </row>
    <row r="24" spans="1:37" x14ac:dyDescent="0.35">
      <c r="A24" s="128" t="s">
        <v>126</v>
      </c>
      <c r="B24">
        <f t="shared" ref="B24:AD24" si="3">COUNTIF(B4:B21,"*ASS1")</f>
        <v>2</v>
      </c>
      <c r="C24">
        <f t="shared" si="3"/>
        <v>3</v>
      </c>
      <c r="D24">
        <f t="shared" si="3"/>
        <v>4</v>
      </c>
      <c r="E24">
        <f t="shared" si="3"/>
        <v>4</v>
      </c>
      <c r="F24">
        <f t="shared" si="3"/>
        <v>4</v>
      </c>
      <c r="G24">
        <f t="shared" si="3"/>
        <v>4</v>
      </c>
      <c r="H24">
        <f t="shared" si="3"/>
        <v>2</v>
      </c>
      <c r="I24">
        <f t="shared" si="3"/>
        <v>2</v>
      </c>
      <c r="J24">
        <f t="shared" si="3"/>
        <v>5</v>
      </c>
      <c r="K24">
        <f t="shared" si="3"/>
        <v>4</v>
      </c>
      <c r="L24">
        <f t="shared" si="3"/>
        <v>4</v>
      </c>
      <c r="M24">
        <f t="shared" si="3"/>
        <v>4</v>
      </c>
      <c r="N24">
        <f t="shared" si="3"/>
        <v>4</v>
      </c>
      <c r="O24">
        <f t="shared" si="3"/>
        <v>2</v>
      </c>
      <c r="P24">
        <f>COUNTIF(P4:P21,"*ASS1")</f>
        <v>2</v>
      </c>
      <c r="Q24">
        <f t="shared" si="3"/>
        <v>4</v>
      </c>
      <c r="R24">
        <f t="shared" si="3"/>
        <v>4</v>
      </c>
      <c r="S24">
        <f t="shared" si="3"/>
        <v>5</v>
      </c>
      <c r="T24">
        <f t="shared" si="3"/>
        <v>5</v>
      </c>
      <c r="U24">
        <f t="shared" si="3"/>
        <v>4</v>
      </c>
      <c r="V24">
        <f t="shared" si="3"/>
        <v>2</v>
      </c>
      <c r="W24">
        <f t="shared" si="3"/>
        <v>2</v>
      </c>
      <c r="X24">
        <f t="shared" si="3"/>
        <v>4</v>
      </c>
      <c r="Y24">
        <f t="shared" si="3"/>
        <v>3</v>
      </c>
      <c r="Z24">
        <f t="shared" si="3"/>
        <v>5</v>
      </c>
      <c r="AA24">
        <f t="shared" si="3"/>
        <v>4</v>
      </c>
      <c r="AB24">
        <f t="shared" si="3"/>
        <v>4</v>
      </c>
      <c r="AC24">
        <f t="shared" si="3"/>
        <v>2</v>
      </c>
      <c r="AD24">
        <f t="shared" si="3"/>
        <v>2</v>
      </c>
      <c r="AE24">
        <f t="shared" ref="AE24:AF24" si="4">COUNTIF(AE4:AE21,"*ASS1")</f>
        <v>4</v>
      </c>
      <c r="AF24">
        <f t="shared" si="4"/>
        <v>4</v>
      </c>
    </row>
    <row r="25" spans="1:37" x14ac:dyDescent="0.35">
      <c r="A25" s="128" t="s">
        <v>127</v>
      </c>
      <c r="B25">
        <f t="shared" ref="B25:AD25" si="5">COUNTIF(B4:B21,"*NST7")</f>
        <v>3</v>
      </c>
      <c r="C25">
        <f t="shared" si="5"/>
        <v>3</v>
      </c>
      <c r="D25">
        <f t="shared" si="5"/>
        <v>4</v>
      </c>
      <c r="E25">
        <f t="shared" si="5"/>
        <v>3</v>
      </c>
      <c r="F25">
        <f t="shared" si="5"/>
        <v>3</v>
      </c>
      <c r="G25">
        <f t="shared" si="5"/>
        <v>4</v>
      </c>
      <c r="H25">
        <f t="shared" si="5"/>
        <v>3</v>
      </c>
      <c r="I25">
        <f t="shared" si="5"/>
        <v>2</v>
      </c>
      <c r="J25">
        <f t="shared" si="5"/>
        <v>4</v>
      </c>
      <c r="K25">
        <f t="shared" si="5"/>
        <v>4</v>
      </c>
      <c r="L25">
        <f t="shared" si="5"/>
        <v>4</v>
      </c>
      <c r="M25">
        <f t="shared" si="5"/>
        <v>4</v>
      </c>
      <c r="N25">
        <f t="shared" si="5"/>
        <v>3</v>
      </c>
      <c r="O25">
        <f t="shared" si="5"/>
        <v>3</v>
      </c>
      <c r="P25">
        <f>COUNTIF(P4:P21,"*NST7")</f>
        <v>2</v>
      </c>
      <c r="Q25">
        <f t="shared" si="5"/>
        <v>4</v>
      </c>
      <c r="R25">
        <f t="shared" si="5"/>
        <v>4</v>
      </c>
      <c r="S25">
        <f t="shared" si="5"/>
        <v>4</v>
      </c>
      <c r="T25">
        <f t="shared" si="5"/>
        <v>3</v>
      </c>
      <c r="U25">
        <f t="shared" si="5"/>
        <v>4</v>
      </c>
      <c r="V25">
        <f t="shared" si="5"/>
        <v>3</v>
      </c>
      <c r="W25">
        <f t="shared" si="5"/>
        <v>2</v>
      </c>
      <c r="X25">
        <f t="shared" si="5"/>
        <v>3</v>
      </c>
      <c r="Y25">
        <f t="shared" si="5"/>
        <v>3</v>
      </c>
      <c r="Z25">
        <f t="shared" si="5"/>
        <v>3</v>
      </c>
      <c r="AA25">
        <f t="shared" si="5"/>
        <v>3</v>
      </c>
      <c r="AB25">
        <f t="shared" si="5"/>
        <v>3</v>
      </c>
      <c r="AC25">
        <f t="shared" si="5"/>
        <v>3</v>
      </c>
      <c r="AD25">
        <f t="shared" si="5"/>
        <v>2</v>
      </c>
      <c r="AE25">
        <f t="shared" ref="AE25:AF25" si="6">COUNTIF(AE4:AE21,"*NST7")</f>
        <v>4</v>
      </c>
      <c r="AF25">
        <f t="shared" si="6"/>
        <v>2</v>
      </c>
    </row>
    <row r="26" spans="1:37" x14ac:dyDescent="0.35">
      <c r="A26" s="128" t="s">
        <v>128</v>
      </c>
      <c r="B26">
        <f t="shared" ref="B26:AD26" si="7">COUNTIF(B4:B21,"*GS")</f>
        <v>0</v>
      </c>
      <c r="C26">
        <f t="shared" si="7"/>
        <v>1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7"/>
        <v>1</v>
      </c>
      <c r="I26">
        <f t="shared" si="7"/>
        <v>0</v>
      </c>
      <c r="J26">
        <f t="shared" si="7"/>
        <v>0</v>
      </c>
      <c r="K26">
        <f t="shared" si="7"/>
        <v>0</v>
      </c>
      <c r="L26">
        <f t="shared" si="7"/>
        <v>0</v>
      </c>
      <c r="M26">
        <f t="shared" si="7"/>
        <v>0</v>
      </c>
      <c r="N26">
        <f t="shared" si="7"/>
        <v>0</v>
      </c>
      <c r="O26">
        <f t="shared" si="7"/>
        <v>1</v>
      </c>
      <c r="P26">
        <f>COUNTIF(P4:P21,"*GS")</f>
        <v>0</v>
      </c>
      <c r="Q26">
        <f t="shared" si="7"/>
        <v>0</v>
      </c>
      <c r="R26">
        <f t="shared" si="7"/>
        <v>0</v>
      </c>
      <c r="S26">
        <f t="shared" si="7"/>
        <v>0</v>
      </c>
      <c r="T26">
        <f t="shared" si="7"/>
        <v>0</v>
      </c>
      <c r="U26">
        <f t="shared" si="7"/>
        <v>0</v>
      </c>
      <c r="V26">
        <f t="shared" si="7"/>
        <v>1</v>
      </c>
      <c r="W26">
        <f t="shared" si="7"/>
        <v>0</v>
      </c>
      <c r="X26">
        <f t="shared" si="7"/>
        <v>0</v>
      </c>
      <c r="Y26">
        <f t="shared" si="7"/>
        <v>0</v>
      </c>
      <c r="Z26">
        <f t="shared" si="7"/>
        <v>0</v>
      </c>
      <c r="AA26">
        <f t="shared" si="7"/>
        <v>0</v>
      </c>
      <c r="AB26">
        <f t="shared" si="7"/>
        <v>0</v>
      </c>
      <c r="AC26">
        <f t="shared" si="7"/>
        <v>1</v>
      </c>
      <c r="AD26">
        <f t="shared" si="7"/>
        <v>0</v>
      </c>
      <c r="AE26">
        <f t="shared" ref="AE26:AF26" si="8">COUNTIF(AE4:AE21,"*GS")</f>
        <v>0</v>
      </c>
      <c r="AF26">
        <f t="shared" si="8"/>
        <v>0</v>
      </c>
    </row>
    <row r="27" spans="1:37" x14ac:dyDescent="0.35">
      <c r="A27" s="128" t="s">
        <v>129</v>
      </c>
      <c r="B27">
        <f>COUNTIF(B4:B21,"WO")</f>
        <v>8</v>
      </c>
      <c r="C27">
        <f>COUNTIF(C4:C21,"C")</f>
        <v>0</v>
      </c>
      <c r="D27">
        <f>COUNTIF(D4:D21,"C")</f>
        <v>2</v>
      </c>
      <c r="E27">
        <f>COUNTIF(E4:E21,"C")</f>
        <v>4</v>
      </c>
      <c r="F27">
        <f>COUNTIF(F4:F21,"C")</f>
        <v>3</v>
      </c>
      <c r="G27">
        <f>COUNTIF(G4:G21,"C")</f>
        <v>3</v>
      </c>
      <c r="H27">
        <f>COUNTIF(H4:H21,"WO")</f>
        <v>8</v>
      </c>
      <c r="I27">
        <f>COUNTIF(I4:I21,"WO")</f>
        <v>10</v>
      </c>
      <c r="J27">
        <f>COUNTIF(J4:J21,"C")</f>
        <v>3</v>
      </c>
      <c r="K27">
        <f>COUNTIF(K4:K21,"C")</f>
        <v>2</v>
      </c>
      <c r="L27">
        <f>COUNTIF(L4:L21,"C")</f>
        <v>3</v>
      </c>
      <c r="M27">
        <f>COUNTIF(M4:M21,"C")</f>
        <v>1</v>
      </c>
      <c r="N27">
        <f>COUNTIF(N4:N21,"C")</f>
        <v>3</v>
      </c>
      <c r="O27">
        <f>COUNTIF(O4:O21,"WO")</f>
        <v>8</v>
      </c>
      <c r="P27">
        <f>COUNTIF(P4:P21,"WO")</f>
        <v>9</v>
      </c>
      <c r="Q27">
        <f>COUNTIF(Q4:Q21,"C")</f>
        <v>3</v>
      </c>
      <c r="R27">
        <f>COUNTIF(R4:R21,"C")</f>
        <v>3</v>
      </c>
      <c r="S27">
        <f>COUNTIF(S4:S21,"C")</f>
        <v>3</v>
      </c>
      <c r="T27">
        <f>COUNTIF(T4:T21,"C")</f>
        <v>4</v>
      </c>
      <c r="U27">
        <f>COUNTIF(U4:U21,"C")</f>
        <v>2</v>
      </c>
      <c r="V27">
        <f>COUNTIF(V4:V21,"WO")</f>
        <v>7</v>
      </c>
      <c r="W27">
        <f>COUNTIF(W4:W21,"WO")</f>
        <v>9</v>
      </c>
      <c r="X27">
        <f>COUNTIF(X4:X21,"C")</f>
        <v>2</v>
      </c>
      <c r="Y27">
        <f>COUNTIF(Y4:Y21,"C")</f>
        <v>0</v>
      </c>
      <c r="Z27">
        <f>COUNTIF(Z4:Z21,"C")</f>
        <v>2</v>
      </c>
      <c r="AA27">
        <f>COUNTIF(AA4:AA21,"C")</f>
        <v>3</v>
      </c>
      <c r="AB27">
        <f>COUNTIF(AB4:AB21,"C")</f>
        <v>1</v>
      </c>
      <c r="AC27">
        <f>COUNTIF(AC4:AC21,"WO")</f>
        <v>6</v>
      </c>
      <c r="AD27">
        <f>COUNTIF(AD4:AD21,"WO")</f>
        <v>8</v>
      </c>
      <c r="AE27">
        <f>COUNTIF(AE4:AE21,"C")</f>
        <v>3</v>
      </c>
      <c r="AF27">
        <f>COUNTIF(AF4:AF21,"C")</f>
        <v>5</v>
      </c>
    </row>
    <row r="28" spans="1:37" x14ac:dyDescent="0.35">
      <c r="A28" s="128" t="s">
        <v>130</v>
      </c>
      <c r="B28">
        <f t="shared" ref="B28:AD28" si="9">COUNTIF(B4:B21,"PL")</f>
        <v>1</v>
      </c>
      <c r="C28">
        <f t="shared" si="9"/>
        <v>0</v>
      </c>
      <c r="D28">
        <f t="shared" si="9"/>
        <v>2</v>
      </c>
      <c r="E28">
        <f t="shared" si="9"/>
        <v>2</v>
      </c>
      <c r="F28">
        <f t="shared" si="9"/>
        <v>2</v>
      </c>
      <c r="G28">
        <f t="shared" si="9"/>
        <v>1</v>
      </c>
      <c r="H28">
        <f t="shared" si="9"/>
        <v>0</v>
      </c>
      <c r="I28">
        <f t="shared" si="9"/>
        <v>0</v>
      </c>
      <c r="J28">
        <f t="shared" si="9"/>
        <v>1</v>
      </c>
      <c r="K28">
        <f t="shared" si="9"/>
        <v>2</v>
      </c>
      <c r="L28">
        <f t="shared" si="9"/>
        <v>2</v>
      </c>
      <c r="M28">
        <f t="shared" si="9"/>
        <v>3</v>
      </c>
      <c r="N28">
        <f t="shared" si="9"/>
        <v>2</v>
      </c>
      <c r="O28">
        <f t="shared" si="9"/>
        <v>0</v>
      </c>
      <c r="P28">
        <f>COUNTIF(P4:P21,"PL")</f>
        <v>1</v>
      </c>
      <c r="Q28">
        <f t="shared" si="9"/>
        <v>1</v>
      </c>
      <c r="R28">
        <f t="shared" si="9"/>
        <v>1</v>
      </c>
      <c r="S28">
        <f t="shared" si="9"/>
        <v>0</v>
      </c>
      <c r="T28">
        <f t="shared" si="9"/>
        <v>0</v>
      </c>
      <c r="U28">
        <f t="shared" si="9"/>
        <v>2</v>
      </c>
      <c r="V28">
        <f t="shared" si="9"/>
        <v>1</v>
      </c>
      <c r="W28">
        <f t="shared" si="9"/>
        <v>1</v>
      </c>
      <c r="X28">
        <f t="shared" si="9"/>
        <v>4</v>
      </c>
      <c r="Y28">
        <f t="shared" si="9"/>
        <v>3</v>
      </c>
      <c r="Z28">
        <f t="shared" si="9"/>
        <v>3</v>
      </c>
      <c r="AA28">
        <f t="shared" si="9"/>
        <v>2</v>
      </c>
      <c r="AB28">
        <f t="shared" si="9"/>
        <v>4</v>
      </c>
      <c r="AC28">
        <f t="shared" si="9"/>
        <v>2</v>
      </c>
      <c r="AD28">
        <f t="shared" si="9"/>
        <v>2</v>
      </c>
      <c r="AE28">
        <f t="shared" ref="AE28:AF28" si="10">COUNTIF(AE4:AE21,"PL")</f>
        <v>1</v>
      </c>
      <c r="AF28">
        <f t="shared" si="10"/>
        <v>1</v>
      </c>
    </row>
    <row r="29" spans="1:37" x14ac:dyDescent="0.35">
      <c r="A29" s="128" t="s">
        <v>33</v>
      </c>
      <c r="B29">
        <f t="shared" ref="B29:AD29" si="11">COUNTIF(B4:B21,"UPL")</f>
        <v>0</v>
      </c>
      <c r="C29">
        <f t="shared" si="11"/>
        <v>0</v>
      </c>
      <c r="D29">
        <f t="shared" si="11"/>
        <v>0</v>
      </c>
      <c r="E29">
        <f t="shared" si="11"/>
        <v>0</v>
      </c>
      <c r="F29">
        <f t="shared" si="11"/>
        <v>0</v>
      </c>
      <c r="G29">
        <f t="shared" si="11"/>
        <v>0</v>
      </c>
      <c r="H29">
        <f t="shared" si="11"/>
        <v>0</v>
      </c>
      <c r="I29">
        <f t="shared" si="11"/>
        <v>0</v>
      </c>
      <c r="J29">
        <f t="shared" si="11"/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>COUNTIF(P4:P21,"UPL")</f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ref="AE29:AF29" si="12">COUNTIF(AE4:AE21,"UPL")</f>
        <v>0</v>
      </c>
      <c r="AF29">
        <f t="shared" si="12"/>
        <v>0</v>
      </c>
    </row>
    <row r="30" spans="1:37" x14ac:dyDescent="0.35">
      <c r="A30" s="128" t="s">
        <v>141</v>
      </c>
      <c r="B30">
        <f t="shared" ref="B30:AD30" si="13">COUNTIF(B4:B21,"H")</f>
        <v>0</v>
      </c>
      <c r="C30">
        <f t="shared" si="13"/>
        <v>6</v>
      </c>
      <c r="D30">
        <f t="shared" si="13"/>
        <v>0</v>
      </c>
      <c r="E30">
        <f t="shared" si="13"/>
        <v>0</v>
      </c>
      <c r="F30">
        <f t="shared" si="13"/>
        <v>0</v>
      </c>
      <c r="G30">
        <f t="shared" si="13"/>
        <v>0</v>
      </c>
      <c r="H30">
        <f t="shared" si="13"/>
        <v>0</v>
      </c>
      <c r="I30">
        <f t="shared" si="13"/>
        <v>0</v>
      </c>
      <c r="J30">
        <f t="shared" si="13"/>
        <v>0</v>
      </c>
      <c r="K30">
        <f t="shared" si="13"/>
        <v>0</v>
      </c>
      <c r="L30">
        <f t="shared" si="13"/>
        <v>0</v>
      </c>
      <c r="M30">
        <f t="shared" si="13"/>
        <v>0</v>
      </c>
      <c r="N30">
        <f t="shared" si="13"/>
        <v>0</v>
      </c>
      <c r="O30">
        <f t="shared" si="13"/>
        <v>0</v>
      </c>
      <c r="P30">
        <f>COUNTIF(P4:P21,"H")</f>
        <v>0</v>
      </c>
      <c r="Q30">
        <f t="shared" si="13"/>
        <v>0</v>
      </c>
      <c r="R30">
        <f t="shared" si="13"/>
        <v>0</v>
      </c>
      <c r="S30">
        <f t="shared" si="13"/>
        <v>0</v>
      </c>
      <c r="T30">
        <f t="shared" si="13"/>
        <v>0</v>
      </c>
      <c r="U30">
        <f t="shared" si="13"/>
        <v>0</v>
      </c>
      <c r="V30">
        <f t="shared" si="13"/>
        <v>0</v>
      </c>
      <c r="W30">
        <f t="shared" si="13"/>
        <v>0</v>
      </c>
      <c r="X30">
        <f t="shared" si="13"/>
        <v>0</v>
      </c>
      <c r="Y30">
        <f t="shared" si="13"/>
        <v>4</v>
      </c>
      <c r="Z30">
        <f t="shared" si="13"/>
        <v>0</v>
      </c>
      <c r="AA30">
        <f t="shared" si="13"/>
        <v>0</v>
      </c>
      <c r="AB30">
        <f t="shared" si="13"/>
        <v>0</v>
      </c>
      <c r="AC30">
        <f t="shared" si="13"/>
        <v>0</v>
      </c>
      <c r="AD30">
        <f t="shared" si="13"/>
        <v>0</v>
      </c>
      <c r="AE30">
        <f t="shared" ref="AE30:AF30" si="14">COUNTIF(AE4:AE21,"H")</f>
        <v>0</v>
      </c>
      <c r="AF30">
        <f t="shared" si="14"/>
        <v>0</v>
      </c>
    </row>
    <row r="31" spans="1:37" x14ac:dyDescent="0.35">
      <c r="A31" s="128" t="s">
        <v>131</v>
      </c>
      <c r="B31" s="129">
        <f t="shared" ref="B31:AD31" si="15">SUM(B23:B30)</f>
        <v>16</v>
      </c>
      <c r="C31" s="129">
        <f t="shared" si="15"/>
        <v>16</v>
      </c>
      <c r="D31" s="129">
        <f t="shared" si="15"/>
        <v>16</v>
      </c>
      <c r="E31" s="129">
        <f t="shared" si="15"/>
        <v>16</v>
      </c>
      <c r="F31" s="129">
        <f t="shared" si="15"/>
        <v>16</v>
      </c>
      <c r="G31" s="129">
        <f t="shared" si="15"/>
        <v>16</v>
      </c>
      <c r="H31" s="129">
        <f t="shared" si="15"/>
        <v>16</v>
      </c>
      <c r="I31" s="129">
        <f t="shared" si="15"/>
        <v>16</v>
      </c>
      <c r="J31" s="129">
        <f t="shared" si="15"/>
        <v>16</v>
      </c>
      <c r="K31" s="129">
        <f t="shared" si="15"/>
        <v>16</v>
      </c>
      <c r="L31" s="129">
        <f t="shared" si="15"/>
        <v>16</v>
      </c>
      <c r="M31" s="129">
        <f t="shared" si="15"/>
        <v>16</v>
      </c>
      <c r="N31" s="129">
        <f t="shared" si="15"/>
        <v>16</v>
      </c>
      <c r="O31" s="129">
        <f t="shared" si="15"/>
        <v>16</v>
      </c>
      <c r="P31" s="129">
        <f t="shared" si="15"/>
        <v>16</v>
      </c>
      <c r="Q31" s="129">
        <f t="shared" si="15"/>
        <v>16</v>
      </c>
      <c r="R31" s="129">
        <f t="shared" si="15"/>
        <v>16</v>
      </c>
      <c r="S31" s="129">
        <f t="shared" si="15"/>
        <v>16</v>
      </c>
      <c r="T31" s="129">
        <f t="shared" si="15"/>
        <v>16</v>
      </c>
      <c r="U31" s="129">
        <f t="shared" si="15"/>
        <v>16</v>
      </c>
      <c r="V31" s="129">
        <f t="shared" si="15"/>
        <v>16</v>
      </c>
      <c r="W31" s="129">
        <f t="shared" si="15"/>
        <v>16</v>
      </c>
      <c r="X31" s="129">
        <f t="shared" si="15"/>
        <v>16</v>
      </c>
      <c r="Y31" s="129">
        <f t="shared" si="15"/>
        <v>16</v>
      </c>
      <c r="Z31" s="129">
        <f t="shared" si="15"/>
        <v>16</v>
      </c>
      <c r="AA31" s="129">
        <f t="shared" si="15"/>
        <v>16</v>
      </c>
      <c r="AB31" s="129">
        <f t="shared" si="15"/>
        <v>16</v>
      </c>
      <c r="AC31" s="129">
        <f t="shared" si="15"/>
        <v>16</v>
      </c>
      <c r="AD31" s="129">
        <f t="shared" si="15"/>
        <v>16</v>
      </c>
      <c r="AE31" s="129">
        <f t="shared" ref="AE31:AF31" si="16">SUM(AE23:AE30)</f>
        <v>16</v>
      </c>
      <c r="AF31" s="129">
        <f t="shared" si="16"/>
        <v>16</v>
      </c>
    </row>
  </sheetData>
  <conditionalFormatting sqref="B23:AF26">
    <cfRule type="cellIs" dxfId="832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/>
  <dimension ref="A1:BJ31"/>
  <sheetViews>
    <sheetView zoomScale="60" zoomScaleNormal="60" workbookViewId="0">
      <pane xSplit="1" topLeftCell="C1" activePane="topRight" state="frozen"/>
      <selection pane="topRight" activeCell="R17" sqref="R17:W17"/>
    </sheetView>
  </sheetViews>
  <sheetFormatPr defaultRowHeight="14.5" x14ac:dyDescent="0.35"/>
  <cols>
    <col min="1" max="1" width="27" customWidth="1"/>
    <col min="2" max="20" width="8.7265625" customWidth="1"/>
    <col min="32" max="62" width="0" hidden="1" customWidth="1"/>
  </cols>
  <sheetData>
    <row r="1" spans="1:62" x14ac:dyDescent="0.35">
      <c r="A1" s="1"/>
      <c r="B1" s="2" t="str">
        <f t="shared" ref="B1:BI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  <c r="AI1" s="2" t="str">
        <f t="shared" si="0"/>
        <v>Mon</v>
      </c>
      <c r="AJ1" s="2" t="str">
        <f t="shared" si="0"/>
        <v>Tue</v>
      </c>
      <c r="AK1" s="2" t="str">
        <f t="shared" si="0"/>
        <v>Wed</v>
      </c>
      <c r="AL1" s="2" t="str">
        <f t="shared" si="0"/>
        <v>Thu</v>
      </c>
      <c r="AM1" s="2" t="str">
        <f t="shared" si="0"/>
        <v>Fri</v>
      </c>
      <c r="AN1" s="2" t="str">
        <f t="shared" si="0"/>
        <v>Sat</v>
      </c>
      <c r="AO1" s="2" t="str">
        <f t="shared" si="0"/>
        <v>Sun</v>
      </c>
      <c r="AP1" s="2" t="str">
        <f t="shared" si="0"/>
        <v>Mon</v>
      </c>
      <c r="AQ1" s="2" t="str">
        <f t="shared" si="0"/>
        <v>Tue</v>
      </c>
      <c r="AR1" s="2" t="str">
        <f t="shared" si="0"/>
        <v>Wed</v>
      </c>
      <c r="AS1" s="2" t="str">
        <f t="shared" si="0"/>
        <v>Thu</v>
      </c>
      <c r="AT1" s="2" t="str">
        <f t="shared" si="0"/>
        <v>Fri</v>
      </c>
      <c r="AU1" s="2" t="str">
        <f t="shared" si="0"/>
        <v>Sat</v>
      </c>
      <c r="AV1" s="2" t="str">
        <f t="shared" si="0"/>
        <v>Sun</v>
      </c>
      <c r="AW1" s="2" t="str">
        <f t="shared" si="0"/>
        <v>Mon</v>
      </c>
      <c r="AX1" s="2" t="str">
        <f t="shared" si="0"/>
        <v>Tue</v>
      </c>
      <c r="AY1" s="2" t="str">
        <f t="shared" si="0"/>
        <v>Wed</v>
      </c>
      <c r="AZ1" s="2" t="str">
        <f t="shared" si="0"/>
        <v>Thu</v>
      </c>
      <c r="BA1" s="2" t="str">
        <f t="shared" si="0"/>
        <v>Fri</v>
      </c>
      <c r="BB1" s="2" t="str">
        <f t="shared" si="0"/>
        <v>Sat</v>
      </c>
      <c r="BC1" s="2" t="str">
        <f t="shared" si="0"/>
        <v>Sun</v>
      </c>
      <c r="BD1" s="2" t="str">
        <f t="shared" si="0"/>
        <v>Mon</v>
      </c>
      <c r="BE1" s="2" t="str">
        <f t="shared" si="0"/>
        <v>Tue</v>
      </c>
      <c r="BF1" s="2" t="str">
        <f t="shared" si="0"/>
        <v>Wed</v>
      </c>
      <c r="BG1" s="2" t="str">
        <f t="shared" si="0"/>
        <v>Thu</v>
      </c>
      <c r="BH1" s="2" t="str">
        <f t="shared" si="0"/>
        <v>Fri</v>
      </c>
      <c r="BI1" s="2" t="str">
        <f t="shared" si="0"/>
        <v>Sat</v>
      </c>
      <c r="BJ1" s="2" t="str">
        <f t="shared" ref="BJ1" si="1">TEXT(BJ2,"ddd")</f>
        <v>Sun</v>
      </c>
    </row>
    <row r="2" spans="1:62" x14ac:dyDescent="0.35">
      <c r="A2" s="95" t="s">
        <v>0</v>
      </c>
      <c r="B2" s="29">
        <v>45231</v>
      </c>
      <c r="C2" s="29">
        <v>45232</v>
      </c>
      <c r="D2" s="29">
        <v>45233</v>
      </c>
      <c r="E2" s="29">
        <v>45234</v>
      </c>
      <c r="F2" s="29">
        <v>45235</v>
      </c>
      <c r="G2" s="29">
        <v>45236</v>
      </c>
      <c r="H2" s="29">
        <v>45237</v>
      </c>
      <c r="I2" s="29">
        <v>45238</v>
      </c>
      <c r="J2" s="29">
        <v>45239</v>
      </c>
      <c r="K2" s="29">
        <v>45240</v>
      </c>
      <c r="L2" s="29">
        <v>45241</v>
      </c>
      <c r="M2" s="29">
        <v>45242</v>
      </c>
      <c r="N2" s="29">
        <v>45243</v>
      </c>
      <c r="O2" s="29">
        <v>45244</v>
      </c>
      <c r="P2" s="29">
        <v>45245</v>
      </c>
      <c r="Q2" s="29">
        <v>45246</v>
      </c>
      <c r="R2" s="29">
        <v>45247</v>
      </c>
      <c r="S2" s="29">
        <v>45248</v>
      </c>
      <c r="T2" s="29">
        <v>45249</v>
      </c>
      <c r="U2" s="29">
        <v>45250</v>
      </c>
      <c r="V2" s="29">
        <v>45251</v>
      </c>
      <c r="W2" s="29">
        <v>45252</v>
      </c>
      <c r="X2" s="29">
        <v>45253</v>
      </c>
      <c r="Y2" s="29">
        <v>45254</v>
      </c>
      <c r="Z2" s="29">
        <v>45255</v>
      </c>
      <c r="AA2" s="29">
        <v>45256</v>
      </c>
      <c r="AB2" s="29">
        <v>45257</v>
      </c>
      <c r="AC2" s="29">
        <v>45258</v>
      </c>
      <c r="AD2" s="29">
        <v>45259</v>
      </c>
      <c r="AE2" s="29">
        <v>45260</v>
      </c>
      <c r="AF2" s="29">
        <v>45261</v>
      </c>
      <c r="AG2" s="29">
        <v>45262</v>
      </c>
      <c r="AH2" s="29">
        <v>45263</v>
      </c>
      <c r="AI2" s="29">
        <v>45264</v>
      </c>
      <c r="AJ2" s="29">
        <v>45265</v>
      </c>
      <c r="AK2" s="29">
        <v>45266</v>
      </c>
      <c r="AL2" s="29">
        <v>45267</v>
      </c>
      <c r="AM2" s="29">
        <v>45268</v>
      </c>
      <c r="AN2" s="29">
        <v>45269</v>
      </c>
      <c r="AO2" s="29">
        <v>45270</v>
      </c>
      <c r="AP2" s="29">
        <v>45271</v>
      </c>
      <c r="AQ2" s="29">
        <v>45272</v>
      </c>
      <c r="AR2" s="29">
        <v>45273</v>
      </c>
      <c r="AS2" s="29">
        <v>45274</v>
      </c>
      <c r="AT2" s="29">
        <v>45275</v>
      </c>
      <c r="AU2" s="29">
        <v>45276</v>
      </c>
      <c r="AV2" s="29">
        <v>45277</v>
      </c>
      <c r="AW2" s="29">
        <v>45278</v>
      </c>
      <c r="AX2" s="29">
        <v>45279</v>
      </c>
      <c r="AY2" s="29">
        <v>45280</v>
      </c>
      <c r="AZ2" s="29">
        <v>45281</v>
      </c>
      <c r="BA2" s="29">
        <v>45282</v>
      </c>
      <c r="BB2" s="29">
        <v>45283</v>
      </c>
      <c r="BC2" s="29">
        <v>45284</v>
      </c>
      <c r="BD2" s="29">
        <v>45285</v>
      </c>
      <c r="BE2" s="29">
        <v>45286</v>
      </c>
      <c r="BF2" s="29">
        <v>45287</v>
      </c>
      <c r="BG2" s="29">
        <v>45288</v>
      </c>
      <c r="BH2" s="29">
        <v>45289</v>
      </c>
      <c r="BI2" s="29">
        <v>45290</v>
      </c>
      <c r="BJ2" s="29">
        <v>45291</v>
      </c>
    </row>
    <row r="3" spans="1:62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</row>
    <row r="4" spans="1:62" x14ac:dyDescent="0.35">
      <c r="A4" s="165" t="s">
        <v>1</v>
      </c>
      <c r="B4" s="122" t="s">
        <v>5</v>
      </c>
      <c r="C4" s="122" t="s">
        <v>5</v>
      </c>
      <c r="D4" s="122" t="s">
        <v>5</v>
      </c>
      <c r="E4" s="122" t="s">
        <v>4</v>
      </c>
      <c r="F4" s="122" t="s">
        <v>4</v>
      </c>
      <c r="G4" s="122" t="s">
        <v>5</v>
      </c>
      <c r="H4" s="122" t="s">
        <v>5</v>
      </c>
      <c r="I4" s="19" t="s">
        <v>41</v>
      </c>
      <c r="J4" s="19" t="s">
        <v>41</v>
      </c>
      <c r="K4" s="19" t="s">
        <v>41</v>
      </c>
      <c r="L4" s="19" t="s">
        <v>42</v>
      </c>
      <c r="M4" s="19" t="s">
        <v>42</v>
      </c>
      <c r="N4" s="116" t="s">
        <v>2</v>
      </c>
      <c r="O4" s="19" t="s">
        <v>42</v>
      </c>
      <c r="P4" s="19" t="s">
        <v>41</v>
      </c>
      <c r="Q4" s="19" t="s">
        <v>41</v>
      </c>
      <c r="R4" s="116" t="s">
        <v>2</v>
      </c>
      <c r="S4" s="19" t="s">
        <v>42</v>
      </c>
      <c r="T4" s="19" t="s">
        <v>42</v>
      </c>
      <c r="U4" s="116" t="s">
        <v>2</v>
      </c>
      <c r="V4" s="19" t="s">
        <v>41</v>
      </c>
      <c r="W4" s="19" t="s">
        <v>41</v>
      </c>
      <c r="X4" s="19" t="s">
        <v>41</v>
      </c>
      <c r="Y4" s="116" t="s">
        <v>2</v>
      </c>
      <c r="Z4" s="19" t="s">
        <v>42</v>
      </c>
      <c r="AA4" s="19" t="s">
        <v>42</v>
      </c>
      <c r="AB4" s="116" t="s">
        <v>2</v>
      </c>
      <c r="AC4" s="19" t="s">
        <v>41</v>
      </c>
      <c r="AD4" s="19" t="s">
        <v>41</v>
      </c>
      <c r="AE4" s="19" t="s">
        <v>41</v>
      </c>
      <c r="AF4" s="116" t="s">
        <v>2</v>
      </c>
      <c r="AG4" s="1"/>
    </row>
    <row r="5" spans="1:62" x14ac:dyDescent="0.35">
      <c r="A5" s="165" t="s">
        <v>69</v>
      </c>
      <c r="B5" s="116" t="s">
        <v>2</v>
      </c>
      <c r="C5" s="19" t="s">
        <v>41</v>
      </c>
      <c r="D5" s="19" t="s">
        <v>41</v>
      </c>
      <c r="E5" s="114" t="s">
        <v>4</v>
      </c>
      <c r="F5" s="19" t="s">
        <v>42</v>
      </c>
      <c r="G5" s="19" t="s">
        <v>41</v>
      </c>
      <c r="H5" s="19" t="s">
        <v>41</v>
      </c>
      <c r="I5" s="19" t="s">
        <v>41</v>
      </c>
      <c r="J5" s="19" t="s">
        <v>41</v>
      </c>
      <c r="K5" s="116" t="s">
        <v>2</v>
      </c>
      <c r="L5" s="114" t="s">
        <v>4</v>
      </c>
      <c r="M5" s="19" t="s">
        <v>42</v>
      </c>
      <c r="N5" s="19" t="s">
        <v>41</v>
      </c>
      <c r="O5" s="115" t="s">
        <v>37</v>
      </c>
      <c r="P5" s="116" t="s">
        <v>2</v>
      </c>
      <c r="Q5" s="19" t="s">
        <v>41</v>
      </c>
      <c r="R5" s="19" t="s">
        <v>41</v>
      </c>
      <c r="S5" s="19" t="s">
        <v>42</v>
      </c>
      <c r="T5" s="19" t="s">
        <v>42</v>
      </c>
      <c r="U5" s="19" t="s">
        <v>41</v>
      </c>
      <c r="V5" s="122" t="s">
        <v>5</v>
      </c>
      <c r="W5" s="122" t="s">
        <v>5</v>
      </c>
      <c r="X5" s="122" t="s">
        <v>5</v>
      </c>
      <c r="Y5" s="122" t="s">
        <v>5</v>
      </c>
      <c r="Z5" s="122" t="s">
        <v>4</v>
      </c>
      <c r="AA5" s="122" t="s">
        <v>4</v>
      </c>
      <c r="AB5" s="122" t="s">
        <v>5</v>
      </c>
      <c r="AC5" s="122" t="s">
        <v>5</v>
      </c>
      <c r="AD5" s="122" t="s">
        <v>5</v>
      </c>
      <c r="AE5" s="122" t="s">
        <v>5</v>
      </c>
      <c r="AF5" s="1"/>
      <c r="AG5" s="1"/>
      <c r="AM5" s="122" t="s">
        <v>5</v>
      </c>
      <c r="AN5" s="122" t="s">
        <v>5</v>
      </c>
      <c r="AO5" s="122" t="s">
        <v>5</v>
      </c>
      <c r="AP5" s="122" t="s">
        <v>5</v>
      </c>
      <c r="AQ5" s="122" t="s">
        <v>5</v>
      </c>
      <c r="AR5" s="122" t="s">
        <v>5</v>
      </c>
      <c r="AS5" s="122" t="s">
        <v>5</v>
      </c>
      <c r="AT5" s="122" t="s">
        <v>5</v>
      </c>
      <c r="AU5" s="122" t="s">
        <v>5</v>
      </c>
      <c r="AV5" s="122" t="s">
        <v>5</v>
      </c>
    </row>
    <row r="6" spans="1:62" x14ac:dyDescent="0.35">
      <c r="A6" s="141" t="s">
        <v>21</v>
      </c>
      <c r="B6" s="19" t="s">
        <v>41</v>
      </c>
      <c r="C6" s="19" t="s">
        <v>41</v>
      </c>
      <c r="D6" s="19" t="s">
        <v>41</v>
      </c>
      <c r="E6" s="19" t="s">
        <v>42</v>
      </c>
      <c r="F6" s="114" t="s">
        <v>4</v>
      </c>
      <c r="G6" s="116" t="s">
        <v>2</v>
      </c>
      <c r="H6" s="19" t="s">
        <v>41</v>
      </c>
      <c r="I6" s="116" t="s">
        <v>2</v>
      </c>
      <c r="J6" s="116" t="s">
        <v>2</v>
      </c>
      <c r="K6" s="19" t="s">
        <v>41</v>
      </c>
      <c r="L6" s="19" t="s">
        <v>42</v>
      </c>
      <c r="M6" s="114" t="s">
        <v>4</v>
      </c>
      <c r="N6" s="19" t="s">
        <v>41</v>
      </c>
      <c r="O6" s="19" t="s">
        <v>42</v>
      </c>
      <c r="P6" s="19" t="s">
        <v>41</v>
      </c>
      <c r="Q6" s="19" t="s">
        <v>41</v>
      </c>
      <c r="R6" s="19" t="s">
        <v>41</v>
      </c>
      <c r="S6" s="114" t="s">
        <v>4</v>
      </c>
      <c r="T6" s="114" t="s">
        <v>4</v>
      </c>
      <c r="U6" s="122" t="s">
        <v>5</v>
      </c>
      <c r="V6" s="19" t="s">
        <v>41</v>
      </c>
      <c r="W6" s="19" t="s">
        <v>41</v>
      </c>
      <c r="X6" s="19" t="s">
        <v>41</v>
      </c>
      <c r="Y6" s="19" t="s">
        <v>41</v>
      </c>
      <c r="Z6" s="19" t="s">
        <v>42</v>
      </c>
      <c r="AA6" s="114" t="s">
        <v>4</v>
      </c>
      <c r="AB6" s="19" t="s">
        <v>41</v>
      </c>
      <c r="AC6" s="116" t="s">
        <v>2</v>
      </c>
      <c r="AD6" s="19" t="s">
        <v>41</v>
      </c>
      <c r="AE6" s="19" t="s">
        <v>41</v>
      </c>
      <c r="AF6" s="1"/>
      <c r="AG6" s="1"/>
    </row>
    <row r="7" spans="1:62" x14ac:dyDescent="0.35">
      <c r="A7" s="141" t="s">
        <v>22</v>
      </c>
      <c r="B7" s="25" t="s">
        <v>6</v>
      </c>
      <c r="C7" s="25" t="s">
        <v>6</v>
      </c>
      <c r="D7" s="116" t="s">
        <v>2</v>
      </c>
      <c r="E7" s="19" t="s">
        <v>42</v>
      </c>
      <c r="F7" s="114" t="s">
        <v>4</v>
      </c>
      <c r="G7" s="19" t="s">
        <v>41</v>
      </c>
      <c r="H7" s="22" t="s">
        <v>16</v>
      </c>
      <c r="I7" s="25" t="s">
        <v>6</v>
      </c>
      <c r="J7" s="19" t="s">
        <v>41</v>
      </c>
      <c r="K7" s="122" t="s">
        <v>5</v>
      </c>
      <c r="L7" s="122" t="s">
        <v>4</v>
      </c>
      <c r="M7" s="122" t="s">
        <v>4</v>
      </c>
      <c r="N7" s="122" t="s">
        <v>5</v>
      </c>
      <c r="O7" s="122" t="s">
        <v>5</v>
      </c>
      <c r="P7" s="122" t="s">
        <v>5</v>
      </c>
      <c r="Q7" s="122" t="s">
        <v>5</v>
      </c>
      <c r="R7" s="122" t="s">
        <v>5</v>
      </c>
      <c r="S7" s="114" t="s">
        <v>4</v>
      </c>
      <c r="T7" s="114" t="s">
        <v>4</v>
      </c>
      <c r="U7" s="19" t="s">
        <v>41</v>
      </c>
      <c r="V7" s="116" t="s">
        <v>2</v>
      </c>
      <c r="W7" s="19" t="s">
        <v>41</v>
      </c>
      <c r="X7" s="116" t="s">
        <v>2</v>
      </c>
      <c r="Y7" s="19" t="s">
        <v>41</v>
      </c>
      <c r="Z7" s="114" t="s">
        <v>4</v>
      </c>
      <c r="AA7" s="19" t="s">
        <v>42</v>
      </c>
      <c r="AB7" s="19" t="s">
        <v>41</v>
      </c>
      <c r="AC7" s="19" t="s">
        <v>41</v>
      </c>
      <c r="AD7" s="19" t="s">
        <v>41</v>
      </c>
      <c r="AE7" s="122" t="s">
        <v>5</v>
      </c>
      <c r="AF7" s="1"/>
      <c r="AG7" s="1"/>
    </row>
    <row r="8" spans="1:62" x14ac:dyDescent="0.35">
      <c r="A8" s="141" t="s">
        <v>70</v>
      </c>
      <c r="B8" s="116" t="s">
        <v>2</v>
      </c>
      <c r="C8" s="19" t="s">
        <v>41</v>
      </c>
      <c r="D8" s="19" t="s">
        <v>41</v>
      </c>
      <c r="E8" s="114" t="s">
        <v>4</v>
      </c>
      <c r="F8" s="19" t="s">
        <v>42</v>
      </c>
      <c r="G8" s="19" t="s">
        <v>41</v>
      </c>
      <c r="H8" s="19" t="s">
        <v>41</v>
      </c>
      <c r="I8" s="19" t="s">
        <v>41</v>
      </c>
      <c r="J8" s="116" t="s">
        <v>2</v>
      </c>
      <c r="K8" s="19" t="s">
        <v>41</v>
      </c>
      <c r="L8" s="114" t="s">
        <v>4</v>
      </c>
      <c r="M8" s="122" t="s">
        <v>4</v>
      </c>
      <c r="N8" s="19" t="s">
        <v>41</v>
      </c>
      <c r="O8" s="19" t="s">
        <v>42</v>
      </c>
      <c r="P8" s="19" t="s">
        <v>41</v>
      </c>
      <c r="Q8" s="116" t="s">
        <v>2</v>
      </c>
      <c r="R8" s="19" t="s">
        <v>41</v>
      </c>
      <c r="S8" s="22" t="s">
        <v>30</v>
      </c>
      <c r="T8" s="114" t="s">
        <v>4</v>
      </c>
      <c r="U8" s="116" t="s">
        <v>2</v>
      </c>
      <c r="V8" s="19" t="s">
        <v>41</v>
      </c>
      <c r="W8" s="116" t="s">
        <v>2</v>
      </c>
      <c r="X8" s="19" t="s">
        <v>41</v>
      </c>
      <c r="Y8" s="19" t="s">
        <v>41</v>
      </c>
      <c r="Z8" s="114" t="s">
        <v>4</v>
      </c>
      <c r="AA8" s="114" t="s">
        <v>4</v>
      </c>
      <c r="AB8" s="19" t="s">
        <v>41</v>
      </c>
      <c r="AC8" s="19" t="s">
        <v>41</v>
      </c>
      <c r="AD8" s="19" t="s">
        <v>41</v>
      </c>
      <c r="AE8" s="19" t="s">
        <v>41</v>
      </c>
      <c r="AF8" s="1"/>
      <c r="AG8" s="1"/>
    </row>
    <row r="9" spans="1:62" x14ac:dyDescent="0.35">
      <c r="A9" s="141" t="s">
        <v>152</v>
      </c>
      <c r="B9" s="19" t="s">
        <v>41</v>
      </c>
      <c r="C9" s="116" t="s">
        <v>2</v>
      </c>
      <c r="D9" s="25" t="s">
        <v>6</v>
      </c>
      <c r="E9" s="22" t="s">
        <v>30</v>
      </c>
      <c r="F9" s="114" t="s">
        <v>4</v>
      </c>
      <c r="G9" s="19" t="s">
        <v>41</v>
      </c>
      <c r="H9" s="19" t="s">
        <v>41</v>
      </c>
      <c r="I9" s="19" t="s">
        <v>41</v>
      </c>
      <c r="J9" s="19" t="s">
        <v>41</v>
      </c>
      <c r="K9" s="19" t="s">
        <v>41</v>
      </c>
      <c r="L9" s="114" t="s">
        <v>4</v>
      </c>
      <c r="M9" s="114" t="s">
        <v>4</v>
      </c>
      <c r="N9" s="19" t="s">
        <v>41</v>
      </c>
      <c r="O9" s="115" t="s">
        <v>37</v>
      </c>
      <c r="P9" s="19" t="s">
        <v>41</v>
      </c>
      <c r="Q9" s="122" t="s">
        <v>5</v>
      </c>
      <c r="R9" s="122" t="s">
        <v>5</v>
      </c>
      <c r="S9" s="122" t="s">
        <v>4</v>
      </c>
      <c r="T9" s="122" t="s">
        <v>4</v>
      </c>
      <c r="U9" s="19" t="s">
        <v>41</v>
      </c>
      <c r="V9" s="19" t="s">
        <v>41</v>
      </c>
      <c r="W9" s="19" t="s">
        <v>41</v>
      </c>
      <c r="X9" s="19" t="s">
        <v>41</v>
      </c>
      <c r="Y9" s="19" t="s">
        <v>41</v>
      </c>
      <c r="Z9" s="22" t="s">
        <v>30</v>
      </c>
      <c r="AA9" s="114" t="s">
        <v>4</v>
      </c>
      <c r="AB9" s="19" t="s">
        <v>41</v>
      </c>
      <c r="AC9" s="19" t="s">
        <v>41</v>
      </c>
      <c r="AD9" s="19" t="s">
        <v>41</v>
      </c>
      <c r="AE9" s="19" t="s">
        <v>41</v>
      </c>
      <c r="AF9" s="1"/>
      <c r="AG9" s="1"/>
    </row>
    <row r="11" spans="1:62" x14ac:dyDescent="0.35">
      <c r="A11" s="165" t="s">
        <v>57</v>
      </c>
      <c r="B11" s="25" t="s">
        <v>6</v>
      </c>
      <c r="C11" s="25" t="s">
        <v>6</v>
      </c>
      <c r="D11" s="25" t="s">
        <v>6</v>
      </c>
      <c r="E11" s="25" t="s">
        <v>3</v>
      </c>
      <c r="F11" s="114" t="s">
        <v>4</v>
      </c>
      <c r="G11" s="25" t="s">
        <v>6</v>
      </c>
      <c r="H11" s="25" t="s">
        <v>6</v>
      </c>
      <c r="I11" s="25" t="s">
        <v>6</v>
      </c>
      <c r="J11" s="122" t="s">
        <v>5</v>
      </c>
      <c r="K11" s="122" t="s">
        <v>5</v>
      </c>
      <c r="L11" s="122" t="s">
        <v>4</v>
      </c>
      <c r="M11" s="122" t="s">
        <v>4</v>
      </c>
      <c r="N11" s="122" t="s">
        <v>5</v>
      </c>
      <c r="O11" s="122" t="s">
        <v>5</v>
      </c>
      <c r="P11" s="122" t="s">
        <v>5</v>
      </c>
      <c r="Q11" s="25" t="s">
        <v>6</v>
      </c>
      <c r="R11" s="25" t="s">
        <v>6</v>
      </c>
      <c r="S11" s="25" t="s">
        <v>3</v>
      </c>
      <c r="T11" s="114" t="s">
        <v>4</v>
      </c>
      <c r="U11" s="116" t="s">
        <v>2</v>
      </c>
      <c r="V11" s="25" t="s">
        <v>6</v>
      </c>
      <c r="W11" s="122" t="s">
        <v>5</v>
      </c>
      <c r="X11" s="122" t="s">
        <v>5</v>
      </c>
      <c r="Y11" s="122" t="s">
        <v>5</v>
      </c>
      <c r="Z11" s="25" t="s">
        <v>3</v>
      </c>
      <c r="AA11" s="114" t="s">
        <v>4</v>
      </c>
      <c r="AB11" s="116" t="s">
        <v>2</v>
      </c>
      <c r="AC11" s="25" t="s">
        <v>6</v>
      </c>
      <c r="AD11" s="25" t="s">
        <v>6</v>
      </c>
      <c r="AE11" s="25" t="s">
        <v>6</v>
      </c>
      <c r="AF11" s="1"/>
      <c r="AG11" s="1"/>
    </row>
    <row r="12" spans="1:62" x14ac:dyDescent="0.35">
      <c r="A12" s="141" t="s">
        <v>15</v>
      </c>
      <c r="B12" s="122" t="s">
        <v>5</v>
      </c>
      <c r="C12" s="122" t="s">
        <v>5</v>
      </c>
      <c r="D12" s="122" t="s">
        <v>5</v>
      </c>
      <c r="E12" s="114" t="s">
        <v>4</v>
      </c>
      <c r="F12" s="114" t="s">
        <v>4</v>
      </c>
      <c r="G12" s="122" t="s">
        <v>5</v>
      </c>
      <c r="H12" s="122" t="s">
        <v>5</v>
      </c>
      <c r="I12" s="122" t="s">
        <v>5</v>
      </c>
      <c r="J12" s="25" t="s">
        <v>6</v>
      </c>
      <c r="K12" s="25" t="s">
        <v>6</v>
      </c>
      <c r="L12" s="25" t="s">
        <v>3</v>
      </c>
      <c r="M12" s="25" t="s">
        <v>3</v>
      </c>
      <c r="N12" s="25" t="s">
        <v>6</v>
      </c>
      <c r="O12" s="25" t="s">
        <v>3</v>
      </c>
      <c r="P12" s="25" t="s">
        <v>6</v>
      </c>
      <c r="Q12" s="122" t="s">
        <v>5</v>
      </c>
      <c r="R12" s="122" t="s">
        <v>5</v>
      </c>
      <c r="S12" s="122" t="s">
        <v>4</v>
      </c>
      <c r="T12" s="122" t="s">
        <v>4</v>
      </c>
      <c r="U12" s="122" t="s">
        <v>5</v>
      </c>
      <c r="V12" s="122" t="s">
        <v>5</v>
      </c>
      <c r="W12" s="122" t="s">
        <v>5</v>
      </c>
      <c r="X12" s="122" t="s">
        <v>5</v>
      </c>
      <c r="Y12" s="122" t="s">
        <v>5</v>
      </c>
      <c r="Z12" s="122" t="s">
        <v>4</v>
      </c>
      <c r="AA12" s="122" t="s">
        <v>4</v>
      </c>
      <c r="AB12" s="25" t="s">
        <v>6</v>
      </c>
      <c r="AC12" s="25" t="s">
        <v>6</v>
      </c>
      <c r="AD12" s="25" t="s">
        <v>6</v>
      </c>
      <c r="AE12" s="116" t="s">
        <v>2</v>
      </c>
      <c r="AF12" s="1"/>
      <c r="AG12" s="1"/>
    </row>
    <row r="13" spans="1:62" x14ac:dyDescent="0.35">
      <c r="A13" s="165" t="s">
        <v>124</v>
      </c>
      <c r="B13" s="19" t="s">
        <v>41</v>
      </c>
      <c r="C13" s="19" t="s">
        <v>41</v>
      </c>
      <c r="D13" s="19" t="s">
        <v>41</v>
      </c>
      <c r="E13" s="114" t="s">
        <v>4</v>
      </c>
      <c r="F13" s="25" t="s">
        <v>3</v>
      </c>
      <c r="G13" s="25" t="s">
        <v>6</v>
      </c>
      <c r="H13" s="25" t="s">
        <v>6</v>
      </c>
      <c r="I13" s="19" t="s">
        <v>41</v>
      </c>
      <c r="J13" s="25" t="s">
        <v>6</v>
      </c>
      <c r="K13" s="122" t="s">
        <v>5</v>
      </c>
      <c r="L13" s="25" t="s">
        <v>3</v>
      </c>
      <c r="M13" s="122" t="s">
        <v>4</v>
      </c>
      <c r="N13" s="25" t="s">
        <v>6</v>
      </c>
      <c r="O13" s="122" t="s">
        <v>5</v>
      </c>
      <c r="P13" s="122" t="s">
        <v>5</v>
      </c>
      <c r="Q13" s="25" t="s">
        <v>6</v>
      </c>
      <c r="R13" s="25" t="s">
        <v>6</v>
      </c>
      <c r="S13" s="114" t="s">
        <v>4</v>
      </c>
      <c r="T13" s="25" t="s">
        <v>3</v>
      </c>
      <c r="U13" s="25" t="s">
        <v>6</v>
      </c>
      <c r="V13" s="116" t="s">
        <v>2</v>
      </c>
      <c r="W13" s="25" t="s">
        <v>6</v>
      </c>
      <c r="X13" s="25" t="s">
        <v>6</v>
      </c>
      <c r="Y13" s="25" t="s">
        <v>6</v>
      </c>
      <c r="Z13" s="114" t="s">
        <v>4</v>
      </c>
      <c r="AA13" s="25" t="s">
        <v>3</v>
      </c>
      <c r="AB13" s="25" t="s">
        <v>6</v>
      </c>
      <c r="AC13" s="116" t="s">
        <v>2</v>
      </c>
      <c r="AD13" s="25" t="s">
        <v>6</v>
      </c>
      <c r="AE13" s="25" t="s">
        <v>6</v>
      </c>
    </row>
    <row r="14" spans="1:62" x14ac:dyDescent="0.35">
      <c r="A14" s="141" t="s">
        <v>71</v>
      </c>
      <c r="B14" s="116" t="s">
        <v>2</v>
      </c>
      <c r="C14" s="25" t="s">
        <v>6</v>
      </c>
      <c r="D14" s="25" t="s">
        <v>6</v>
      </c>
      <c r="E14" s="114" t="s">
        <v>4</v>
      </c>
      <c r="F14" s="25" t="s">
        <v>3</v>
      </c>
      <c r="G14" s="122" t="s">
        <v>5</v>
      </c>
      <c r="H14" s="122" t="s">
        <v>5</v>
      </c>
      <c r="I14" s="122" t="s">
        <v>5</v>
      </c>
      <c r="J14" s="122" t="s">
        <v>5</v>
      </c>
      <c r="K14" s="25" t="s">
        <v>6</v>
      </c>
      <c r="L14" s="22" t="s">
        <v>30</v>
      </c>
      <c r="M14" s="122" t="s">
        <v>4</v>
      </c>
      <c r="N14" s="122" t="s">
        <v>5</v>
      </c>
      <c r="O14" s="25" t="s">
        <v>3</v>
      </c>
      <c r="P14" s="25" t="s">
        <v>6</v>
      </c>
      <c r="Q14" s="25" t="s">
        <v>6</v>
      </c>
      <c r="R14" s="25" t="s">
        <v>6</v>
      </c>
      <c r="S14" s="114" t="s">
        <v>4</v>
      </c>
      <c r="T14" s="25" t="s">
        <v>3</v>
      </c>
      <c r="U14" s="25" t="s">
        <v>6</v>
      </c>
      <c r="V14" s="25" t="s">
        <v>6</v>
      </c>
      <c r="W14" s="25" t="s">
        <v>6</v>
      </c>
      <c r="X14" s="25" t="s">
        <v>6</v>
      </c>
      <c r="Y14" s="25" t="s">
        <v>6</v>
      </c>
      <c r="Z14" s="114" t="s">
        <v>4</v>
      </c>
      <c r="AA14" s="25" t="s">
        <v>3</v>
      </c>
      <c r="AB14" s="122" t="s">
        <v>5</v>
      </c>
      <c r="AC14" s="122" t="s">
        <v>5</v>
      </c>
      <c r="AD14" s="122" t="s">
        <v>5</v>
      </c>
      <c r="AE14" s="122" t="s">
        <v>5</v>
      </c>
      <c r="AF14" s="1"/>
      <c r="AG14" s="1"/>
    </row>
    <row r="15" spans="1:62" x14ac:dyDescent="0.35">
      <c r="A15" s="141" t="s">
        <v>149</v>
      </c>
      <c r="B15" s="25" t="s">
        <v>6</v>
      </c>
      <c r="C15" s="25" t="s">
        <v>6</v>
      </c>
      <c r="D15" s="25" t="s">
        <v>6</v>
      </c>
      <c r="E15" s="25" t="s">
        <v>3</v>
      </c>
      <c r="F15" s="114" t="s">
        <v>4</v>
      </c>
      <c r="G15" s="25" t="s">
        <v>6</v>
      </c>
      <c r="H15" s="25" t="s">
        <v>6</v>
      </c>
      <c r="I15" s="25" t="s">
        <v>6</v>
      </c>
      <c r="J15" s="25" t="s">
        <v>6</v>
      </c>
      <c r="K15" s="25" t="s">
        <v>6</v>
      </c>
      <c r="L15" s="114" t="s">
        <v>4</v>
      </c>
      <c r="M15" s="25" t="s">
        <v>3</v>
      </c>
      <c r="N15" s="25" t="s">
        <v>6</v>
      </c>
      <c r="O15" s="25" t="s">
        <v>3</v>
      </c>
      <c r="P15" s="25" t="s">
        <v>6</v>
      </c>
      <c r="Q15" s="116" t="s">
        <v>2</v>
      </c>
      <c r="R15" s="116" t="s">
        <v>2</v>
      </c>
      <c r="S15" s="25" t="s">
        <v>3</v>
      </c>
      <c r="T15" s="114" t="s">
        <v>4</v>
      </c>
      <c r="U15" s="25" t="s">
        <v>6</v>
      </c>
      <c r="V15" s="25" t="s">
        <v>6</v>
      </c>
      <c r="W15" s="25" t="s">
        <v>6</v>
      </c>
      <c r="X15" s="116" t="s">
        <v>2</v>
      </c>
      <c r="Y15" s="25" t="s">
        <v>6</v>
      </c>
      <c r="Z15" s="25" t="s">
        <v>3</v>
      </c>
      <c r="AA15" s="114" t="s">
        <v>4</v>
      </c>
      <c r="AB15" s="25" t="s">
        <v>6</v>
      </c>
      <c r="AC15" s="25" t="s">
        <v>6</v>
      </c>
      <c r="AD15" s="116" t="s">
        <v>2</v>
      </c>
      <c r="AE15" s="25" t="s">
        <v>6</v>
      </c>
    </row>
    <row r="16" spans="1:62" x14ac:dyDescent="0.35">
      <c r="AF16" s="1"/>
      <c r="AG16" s="1"/>
    </row>
    <row r="17" spans="1:62" x14ac:dyDescent="0.35">
      <c r="A17" s="165" t="s">
        <v>9</v>
      </c>
      <c r="B17" s="16" t="s">
        <v>10</v>
      </c>
      <c r="C17" s="16" t="s">
        <v>10</v>
      </c>
      <c r="D17" s="16" t="s">
        <v>10</v>
      </c>
      <c r="E17" s="114" t="s">
        <v>4</v>
      </c>
      <c r="F17" s="16" t="s">
        <v>11</v>
      </c>
      <c r="G17" s="16" t="s">
        <v>10</v>
      </c>
      <c r="H17" s="16" t="s">
        <v>10</v>
      </c>
      <c r="I17" s="16" t="s">
        <v>10</v>
      </c>
      <c r="J17" s="16" t="s">
        <v>10</v>
      </c>
      <c r="K17" s="116" t="s">
        <v>2</v>
      </c>
      <c r="L17" s="114" t="s">
        <v>4</v>
      </c>
      <c r="M17" s="16" t="s">
        <v>11</v>
      </c>
      <c r="N17" s="16" t="s">
        <v>10</v>
      </c>
      <c r="O17" s="16" t="s">
        <v>11</v>
      </c>
      <c r="P17" s="16" t="s">
        <v>10</v>
      </c>
      <c r="Q17" s="116" t="s">
        <v>2</v>
      </c>
      <c r="R17" s="16" t="s">
        <v>10</v>
      </c>
      <c r="S17" s="16" t="s">
        <v>11</v>
      </c>
      <c r="T17" s="16" t="s">
        <v>11</v>
      </c>
      <c r="U17" s="16" t="s">
        <v>10</v>
      </c>
      <c r="V17" s="16" t="s">
        <v>10</v>
      </c>
      <c r="W17" s="16" t="s">
        <v>10</v>
      </c>
      <c r="X17" s="122" t="s">
        <v>5</v>
      </c>
      <c r="Y17" s="122" t="s">
        <v>5</v>
      </c>
      <c r="Z17" s="122" t="s">
        <v>4</v>
      </c>
      <c r="AA17" s="122" t="s">
        <v>4</v>
      </c>
      <c r="AB17" s="16" t="s">
        <v>11</v>
      </c>
      <c r="AC17" s="16" t="s">
        <v>10</v>
      </c>
      <c r="AD17" s="16" t="s">
        <v>10</v>
      </c>
      <c r="AE17" s="16" t="s">
        <v>10</v>
      </c>
      <c r="AF17" s="1"/>
      <c r="AG17" s="1"/>
    </row>
    <row r="18" spans="1:62" x14ac:dyDescent="0.35">
      <c r="A18" s="165" t="s">
        <v>43</v>
      </c>
      <c r="B18" s="16" t="s">
        <v>10</v>
      </c>
      <c r="C18" s="16" t="s">
        <v>10</v>
      </c>
      <c r="D18" s="16" t="s">
        <v>10</v>
      </c>
      <c r="E18" s="16" t="s">
        <v>11</v>
      </c>
      <c r="F18" s="114" t="s">
        <v>4</v>
      </c>
      <c r="G18" s="116" t="s">
        <v>2</v>
      </c>
      <c r="H18" s="16" t="s">
        <v>10</v>
      </c>
      <c r="I18" s="16" t="s">
        <v>10</v>
      </c>
      <c r="J18" s="16" t="s">
        <v>10</v>
      </c>
      <c r="K18" s="16" t="s">
        <v>10</v>
      </c>
      <c r="L18" s="16" t="s">
        <v>11</v>
      </c>
      <c r="M18" s="114" t="s">
        <v>4</v>
      </c>
      <c r="N18" s="116" t="s">
        <v>2</v>
      </c>
      <c r="O18" s="16" t="s">
        <v>11</v>
      </c>
      <c r="P18" s="16" t="s">
        <v>10</v>
      </c>
      <c r="Q18" s="16" t="s">
        <v>10</v>
      </c>
      <c r="R18" s="122" t="s">
        <v>5</v>
      </c>
      <c r="S18" s="114" t="s">
        <v>4</v>
      </c>
      <c r="T18" s="16" t="s">
        <v>11</v>
      </c>
      <c r="U18" s="116" t="s">
        <v>2</v>
      </c>
      <c r="V18" s="116" t="s">
        <v>2</v>
      </c>
      <c r="W18" s="16" t="s">
        <v>10</v>
      </c>
      <c r="X18" s="16" t="s">
        <v>10</v>
      </c>
      <c r="Y18" s="16" t="s">
        <v>10</v>
      </c>
      <c r="Z18" s="16" t="s">
        <v>11</v>
      </c>
      <c r="AA18" s="16" t="s">
        <v>11</v>
      </c>
      <c r="AB18" s="116" t="s">
        <v>2</v>
      </c>
      <c r="AC18" s="16" t="s">
        <v>10</v>
      </c>
      <c r="AD18" s="16" t="s">
        <v>10</v>
      </c>
      <c r="AE18" s="116" t="s">
        <v>2</v>
      </c>
      <c r="AF18" s="1"/>
      <c r="AG18" s="1"/>
      <c r="AO18" s="122" t="s">
        <v>5</v>
      </c>
      <c r="AP18" s="122" t="s">
        <v>5</v>
      </c>
      <c r="AQ18" s="122" t="s">
        <v>5</v>
      </c>
      <c r="AR18" s="122" t="s">
        <v>5</v>
      </c>
      <c r="AS18" s="122" t="s">
        <v>5</v>
      </c>
      <c r="AT18" s="122" t="s">
        <v>5</v>
      </c>
      <c r="AU18" s="122" t="s">
        <v>5</v>
      </c>
      <c r="AV18" s="122" t="s">
        <v>5</v>
      </c>
      <c r="AW18" s="122" t="s">
        <v>5</v>
      </c>
      <c r="AX18" s="122" t="s">
        <v>5</v>
      </c>
      <c r="AY18" s="122" t="s">
        <v>5</v>
      </c>
      <c r="AZ18" s="122" t="s">
        <v>5</v>
      </c>
      <c r="BA18" s="122" t="s">
        <v>5</v>
      </c>
      <c r="BI18" s="122" t="s">
        <v>5</v>
      </c>
      <c r="BJ18" s="122" t="s">
        <v>5</v>
      </c>
    </row>
    <row r="19" spans="1:62" x14ac:dyDescent="0.35">
      <c r="A19" s="141" t="s">
        <v>68</v>
      </c>
      <c r="B19" s="16" t="s">
        <v>10</v>
      </c>
      <c r="C19" s="16" t="s">
        <v>10</v>
      </c>
      <c r="D19" s="116" t="s">
        <v>2</v>
      </c>
      <c r="E19" s="114" t="s">
        <v>4</v>
      </c>
      <c r="F19" s="16" t="s">
        <v>11</v>
      </c>
      <c r="G19" s="16" t="s">
        <v>10</v>
      </c>
      <c r="H19" s="16" t="s">
        <v>10</v>
      </c>
      <c r="I19" s="116" t="s">
        <v>2</v>
      </c>
      <c r="J19" s="116" t="s">
        <v>2</v>
      </c>
      <c r="K19" s="16" t="s">
        <v>10</v>
      </c>
      <c r="L19" s="114" t="s">
        <v>4</v>
      </c>
      <c r="M19" s="16" t="s">
        <v>11</v>
      </c>
      <c r="N19" s="16" t="s">
        <v>10</v>
      </c>
      <c r="O19" s="16" t="s">
        <v>11</v>
      </c>
      <c r="P19" s="16" t="s">
        <v>10</v>
      </c>
      <c r="Q19" s="16" t="s">
        <v>10</v>
      </c>
      <c r="R19" s="116" t="s">
        <v>2</v>
      </c>
      <c r="S19" s="114" t="s">
        <v>4</v>
      </c>
      <c r="T19" s="16" t="s">
        <v>11</v>
      </c>
      <c r="U19" s="16" t="s">
        <v>10</v>
      </c>
      <c r="V19" s="16" t="s">
        <v>10</v>
      </c>
      <c r="W19" s="16" t="s">
        <v>10</v>
      </c>
      <c r="X19" s="16" t="s">
        <v>10</v>
      </c>
      <c r="Y19" s="122" t="s">
        <v>5</v>
      </c>
      <c r="Z19" s="122" t="s">
        <v>4</v>
      </c>
      <c r="AA19" s="122" t="s">
        <v>4</v>
      </c>
      <c r="AB19" s="122" t="s">
        <v>5</v>
      </c>
      <c r="AC19" s="122" t="s">
        <v>5</v>
      </c>
      <c r="AD19" s="16" t="s">
        <v>10</v>
      </c>
      <c r="AE19" s="116" t="s">
        <v>2</v>
      </c>
      <c r="AF19" s="1"/>
      <c r="AG19" s="122" t="s">
        <v>5</v>
      </c>
      <c r="AH19" s="122" t="s">
        <v>5</v>
      </c>
      <c r="BJ19" s="122" t="s">
        <v>5</v>
      </c>
    </row>
    <row r="20" spans="1:62" x14ac:dyDescent="0.35">
      <c r="A20" s="141" t="s">
        <v>60</v>
      </c>
      <c r="B20" s="16" t="s">
        <v>10</v>
      </c>
      <c r="C20" s="116" t="s">
        <v>2</v>
      </c>
      <c r="D20" s="16" t="s">
        <v>10</v>
      </c>
      <c r="E20" s="16" t="s">
        <v>11</v>
      </c>
      <c r="F20" s="114" t="s">
        <v>4</v>
      </c>
      <c r="G20" s="116" t="s">
        <v>2</v>
      </c>
      <c r="H20" s="16" t="s">
        <v>10</v>
      </c>
      <c r="I20" s="16" t="s">
        <v>10</v>
      </c>
      <c r="J20" s="16" t="s">
        <v>10</v>
      </c>
      <c r="K20" s="16" t="s">
        <v>10</v>
      </c>
      <c r="L20" s="16" t="s">
        <v>11</v>
      </c>
      <c r="M20" s="122" t="s">
        <v>4</v>
      </c>
      <c r="N20" s="122" t="s">
        <v>5</v>
      </c>
      <c r="O20" s="122" t="s">
        <v>5</v>
      </c>
      <c r="P20" s="16" t="s">
        <v>10</v>
      </c>
      <c r="Q20" s="16" t="s">
        <v>10</v>
      </c>
      <c r="R20" s="16" t="s">
        <v>10</v>
      </c>
      <c r="S20" s="16" t="s">
        <v>11</v>
      </c>
      <c r="T20" s="114" t="s">
        <v>4</v>
      </c>
      <c r="U20" s="116" t="s">
        <v>2</v>
      </c>
      <c r="V20" s="16" t="s">
        <v>10</v>
      </c>
      <c r="W20" s="16" t="s">
        <v>10</v>
      </c>
      <c r="X20" s="116" t="s">
        <v>2</v>
      </c>
      <c r="Y20" s="16" t="s">
        <v>10</v>
      </c>
      <c r="Z20" s="16" t="s">
        <v>11</v>
      </c>
      <c r="AA20" s="16" t="s">
        <v>11</v>
      </c>
      <c r="AB20" s="16" t="s">
        <v>10</v>
      </c>
      <c r="AC20" s="16" t="s">
        <v>10</v>
      </c>
      <c r="AD20" s="116" t="s">
        <v>2</v>
      </c>
      <c r="AE20" s="16" t="s">
        <v>10</v>
      </c>
      <c r="AF20" s="1"/>
      <c r="AG20" s="1"/>
    </row>
    <row r="21" spans="1:62" x14ac:dyDescent="0.35">
      <c r="A21" s="141" t="s">
        <v>153</v>
      </c>
      <c r="B21" s="116" t="s">
        <v>2</v>
      </c>
      <c r="C21" s="16" t="s">
        <v>10</v>
      </c>
      <c r="D21" s="16" t="s">
        <v>10</v>
      </c>
      <c r="E21" s="16" t="s">
        <v>11</v>
      </c>
      <c r="F21" s="114" t="s">
        <v>4</v>
      </c>
      <c r="G21" s="16" t="s">
        <v>10</v>
      </c>
      <c r="H21" s="116" t="s">
        <v>2</v>
      </c>
      <c r="I21" s="16" t="s">
        <v>10</v>
      </c>
      <c r="J21" s="16" t="s">
        <v>10</v>
      </c>
      <c r="K21" s="172" t="s">
        <v>34</v>
      </c>
      <c r="L21" s="16" t="s">
        <v>11</v>
      </c>
      <c r="M21" s="114" t="s">
        <v>4</v>
      </c>
      <c r="N21" s="16" t="s">
        <v>10</v>
      </c>
      <c r="O21" s="115" t="s">
        <v>37</v>
      </c>
      <c r="P21" s="116" t="s">
        <v>2</v>
      </c>
      <c r="Q21" s="16" t="s">
        <v>10</v>
      </c>
      <c r="R21" s="16" t="s">
        <v>10</v>
      </c>
      <c r="S21" s="16" t="s">
        <v>11</v>
      </c>
      <c r="T21" s="114" t="s">
        <v>4</v>
      </c>
      <c r="U21" s="16" t="s">
        <v>10</v>
      </c>
      <c r="V21" s="122" t="s">
        <v>5</v>
      </c>
      <c r="W21" s="116" t="s">
        <v>2</v>
      </c>
      <c r="X21" s="16" t="s">
        <v>10</v>
      </c>
      <c r="Y21" s="16" t="s">
        <v>10</v>
      </c>
      <c r="Z21" s="16" t="s">
        <v>11</v>
      </c>
      <c r="AA21" s="114" t="s">
        <v>4</v>
      </c>
      <c r="AB21" s="16" t="s">
        <v>10</v>
      </c>
      <c r="AC21" s="16" t="s">
        <v>10</v>
      </c>
      <c r="AD21" s="116" t="s">
        <v>2</v>
      </c>
      <c r="AE21" s="16" t="s">
        <v>10</v>
      </c>
      <c r="AF21" s="1"/>
      <c r="AG21" s="1"/>
    </row>
    <row r="23" spans="1:62" x14ac:dyDescent="0.35">
      <c r="A23" s="128" t="s">
        <v>125</v>
      </c>
      <c r="B23">
        <f t="shared" ref="B23:H23" si="2">COUNTIF(B4:B21,"*MS")</f>
        <v>3</v>
      </c>
      <c r="C23">
        <f t="shared" si="2"/>
        <v>4</v>
      </c>
      <c r="D23">
        <f t="shared" si="2"/>
        <v>4</v>
      </c>
      <c r="E23">
        <f>COUNTIF(E4:E21,"*MS")</f>
        <v>2</v>
      </c>
      <c r="F23">
        <f t="shared" si="2"/>
        <v>2</v>
      </c>
      <c r="G23">
        <f t="shared" si="2"/>
        <v>3</v>
      </c>
      <c r="H23">
        <f t="shared" si="2"/>
        <v>3</v>
      </c>
      <c r="I23">
        <f t="shared" ref="I23:AH23" si="3">COUNTIF(I4:I21,"*MS")</f>
        <v>3</v>
      </c>
      <c r="J23">
        <f t="shared" si="3"/>
        <v>3</v>
      </c>
      <c r="K23">
        <f t="shared" si="3"/>
        <v>3</v>
      </c>
      <c r="L23">
        <f>COUNTIF(L4:L21,"*MS")</f>
        <v>2</v>
      </c>
      <c r="M23">
        <f t="shared" si="3"/>
        <v>2</v>
      </c>
      <c r="N23">
        <f t="shared" si="3"/>
        <v>3</v>
      </c>
      <c r="O23">
        <f t="shared" si="3"/>
        <v>3</v>
      </c>
      <c r="P23">
        <f t="shared" si="3"/>
        <v>3</v>
      </c>
      <c r="Q23">
        <f t="shared" si="3"/>
        <v>3</v>
      </c>
      <c r="R23">
        <f t="shared" si="3"/>
        <v>3</v>
      </c>
      <c r="S23">
        <f>COUNTIF(S4:S21,"*MS")</f>
        <v>2</v>
      </c>
      <c r="T23">
        <f t="shared" si="3"/>
        <v>2</v>
      </c>
      <c r="U23">
        <f t="shared" si="3"/>
        <v>3</v>
      </c>
      <c r="V23">
        <f t="shared" si="3"/>
        <v>3</v>
      </c>
      <c r="W23">
        <f t="shared" si="3"/>
        <v>3</v>
      </c>
      <c r="X23">
        <f t="shared" si="3"/>
        <v>2</v>
      </c>
      <c r="Y23">
        <f t="shared" si="3"/>
        <v>3</v>
      </c>
      <c r="Z23">
        <f t="shared" si="3"/>
        <v>2</v>
      </c>
      <c r="AA23">
        <f t="shared" si="3"/>
        <v>2</v>
      </c>
      <c r="AB23">
        <f t="shared" si="3"/>
        <v>3</v>
      </c>
      <c r="AC23">
        <f t="shared" si="3"/>
        <v>3</v>
      </c>
      <c r="AD23">
        <f t="shared" si="3"/>
        <v>3</v>
      </c>
      <c r="AE23">
        <f t="shared" si="3"/>
        <v>3</v>
      </c>
      <c r="AF23">
        <f t="shared" si="3"/>
        <v>0</v>
      </c>
      <c r="AG23">
        <f t="shared" si="3"/>
        <v>0</v>
      </c>
      <c r="AH23">
        <f t="shared" si="3"/>
        <v>0</v>
      </c>
    </row>
    <row r="24" spans="1:62" x14ac:dyDescent="0.35">
      <c r="A24" s="128" t="s">
        <v>126</v>
      </c>
      <c r="B24">
        <f t="shared" ref="B24:H24" si="4">COUNTIF(B4:B21,"*ASS1")</f>
        <v>3</v>
      </c>
      <c r="C24">
        <f t="shared" si="4"/>
        <v>4</v>
      </c>
      <c r="D24">
        <f t="shared" si="4"/>
        <v>4</v>
      </c>
      <c r="E24">
        <f>COUNTIF(E4:E21,"*ASS1")</f>
        <v>2</v>
      </c>
      <c r="F24">
        <f t="shared" si="4"/>
        <v>2</v>
      </c>
      <c r="G24">
        <f t="shared" si="4"/>
        <v>4</v>
      </c>
      <c r="H24">
        <f t="shared" si="4"/>
        <v>4</v>
      </c>
      <c r="I24">
        <f t="shared" ref="I24:AH24" si="5">COUNTIF(I4:I21,"*ASS1")</f>
        <v>5</v>
      </c>
      <c r="J24">
        <f t="shared" si="5"/>
        <v>4</v>
      </c>
      <c r="K24">
        <f t="shared" si="5"/>
        <v>4</v>
      </c>
      <c r="L24">
        <f>COUNTIF(L4:L21,"*ASS1")</f>
        <v>2</v>
      </c>
      <c r="M24">
        <f t="shared" si="5"/>
        <v>2</v>
      </c>
      <c r="N24">
        <f t="shared" si="5"/>
        <v>4</v>
      </c>
      <c r="O24">
        <f t="shared" si="5"/>
        <v>3</v>
      </c>
      <c r="P24">
        <f t="shared" si="5"/>
        <v>4</v>
      </c>
      <c r="Q24">
        <f t="shared" si="5"/>
        <v>3</v>
      </c>
      <c r="R24">
        <f t="shared" si="5"/>
        <v>3</v>
      </c>
      <c r="S24">
        <f>COUNTIF(S4:S21,"*ASS1")</f>
        <v>2</v>
      </c>
      <c r="T24">
        <f t="shared" si="5"/>
        <v>2</v>
      </c>
      <c r="U24">
        <f t="shared" si="5"/>
        <v>3</v>
      </c>
      <c r="V24">
        <f t="shared" si="5"/>
        <v>4</v>
      </c>
      <c r="W24">
        <f t="shared" si="5"/>
        <v>4</v>
      </c>
      <c r="X24">
        <f t="shared" si="5"/>
        <v>4</v>
      </c>
      <c r="Y24">
        <f t="shared" si="5"/>
        <v>4</v>
      </c>
      <c r="Z24">
        <f t="shared" si="5"/>
        <v>2</v>
      </c>
      <c r="AA24">
        <f t="shared" si="5"/>
        <v>2</v>
      </c>
      <c r="AB24">
        <f t="shared" si="5"/>
        <v>4</v>
      </c>
      <c r="AC24">
        <f t="shared" si="5"/>
        <v>4</v>
      </c>
      <c r="AD24">
        <f t="shared" si="5"/>
        <v>5</v>
      </c>
      <c r="AE24">
        <f t="shared" si="5"/>
        <v>4</v>
      </c>
      <c r="AF24">
        <f t="shared" si="5"/>
        <v>0</v>
      </c>
      <c r="AG24">
        <f t="shared" si="5"/>
        <v>0</v>
      </c>
      <c r="AH24">
        <f t="shared" si="5"/>
        <v>0</v>
      </c>
    </row>
    <row r="25" spans="1:62" x14ac:dyDescent="0.35">
      <c r="A25" s="128" t="s">
        <v>127</v>
      </c>
      <c r="B25">
        <f t="shared" ref="B25:H25" si="6">COUNTIF(B4:B21,"*NST7")</f>
        <v>4</v>
      </c>
      <c r="C25">
        <f t="shared" si="6"/>
        <v>4</v>
      </c>
      <c r="D25">
        <f t="shared" si="6"/>
        <v>4</v>
      </c>
      <c r="E25">
        <f>COUNTIF(E4:E21,"*NST7")</f>
        <v>3</v>
      </c>
      <c r="F25">
        <f t="shared" si="6"/>
        <v>2</v>
      </c>
      <c r="G25">
        <f t="shared" si="6"/>
        <v>3</v>
      </c>
      <c r="H25">
        <f t="shared" si="6"/>
        <v>4</v>
      </c>
      <c r="I25">
        <f t="shared" ref="I25:AH25" si="7">COUNTIF(I4:I21,"*NST7")</f>
        <v>4</v>
      </c>
      <c r="J25">
        <f t="shared" si="7"/>
        <v>4</v>
      </c>
      <c r="K25">
        <f t="shared" si="7"/>
        <v>3</v>
      </c>
      <c r="L25">
        <f>COUNTIF(L4:L21,"*NST7")</f>
        <v>3</v>
      </c>
      <c r="M25">
        <f t="shared" si="7"/>
        <v>2</v>
      </c>
      <c r="N25">
        <f t="shared" si="7"/>
        <v>3</v>
      </c>
      <c r="O25">
        <f t="shared" si="7"/>
        <v>3</v>
      </c>
      <c r="P25">
        <f t="shared" si="7"/>
        <v>4</v>
      </c>
      <c r="Q25">
        <f t="shared" si="7"/>
        <v>4</v>
      </c>
      <c r="R25">
        <f t="shared" si="7"/>
        <v>3</v>
      </c>
      <c r="S25">
        <f>COUNTIF(S4:S21,"*NST7")</f>
        <v>3</v>
      </c>
      <c r="T25">
        <f t="shared" si="7"/>
        <v>3</v>
      </c>
      <c r="U25">
        <f t="shared" si="7"/>
        <v>3</v>
      </c>
      <c r="V25">
        <f t="shared" si="7"/>
        <v>3</v>
      </c>
      <c r="W25">
        <f t="shared" si="7"/>
        <v>4</v>
      </c>
      <c r="X25">
        <f t="shared" si="7"/>
        <v>3</v>
      </c>
      <c r="Y25">
        <f t="shared" si="7"/>
        <v>3</v>
      </c>
      <c r="Z25">
        <f t="shared" si="7"/>
        <v>3</v>
      </c>
      <c r="AA25">
        <f t="shared" si="7"/>
        <v>2</v>
      </c>
      <c r="AB25">
        <f t="shared" si="7"/>
        <v>3</v>
      </c>
      <c r="AC25">
        <f t="shared" si="7"/>
        <v>4</v>
      </c>
      <c r="AD25">
        <f t="shared" si="7"/>
        <v>3</v>
      </c>
      <c r="AE25">
        <f t="shared" si="7"/>
        <v>3</v>
      </c>
      <c r="AF25">
        <f t="shared" si="7"/>
        <v>0</v>
      </c>
      <c r="AG25">
        <f t="shared" si="7"/>
        <v>0</v>
      </c>
      <c r="AH25">
        <f t="shared" si="7"/>
        <v>0</v>
      </c>
    </row>
    <row r="26" spans="1:62" x14ac:dyDescent="0.35">
      <c r="A26" s="128" t="s">
        <v>128</v>
      </c>
      <c r="B26">
        <f t="shared" ref="B26:H26" si="8">COUNTIF(B4:B21,"*GS")</f>
        <v>0</v>
      </c>
      <c r="C26">
        <f t="shared" si="8"/>
        <v>0</v>
      </c>
      <c r="D26">
        <f t="shared" si="8"/>
        <v>0</v>
      </c>
      <c r="E26">
        <f>COUNTIF(E4:E21,"*GS")</f>
        <v>1</v>
      </c>
      <c r="F26">
        <f t="shared" si="8"/>
        <v>0</v>
      </c>
      <c r="G26">
        <f t="shared" si="8"/>
        <v>0</v>
      </c>
      <c r="H26">
        <f t="shared" si="8"/>
        <v>1</v>
      </c>
      <c r="I26">
        <f t="shared" ref="I26:AH26" si="9">COUNTIF(I4:I21,"*GS")</f>
        <v>0</v>
      </c>
      <c r="J26">
        <f t="shared" si="9"/>
        <v>0</v>
      </c>
      <c r="K26">
        <f t="shared" si="9"/>
        <v>0</v>
      </c>
      <c r="L26">
        <f>COUNTIF(L4:L21,"*GS")</f>
        <v>1</v>
      </c>
      <c r="M26">
        <f t="shared" si="9"/>
        <v>0</v>
      </c>
      <c r="N26">
        <f t="shared" si="9"/>
        <v>0</v>
      </c>
      <c r="O26">
        <f t="shared" si="9"/>
        <v>0</v>
      </c>
      <c r="P26">
        <f t="shared" si="9"/>
        <v>0</v>
      </c>
      <c r="Q26">
        <f t="shared" si="9"/>
        <v>0</v>
      </c>
      <c r="R26">
        <f t="shared" si="9"/>
        <v>0</v>
      </c>
      <c r="S26">
        <f>COUNTIF(S4:S21,"*GS")</f>
        <v>1</v>
      </c>
      <c r="T26">
        <f t="shared" si="9"/>
        <v>0</v>
      </c>
      <c r="U26">
        <f t="shared" si="9"/>
        <v>0</v>
      </c>
      <c r="V26">
        <f t="shared" si="9"/>
        <v>0</v>
      </c>
      <c r="W26">
        <f t="shared" si="9"/>
        <v>0</v>
      </c>
      <c r="X26">
        <f t="shared" si="9"/>
        <v>0</v>
      </c>
      <c r="Y26">
        <f t="shared" si="9"/>
        <v>0</v>
      </c>
      <c r="Z26">
        <f t="shared" si="9"/>
        <v>1</v>
      </c>
      <c r="AA26">
        <f t="shared" si="9"/>
        <v>0</v>
      </c>
      <c r="AB26">
        <f t="shared" si="9"/>
        <v>0</v>
      </c>
      <c r="AC26">
        <f t="shared" si="9"/>
        <v>0</v>
      </c>
      <c r="AD26">
        <f t="shared" si="9"/>
        <v>0</v>
      </c>
      <c r="AE26">
        <f t="shared" si="9"/>
        <v>0</v>
      </c>
      <c r="AF26">
        <f t="shared" si="9"/>
        <v>0</v>
      </c>
      <c r="AG26">
        <f t="shared" si="9"/>
        <v>0</v>
      </c>
      <c r="AH26">
        <f t="shared" si="9"/>
        <v>0</v>
      </c>
    </row>
    <row r="27" spans="1:62" x14ac:dyDescent="0.35">
      <c r="A27" s="128" t="s">
        <v>129</v>
      </c>
      <c r="B27">
        <f t="shared" ref="B27:D27" si="10">COUNTIF(B4:B21,"C")</f>
        <v>4</v>
      </c>
      <c r="C27">
        <f t="shared" si="10"/>
        <v>2</v>
      </c>
      <c r="D27">
        <f t="shared" si="10"/>
        <v>2</v>
      </c>
      <c r="E27">
        <f>COUNTIF(E4:E21,"WO")</f>
        <v>8</v>
      </c>
      <c r="F27">
        <f t="shared" ref="F27" si="11">COUNTIF(F4:F21,"WO")</f>
        <v>10</v>
      </c>
      <c r="G27">
        <f>COUNTIF(G4:G21,"C")</f>
        <v>3</v>
      </c>
      <c r="H27">
        <f>COUNTIF(H4:H21,"C")</f>
        <v>1</v>
      </c>
      <c r="I27">
        <f t="shared" ref="I27:K27" si="12">COUNTIF(I4:I21,"C")</f>
        <v>2</v>
      </c>
      <c r="J27">
        <f t="shared" si="12"/>
        <v>3</v>
      </c>
      <c r="K27">
        <f t="shared" si="12"/>
        <v>2</v>
      </c>
      <c r="L27">
        <f>COUNTIF(L4:L21,"WO")</f>
        <v>8</v>
      </c>
      <c r="M27">
        <f t="shared" ref="M27" si="13">COUNTIF(M4:M21,"WO")</f>
        <v>10</v>
      </c>
      <c r="N27">
        <f>COUNTIF(N4:N21,"C")</f>
        <v>2</v>
      </c>
      <c r="O27">
        <f>COUNTIF(O4:O21,"C")</f>
        <v>0</v>
      </c>
      <c r="P27">
        <f t="shared" ref="P27:R27" si="14">COUNTIF(P4:P21,"C")</f>
        <v>2</v>
      </c>
      <c r="Q27">
        <f t="shared" si="14"/>
        <v>3</v>
      </c>
      <c r="R27">
        <f t="shared" si="14"/>
        <v>3</v>
      </c>
      <c r="S27">
        <f>COUNTIF(S4:S21,"WO")</f>
        <v>8</v>
      </c>
      <c r="T27">
        <f t="shared" ref="T27" si="15">COUNTIF(T4:T21,"WO")</f>
        <v>9</v>
      </c>
      <c r="U27">
        <f>COUNTIF(U4:U21,"C")</f>
        <v>5</v>
      </c>
      <c r="V27">
        <f>COUNTIF(V4:V21,"C")</f>
        <v>3</v>
      </c>
      <c r="W27">
        <f t="shared" ref="W27:Y27" si="16">COUNTIF(W4:W21,"C")</f>
        <v>2</v>
      </c>
      <c r="X27">
        <f t="shared" si="16"/>
        <v>3</v>
      </c>
      <c r="Y27">
        <f t="shared" si="16"/>
        <v>1</v>
      </c>
      <c r="Z27">
        <f t="shared" ref="Z27:AA27" si="17">COUNTIF(Z4:Z21,"WO")</f>
        <v>8</v>
      </c>
      <c r="AA27">
        <f t="shared" si="17"/>
        <v>10</v>
      </c>
      <c r="AB27">
        <f>COUNTIF(AB4:AB21,"C")</f>
        <v>3</v>
      </c>
      <c r="AC27">
        <f>COUNTIF(AC4:AC21,"C")</f>
        <v>2</v>
      </c>
      <c r="AD27">
        <f t="shared" ref="AD27:AF27" si="18">COUNTIF(AD4:AD21,"C")</f>
        <v>3</v>
      </c>
      <c r="AE27">
        <f t="shared" si="18"/>
        <v>3</v>
      </c>
      <c r="AF27">
        <f t="shared" si="18"/>
        <v>1</v>
      </c>
      <c r="AG27">
        <f t="shared" ref="AG27:AH27" si="19">COUNTIF(AG4:AG21,"WO")</f>
        <v>0</v>
      </c>
      <c r="AH27">
        <f t="shared" si="19"/>
        <v>0</v>
      </c>
    </row>
    <row r="28" spans="1:62" x14ac:dyDescent="0.35">
      <c r="A28" s="128" t="s">
        <v>130</v>
      </c>
      <c r="B28">
        <f t="shared" ref="B28:H28" si="20">COUNTIF(B4:B21,"PL")</f>
        <v>2</v>
      </c>
      <c r="C28">
        <f t="shared" si="20"/>
        <v>2</v>
      </c>
      <c r="D28">
        <f t="shared" si="20"/>
        <v>2</v>
      </c>
      <c r="E28">
        <f>COUNTIF(E4:E21,"PL")</f>
        <v>0</v>
      </c>
      <c r="F28">
        <f t="shared" si="20"/>
        <v>0</v>
      </c>
      <c r="G28">
        <f t="shared" si="20"/>
        <v>3</v>
      </c>
      <c r="H28">
        <f t="shared" si="20"/>
        <v>3</v>
      </c>
      <c r="I28">
        <f t="shared" ref="I28:AH28" si="21">COUNTIF(I4:I21,"PL")</f>
        <v>2</v>
      </c>
      <c r="J28">
        <f t="shared" si="21"/>
        <v>2</v>
      </c>
      <c r="K28">
        <f t="shared" si="21"/>
        <v>3</v>
      </c>
      <c r="L28">
        <f>COUNTIF(L4:L21,"PL")</f>
        <v>0</v>
      </c>
      <c r="M28">
        <f t="shared" si="21"/>
        <v>0</v>
      </c>
      <c r="N28">
        <f t="shared" si="21"/>
        <v>4</v>
      </c>
      <c r="O28">
        <f t="shared" si="21"/>
        <v>4</v>
      </c>
      <c r="P28">
        <f t="shared" si="21"/>
        <v>3</v>
      </c>
      <c r="Q28">
        <f t="shared" si="21"/>
        <v>3</v>
      </c>
      <c r="R28">
        <f t="shared" si="21"/>
        <v>4</v>
      </c>
      <c r="S28">
        <f>COUNTIF(S4:S21,"PL")</f>
        <v>0</v>
      </c>
      <c r="T28">
        <f t="shared" si="21"/>
        <v>0</v>
      </c>
      <c r="U28">
        <f t="shared" si="21"/>
        <v>2</v>
      </c>
      <c r="V28">
        <f t="shared" si="21"/>
        <v>3</v>
      </c>
      <c r="W28">
        <f t="shared" si="21"/>
        <v>3</v>
      </c>
      <c r="X28">
        <f t="shared" si="21"/>
        <v>4</v>
      </c>
      <c r="Y28">
        <f t="shared" si="21"/>
        <v>5</v>
      </c>
      <c r="Z28">
        <f t="shared" si="21"/>
        <v>0</v>
      </c>
      <c r="AA28">
        <f t="shared" si="21"/>
        <v>0</v>
      </c>
      <c r="AB28">
        <f t="shared" si="21"/>
        <v>3</v>
      </c>
      <c r="AC28">
        <f t="shared" si="21"/>
        <v>3</v>
      </c>
      <c r="AD28">
        <f t="shared" si="21"/>
        <v>2</v>
      </c>
      <c r="AE28">
        <f t="shared" si="21"/>
        <v>3</v>
      </c>
      <c r="AF28">
        <f t="shared" si="21"/>
        <v>0</v>
      </c>
      <c r="AG28">
        <f t="shared" si="21"/>
        <v>1</v>
      </c>
      <c r="AH28">
        <f t="shared" si="21"/>
        <v>1</v>
      </c>
    </row>
    <row r="29" spans="1:62" x14ac:dyDescent="0.35">
      <c r="A29" s="128" t="s">
        <v>33</v>
      </c>
      <c r="B29">
        <f t="shared" ref="B29:H29" si="22">COUNTIF(B4:B21,"UPL")</f>
        <v>0</v>
      </c>
      <c r="C29">
        <f t="shared" si="22"/>
        <v>0</v>
      </c>
      <c r="D29">
        <f t="shared" si="22"/>
        <v>0</v>
      </c>
      <c r="E29">
        <f>COUNTIF(E4:E21,"UPL")</f>
        <v>0</v>
      </c>
      <c r="F29">
        <f t="shared" si="22"/>
        <v>0</v>
      </c>
      <c r="G29">
        <f t="shared" si="22"/>
        <v>0</v>
      </c>
      <c r="H29">
        <f t="shared" si="22"/>
        <v>0</v>
      </c>
      <c r="I29">
        <f t="shared" ref="I29:AH29" si="23">COUNTIF(I4:I21,"UPL")</f>
        <v>0</v>
      </c>
      <c r="J29">
        <f t="shared" si="23"/>
        <v>0</v>
      </c>
      <c r="K29">
        <f t="shared" si="23"/>
        <v>1</v>
      </c>
      <c r="L29">
        <f>COUNTIF(L4:L21,"UPL")</f>
        <v>0</v>
      </c>
      <c r="M29">
        <f t="shared" si="23"/>
        <v>0</v>
      </c>
      <c r="N29">
        <f t="shared" si="23"/>
        <v>0</v>
      </c>
      <c r="O29">
        <f t="shared" si="23"/>
        <v>0</v>
      </c>
      <c r="P29">
        <f t="shared" si="23"/>
        <v>0</v>
      </c>
      <c r="Q29">
        <f t="shared" si="23"/>
        <v>0</v>
      </c>
      <c r="R29">
        <f t="shared" si="23"/>
        <v>0</v>
      </c>
      <c r="S29">
        <f>COUNTIF(S4:S21,"UPL")</f>
        <v>0</v>
      </c>
      <c r="T29">
        <f t="shared" si="23"/>
        <v>0</v>
      </c>
      <c r="U29">
        <f t="shared" si="23"/>
        <v>0</v>
      </c>
      <c r="V29">
        <f t="shared" si="23"/>
        <v>0</v>
      </c>
      <c r="W29">
        <f t="shared" si="23"/>
        <v>0</v>
      </c>
      <c r="X29">
        <f t="shared" si="23"/>
        <v>0</v>
      </c>
      <c r="Y29">
        <f t="shared" si="23"/>
        <v>0</v>
      </c>
      <c r="Z29">
        <f t="shared" si="23"/>
        <v>0</v>
      </c>
      <c r="AA29">
        <f t="shared" si="23"/>
        <v>0</v>
      </c>
      <c r="AB29">
        <f t="shared" si="23"/>
        <v>0</v>
      </c>
      <c r="AC29">
        <f t="shared" si="23"/>
        <v>0</v>
      </c>
      <c r="AD29">
        <f t="shared" si="23"/>
        <v>0</v>
      </c>
      <c r="AE29">
        <f t="shared" si="23"/>
        <v>0</v>
      </c>
      <c r="AF29">
        <f t="shared" si="23"/>
        <v>0</v>
      </c>
      <c r="AG29">
        <f t="shared" si="23"/>
        <v>0</v>
      </c>
      <c r="AH29">
        <f t="shared" si="23"/>
        <v>0</v>
      </c>
    </row>
    <row r="30" spans="1:62" x14ac:dyDescent="0.35">
      <c r="A30" s="128" t="s">
        <v>141</v>
      </c>
      <c r="B30">
        <f t="shared" ref="B30:H30" si="24">COUNTIF(B4:B21,"H")</f>
        <v>0</v>
      </c>
      <c r="C30">
        <f t="shared" si="24"/>
        <v>0</v>
      </c>
      <c r="D30">
        <f t="shared" si="24"/>
        <v>0</v>
      </c>
      <c r="E30">
        <f>COUNTIF(E4:E21,"H")</f>
        <v>0</v>
      </c>
      <c r="F30">
        <f t="shared" si="24"/>
        <v>0</v>
      </c>
      <c r="G30">
        <f t="shared" si="24"/>
        <v>0</v>
      </c>
      <c r="H30">
        <f t="shared" si="24"/>
        <v>0</v>
      </c>
      <c r="I30">
        <f t="shared" ref="I30:AH30" si="25">COUNTIF(I4:I21,"H")</f>
        <v>0</v>
      </c>
      <c r="J30">
        <f t="shared" si="25"/>
        <v>0</v>
      </c>
      <c r="K30">
        <f t="shared" si="25"/>
        <v>0</v>
      </c>
      <c r="L30">
        <f>COUNTIF(L4:L21,"H")</f>
        <v>0</v>
      </c>
      <c r="M30">
        <f t="shared" si="25"/>
        <v>0</v>
      </c>
      <c r="N30">
        <f t="shared" si="25"/>
        <v>0</v>
      </c>
      <c r="O30">
        <f t="shared" si="25"/>
        <v>3</v>
      </c>
      <c r="P30">
        <f t="shared" si="25"/>
        <v>0</v>
      </c>
      <c r="Q30">
        <f t="shared" si="25"/>
        <v>0</v>
      </c>
      <c r="R30">
        <f t="shared" si="25"/>
        <v>0</v>
      </c>
      <c r="S30">
        <f>COUNTIF(S4:S21,"H")</f>
        <v>0</v>
      </c>
      <c r="T30">
        <f t="shared" si="25"/>
        <v>0</v>
      </c>
      <c r="U30">
        <f t="shared" si="25"/>
        <v>0</v>
      </c>
      <c r="V30">
        <f t="shared" si="25"/>
        <v>0</v>
      </c>
      <c r="W30">
        <f t="shared" si="25"/>
        <v>0</v>
      </c>
      <c r="X30">
        <f t="shared" si="25"/>
        <v>0</v>
      </c>
      <c r="Y30">
        <f t="shared" si="25"/>
        <v>0</v>
      </c>
      <c r="Z30">
        <f t="shared" si="25"/>
        <v>0</v>
      </c>
      <c r="AA30">
        <f t="shared" si="25"/>
        <v>0</v>
      </c>
      <c r="AB30">
        <f t="shared" si="25"/>
        <v>0</v>
      </c>
      <c r="AC30">
        <f t="shared" si="25"/>
        <v>0</v>
      </c>
      <c r="AD30">
        <f t="shared" si="25"/>
        <v>0</v>
      </c>
      <c r="AE30">
        <f t="shared" si="25"/>
        <v>0</v>
      </c>
      <c r="AF30">
        <f t="shared" si="25"/>
        <v>0</v>
      </c>
      <c r="AG30">
        <f t="shared" si="25"/>
        <v>0</v>
      </c>
      <c r="AH30">
        <f t="shared" si="25"/>
        <v>0</v>
      </c>
    </row>
    <row r="31" spans="1:62" x14ac:dyDescent="0.35">
      <c r="A31" s="128" t="s">
        <v>131</v>
      </c>
      <c r="B31" s="129">
        <f t="shared" ref="B31:D31" si="26">SUM(B23:B30)</f>
        <v>16</v>
      </c>
      <c r="C31" s="129">
        <f t="shared" si="26"/>
        <v>16</v>
      </c>
      <c r="D31" s="129">
        <f t="shared" si="26"/>
        <v>16</v>
      </c>
      <c r="E31" s="129">
        <f t="shared" ref="E31:F31" si="27">SUM(E23:E30)</f>
        <v>16</v>
      </c>
      <c r="F31" s="129">
        <f t="shared" si="27"/>
        <v>16</v>
      </c>
      <c r="G31" s="129">
        <f t="shared" ref="G31:K31" si="28">SUM(G23:G30)</f>
        <v>16</v>
      </c>
      <c r="H31" s="129">
        <f t="shared" si="28"/>
        <v>16</v>
      </c>
      <c r="I31" s="129">
        <f t="shared" si="28"/>
        <v>16</v>
      </c>
      <c r="J31" s="129">
        <f t="shared" si="28"/>
        <v>16</v>
      </c>
      <c r="K31" s="129">
        <f t="shared" si="28"/>
        <v>16</v>
      </c>
      <c r="L31" s="129">
        <f t="shared" ref="L31:M31" si="29">SUM(L23:L30)</f>
        <v>16</v>
      </c>
      <c r="M31" s="129">
        <f t="shared" si="29"/>
        <v>16</v>
      </c>
      <c r="N31" s="129">
        <f t="shared" ref="N31:R31" si="30">SUM(N23:N30)</f>
        <v>16</v>
      </c>
      <c r="O31" s="129">
        <f t="shared" si="30"/>
        <v>16</v>
      </c>
      <c r="P31" s="129">
        <f t="shared" si="30"/>
        <v>16</v>
      </c>
      <c r="Q31" s="129">
        <f t="shared" si="30"/>
        <v>16</v>
      </c>
      <c r="R31" s="129">
        <f t="shared" si="30"/>
        <v>16</v>
      </c>
      <c r="S31" s="129">
        <f t="shared" ref="S31:T31" si="31">SUM(S23:S30)</f>
        <v>16</v>
      </c>
      <c r="T31" s="129">
        <f t="shared" si="31"/>
        <v>16</v>
      </c>
      <c r="U31" s="129">
        <f t="shared" ref="U31:Y31" si="32">SUM(U23:U30)</f>
        <v>16</v>
      </c>
      <c r="V31" s="129">
        <f t="shared" si="32"/>
        <v>16</v>
      </c>
      <c r="W31" s="129">
        <f t="shared" si="32"/>
        <v>16</v>
      </c>
      <c r="X31" s="129">
        <f t="shared" si="32"/>
        <v>16</v>
      </c>
      <c r="Y31" s="129">
        <f t="shared" si="32"/>
        <v>16</v>
      </c>
      <c r="Z31" s="129">
        <f t="shared" ref="Z31:AA31" si="33">SUM(Z23:Z30)</f>
        <v>16</v>
      </c>
      <c r="AA31" s="129">
        <f t="shared" si="33"/>
        <v>16</v>
      </c>
      <c r="AB31" s="129">
        <f t="shared" ref="AB31:AF31" si="34">SUM(AB23:AB30)</f>
        <v>16</v>
      </c>
      <c r="AC31" s="129">
        <f t="shared" si="34"/>
        <v>16</v>
      </c>
      <c r="AD31" s="129">
        <f t="shared" si="34"/>
        <v>16</v>
      </c>
      <c r="AE31" s="129">
        <f t="shared" si="34"/>
        <v>16</v>
      </c>
      <c r="AF31" s="129">
        <f t="shared" si="34"/>
        <v>1</v>
      </c>
      <c r="AG31" s="129">
        <f t="shared" ref="AG31:AH31" si="35">SUM(AG23:AG30)</f>
        <v>1</v>
      </c>
      <c r="AH31" s="129">
        <f t="shared" si="35"/>
        <v>1</v>
      </c>
    </row>
  </sheetData>
  <conditionalFormatting sqref="B23:AH26">
    <cfRule type="cellIs" dxfId="831" priority="1" operator="lessThan">
      <formula>3</formula>
    </cfRule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"/>
  <dimension ref="A1:AI31"/>
  <sheetViews>
    <sheetView zoomScale="56" zoomScaleNormal="56" workbookViewId="0">
      <pane xSplit="1" topLeftCell="B1" activePane="topRight" state="frozen"/>
      <selection pane="topRight" activeCell="E26" sqref="E26"/>
    </sheetView>
  </sheetViews>
  <sheetFormatPr defaultRowHeight="14.5" x14ac:dyDescent="0.35"/>
  <cols>
    <col min="1" max="1" width="26.453125" bestFit="1" customWidth="1"/>
    <col min="2" max="33" width="8.7265625" customWidth="1"/>
  </cols>
  <sheetData>
    <row r="1" spans="1:35" x14ac:dyDescent="0.35">
      <c r="A1" s="1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>TEXT(L2,"ddd")</f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5" x14ac:dyDescent="0.35">
      <c r="A2" s="95" t="s">
        <v>0</v>
      </c>
      <c r="B2" s="29">
        <v>45261</v>
      </c>
      <c r="C2" s="29">
        <v>45262</v>
      </c>
      <c r="D2" s="29">
        <v>45263</v>
      </c>
      <c r="E2" s="29">
        <v>45264</v>
      </c>
      <c r="F2" s="29">
        <v>45265</v>
      </c>
      <c r="G2" s="29">
        <v>45266</v>
      </c>
      <c r="H2" s="29">
        <v>45267</v>
      </c>
      <c r="I2" s="29">
        <v>45268</v>
      </c>
      <c r="J2" s="29">
        <v>45269</v>
      </c>
      <c r="K2" s="29">
        <v>45270</v>
      </c>
      <c r="L2" s="29">
        <v>45271</v>
      </c>
      <c r="M2" s="29">
        <v>45272</v>
      </c>
      <c r="N2" s="29">
        <v>45273</v>
      </c>
      <c r="O2" s="29">
        <v>45274</v>
      </c>
      <c r="P2" s="29">
        <v>45275</v>
      </c>
      <c r="Q2" s="29">
        <v>45276</v>
      </c>
      <c r="R2" s="29">
        <v>45277</v>
      </c>
      <c r="S2" s="29">
        <v>45278</v>
      </c>
      <c r="T2" s="29">
        <v>45279</v>
      </c>
      <c r="U2" s="29">
        <v>45280</v>
      </c>
      <c r="V2" s="29">
        <v>45281</v>
      </c>
      <c r="W2" s="29">
        <v>45282</v>
      </c>
      <c r="X2" s="29">
        <v>45283</v>
      </c>
      <c r="Y2" s="29">
        <v>45284</v>
      </c>
      <c r="Z2" s="29">
        <v>45285</v>
      </c>
      <c r="AA2" s="29">
        <v>45286</v>
      </c>
      <c r="AB2" s="29">
        <v>45287</v>
      </c>
      <c r="AC2" s="29">
        <v>45288</v>
      </c>
      <c r="AD2" s="29">
        <v>45289</v>
      </c>
      <c r="AE2" s="29">
        <v>45290</v>
      </c>
      <c r="AF2" s="29">
        <v>45291</v>
      </c>
    </row>
    <row r="3" spans="1:35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5" x14ac:dyDescent="0.35">
      <c r="A4" s="165" t="s">
        <v>9</v>
      </c>
      <c r="B4" s="116" t="s">
        <v>2</v>
      </c>
      <c r="C4" s="25" t="s">
        <v>3</v>
      </c>
      <c r="D4" s="25" t="s">
        <v>3</v>
      </c>
      <c r="E4" s="25" t="s">
        <v>6</v>
      </c>
      <c r="F4" s="25" t="s">
        <v>6</v>
      </c>
      <c r="G4" s="116" t="s">
        <v>2</v>
      </c>
      <c r="H4" s="116" t="s">
        <v>2</v>
      </c>
      <c r="I4" s="116" t="s">
        <v>2</v>
      </c>
      <c r="J4" s="25" t="s">
        <v>3</v>
      </c>
      <c r="K4" s="25" t="s">
        <v>3</v>
      </c>
      <c r="L4" s="25" t="s">
        <v>6</v>
      </c>
      <c r="M4" s="25" t="s">
        <v>6</v>
      </c>
      <c r="N4" s="116" t="s">
        <v>2</v>
      </c>
      <c r="O4" s="116" t="s">
        <v>2</v>
      </c>
      <c r="P4" s="116" t="s">
        <v>2</v>
      </c>
      <c r="Q4" s="25" t="s">
        <v>3</v>
      </c>
      <c r="R4" s="25" t="s">
        <v>3</v>
      </c>
      <c r="S4" s="25" t="s">
        <v>6</v>
      </c>
      <c r="T4" s="116" t="s">
        <v>2</v>
      </c>
      <c r="U4" s="116" t="s">
        <v>2</v>
      </c>
      <c r="V4" s="25" t="s">
        <v>6</v>
      </c>
      <c r="W4" s="25" t="s">
        <v>6</v>
      </c>
      <c r="X4" s="122" t="s">
        <v>5</v>
      </c>
      <c r="Y4" s="122" t="s">
        <v>5</v>
      </c>
      <c r="Z4" s="122" t="s">
        <v>5</v>
      </c>
      <c r="AA4" s="122" t="s">
        <v>5</v>
      </c>
      <c r="AB4" s="122" t="s">
        <v>5</v>
      </c>
      <c r="AC4" s="122" t="s">
        <v>5</v>
      </c>
      <c r="AD4" s="122" t="s">
        <v>5</v>
      </c>
      <c r="AE4" s="25" t="s">
        <v>3</v>
      </c>
      <c r="AF4" s="25" t="s">
        <v>3</v>
      </c>
      <c r="AH4">
        <f>COUNTIF(B4:AF4,"W*S*")</f>
        <v>8</v>
      </c>
      <c r="AI4">
        <f>COUNTIF(B4:AF4,"")</f>
        <v>0</v>
      </c>
    </row>
    <row r="5" spans="1:35" x14ac:dyDescent="0.35">
      <c r="A5" s="165" t="s">
        <v>69</v>
      </c>
      <c r="B5" s="25" t="s">
        <v>6</v>
      </c>
      <c r="C5" s="114" t="s">
        <v>4</v>
      </c>
      <c r="D5" s="25" t="s">
        <v>3</v>
      </c>
      <c r="E5" s="25" t="s">
        <v>6</v>
      </c>
      <c r="F5" s="116" t="s">
        <v>2</v>
      </c>
      <c r="G5" s="25" t="s">
        <v>6</v>
      </c>
      <c r="H5" s="25" t="s">
        <v>6</v>
      </c>
      <c r="I5" s="122" t="s">
        <v>5</v>
      </c>
      <c r="J5" s="122" t="s">
        <v>5</v>
      </c>
      <c r="K5" s="122" t="s">
        <v>5</v>
      </c>
      <c r="L5" s="122" t="s">
        <v>5</v>
      </c>
      <c r="M5" s="122" t="s">
        <v>5</v>
      </c>
      <c r="N5" s="122" t="s">
        <v>5</v>
      </c>
      <c r="O5" s="122" t="s">
        <v>5</v>
      </c>
      <c r="P5" s="122" t="s">
        <v>5</v>
      </c>
      <c r="Q5" s="122" t="s">
        <v>5</v>
      </c>
      <c r="R5" s="122" t="s">
        <v>5</v>
      </c>
      <c r="S5" s="116" t="s">
        <v>2</v>
      </c>
      <c r="T5" s="25" t="s">
        <v>6</v>
      </c>
      <c r="U5" s="25" t="s">
        <v>6</v>
      </c>
      <c r="V5" s="116" t="s">
        <v>2</v>
      </c>
      <c r="W5" s="116" t="s">
        <v>2</v>
      </c>
      <c r="X5" s="25" t="s">
        <v>3</v>
      </c>
      <c r="Y5" s="114" t="s">
        <v>4</v>
      </c>
      <c r="Z5" s="116" t="s">
        <v>2</v>
      </c>
      <c r="AA5" s="25" t="s">
        <v>6</v>
      </c>
      <c r="AB5" s="25" t="s">
        <v>6</v>
      </c>
      <c r="AC5" s="25" t="s">
        <v>6</v>
      </c>
      <c r="AD5" s="25" t="s">
        <v>6</v>
      </c>
      <c r="AE5" s="114" t="s">
        <v>4</v>
      </c>
      <c r="AF5" s="25" t="s">
        <v>3</v>
      </c>
      <c r="AH5">
        <f>COUNTIF(B5:AF5,"W*S*")</f>
        <v>3</v>
      </c>
    </row>
    <row r="6" spans="1:35" x14ac:dyDescent="0.35">
      <c r="A6" s="141" t="s">
        <v>21</v>
      </c>
      <c r="B6" s="122" t="s">
        <v>5</v>
      </c>
      <c r="C6" s="122" t="s">
        <v>4</v>
      </c>
      <c r="D6" s="122" t="s">
        <v>4</v>
      </c>
      <c r="E6" s="122" t="s">
        <v>5</v>
      </c>
      <c r="F6" s="122" t="s">
        <v>5</v>
      </c>
      <c r="G6" s="122" t="s">
        <v>5</v>
      </c>
      <c r="H6" s="122" t="s">
        <v>5</v>
      </c>
      <c r="I6" s="19" t="s">
        <v>41</v>
      </c>
      <c r="J6" s="25" t="s">
        <v>3</v>
      </c>
      <c r="K6" s="114" t="s">
        <v>4</v>
      </c>
      <c r="L6" s="25" t="s">
        <v>6</v>
      </c>
      <c r="M6" s="25" t="s">
        <v>6</v>
      </c>
      <c r="N6" s="25" t="s">
        <v>6</v>
      </c>
      <c r="O6" s="25" t="s">
        <v>6</v>
      </c>
      <c r="P6" s="25" t="s">
        <v>6</v>
      </c>
      <c r="Q6" s="25" t="s">
        <v>3</v>
      </c>
      <c r="R6" s="114" t="s">
        <v>4</v>
      </c>
      <c r="S6" s="122" t="s">
        <v>5</v>
      </c>
      <c r="T6" s="122" t="s">
        <v>5</v>
      </c>
      <c r="U6" s="122" t="s">
        <v>5</v>
      </c>
      <c r="V6" s="122" t="s">
        <v>5</v>
      </c>
      <c r="W6" s="122" t="s">
        <v>5</v>
      </c>
      <c r="X6" s="114" t="s">
        <v>4</v>
      </c>
      <c r="Y6" s="25" t="s">
        <v>3</v>
      </c>
      <c r="Z6" s="25" t="s">
        <v>6</v>
      </c>
      <c r="AA6" s="116" t="s">
        <v>2</v>
      </c>
      <c r="AB6" s="25" t="s">
        <v>6</v>
      </c>
      <c r="AC6" s="25" t="s">
        <v>6</v>
      </c>
      <c r="AD6" s="25" t="s">
        <v>6</v>
      </c>
      <c r="AE6" s="114" t="s">
        <v>4</v>
      </c>
      <c r="AF6" s="114" t="s">
        <v>4</v>
      </c>
      <c r="AH6">
        <f t="shared" ref="AH6:AH21" si="1">COUNTIF(B6:AF6,"W*S*")</f>
        <v>3</v>
      </c>
    </row>
    <row r="7" spans="1:35" x14ac:dyDescent="0.35">
      <c r="A7" s="141" t="s">
        <v>22</v>
      </c>
      <c r="B7" s="25" t="s">
        <v>6</v>
      </c>
      <c r="C7" s="25" t="s">
        <v>3</v>
      </c>
      <c r="D7" s="114" t="s">
        <v>4</v>
      </c>
      <c r="E7" s="116" t="s">
        <v>2</v>
      </c>
      <c r="F7" s="25" t="s">
        <v>6</v>
      </c>
      <c r="G7" s="25" t="s">
        <v>6</v>
      </c>
      <c r="H7" s="25" t="s">
        <v>6</v>
      </c>
      <c r="I7" s="25" t="s">
        <v>6</v>
      </c>
      <c r="J7" s="114" t="s">
        <v>4</v>
      </c>
      <c r="K7" s="25" t="s">
        <v>3</v>
      </c>
      <c r="L7" s="116" t="s">
        <v>2</v>
      </c>
      <c r="M7" s="25" t="s">
        <v>6</v>
      </c>
      <c r="N7" s="25" t="s">
        <v>6</v>
      </c>
      <c r="O7" s="25" t="s">
        <v>6</v>
      </c>
      <c r="P7" s="25" t="s">
        <v>6</v>
      </c>
      <c r="Q7" s="114" t="s">
        <v>4</v>
      </c>
      <c r="R7" s="25" t="s">
        <v>3</v>
      </c>
      <c r="S7" s="116" t="s">
        <v>2</v>
      </c>
      <c r="T7" s="25" t="s">
        <v>6</v>
      </c>
      <c r="U7" s="25" t="s">
        <v>6</v>
      </c>
      <c r="V7" s="25" t="s">
        <v>6</v>
      </c>
      <c r="W7" s="116" t="s">
        <v>2</v>
      </c>
      <c r="X7" s="25" t="s">
        <v>3</v>
      </c>
      <c r="Y7" s="25" t="s">
        <v>3</v>
      </c>
      <c r="Z7" s="25" t="s">
        <v>6</v>
      </c>
      <c r="AA7" s="25" t="s">
        <v>6</v>
      </c>
      <c r="AB7" s="122" t="s">
        <v>5</v>
      </c>
      <c r="AC7" s="122" t="s">
        <v>5</v>
      </c>
      <c r="AD7" s="122" t="s">
        <v>5</v>
      </c>
      <c r="AE7" s="25" t="s">
        <v>3</v>
      </c>
      <c r="AF7" s="114" t="s">
        <v>4</v>
      </c>
      <c r="AH7">
        <f t="shared" si="1"/>
        <v>6</v>
      </c>
    </row>
    <row r="8" spans="1:35" x14ac:dyDescent="0.35">
      <c r="A8" s="141" t="s">
        <v>70</v>
      </c>
      <c r="B8" s="25" t="s">
        <v>6</v>
      </c>
      <c r="C8" s="114" t="s">
        <v>4</v>
      </c>
      <c r="D8" s="114" t="s">
        <v>4</v>
      </c>
      <c r="E8" s="25" t="s">
        <v>6</v>
      </c>
      <c r="F8" s="25" t="s">
        <v>6</v>
      </c>
      <c r="G8" s="25" t="s">
        <v>6</v>
      </c>
      <c r="H8" s="25" t="s">
        <v>6</v>
      </c>
      <c r="I8" s="25" t="s">
        <v>6</v>
      </c>
      <c r="J8" s="22" t="s">
        <v>30</v>
      </c>
      <c r="K8" s="114" t="s">
        <v>4</v>
      </c>
      <c r="L8" s="22" t="s">
        <v>16</v>
      </c>
      <c r="M8" s="116" t="s">
        <v>2</v>
      </c>
      <c r="N8" s="25" t="s">
        <v>6</v>
      </c>
      <c r="O8" s="25" t="s">
        <v>6</v>
      </c>
      <c r="P8" s="25" t="s">
        <v>6</v>
      </c>
      <c r="Q8" s="22" t="s">
        <v>30</v>
      </c>
      <c r="R8" s="114" t="s">
        <v>4</v>
      </c>
      <c r="S8" s="25" t="s">
        <v>6</v>
      </c>
      <c r="T8" s="116" t="s">
        <v>2</v>
      </c>
      <c r="U8" s="25" t="s">
        <v>6</v>
      </c>
      <c r="V8" s="25" t="s">
        <v>6</v>
      </c>
      <c r="W8" s="19" t="s">
        <v>41</v>
      </c>
      <c r="X8" s="22" t="s">
        <v>30</v>
      </c>
      <c r="Y8" s="114" t="s">
        <v>4</v>
      </c>
      <c r="Z8" s="25" t="s">
        <v>6</v>
      </c>
      <c r="AA8" s="116" t="s">
        <v>2</v>
      </c>
      <c r="AB8" s="25" t="s">
        <v>6</v>
      </c>
      <c r="AC8" s="25" t="s">
        <v>6</v>
      </c>
      <c r="AD8" s="25" t="s">
        <v>6</v>
      </c>
      <c r="AE8" s="22" t="s">
        <v>30</v>
      </c>
      <c r="AF8" s="114" t="s">
        <v>4</v>
      </c>
      <c r="AH8">
        <f t="shared" si="1"/>
        <v>4</v>
      </c>
    </row>
    <row r="9" spans="1:35" x14ac:dyDescent="0.35">
      <c r="A9" s="141" t="s">
        <v>152</v>
      </c>
      <c r="B9" s="25" t="s">
        <v>6</v>
      </c>
      <c r="C9" s="114" t="s">
        <v>4</v>
      </c>
      <c r="D9" s="114" t="s">
        <v>4</v>
      </c>
      <c r="E9" s="25" t="s">
        <v>6</v>
      </c>
      <c r="F9" s="25" t="s">
        <v>6</v>
      </c>
      <c r="G9" s="25" t="s">
        <v>6</v>
      </c>
      <c r="H9" s="25" t="s">
        <v>6</v>
      </c>
      <c r="I9" s="25" t="s">
        <v>6</v>
      </c>
      <c r="J9" s="114" t="s">
        <v>4</v>
      </c>
      <c r="K9" s="114" t="s">
        <v>4</v>
      </c>
      <c r="L9" s="25" t="s">
        <v>6</v>
      </c>
      <c r="M9" s="25" t="s">
        <v>6</v>
      </c>
      <c r="N9" s="22" t="s">
        <v>16</v>
      </c>
      <c r="O9" s="25" t="s">
        <v>6</v>
      </c>
      <c r="P9" s="22" t="s">
        <v>16</v>
      </c>
      <c r="Q9" s="114" t="s">
        <v>4</v>
      </c>
      <c r="R9" s="114" t="s">
        <v>4</v>
      </c>
      <c r="S9" s="19" t="s">
        <v>41</v>
      </c>
      <c r="T9" s="25" t="s">
        <v>6</v>
      </c>
      <c r="U9" s="25" t="s">
        <v>6</v>
      </c>
      <c r="V9" s="25" t="s">
        <v>6</v>
      </c>
      <c r="W9" s="25" t="s">
        <v>6</v>
      </c>
      <c r="X9" s="114" t="s">
        <v>4</v>
      </c>
      <c r="Y9" s="114" t="s">
        <v>4</v>
      </c>
      <c r="Z9" s="22" t="s">
        <v>30</v>
      </c>
      <c r="AA9" s="25" t="s">
        <v>6</v>
      </c>
      <c r="AB9" s="116" t="s">
        <v>2</v>
      </c>
      <c r="AC9" s="116" t="s">
        <v>2</v>
      </c>
      <c r="AD9" s="116" t="s">
        <v>2</v>
      </c>
      <c r="AE9" s="114" t="s">
        <v>4</v>
      </c>
      <c r="AF9" s="114" t="s">
        <v>4</v>
      </c>
      <c r="AH9">
        <f t="shared" si="1"/>
        <v>1</v>
      </c>
    </row>
    <row r="10" spans="1:35" x14ac:dyDescent="0.35">
      <c r="A10" s="1"/>
    </row>
    <row r="11" spans="1:35" x14ac:dyDescent="0.35">
      <c r="A11" s="165" t="s">
        <v>1</v>
      </c>
      <c r="B11" s="16" t="s">
        <v>10</v>
      </c>
      <c r="C11" s="16" t="s">
        <v>11</v>
      </c>
      <c r="D11" s="16" t="s">
        <v>11</v>
      </c>
      <c r="E11" s="122" t="s">
        <v>5</v>
      </c>
      <c r="F11" s="16" t="s">
        <v>10</v>
      </c>
      <c r="G11" s="16" t="s">
        <v>10</v>
      </c>
      <c r="H11" s="116" t="s">
        <v>2</v>
      </c>
      <c r="I11" s="16" t="s">
        <v>10</v>
      </c>
      <c r="J11" s="16" t="s">
        <v>11</v>
      </c>
      <c r="K11" s="122" t="s">
        <v>5</v>
      </c>
      <c r="L11" s="16" t="s">
        <v>10</v>
      </c>
      <c r="M11" s="16" t="s">
        <v>10</v>
      </c>
      <c r="N11" s="16" t="s">
        <v>10</v>
      </c>
      <c r="O11" s="116" t="s">
        <v>2</v>
      </c>
      <c r="P11" s="16" t="s">
        <v>10</v>
      </c>
      <c r="Q11" s="16" t="s">
        <v>11</v>
      </c>
      <c r="R11" s="16" t="s">
        <v>11</v>
      </c>
      <c r="S11" s="16" t="s">
        <v>10</v>
      </c>
      <c r="T11" s="16" t="s">
        <v>10</v>
      </c>
      <c r="U11" s="16" t="s">
        <v>10</v>
      </c>
      <c r="V11" s="116" t="s">
        <v>2</v>
      </c>
      <c r="W11" s="16" t="s">
        <v>10</v>
      </c>
      <c r="X11" s="114" t="s">
        <v>4</v>
      </c>
      <c r="Y11" s="114" t="s">
        <v>4</v>
      </c>
      <c r="Z11" s="16" t="s">
        <v>10</v>
      </c>
      <c r="AA11" s="16" t="s">
        <v>10</v>
      </c>
      <c r="AB11" s="16" t="s">
        <v>10</v>
      </c>
      <c r="AC11" s="116" t="s">
        <v>2</v>
      </c>
      <c r="AD11" s="16" t="s">
        <v>10</v>
      </c>
      <c r="AE11" s="16" t="s">
        <v>11</v>
      </c>
      <c r="AF11" s="16" t="s">
        <v>11</v>
      </c>
      <c r="AH11">
        <f t="shared" si="1"/>
        <v>7</v>
      </c>
    </row>
    <row r="12" spans="1:35" x14ac:dyDescent="0.35">
      <c r="A12" s="141" t="s">
        <v>15</v>
      </c>
      <c r="B12" s="122" t="s">
        <v>5</v>
      </c>
      <c r="C12" s="16" t="s">
        <v>11</v>
      </c>
      <c r="D12" s="16" t="s">
        <v>11</v>
      </c>
      <c r="E12" s="16" t="s">
        <v>10</v>
      </c>
      <c r="F12" s="116" t="s">
        <v>2</v>
      </c>
      <c r="G12" s="116" t="s">
        <v>2</v>
      </c>
      <c r="H12" s="16" t="s">
        <v>10</v>
      </c>
      <c r="I12" s="16" t="s">
        <v>10</v>
      </c>
      <c r="J12" s="16" t="s">
        <v>11</v>
      </c>
      <c r="K12" s="16" t="s">
        <v>11</v>
      </c>
      <c r="L12" s="116" t="s">
        <v>2</v>
      </c>
      <c r="M12" s="116" t="s">
        <v>2</v>
      </c>
      <c r="N12" s="116" t="s">
        <v>2</v>
      </c>
      <c r="O12" s="16" t="s">
        <v>10</v>
      </c>
      <c r="P12" s="16" t="s">
        <v>10</v>
      </c>
      <c r="Q12" s="16" t="s">
        <v>11</v>
      </c>
      <c r="R12" s="16" t="s">
        <v>11</v>
      </c>
      <c r="S12" s="116" t="s">
        <v>2</v>
      </c>
      <c r="T12" s="116" t="s">
        <v>2</v>
      </c>
      <c r="U12" s="116" t="s">
        <v>2</v>
      </c>
      <c r="V12" s="16" t="s">
        <v>10</v>
      </c>
      <c r="W12" s="16" t="s">
        <v>10</v>
      </c>
      <c r="X12" s="16" t="s">
        <v>11</v>
      </c>
      <c r="Y12" s="16" t="s">
        <v>11</v>
      </c>
      <c r="Z12" s="116" t="s">
        <v>2</v>
      </c>
      <c r="AA12" s="116" t="s">
        <v>2</v>
      </c>
      <c r="AB12" s="116" t="s">
        <v>2</v>
      </c>
      <c r="AC12" s="16" t="s">
        <v>10</v>
      </c>
      <c r="AD12" s="16" t="s">
        <v>10</v>
      </c>
      <c r="AE12" s="16" t="s">
        <v>11</v>
      </c>
      <c r="AF12" s="122" t="s">
        <v>5</v>
      </c>
      <c r="AH12">
        <f t="shared" si="1"/>
        <v>9</v>
      </c>
    </row>
    <row r="13" spans="1:35" x14ac:dyDescent="0.35">
      <c r="A13" s="165" t="s">
        <v>124</v>
      </c>
      <c r="B13" s="16" t="s">
        <v>10</v>
      </c>
      <c r="C13" s="114" t="s">
        <v>4</v>
      </c>
      <c r="D13" s="114" t="s">
        <v>4</v>
      </c>
      <c r="E13" s="16" t="s">
        <v>10</v>
      </c>
      <c r="F13" s="16" t="s">
        <v>10</v>
      </c>
      <c r="G13" s="16" t="s">
        <v>10</v>
      </c>
      <c r="H13" s="16" t="s">
        <v>10</v>
      </c>
      <c r="I13" s="16" t="s">
        <v>10</v>
      </c>
      <c r="J13" s="16" t="s">
        <v>11</v>
      </c>
      <c r="K13" s="114" t="s">
        <v>4</v>
      </c>
      <c r="L13" s="16" t="s">
        <v>10</v>
      </c>
      <c r="M13" s="16" t="s">
        <v>10</v>
      </c>
      <c r="N13" s="16" t="s">
        <v>10</v>
      </c>
      <c r="O13" s="122" t="s">
        <v>5</v>
      </c>
      <c r="P13" s="122" t="s">
        <v>5</v>
      </c>
      <c r="Q13" s="122" t="s">
        <v>5</v>
      </c>
      <c r="R13" s="114" t="s">
        <v>4</v>
      </c>
      <c r="S13" s="16" t="s">
        <v>10</v>
      </c>
      <c r="T13" s="16" t="s">
        <v>10</v>
      </c>
      <c r="U13" s="16" t="s">
        <v>10</v>
      </c>
      <c r="V13" s="16" t="s">
        <v>10</v>
      </c>
      <c r="W13" s="16" t="s">
        <v>10</v>
      </c>
      <c r="X13" s="16" t="s">
        <v>11</v>
      </c>
      <c r="Y13" s="114" t="s">
        <v>4</v>
      </c>
      <c r="Z13" s="116" t="s">
        <v>2</v>
      </c>
      <c r="AA13" s="16" t="s">
        <v>10</v>
      </c>
      <c r="AB13" s="16" t="s">
        <v>10</v>
      </c>
      <c r="AC13" s="16" t="s">
        <v>10</v>
      </c>
      <c r="AD13" s="16" t="s">
        <v>10</v>
      </c>
      <c r="AE13" s="114" t="s">
        <v>4</v>
      </c>
      <c r="AF13" s="16" t="s">
        <v>11</v>
      </c>
      <c r="AH13">
        <f t="shared" si="1"/>
        <v>3</v>
      </c>
    </row>
    <row r="14" spans="1:35" x14ac:dyDescent="0.35">
      <c r="A14" s="141" t="s">
        <v>71</v>
      </c>
      <c r="B14" s="16" t="s">
        <v>10</v>
      </c>
      <c r="C14" s="122" t="s">
        <v>4</v>
      </c>
      <c r="D14" s="122" t="s">
        <v>4</v>
      </c>
      <c r="E14" s="122" t="s">
        <v>5</v>
      </c>
      <c r="F14" s="122" t="s">
        <v>5</v>
      </c>
      <c r="G14" s="122" t="s">
        <v>5</v>
      </c>
      <c r="H14" s="122" t="s">
        <v>5</v>
      </c>
      <c r="I14" s="122" t="s">
        <v>5</v>
      </c>
      <c r="J14" s="114" t="s">
        <v>4</v>
      </c>
      <c r="K14" s="16" t="s">
        <v>11</v>
      </c>
      <c r="L14" s="16" t="s">
        <v>10</v>
      </c>
      <c r="M14" s="16" t="s">
        <v>10</v>
      </c>
      <c r="N14" s="16" t="s">
        <v>10</v>
      </c>
      <c r="O14" s="16" t="s">
        <v>10</v>
      </c>
      <c r="P14" s="16" t="s">
        <v>10</v>
      </c>
      <c r="Q14" s="114" t="s">
        <v>4</v>
      </c>
      <c r="R14" s="114" t="s">
        <v>4</v>
      </c>
      <c r="S14" s="16" t="s">
        <v>10</v>
      </c>
      <c r="T14" s="16" t="s">
        <v>10</v>
      </c>
      <c r="U14" s="122" t="s">
        <v>5</v>
      </c>
      <c r="V14" s="122" t="s">
        <v>5</v>
      </c>
      <c r="W14" s="122" t="s">
        <v>5</v>
      </c>
      <c r="X14" s="16" t="s">
        <v>11</v>
      </c>
      <c r="Y14" s="16" t="s">
        <v>11</v>
      </c>
      <c r="Z14" s="16" t="s">
        <v>10</v>
      </c>
      <c r="AA14" s="16" t="s">
        <v>10</v>
      </c>
      <c r="AB14" s="122" t="s">
        <v>5</v>
      </c>
      <c r="AC14" s="122" t="s">
        <v>5</v>
      </c>
      <c r="AD14" s="122" t="s">
        <v>5</v>
      </c>
      <c r="AE14" s="114" t="s">
        <v>4</v>
      </c>
      <c r="AF14" s="114" t="s">
        <v>4</v>
      </c>
      <c r="AH14">
        <f t="shared" si="1"/>
        <v>3</v>
      </c>
    </row>
    <row r="15" spans="1:35" x14ac:dyDescent="0.35">
      <c r="A15" s="141" t="s">
        <v>149</v>
      </c>
      <c r="B15" s="19" t="s">
        <v>41</v>
      </c>
      <c r="C15" s="16" t="s">
        <v>11</v>
      </c>
      <c r="D15" s="114" t="s">
        <v>4</v>
      </c>
      <c r="E15" s="16" t="s">
        <v>10</v>
      </c>
      <c r="F15" s="16" t="s">
        <v>10</v>
      </c>
      <c r="G15" s="16" t="s">
        <v>10</v>
      </c>
      <c r="H15" s="16" t="s">
        <v>10</v>
      </c>
      <c r="I15" s="116" t="s">
        <v>2</v>
      </c>
      <c r="J15" s="114" t="s">
        <v>4</v>
      </c>
      <c r="K15" s="114" t="s">
        <v>4</v>
      </c>
      <c r="L15" s="16" t="s">
        <v>10</v>
      </c>
      <c r="M15" s="16" t="s">
        <v>10</v>
      </c>
      <c r="N15" s="16" t="s">
        <v>10</v>
      </c>
      <c r="O15" s="16" t="s">
        <v>10</v>
      </c>
      <c r="P15" s="16" t="s">
        <v>10</v>
      </c>
      <c r="Q15" s="16" t="s">
        <v>11</v>
      </c>
      <c r="R15" s="114" t="s">
        <v>4</v>
      </c>
      <c r="S15" s="116" t="s">
        <v>2</v>
      </c>
      <c r="T15" s="16" t="s">
        <v>10</v>
      </c>
      <c r="U15" s="16" t="s">
        <v>10</v>
      </c>
      <c r="V15" s="16" t="s">
        <v>10</v>
      </c>
      <c r="W15" s="16" t="s">
        <v>10</v>
      </c>
      <c r="X15" s="114" t="s">
        <v>4</v>
      </c>
      <c r="Y15" s="114" t="s">
        <v>4</v>
      </c>
      <c r="Z15" s="16" t="s">
        <v>10</v>
      </c>
      <c r="AA15" s="16" t="s">
        <v>10</v>
      </c>
      <c r="AB15" s="16" t="s">
        <v>10</v>
      </c>
      <c r="AC15" s="16" t="s">
        <v>10</v>
      </c>
      <c r="AD15" s="16" t="s">
        <v>10</v>
      </c>
      <c r="AE15" s="114" t="s">
        <v>4</v>
      </c>
      <c r="AF15" s="114" t="s">
        <v>4</v>
      </c>
      <c r="AH15">
        <f t="shared" si="1"/>
        <v>2</v>
      </c>
    </row>
    <row r="16" spans="1:35" x14ac:dyDescent="0.35">
      <c r="A16" s="1"/>
    </row>
    <row r="17" spans="1:34" x14ac:dyDescent="0.35">
      <c r="A17" s="165" t="s">
        <v>57</v>
      </c>
      <c r="B17" s="122" t="s">
        <v>5</v>
      </c>
      <c r="C17" s="122" t="s">
        <v>4</v>
      </c>
      <c r="D17" s="122" t="s">
        <v>4</v>
      </c>
      <c r="E17" s="122" t="s">
        <v>5</v>
      </c>
      <c r="F17" s="122" t="s">
        <v>5</v>
      </c>
      <c r="G17" s="19" t="s">
        <v>41</v>
      </c>
      <c r="H17" s="19" t="s">
        <v>41</v>
      </c>
      <c r="I17" s="19" t="s">
        <v>41</v>
      </c>
      <c r="J17" s="19" t="s">
        <v>42</v>
      </c>
      <c r="K17" s="19" t="s">
        <v>42</v>
      </c>
      <c r="L17" s="116" t="s">
        <v>2</v>
      </c>
      <c r="M17" s="19" t="s">
        <v>41</v>
      </c>
      <c r="N17" s="19" t="s">
        <v>41</v>
      </c>
      <c r="O17" s="19" t="s">
        <v>41</v>
      </c>
      <c r="P17" s="116" t="s">
        <v>2</v>
      </c>
      <c r="Q17" s="19" t="s">
        <v>42</v>
      </c>
      <c r="R17" s="19" t="s">
        <v>42</v>
      </c>
      <c r="S17" s="19" t="s">
        <v>41</v>
      </c>
      <c r="T17" s="19" t="s">
        <v>41</v>
      </c>
      <c r="U17" s="19" t="s">
        <v>41</v>
      </c>
      <c r="V17" s="116" t="s">
        <v>2</v>
      </c>
      <c r="W17" s="116" t="s">
        <v>2</v>
      </c>
      <c r="X17" s="114" t="s">
        <v>4</v>
      </c>
      <c r="Y17" s="19" t="s">
        <v>42</v>
      </c>
      <c r="Z17" s="19" t="s">
        <v>41</v>
      </c>
      <c r="AA17" s="19" t="s">
        <v>41</v>
      </c>
      <c r="AB17" s="19" t="s">
        <v>41</v>
      </c>
      <c r="AC17" s="19" t="s">
        <v>41</v>
      </c>
      <c r="AD17" s="116" t="s">
        <v>2</v>
      </c>
      <c r="AE17" s="19" t="s">
        <v>42</v>
      </c>
      <c r="AF17" s="19" t="s">
        <v>42</v>
      </c>
      <c r="AH17">
        <f t="shared" si="1"/>
        <v>7</v>
      </c>
    </row>
    <row r="18" spans="1:34" x14ac:dyDescent="0.35">
      <c r="A18" s="165" t="s">
        <v>43</v>
      </c>
      <c r="B18" s="19" t="s">
        <v>41</v>
      </c>
      <c r="C18" s="19" t="s">
        <v>42</v>
      </c>
      <c r="D18" s="19" t="s">
        <v>42</v>
      </c>
      <c r="E18" s="19" t="s">
        <v>41</v>
      </c>
      <c r="F18" s="19" t="s">
        <v>41</v>
      </c>
      <c r="G18" s="19" t="s">
        <v>41</v>
      </c>
      <c r="H18" s="19" t="s">
        <v>41</v>
      </c>
      <c r="I18" s="25" t="s">
        <v>6</v>
      </c>
      <c r="J18" s="114" t="s">
        <v>4</v>
      </c>
      <c r="K18" s="114" t="s">
        <v>4</v>
      </c>
      <c r="L18" s="19" t="s">
        <v>41</v>
      </c>
      <c r="M18" s="116" t="s">
        <v>2</v>
      </c>
      <c r="N18" s="122" t="s">
        <v>5</v>
      </c>
      <c r="O18" s="122" t="s">
        <v>5</v>
      </c>
      <c r="P18" s="122" t="s">
        <v>5</v>
      </c>
      <c r="Q18" s="122" t="s">
        <v>5</v>
      </c>
      <c r="R18" s="122" t="s">
        <v>5</v>
      </c>
      <c r="S18" s="122" t="s">
        <v>5</v>
      </c>
      <c r="T18" s="122" t="s">
        <v>5</v>
      </c>
      <c r="U18" s="122" t="s">
        <v>5</v>
      </c>
      <c r="V18" s="19" t="s">
        <v>41</v>
      </c>
      <c r="W18" s="19" t="s">
        <v>41</v>
      </c>
      <c r="X18" s="19" t="s">
        <v>42</v>
      </c>
      <c r="Y18" s="114" t="s">
        <v>4</v>
      </c>
      <c r="Z18" s="19" t="s">
        <v>41</v>
      </c>
      <c r="AA18" s="19" t="s">
        <v>41</v>
      </c>
      <c r="AB18" s="19" t="s">
        <v>41</v>
      </c>
      <c r="AC18" s="19" t="s">
        <v>41</v>
      </c>
      <c r="AD18" s="19" t="s">
        <v>41</v>
      </c>
      <c r="AE18" s="122" t="s">
        <v>5</v>
      </c>
      <c r="AF18" s="122" t="s">
        <v>5</v>
      </c>
      <c r="AH18">
        <f t="shared" si="1"/>
        <v>3</v>
      </c>
    </row>
    <row r="19" spans="1:34" x14ac:dyDescent="0.35">
      <c r="A19" s="141" t="s">
        <v>68</v>
      </c>
      <c r="B19" s="19" t="s">
        <v>41</v>
      </c>
      <c r="C19" s="122" t="s">
        <v>4</v>
      </c>
      <c r="D19" s="122" t="s">
        <v>4</v>
      </c>
      <c r="E19" s="19" t="s">
        <v>41</v>
      </c>
      <c r="F19" s="19" t="s">
        <v>41</v>
      </c>
      <c r="G19" s="19" t="s">
        <v>41</v>
      </c>
      <c r="H19" s="19" t="s">
        <v>41</v>
      </c>
      <c r="I19" s="122" t="s">
        <v>5</v>
      </c>
      <c r="J19" s="19" t="s">
        <v>42</v>
      </c>
      <c r="K19" s="114" t="s">
        <v>4</v>
      </c>
      <c r="L19" s="19" t="s">
        <v>41</v>
      </c>
      <c r="M19" s="19" t="s">
        <v>41</v>
      </c>
      <c r="N19" s="116" t="s">
        <v>2</v>
      </c>
      <c r="O19" s="19" t="s">
        <v>41</v>
      </c>
      <c r="P19" s="19" t="s">
        <v>41</v>
      </c>
      <c r="Q19" s="19" t="s">
        <v>42</v>
      </c>
      <c r="R19" s="114" t="s">
        <v>4</v>
      </c>
      <c r="S19" s="19" t="s">
        <v>41</v>
      </c>
      <c r="T19" s="19" t="s">
        <v>41</v>
      </c>
      <c r="U19" s="19" t="s">
        <v>41</v>
      </c>
      <c r="V19" s="19" t="s">
        <v>41</v>
      </c>
      <c r="W19" s="19" t="s">
        <v>41</v>
      </c>
      <c r="X19" s="122" t="s">
        <v>5</v>
      </c>
      <c r="Y19" s="122" t="s">
        <v>5</v>
      </c>
      <c r="Z19" s="19" t="s">
        <v>41</v>
      </c>
      <c r="AA19" s="122" t="s">
        <v>5</v>
      </c>
      <c r="AB19" s="122" t="s">
        <v>5</v>
      </c>
      <c r="AC19" s="122" t="s">
        <v>5</v>
      </c>
      <c r="AD19" s="19" t="s">
        <v>41</v>
      </c>
      <c r="AE19" s="19" t="s">
        <v>42</v>
      </c>
      <c r="AF19" s="122" t="s">
        <v>5</v>
      </c>
      <c r="AH19">
        <f t="shared" si="1"/>
        <v>3</v>
      </c>
    </row>
    <row r="20" spans="1:34" x14ac:dyDescent="0.35">
      <c r="A20" s="141" t="s">
        <v>60</v>
      </c>
      <c r="B20" s="116" t="s">
        <v>2</v>
      </c>
      <c r="C20" s="19" t="s">
        <v>42</v>
      </c>
      <c r="D20" s="19" t="s">
        <v>42</v>
      </c>
      <c r="E20" s="116" t="s">
        <v>2</v>
      </c>
      <c r="F20" s="19" t="s">
        <v>41</v>
      </c>
      <c r="G20" s="19" t="s">
        <v>41</v>
      </c>
      <c r="H20" s="116" t="s">
        <v>2</v>
      </c>
      <c r="I20" s="19" t="s">
        <v>41</v>
      </c>
      <c r="J20" s="114" t="s">
        <v>4</v>
      </c>
      <c r="K20" s="19" t="s">
        <v>42</v>
      </c>
      <c r="L20" s="116" t="s">
        <v>2</v>
      </c>
      <c r="M20" s="19" t="s">
        <v>41</v>
      </c>
      <c r="N20" s="19" t="s">
        <v>41</v>
      </c>
      <c r="O20" s="19" t="s">
        <v>41</v>
      </c>
      <c r="P20" s="19" t="s">
        <v>41</v>
      </c>
      <c r="Q20" s="114" t="s">
        <v>4</v>
      </c>
      <c r="R20" s="114" t="s">
        <v>4</v>
      </c>
      <c r="S20" s="25" t="s">
        <v>6</v>
      </c>
      <c r="T20" s="19" t="s">
        <v>41</v>
      </c>
      <c r="U20" s="116" t="s">
        <v>2</v>
      </c>
      <c r="V20" s="19" t="s">
        <v>41</v>
      </c>
      <c r="W20" s="25" t="s">
        <v>6</v>
      </c>
      <c r="X20" s="19" t="s">
        <v>42</v>
      </c>
      <c r="Y20" s="19" t="s">
        <v>42</v>
      </c>
      <c r="Z20" s="116" t="s">
        <v>2</v>
      </c>
      <c r="AA20" s="19" t="s">
        <v>41</v>
      </c>
      <c r="AB20" s="19" t="s">
        <v>41</v>
      </c>
      <c r="AC20" s="19" t="s">
        <v>41</v>
      </c>
      <c r="AD20" s="19" t="s">
        <v>41</v>
      </c>
      <c r="AE20" s="114" t="s">
        <v>4</v>
      </c>
      <c r="AF20" s="19" t="s">
        <v>42</v>
      </c>
      <c r="AH20">
        <f t="shared" si="1"/>
        <v>6</v>
      </c>
    </row>
    <row r="21" spans="1:34" x14ac:dyDescent="0.35">
      <c r="A21" s="141" t="s">
        <v>153</v>
      </c>
      <c r="B21" s="116" t="s">
        <v>2</v>
      </c>
      <c r="C21" s="114" t="s">
        <v>4</v>
      </c>
      <c r="D21" s="114" t="s">
        <v>4</v>
      </c>
      <c r="E21" s="19" t="s">
        <v>41</v>
      </c>
      <c r="F21" s="19" t="s">
        <v>41</v>
      </c>
      <c r="G21" s="22" t="s">
        <v>16</v>
      </c>
      <c r="H21" s="19" t="s">
        <v>41</v>
      </c>
      <c r="I21" s="19" t="s">
        <v>41</v>
      </c>
      <c r="J21" s="114" t="s">
        <v>4</v>
      </c>
      <c r="K21" s="114" t="s">
        <v>4</v>
      </c>
      <c r="L21" s="19" t="s">
        <v>41</v>
      </c>
      <c r="M21" s="19" t="s">
        <v>41</v>
      </c>
      <c r="N21" s="19" t="s">
        <v>41</v>
      </c>
      <c r="O21" s="19" t="s">
        <v>41</v>
      </c>
      <c r="P21" s="19" t="s">
        <v>41</v>
      </c>
      <c r="Q21" s="114" t="s">
        <v>4</v>
      </c>
      <c r="R21" s="19" t="s">
        <v>42</v>
      </c>
      <c r="S21" s="19" t="s">
        <v>41</v>
      </c>
      <c r="T21" s="19" t="s">
        <v>41</v>
      </c>
      <c r="U21" s="19" t="s">
        <v>41</v>
      </c>
      <c r="V21" s="19" t="s">
        <v>41</v>
      </c>
      <c r="W21" s="19" t="s">
        <v>41</v>
      </c>
      <c r="X21" s="114" t="s">
        <v>4</v>
      </c>
      <c r="Y21" s="114" t="s">
        <v>4</v>
      </c>
      <c r="Z21" s="122" t="s">
        <v>5</v>
      </c>
      <c r="AA21" s="122" t="s">
        <v>5</v>
      </c>
      <c r="AB21" s="122" t="s">
        <v>5</v>
      </c>
      <c r="AC21" s="122" t="s">
        <v>5</v>
      </c>
      <c r="AD21" s="122" t="s">
        <v>5</v>
      </c>
      <c r="AE21" s="122" t="s">
        <v>5</v>
      </c>
      <c r="AF21" s="122" t="s">
        <v>5</v>
      </c>
      <c r="AH21">
        <f t="shared" si="1"/>
        <v>1</v>
      </c>
    </row>
    <row r="23" spans="1:34" x14ac:dyDescent="0.35">
      <c r="A23" s="128" t="s">
        <v>125</v>
      </c>
      <c r="B23">
        <f t="shared" ref="B23:D23" si="2">COUNTIF(B4:B21,"*MS")</f>
        <v>4</v>
      </c>
      <c r="C23">
        <f t="shared" si="2"/>
        <v>2</v>
      </c>
      <c r="D23">
        <f t="shared" si="2"/>
        <v>2</v>
      </c>
      <c r="E23">
        <f t="shared" ref="E23:K23" si="3">COUNTIF(E4:E21,"*MS")</f>
        <v>4</v>
      </c>
      <c r="F23">
        <f t="shared" si="3"/>
        <v>4</v>
      </c>
      <c r="G23">
        <f t="shared" si="3"/>
        <v>4</v>
      </c>
      <c r="H23">
        <f t="shared" si="3"/>
        <v>4</v>
      </c>
      <c r="I23">
        <f t="shared" si="3"/>
        <v>4</v>
      </c>
      <c r="J23">
        <f t="shared" si="3"/>
        <v>2</v>
      </c>
      <c r="K23">
        <f t="shared" si="3"/>
        <v>2</v>
      </c>
      <c r="L23">
        <f t="shared" ref="L23:AF23" si="4">COUNTIF(L4:L21,"*MS")</f>
        <v>3</v>
      </c>
      <c r="M23">
        <f t="shared" si="4"/>
        <v>4</v>
      </c>
      <c r="N23">
        <f t="shared" si="4"/>
        <v>3</v>
      </c>
      <c r="O23">
        <f t="shared" ref="O23" si="5">COUNTIF(O4:O21,"*MS")</f>
        <v>4</v>
      </c>
      <c r="P23">
        <f t="shared" si="4"/>
        <v>3</v>
      </c>
      <c r="Q23">
        <f t="shared" si="4"/>
        <v>2</v>
      </c>
      <c r="R23">
        <f>COUNTIF(R4:R21,"*MS")</f>
        <v>2</v>
      </c>
      <c r="S23">
        <f t="shared" si="4"/>
        <v>3</v>
      </c>
      <c r="T23">
        <f t="shared" si="4"/>
        <v>3</v>
      </c>
      <c r="U23">
        <f t="shared" si="4"/>
        <v>4</v>
      </c>
      <c r="V23">
        <f t="shared" si="4"/>
        <v>4</v>
      </c>
      <c r="W23">
        <f t="shared" si="4"/>
        <v>3</v>
      </c>
      <c r="X23">
        <f t="shared" si="4"/>
        <v>2</v>
      </c>
      <c r="Y23">
        <f>COUNTIF(Y4:Y20,"*MS")</f>
        <v>2</v>
      </c>
      <c r="Z23">
        <f t="shared" si="4"/>
        <v>3</v>
      </c>
      <c r="AA23">
        <f t="shared" si="4"/>
        <v>3</v>
      </c>
      <c r="AB23">
        <f t="shared" si="4"/>
        <v>3</v>
      </c>
      <c r="AC23">
        <f t="shared" si="4"/>
        <v>3</v>
      </c>
      <c r="AD23">
        <f t="shared" si="4"/>
        <v>3</v>
      </c>
      <c r="AE23">
        <f>COUNTIF(AE4:AE21,"*MS")</f>
        <v>2</v>
      </c>
      <c r="AF23">
        <f t="shared" si="4"/>
        <v>2</v>
      </c>
    </row>
    <row r="24" spans="1:34" x14ac:dyDescent="0.35">
      <c r="A24" s="128" t="s">
        <v>126</v>
      </c>
      <c r="B24">
        <f t="shared" ref="B24:D24" si="6">COUNTIF(B4:B21,"*ASS1")</f>
        <v>3</v>
      </c>
      <c r="C24">
        <f t="shared" si="6"/>
        <v>2</v>
      </c>
      <c r="D24">
        <f t="shared" si="6"/>
        <v>2</v>
      </c>
      <c r="E24">
        <f t="shared" ref="E24:K24" si="7">COUNTIF(E4:E21,"*ASS1")</f>
        <v>3</v>
      </c>
      <c r="F24">
        <f t="shared" si="7"/>
        <v>4</v>
      </c>
      <c r="G24">
        <f t="shared" si="7"/>
        <v>4</v>
      </c>
      <c r="H24">
        <f t="shared" si="7"/>
        <v>4</v>
      </c>
      <c r="I24">
        <f t="shared" si="7"/>
        <v>4</v>
      </c>
      <c r="J24">
        <f t="shared" si="7"/>
        <v>2</v>
      </c>
      <c r="K24">
        <f t="shared" si="7"/>
        <v>2</v>
      </c>
      <c r="L24">
        <f t="shared" ref="L24:AF24" si="8">COUNTIF(L4:L21,"*ASS1")</f>
        <v>3</v>
      </c>
      <c r="M24">
        <f t="shared" si="8"/>
        <v>4</v>
      </c>
      <c r="N24">
        <f t="shared" si="8"/>
        <v>3</v>
      </c>
      <c r="O24">
        <f t="shared" ref="O24" si="9">COUNTIF(O4:O21,"*ASS1")</f>
        <v>4</v>
      </c>
      <c r="P24">
        <f t="shared" si="8"/>
        <v>3</v>
      </c>
      <c r="Q24">
        <f t="shared" si="8"/>
        <v>2</v>
      </c>
      <c r="R24">
        <f>COUNTIF(R4:R21,"*ASS1")</f>
        <v>2</v>
      </c>
      <c r="S24">
        <f t="shared" si="8"/>
        <v>4</v>
      </c>
      <c r="T24">
        <f t="shared" si="8"/>
        <v>4</v>
      </c>
      <c r="U24">
        <f t="shared" si="8"/>
        <v>3</v>
      </c>
      <c r="V24">
        <f t="shared" si="8"/>
        <v>4</v>
      </c>
      <c r="W24">
        <f t="shared" si="8"/>
        <v>4</v>
      </c>
      <c r="X24">
        <f t="shared" si="8"/>
        <v>2</v>
      </c>
      <c r="Y24">
        <f>COUNTIF(Y4:Y20,"*ASS1")</f>
        <v>2</v>
      </c>
      <c r="Z24">
        <f t="shared" si="8"/>
        <v>3</v>
      </c>
      <c r="AA24">
        <f t="shared" si="8"/>
        <v>3</v>
      </c>
      <c r="AB24">
        <f t="shared" si="8"/>
        <v>3</v>
      </c>
      <c r="AC24">
        <f t="shared" si="8"/>
        <v>3</v>
      </c>
      <c r="AD24">
        <f t="shared" si="8"/>
        <v>3</v>
      </c>
      <c r="AE24">
        <f>COUNTIF(AE4:AE21,"*ASS1")</f>
        <v>2</v>
      </c>
      <c r="AF24">
        <f t="shared" si="8"/>
        <v>2</v>
      </c>
    </row>
    <row r="25" spans="1:34" x14ac:dyDescent="0.35">
      <c r="A25" s="128" t="s">
        <v>127</v>
      </c>
      <c r="B25">
        <f t="shared" ref="B25:D25" si="10">COUNTIF(B4:B21,"*NST7")</f>
        <v>3</v>
      </c>
      <c r="C25">
        <f t="shared" si="10"/>
        <v>3</v>
      </c>
      <c r="D25">
        <f t="shared" si="10"/>
        <v>2</v>
      </c>
      <c r="E25">
        <f t="shared" ref="E25:K25" si="11">COUNTIF(E4:E21,"*NST7")</f>
        <v>3</v>
      </c>
      <c r="F25">
        <f t="shared" si="11"/>
        <v>3</v>
      </c>
      <c r="G25">
        <f t="shared" si="11"/>
        <v>3</v>
      </c>
      <c r="H25">
        <f t="shared" si="11"/>
        <v>3</v>
      </c>
      <c r="I25">
        <f t="shared" si="11"/>
        <v>3</v>
      </c>
      <c r="J25">
        <f t="shared" si="11"/>
        <v>3</v>
      </c>
      <c r="K25">
        <f t="shared" si="11"/>
        <v>2</v>
      </c>
      <c r="L25">
        <f t="shared" ref="L25:AF25" si="12">COUNTIF(L4:L21,"*NST7")</f>
        <v>4</v>
      </c>
      <c r="M25">
        <f t="shared" si="12"/>
        <v>4</v>
      </c>
      <c r="N25">
        <f t="shared" si="12"/>
        <v>4</v>
      </c>
      <c r="O25">
        <f t="shared" ref="O25" si="13">COUNTIF(O4:O21,"*NST7")</f>
        <v>3</v>
      </c>
      <c r="P25">
        <f t="shared" si="12"/>
        <v>4</v>
      </c>
      <c r="Q25">
        <f t="shared" si="12"/>
        <v>3</v>
      </c>
      <c r="R25">
        <f>COUNTIF(R4:R21,"*NST7")</f>
        <v>2</v>
      </c>
      <c r="S25">
        <f t="shared" si="12"/>
        <v>3</v>
      </c>
      <c r="T25">
        <f t="shared" si="12"/>
        <v>4</v>
      </c>
      <c r="U25">
        <f t="shared" si="12"/>
        <v>3</v>
      </c>
      <c r="V25">
        <f t="shared" si="12"/>
        <v>3</v>
      </c>
      <c r="W25">
        <f t="shared" si="12"/>
        <v>4</v>
      </c>
      <c r="X25">
        <f t="shared" si="12"/>
        <v>3</v>
      </c>
      <c r="Y25">
        <f>COUNTIF(Y4:Y20,"*NST7")</f>
        <v>2</v>
      </c>
      <c r="Z25">
        <f t="shared" si="12"/>
        <v>3</v>
      </c>
      <c r="AA25">
        <f t="shared" si="12"/>
        <v>4</v>
      </c>
      <c r="AB25">
        <f t="shared" si="12"/>
        <v>3</v>
      </c>
      <c r="AC25">
        <f t="shared" si="12"/>
        <v>3</v>
      </c>
      <c r="AD25">
        <f t="shared" si="12"/>
        <v>4</v>
      </c>
      <c r="AE25">
        <f>COUNTIF(AE4:AE21,"*NST7")</f>
        <v>2</v>
      </c>
      <c r="AF25">
        <f t="shared" si="12"/>
        <v>2</v>
      </c>
    </row>
    <row r="26" spans="1:34" x14ac:dyDescent="0.35">
      <c r="A26" s="128" t="s">
        <v>128</v>
      </c>
      <c r="B26">
        <f t="shared" ref="B26:D26" si="14">COUNTIF(B4:B21,"*GS")</f>
        <v>0</v>
      </c>
      <c r="C26">
        <f t="shared" si="14"/>
        <v>0</v>
      </c>
      <c r="D26">
        <f t="shared" si="14"/>
        <v>0</v>
      </c>
      <c r="E26">
        <f t="shared" ref="E26:K26" si="15">COUNTIF(E4:E21,"*GS")</f>
        <v>0</v>
      </c>
      <c r="F26">
        <f t="shared" si="15"/>
        <v>0</v>
      </c>
      <c r="G26">
        <f t="shared" si="15"/>
        <v>1</v>
      </c>
      <c r="H26">
        <f t="shared" si="15"/>
        <v>0</v>
      </c>
      <c r="I26">
        <f t="shared" si="15"/>
        <v>0</v>
      </c>
      <c r="J26">
        <f t="shared" si="15"/>
        <v>1</v>
      </c>
      <c r="K26">
        <f t="shared" si="15"/>
        <v>0</v>
      </c>
      <c r="L26">
        <f t="shared" ref="L26:AF26" si="16">COUNTIF(L4:L21,"*GS")</f>
        <v>1</v>
      </c>
      <c r="M26">
        <f t="shared" si="16"/>
        <v>0</v>
      </c>
      <c r="N26">
        <f t="shared" si="16"/>
        <v>1</v>
      </c>
      <c r="O26">
        <f t="shared" ref="O26" si="17">COUNTIF(O4:O21,"*GS")</f>
        <v>0</v>
      </c>
      <c r="P26">
        <f t="shared" si="16"/>
        <v>1</v>
      </c>
      <c r="Q26">
        <f t="shared" si="16"/>
        <v>1</v>
      </c>
      <c r="R26">
        <f>COUNTIF(R4:R21,"*GS")</f>
        <v>0</v>
      </c>
      <c r="S26">
        <f t="shared" si="16"/>
        <v>0</v>
      </c>
      <c r="T26">
        <f t="shared" si="16"/>
        <v>0</v>
      </c>
      <c r="U26">
        <f t="shared" si="16"/>
        <v>0</v>
      </c>
      <c r="V26">
        <f t="shared" si="16"/>
        <v>0</v>
      </c>
      <c r="W26">
        <f t="shared" si="16"/>
        <v>0</v>
      </c>
      <c r="X26">
        <f t="shared" si="16"/>
        <v>1</v>
      </c>
      <c r="Y26">
        <f>COUNTIF(Y4:Y20,"*GS")</f>
        <v>0</v>
      </c>
      <c r="Z26">
        <f t="shared" si="16"/>
        <v>1</v>
      </c>
      <c r="AA26">
        <f t="shared" si="16"/>
        <v>0</v>
      </c>
      <c r="AB26">
        <f t="shared" si="16"/>
        <v>0</v>
      </c>
      <c r="AC26">
        <f t="shared" si="16"/>
        <v>0</v>
      </c>
      <c r="AD26">
        <f t="shared" si="16"/>
        <v>0</v>
      </c>
      <c r="AE26">
        <f>COUNTIF(AE4:AE21,"*GS")</f>
        <v>1</v>
      </c>
      <c r="AF26">
        <f t="shared" si="16"/>
        <v>0</v>
      </c>
    </row>
    <row r="27" spans="1:34" x14ac:dyDescent="0.35">
      <c r="A27" s="128" t="s">
        <v>129</v>
      </c>
      <c r="B27">
        <f t="shared" ref="B27" si="18">COUNTIF(B4:B21,"C")</f>
        <v>3</v>
      </c>
      <c r="C27">
        <f t="shared" ref="C27:D27" si="19">COUNTIF(C4:C21,"WO")</f>
        <v>9</v>
      </c>
      <c r="D27">
        <f t="shared" si="19"/>
        <v>10</v>
      </c>
      <c r="E27">
        <f t="shared" ref="E27:I27" si="20">COUNTIF(E4:E21,"C")</f>
        <v>2</v>
      </c>
      <c r="F27">
        <f t="shared" si="20"/>
        <v>2</v>
      </c>
      <c r="G27">
        <f t="shared" si="20"/>
        <v>2</v>
      </c>
      <c r="H27">
        <f t="shared" si="20"/>
        <v>3</v>
      </c>
      <c r="I27">
        <f t="shared" si="20"/>
        <v>2</v>
      </c>
      <c r="J27">
        <f t="shared" ref="J27:K27" si="21">COUNTIF(J4:J21,"WO")</f>
        <v>7</v>
      </c>
      <c r="K27">
        <f t="shared" si="21"/>
        <v>8</v>
      </c>
      <c r="L27">
        <f t="shared" ref="L27:P27" si="22">COUNTIF(L4:L21,"C")</f>
        <v>4</v>
      </c>
      <c r="M27">
        <f t="shared" si="22"/>
        <v>3</v>
      </c>
      <c r="N27">
        <f t="shared" si="22"/>
        <v>3</v>
      </c>
      <c r="O27">
        <f t="shared" ref="O27" si="23">COUNTIF(O4:O21,"C")</f>
        <v>2</v>
      </c>
      <c r="P27">
        <f t="shared" si="22"/>
        <v>2</v>
      </c>
      <c r="Q27">
        <f t="shared" ref="Q27" si="24">COUNTIF(Q4:Q21,"WO")</f>
        <v>5</v>
      </c>
      <c r="R27">
        <f>COUNTIF(R4:R21,"WO")</f>
        <v>8</v>
      </c>
      <c r="S27">
        <f t="shared" ref="S27:W27" si="25">COUNTIF(S4:S21,"C")</f>
        <v>4</v>
      </c>
      <c r="T27">
        <f t="shared" si="25"/>
        <v>3</v>
      </c>
      <c r="U27">
        <f t="shared" si="25"/>
        <v>3</v>
      </c>
      <c r="V27">
        <f t="shared" si="25"/>
        <v>3</v>
      </c>
      <c r="W27">
        <f t="shared" si="25"/>
        <v>3</v>
      </c>
      <c r="X27">
        <f t="shared" ref="X27" si="26">COUNTIF(X4:X21,"WO")</f>
        <v>6</v>
      </c>
      <c r="Y27">
        <f>COUNTIF(Y4:Y20,"WO")</f>
        <v>7</v>
      </c>
      <c r="Z27">
        <f t="shared" ref="Z27:AD27" si="27">COUNTIF(Z4:Z21,"C")</f>
        <v>4</v>
      </c>
      <c r="AA27">
        <f t="shared" si="27"/>
        <v>3</v>
      </c>
      <c r="AB27">
        <f t="shared" si="27"/>
        <v>2</v>
      </c>
      <c r="AC27">
        <f t="shared" si="27"/>
        <v>2</v>
      </c>
      <c r="AD27">
        <f t="shared" si="27"/>
        <v>2</v>
      </c>
      <c r="AE27">
        <f>COUNTIF(AE4:AE21,"WO")</f>
        <v>7</v>
      </c>
      <c r="AF27">
        <f t="shared" ref="AF27" si="28">COUNTIF(AF4:AF21,"WO")</f>
        <v>6</v>
      </c>
    </row>
    <row r="28" spans="1:34" x14ac:dyDescent="0.35">
      <c r="A28" s="128" t="s">
        <v>130</v>
      </c>
      <c r="B28">
        <f t="shared" ref="B28:D28" si="29">COUNTIF(B4:B21,"PL")</f>
        <v>3</v>
      </c>
      <c r="C28">
        <f t="shared" si="29"/>
        <v>0</v>
      </c>
      <c r="D28">
        <f t="shared" si="29"/>
        <v>0</v>
      </c>
      <c r="E28">
        <f t="shared" ref="E28:K28" si="30">COUNTIF(E4:E21,"PL")</f>
        <v>4</v>
      </c>
      <c r="F28">
        <f t="shared" si="30"/>
        <v>3</v>
      </c>
      <c r="G28">
        <f t="shared" si="30"/>
        <v>2</v>
      </c>
      <c r="H28">
        <f t="shared" si="30"/>
        <v>2</v>
      </c>
      <c r="I28">
        <f t="shared" si="30"/>
        <v>3</v>
      </c>
      <c r="J28">
        <f t="shared" si="30"/>
        <v>1</v>
      </c>
      <c r="K28">
        <f t="shared" si="30"/>
        <v>2</v>
      </c>
      <c r="L28">
        <f t="shared" ref="L28:AF28" si="31">COUNTIF(L4:L21,"PL")</f>
        <v>1</v>
      </c>
      <c r="M28">
        <f t="shared" si="31"/>
        <v>1</v>
      </c>
      <c r="N28">
        <f t="shared" si="31"/>
        <v>2</v>
      </c>
      <c r="O28">
        <f t="shared" ref="O28" si="32">COUNTIF(O4:O21,"PL")</f>
        <v>3</v>
      </c>
      <c r="P28">
        <f t="shared" si="31"/>
        <v>3</v>
      </c>
      <c r="Q28">
        <f t="shared" si="31"/>
        <v>3</v>
      </c>
      <c r="R28">
        <f>COUNTIF(R4:R21,"PL")</f>
        <v>2</v>
      </c>
      <c r="S28">
        <f t="shared" si="31"/>
        <v>2</v>
      </c>
      <c r="T28">
        <f t="shared" si="31"/>
        <v>2</v>
      </c>
      <c r="U28">
        <f t="shared" si="31"/>
        <v>3</v>
      </c>
      <c r="V28">
        <f t="shared" si="31"/>
        <v>2</v>
      </c>
      <c r="W28">
        <f t="shared" si="31"/>
        <v>2</v>
      </c>
      <c r="X28">
        <f t="shared" si="31"/>
        <v>2</v>
      </c>
      <c r="Y28">
        <f>COUNTIF(Y4:Y20,"PL")</f>
        <v>2</v>
      </c>
      <c r="Z28">
        <f t="shared" si="31"/>
        <v>2</v>
      </c>
      <c r="AA28">
        <f t="shared" si="31"/>
        <v>3</v>
      </c>
      <c r="AB28">
        <f t="shared" si="31"/>
        <v>5</v>
      </c>
      <c r="AC28">
        <f t="shared" si="31"/>
        <v>5</v>
      </c>
      <c r="AD28">
        <f t="shared" si="31"/>
        <v>4</v>
      </c>
      <c r="AE28">
        <f>COUNTIF(AE4:AE21,"PL")</f>
        <v>2</v>
      </c>
      <c r="AF28">
        <f t="shared" si="31"/>
        <v>4</v>
      </c>
    </row>
    <row r="29" spans="1:34" x14ac:dyDescent="0.35">
      <c r="A29" s="128" t="s">
        <v>33</v>
      </c>
      <c r="B29">
        <f t="shared" ref="B29:D29" si="33">COUNTIF(B4:B21,"UPL")</f>
        <v>0</v>
      </c>
      <c r="C29">
        <f t="shared" si="33"/>
        <v>0</v>
      </c>
      <c r="D29">
        <f t="shared" si="33"/>
        <v>0</v>
      </c>
      <c r="E29">
        <f t="shared" ref="E29:K29" si="34">COUNTIF(E4:E21,"UPL")</f>
        <v>0</v>
      </c>
      <c r="F29">
        <f t="shared" si="34"/>
        <v>0</v>
      </c>
      <c r="G29">
        <f t="shared" si="34"/>
        <v>0</v>
      </c>
      <c r="H29">
        <f t="shared" si="34"/>
        <v>0</v>
      </c>
      <c r="I29">
        <f t="shared" si="34"/>
        <v>0</v>
      </c>
      <c r="J29">
        <f t="shared" si="34"/>
        <v>0</v>
      </c>
      <c r="K29">
        <f t="shared" si="34"/>
        <v>0</v>
      </c>
      <c r="L29">
        <f t="shared" ref="L29:AF29" si="35">COUNTIF(L4:L21,"UPL")</f>
        <v>0</v>
      </c>
      <c r="M29">
        <f t="shared" si="35"/>
        <v>0</v>
      </c>
      <c r="N29">
        <f t="shared" si="35"/>
        <v>0</v>
      </c>
      <c r="O29">
        <f t="shared" ref="O29" si="36">COUNTIF(O4:O21,"UPL")</f>
        <v>0</v>
      </c>
      <c r="P29">
        <f t="shared" si="35"/>
        <v>0</v>
      </c>
      <c r="Q29">
        <f t="shared" si="35"/>
        <v>0</v>
      </c>
      <c r="R29">
        <f>COUNTIF(R4:R21,"UPL")</f>
        <v>0</v>
      </c>
      <c r="S29">
        <f t="shared" si="35"/>
        <v>0</v>
      </c>
      <c r="T29">
        <f t="shared" si="35"/>
        <v>0</v>
      </c>
      <c r="U29">
        <f t="shared" si="35"/>
        <v>0</v>
      </c>
      <c r="V29">
        <f t="shared" si="35"/>
        <v>0</v>
      </c>
      <c r="W29">
        <f t="shared" si="35"/>
        <v>0</v>
      </c>
      <c r="X29">
        <f t="shared" si="35"/>
        <v>0</v>
      </c>
      <c r="Y29">
        <f>COUNTIF(Y4:Y20,"UPL")</f>
        <v>0</v>
      </c>
      <c r="Z29">
        <f t="shared" si="35"/>
        <v>0</v>
      </c>
      <c r="AA29">
        <f t="shared" si="35"/>
        <v>0</v>
      </c>
      <c r="AB29">
        <f t="shared" si="35"/>
        <v>0</v>
      </c>
      <c r="AC29">
        <f t="shared" si="35"/>
        <v>0</v>
      </c>
      <c r="AD29">
        <f t="shared" si="35"/>
        <v>0</v>
      </c>
      <c r="AE29">
        <f>COUNTIF(AE4:AE21,"UPL")</f>
        <v>0</v>
      </c>
      <c r="AF29">
        <f t="shared" si="35"/>
        <v>0</v>
      </c>
    </row>
    <row r="30" spans="1:34" x14ac:dyDescent="0.35">
      <c r="A30" s="128" t="s">
        <v>141</v>
      </c>
      <c r="B30">
        <f t="shared" ref="B30:D30" si="37">COUNTIF(B4:B21,"H")</f>
        <v>0</v>
      </c>
      <c r="C30">
        <f t="shared" si="37"/>
        <v>0</v>
      </c>
      <c r="D30">
        <f t="shared" si="37"/>
        <v>0</v>
      </c>
      <c r="E30">
        <f t="shared" ref="E30:K30" si="38">COUNTIF(E4:E21,"H")</f>
        <v>0</v>
      </c>
      <c r="F30">
        <f t="shared" si="38"/>
        <v>0</v>
      </c>
      <c r="G30">
        <f t="shared" si="38"/>
        <v>0</v>
      </c>
      <c r="H30">
        <f t="shared" si="38"/>
        <v>0</v>
      </c>
      <c r="I30">
        <f t="shared" si="38"/>
        <v>0</v>
      </c>
      <c r="J30">
        <f t="shared" si="38"/>
        <v>0</v>
      </c>
      <c r="K30">
        <f t="shared" si="38"/>
        <v>0</v>
      </c>
      <c r="L30">
        <f t="shared" ref="L30:AF30" si="39">COUNTIF(L4:L21,"H")</f>
        <v>0</v>
      </c>
      <c r="M30">
        <f t="shared" si="39"/>
        <v>0</v>
      </c>
      <c r="N30">
        <f t="shared" si="39"/>
        <v>0</v>
      </c>
      <c r="O30">
        <f t="shared" ref="O30" si="40">COUNTIF(O4:O21,"H")</f>
        <v>0</v>
      </c>
      <c r="P30">
        <f t="shared" si="39"/>
        <v>0</v>
      </c>
      <c r="Q30">
        <f t="shared" si="39"/>
        <v>0</v>
      </c>
      <c r="R30">
        <f>COUNTIF(R4:R21,"H")</f>
        <v>0</v>
      </c>
      <c r="S30">
        <f t="shared" si="39"/>
        <v>0</v>
      </c>
      <c r="T30">
        <f t="shared" si="39"/>
        <v>0</v>
      </c>
      <c r="U30">
        <f t="shared" si="39"/>
        <v>0</v>
      </c>
      <c r="V30">
        <f t="shared" si="39"/>
        <v>0</v>
      </c>
      <c r="W30">
        <f t="shared" si="39"/>
        <v>0</v>
      </c>
      <c r="X30">
        <f t="shared" si="39"/>
        <v>0</v>
      </c>
      <c r="Y30">
        <f>COUNTIF(Y4:Y20,"H")</f>
        <v>0</v>
      </c>
      <c r="Z30">
        <f t="shared" si="39"/>
        <v>0</v>
      </c>
      <c r="AA30">
        <f t="shared" si="39"/>
        <v>0</v>
      </c>
      <c r="AB30">
        <f t="shared" si="39"/>
        <v>0</v>
      </c>
      <c r="AC30">
        <f t="shared" si="39"/>
        <v>0</v>
      </c>
      <c r="AD30">
        <f t="shared" si="39"/>
        <v>0</v>
      </c>
      <c r="AE30">
        <f>COUNTIF(AE4:AE21,"H")</f>
        <v>0</v>
      </c>
      <c r="AF30">
        <f t="shared" si="39"/>
        <v>0</v>
      </c>
    </row>
    <row r="31" spans="1:34" x14ac:dyDescent="0.35">
      <c r="A31" s="128" t="s">
        <v>131</v>
      </c>
      <c r="B31" s="129">
        <f t="shared" ref="B31:D31" si="41">SUM(B23:B30)</f>
        <v>16</v>
      </c>
      <c r="C31" s="129">
        <f t="shared" si="41"/>
        <v>16</v>
      </c>
      <c r="D31" s="129">
        <f t="shared" si="41"/>
        <v>16</v>
      </c>
      <c r="E31" s="129">
        <f t="shared" ref="E31:K31" si="42">SUM(E23:E30)</f>
        <v>16</v>
      </c>
      <c r="F31" s="129">
        <f t="shared" si="42"/>
        <v>16</v>
      </c>
      <c r="G31" s="129">
        <f t="shared" si="42"/>
        <v>16</v>
      </c>
      <c r="H31" s="129">
        <f t="shared" si="42"/>
        <v>16</v>
      </c>
      <c r="I31" s="129">
        <f t="shared" si="42"/>
        <v>16</v>
      </c>
      <c r="J31" s="129">
        <f t="shared" si="42"/>
        <v>16</v>
      </c>
      <c r="K31" s="129">
        <f t="shared" si="42"/>
        <v>16</v>
      </c>
      <c r="L31" s="129">
        <f t="shared" ref="L31:AF31" si="43">SUM(L23:L30)</f>
        <v>16</v>
      </c>
      <c r="M31" s="129">
        <f t="shared" si="43"/>
        <v>16</v>
      </c>
      <c r="N31" s="129">
        <f t="shared" si="43"/>
        <v>16</v>
      </c>
      <c r="O31" s="129">
        <f t="shared" si="43"/>
        <v>16</v>
      </c>
      <c r="P31" s="129">
        <f t="shared" si="43"/>
        <v>16</v>
      </c>
      <c r="Q31" s="129">
        <f t="shared" si="43"/>
        <v>16</v>
      </c>
      <c r="R31" s="129">
        <f t="shared" si="43"/>
        <v>16</v>
      </c>
      <c r="S31" s="129">
        <f t="shared" si="43"/>
        <v>16</v>
      </c>
      <c r="T31" s="129">
        <f t="shared" si="43"/>
        <v>16</v>
      </c>
      <c r="U31" s="129">
        <f t="shared" si="43"/>
        <v>16</v>
      </c>
      <c r="V31" s="129">
        <f t="shared" si="43"/>
        <v>16</v>
      </c>
      <c r="W31" s="129">
        <f t="shared" si="43"/>
        <v>16</v>
      </c>
      <c r="X31" s="129">
        <f t="shared" si="43"/>
        <v>16</v>
      </c>
      <c r="Y31" s="129">
        <f t="shared" si="43"/>
        <v>15</v>
      </c>
      <c r="Z31" s="129">
        <f t="shared" si="43"/>
        <v>16</v>
      </c>
      <c r="AA31" s="129">
        <f t="shared" si="43"/>
        <v>16</v>
      </c>
      <c r="AB31" s="129">
        <f t="shared" si="43"/>
        <v>16</v>
      </c>
      <c r="AC31" s="129">
        <f t="shared" si="43"/>
        <v>16</v>
      </c>
      <c r="AD31" s="129">
        <f t="shared" si="43"/>
        <v>16</v>
      </c>
      <c r="AE31" s="129">
        <f t="shared" si="43"/>
        <v>16</v>
      </c>
      <c r="AF31" s="129">
        <f t="shared" si="43"/>
        <v>16</v>
      </c>
    </row>
  </sheetData>
  <phoneticPr fontId="25" type="noConversion"/>
  <conditionalFormatting sqref="B23:AF26">
    <cfRule type="cellIs" dxfId="830" priority="2" operator="lessThan">
      <formula>3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35F5-B32C-4D6E-80A0-E3C02E39BB2D}">
  <sheetPr codeName="Sheet34"/>
  <dimension ref="A1:AL31"/>
  <sheetViews>
    <sheetView zoomScale="56" zoomScaleNormal="56" workbookViewId="0">
      <pane xSplit="1" topLeftCell="B1" activePane="topRight" state="frozen"/>
      <selection pane="topRight" activeCell="A4" sqref="A4:XFD4"/>
    </sheetView>
  </sheetViews>
  <sheetFormatPr defaultRowHeight="14.5" x14ac:dyDescent="0.35"/>
  <cols>
    <col min="1" max="1" width="26.453125" bestFit="1" customWidth="1"/>
    <col min="2" max="26" width="8.7265625" customWidth="1"/>
  </cols>
  <sheetData>
    <row r="1" spans="1:38" x14ac:dyDescent="0.35">
      <c r="A1" s="1"/>
      <c r="B1" s="2" t="str">
        <f t="shared" ref="B1:AF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H1" s="203" t="s">
        <v>304</v>
      </c>
      <c r="AI1" s="202" t="s">
        <v>305</v>
      </c>
    </row>
    <row r="2" spans="1:38" x14ac:dyDescent="0.35">
      <c r="A2" s="95" t="s">
        <v>0</v>
      </c>
      <c r="B2" s="29">
        <v>45292</v>
      </c>
      <c r="C2" s="29">
        <v>45293</v>
      </c>
      <c r="D2" s="29">
        <v>45294</v>
      </c>
      <c r="E2" s="29">
        <v>45295</v>
      </c>
      <c r="F2" s="29">
        <v>45296</v>
      </c>
      <c r="G2" s="29">
        <v>45297</v>
      </c>
      <c r="H2" s="29">
        <v>45298</v>
      </c>
      <c r="I2" s="29">
        <v>45299</v>
      </c>
      <c r="J2" s="29">
        <v>45300</v>
      </c>
      <c r="K2" s="29">
        <v>45301</v>
      </c>
      <c r="L2" s="29">
        <v>45302</v>
      </c>
      <c r="M2" s="29">
        <v>45303</v>
      </c>
      <c r="N2" s="29">
        <v>45304</v>
      </c>
      <c r="O2" s="29">
        <v>45305</v>
      </c>
      <c r="P2" s="29">
        <v>45306</v>
      </c>
      <c r="Q2" s="29">
        <v>45307</v>
      </c>
      <c r="R2" s="29">
        <v>45308</v>
      </c>
      <c r="S2" s="29">
        <v>45309</v>
      </c>
      <c r="T2" s="29">
        <v>45310</v>
      </c>
      <c r="U2" s="29">
        <v>45311</v>
      </c>
      <c r="V2" s="29">
        <v>45312</v>
      </c>
      <c r="W2" s="29">
        <v>45313</v>
      </c>
      <c r="X2" s="29">
        <v>45314</v>
      </c>
      <c r="Y2" s="29">
        <v>45315</v>
      </c>
      <c r="Z2" s="29">
        <v>45316</v>
      </c>
      <c r="AA2" s="29">
        <v>45317</v>
      </c>
      <c r="AB2" s="29">
        <v>45318</v>
      </c>
      <c r="AC2" s="29">
        <v>45319</v>
      </c>
      <c r="AD2" s="29">
        <v>45320</v>
      </c>
      <c r="AE2" s="29">
        <v>45321</v>
      </c>
      <c r="AF2" s="29">
        <v>45322</v>
      </c>
    </row>
    <row r="3" spans="1:38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8" x14ac:dyDescent="0.35">
      <c r="A4" s="165" t="s">
        <v>57</v>
      </c>
      <c r="B4" s="115" t="s">
        <v>37</v>
      </c>
      <c r="C4" s="16" t="s">
        <v>10</v>
      </c>
      <c r="D4" s="16" t="s">
        <v>10</v>
      </c>
      <c r="E4" s="16" t="s">
        <v>10</v>
      </c>
      <c r="F4" s="16" t="s">
        <v>10</v>
      </c>
      <c r="G4" s="16" t="s">
        <v>11</v>
      </c>
      <c r="H4" s="114" t="s">
        <v>4</v>
      </c>
      <c r="I4" s="116" t="s">
        <v>2</v>
      </c>
      <c r="J4" s="16" t="s">
        <v>10</v>
      </c>
      <c r="K4" s="16" t="s">
        <v>10</v>
      </c>
      <c r="L4" s="16" t="s">
        <v>10</v>
      </c>
      <c r="M4" s="16" t="s">
        <v>10</v>
      </c>
      <c r="N4" s="16" t="s">
        <v>10</v>
      </c>
      <c r="O4" s="114" t="s">
        <v>4</v>
      </c>
      <c r="P4" s="116" t="s">
        <v>2</v>
      </c>
      <c r="Q4" s="116" t="s">
        <v>2</v>
      </c>
      <c r="R4" s="16" t="s">
        <v>10</v>
      </c>
      <c r="S4" s="16" t="s">
        <v>10</v>
      </c>
      <c r="T4" s="16" t="s">
        <v>10</v>
      </c>
      <c r="U4" s="16" t="s">
        <v>11</v>
      </c>
      <c r="V4" s="114" t="s">
        <v>4</v>
      </c>
      <c r="W4" s="116" t="s">
        <v>2</v>
      </c>
      <c r="X4" s="16" t="s">
        <v>10</v>
      </c>
      <c r="Y4" s="116" t="s">
        <v>2</v>
      </c>
      <c r="Z4" s="16" t="s">
        <v>10</v>
      </c>
      <c r="AA4" s="16" t="s">
        <v>11</v>
      </c>
      <c r="AB4" s="16" t="s">
        <v>11</v>
      </c>
      <c r="AC4" s="114" t="s">
        <v>4</v>
      </c>
      <c r="AD4" s="116" t="s">
        <v>2</v>
      </c>
      <c r="AE4" s="16" t="s">
        <v>10</v>
      </c>
      <c r="AF4" s="16" t="s">
        <v>10</v>
      </c>
      <c r="AH4">
        <f>COUNTIF(B4:AF4,"C")</f>
        <v>6</v>
      </c>
      <c r="AI4">
        <f>COUNTIF(B4:AF4,"W*S*")</f>
        <v>4</v>
      </c>
    </row>
    <row r="5" spans="1:38" x14ac:dyDescent="0.35">
      <c r="A5" s="165" t="s">
        <v>69</v>
      </c>
      <c r="B5" s="16" t="s">
        <v>11</v>
      </c>
      <c r="C5" s="16" t="s">
        <v>10</v>
      </c>
      <c r="D5" s="116" t="s">
        <v>2</v>
      </c>
      <c r="E5" s="116" t="s">
        <v>2</v>
      </c>
      <c r="F5" s="16" t="s">
        <v>10</v>
      </c>
      <c r="G5" s="16" t="s">
        <v>11</v>
      </c>
      <c r="H5" s="16" t="s">
        <v>11</v>
      </c>
      <c r="I5" s="16" t="s">
        <v>10</v>
      </c>
      <c r="J5" s="16" t="s">
        <v>10</v>
      </c>
      <c r="K5" s="116" t="s">
        <v>2</v>
      </c>
      <c r="L5" s="116" t="s">
        <v>2</v>
      </c>
      <c r="M5" s="116" t="s">
        <v>2</v>
      </c>
      <c r="N5" s="16" t="s">
        <v>11</v>
      </c>
      <c r="O5" s="16" t="s">
        <v>11</v>
      </c>
      <c r="P5" s="16" t="s">
        <v>10</v>
      </c>
      <c r="Q5" s="16" t="s">
        <v>10</v>
      </c>
      <c r="R5" s="116" t="s">
        <v>2</v>
      </c>
      <c r="S5" s="116" t="s">
        <v>2</v>
      </c>
      <c r="T5" s="16" t="s">
        <v>10</v>
      </c>
      <c r="U5" s="114" t="s">
        <v>4</v>
      </c>
      <c r="V5" s="16" t="s">
        <v>11</v>
      </c>
      <c r="W5" s="16" t="s">
        <v>10</v>
      </c>
      <c r="X5" s="16" t="s">
        <v>10</v>
      </c>
      <c r="Y5" s="16" t="s">
        <v>10</v>
      </c>
      <c r="Z5" s="116" t="s">
        <v>2</v>
      </c>
      <c r="AA5" s="115" t="s">
        <v>37</v>
      </c>
      <c r="AB5" s="114" t="s">
        <v>4</v>
      </c>
      <c r="AC5" s="16" t="s">
        <v>11</v>
      </c>
      <c r="AD5" s="16" t="s">
        <v>10</v>
      </c>
      <c r="AE5" s="16" t="s">
        <v>10</v>
      </c>
      <c r="AF5" s="116" t="s">
        <v>2</v>
      </c>
      <c r="AH5">
        <f t="shared" ref="AH5:AH21" si="1">COUNTIF(B5:AF5,"C")</f>
        <v>9</v>
      </c>
      <c r="AI5">
        <f t="shared" ref="AI5:AI21" si="2">COUNTIF(B5:AF5,"W*S*")</f>
        <v>7</v>
      </c>
      <c r="AL5">
        <f>COUNTIF(B5:AF5,"*T7")</f>
        <v>19</v>
      </c>
    </row>
    <row r="6" spans="1:38" x14ac:dyDescent="0.35">
      <c r="A6" s="141" t="s">
        <v>21</v>
      </c>
      <c r="B6" s="16" t="s">
        <v>11</v>
      </c>
      <c r="C6" s="116" t="s">
        <v>2</v>
      </c>
      <c r="D6" s="16" t="s">
        <v>10</v>
      </c>
      <c r="E6" s="16" t="s">
        <v>10</v>
      </c>
      <c r="F6" s="16" t="s">
        <v>10</v>
      </c>
      <c r="G6" s="114" t="s">
        <v>4</v>
      </c>
      <c r="H6" s="16" t="s">
        <v>11</v>
      </c>
      <c r="I6" s="16" t="s">
        <v>10</v>
      </c>
      <c r="J6" s="116" t="s">
        <v>2</v>
      </c>
      <c r="K6" s="16" t="s">
        <v>10</v>
      </c>
      <c r="L6" s="16" t="s">
        <v>10</v>
      </c>
      <c r="M6" s="16" t="s">
        <v>10</v>
      </c>
      <c r="N6" s="114" t="s">
        <v>4</v>
      </c>
      <c r="O6" s="16" t="s">
        <v>11</v>
      </c>
      <c r="P6" s="169" t="s">
        <v>2</v>
      </c>
      <c r="Q6" s="172" t="s">
        <v>5</v>
      </c>
      <c r="R6" s="172" t="s">
        <v>5</v>
      </c>
      <c r="S6" s="172" t="s">
        <v>5</v>
      </c>
      <c r="T6" s="172" t="s">
        <v>5</v>
      </c>
      <c r="U6" s="114" t="s">
        <v>4</v>
      </c>
      <c r="V6" s="16" t="s">
        <v>11</v>
      </c>
      <c r="W6" s="16" t="s">
        <v>10</v>
      </c>
      <c r="X6" s="116" t="s">
        <v>2</v>
      </c>
      <c r="Y6" s="16" t="s">
        <v>10</v>
      </c>
      <c r="Z6" s="16" t="s">
        <v>10</v>
      </c>
      <c r="AA6" s="16" t="s">
        <v>11</v>
      </c>
      <c r="AB6" s="114" t="s">
        <v>4</v>
      </c>
      <c r="AC6" s="16" t="s">
        <v>11</v>
      </c>
      <c r="AD6" s="16" t="s">
        <v>10</v>
      </c>
      <c r="AE6" s="116" t="s">
        <v>2</v>
      </c>
      <c r="AF6" s="116" t="s">
        <v>2</v>
      </c>
      <c r="AH6">
        <f t="shared" si="1"/>
        <v>6</v>
      </c>
      <c r="AI6">
        <f t="shared" si="2"/>
        <v>6</v>
      </c>
    </row>
    <row r="7" spans="1:38" x14ac:dyDescent="0.35">
      <c r="A7" s="141" t="s">
        <v>70</v>
      </c>
      <c r="B7" s="16" t="s">
        <v>11</v>
      </c>
      <c r="C7" s="122" t="s">
        <v>5</v>
      </c>
      <c r="D7" s="122" t="s">
        <v>5</v>
      </c>
      <c r="E7" s="122" t="s">
        <v>5</v>
      </c>
      <c r="F7" s="122" t="s">
        <v>5</v>
      </c>
      <c r="G7" s="114" t="s">
        <v>4</v>
      </c>
      <c r="H7" s="114" t="s">
        <v>4</v>
      </c>
      <c r="I7" s="122" t="s">
        <v>5</v>
      </c>
      <c r="J7" s="122" t="s">
        <v>5</v>
      </c>
      <c r="K7" s="16" t="s">
        <v>10</v>
      </c>
      <c r="L7" s="16" t="s">
        <v>10</v>
      </c>
      <c r="M7" s="122" t="s">
        <v>2</v>
      </c>
      <c r="N7" s="122" t="s">
        <v>4</v>
      </c>
      <c r="O7" s="122" t="s">
        <v>4</v>
      </c>
      <c r="P7" s="16" t="s">
        <v>10</v>
      </c>
      <c r="Q7" s="16" t="s">
        <v>10</v>
      </c>
      <c r="R7" s="16" t="s">
        <v>10</v>
      </c>
      <c r="S7" s="16" t="s">
        <v>10</v>
      </c>
      <c r="T7" s="116" t="s">
        <v>2</v>
      </c>
      <c r="U7" s="16" t="s">
        <v>11</v>
      </c>
      <c r="V7" s="114" t="s">
        <v>4</v>
      </c>
      <c r="W7" s="16" t="s">
        <v>10</v>
      </c>
      <c r="X7" s="16" t="s">
        <v>10</v>
      </c>
      <c r="Y7" s="16" t="s">
        <v>10</v>
      </c>
      <c r="Z7" s="16" t="s">
        <v>10</v>
      </c>
      <c r="AA7" s="115" t="s">
        <v>37</v>
      </c>
      <c r="AB7" s="16" t="s">
        <v>11</v>
      </c>
      <c r="AC7" s="114" t="s">
        <v>4</v>
      </c>
      <c r="AD7" s="116" t="s">
        <v>2</v>
      </c>
      <c r="AE7" s="16" t="s">
        <v>10</v>
      </c>
      <c r="AF7" s="16" t="s">
        <v>10</v>
      </c>
      <c r="AH7">
        <f t="shared" si="1"/>
        <v>3</v>
      </c>
      <c r="AI7">
        <f t="shared" si="2"/>
        <v>3</v>
      </c>
    </row>
    <row r="8" spans="1:38" x14ac:dyDescent="0.35">
      <c r="A8" s="141" t="s">
        <v>152</v>
      </c>
      <c r="B8" s="115" t="s">
        <v>37</v>
      </c>
      <c r="C8" s="16" t="s">
        <v>10</v>
      </c>
      <c r="D8" s="16" t="s">
        <v>10</v>
      </c>
      <c r="E8" s="16" t="s">
        <v>10</v>
      </c>
      <c r="F8" s="116" t="s">
        <v>2</v>
      </c>
      <c r="G8" s="16" t="s">
        <v>11</v>
      </c>
      <c r="H8" s="114" t="s">
        <v>4</v>
      </c>
      <c r="I8" s="16" t="s">
        <v>10</v>
      </c>
      <c r="J8" s="16" t="s">
        <v>10</v>
      </c>
      <c r="K8" s="16" t="s">
        <v>10</v>
      </c>
      <c r="L8" s="116" t="s">
        <v>2</v>
      </c>
      <c r="M8" s="16" t="s">
        <v>10</v>
      </c>
      <c r="N8" s="16" t="s">
        <v>11</v>
      </c>
      <c r="O8" s="114" t="s">
        <v>4</v>
      </c>
      <c r="P8" s="16" t="s">
        <v>10</v>
      </c>
      <c r="Q8" s="16" t="s">
        <v>10</v>
      </c>
      <c r="R8" s="16" t="s">
        <v>10</v>
      </c>
      <c r="S8" s="16" t="s">
        <v>10</v>
      </c>
      <c r="T8" s="16" t="s">
        <v>10</v>
      </c>
      <c r="U8" s="16" t="s">
        <v>11</v>
      </c>
      <c r="V8" s="114" t="s">
        <v>4</v>
      </c>
      <c r="W8" s="16" t="s">
        <v>10</v>
      </c>
      <c r="X8" s="116" t="s">
        <v>2</v>
      </c>
      <c r="Y8" s="116" t="s">
        <v>2</v>
      </c>
      <c r="Z8" s="16" t="s">
        <v>10</v>
      </c>
      <c r="AA8" s="16" t="s">
        <v>11</v>
      </c>
      <c r="AB8" s="16" t="s">
        <v>11</v>
      </c>
      <c r="AC8" s="114" t="s">
        <v>4</v>
      </c>
      <c r="AD8" s="172" t="s">
        <v>5</v>
      </c>
      <c r="AE8" s="172" t="s">
        <v>5</v>
      </c>
      <c r="AF8" s="116" t="s">
        <v>2</v>
      </c>
      <c r="AH8">
        <f t="shared" si="1"/>
        <v>5</v>
      </c>
      <c r="AI8">
        <f t="shared" si="2"/>
        <v>5</v>
      </c>
    </row>
    <row r="9" spans="1:38" x14ac:dyDescent="0.35">
      <c r="A9" s="1"/>
    </row>
    <row r="10" spans="1:38" x14ac:dyDescent="0.35">
      <c r="A10" s="165" t="s">
        <v>1</v>
      </c>
      <c r="B10" s="115" t="s">
        <v>37</v>
      </c>
      <c r="C10" s="19" t="s">
        <v>41</v>
      </c>
      <c r="D10" s="19" t="s">
        <v>41</v>
      </c>
      <c r="E10" s="19" t="s">
        <v>41</v>
      </c>
      <c r="F10" s="116" t="s">
        <v>2</v>
      </c>
      <c r="G10" s="19" t="s">
        <v>42</v>
      </c>
      <c r="H10" s="19" t="s">
        <v>42</v>
      </c>
      <c r="I10" s="19" t="s">
        <v>41</v>
      </c>
      <c r="J10" s="19" t="s">
        <v>41</v>
      </c>
      <c r="K10" s="19" t="s">
        <v>41</v>
      </c>
      <c r="L10" s="19" t="s">
        <v>41</v>
      </c>
      <c r="M10" s="116" t="s">
        <v>2</v>
      </c>
      <c r="N10" s="22" t="s">
        <v>30</v>
      </c>
      <c r="O10" s="19" t="s">
        <v>42</v>
      </c>
      <c r="P10" s="116" t="s">
        <v>2</v>
      </c>
      <c r="Q10" s="19" t="s">
        <v>41</v>
      </c>
      <c r="R10" s="19" t="s">
        <v>41</v>
      </c>
      <c r="S10" s="19" t="s">
        <v>41</v>
      </c>
      <c r="T10" s="116" t="s">
        <v>2</v>
      </c>
      <c r="U10" s="114" t="s">
        <v>4</v>
      </c>
      <c r="V10" s="19" t="s">
        <v>42</v>
      </c>
      <c r="W10" s="116" t="s">
        <v>2</v>
      </c>
      <c r="X10" s="122" t="s">
        <v>5</v>
      </c>
      <c r="Y10" s="122" t="s">
        <v>5</v>
      </c>
      <c r="Z10" s="116" t="s">
        <v>2</v>
      </c>
      <c r="AA10" s="19" t="s">
        <v>42</v>
      </c>
      <c r="AB10" s="22" t="s">
        <v>30</v>
      </c>
      <c r="AC10" s="19" t="s">
        <v>42</v>
      </c>
      <c r="AD10" s="122" t="s">
        <v>2</v>
      </c>
      <c r="AE10" s="122" t="s">
        <v>2</v>
      </c>
      <c r="AF10" s="19" t="s">
        <v>41</v>
      </c>
      <c r="AH10">
        <f t="shared" si="1"/>
        <v>8</v>
      </c>
      <c r="AI10">
        <f t="shared" si="2"/>
        <v>8</v>
      </c>
    </row>
    <row r="11" spans="1:38" x14ac:dyDescent="0.35">
      <c r="A11" s="165" t="s">
        <v>15</v>
      </c>
      <c r="B11" s="115" t="s">
        <v>37</v>
      </c>
      <c r="C11" s="116" t="s">
        <v>2</v>
      </c>
      <c r="D11" s="116" t="s">
        <v>2</v>
      </c>
      <c r="E11" s="19" t="s">
        <v>41</v>
      </c>
      <c r="F11" s="19" t="s">
        <v>41</v>
      </c>
      <c r="G11" s="114" t="s">
        <v>4</v>
      </c>
      <c r="H11" s="19" t="s">
        <v>42</v>
      </c>
      <c r="I11" s="19" t="s">
        <v>41</v>
      </c>
      <c r="J11" s="116" t="s">
        <v>2</v>
      </c>
      <c r="K11" s="116" t="s">
        <v>2</v>
      </c>
      <c r="L11" s="19" t="s">
        <v>41</v>
      </c>
      <c r="M11" s="19" t="s">
        <v>41</v>
      </c>
      <c r="N11" s="19" t="s">
        <v>42</v>
      </c>
      <c r="O11" s="114" t="s">
        <v>4</v>
      </c>
      <c r="P11" s="19" t="s">
        <v>41</v>
      </c>
      <c r="Q11" s="19" t="s">
        <v>41</v>
      </c>
      <c r="R11" s="116" t="s">
        <v>2</v>
      </c>
      <c r="S11" s="116" t="s">
        <v>2</v>
      </c>
      <c r="T11" s="19" t="s">
        <v>41</v>
      </c>
      <c r="U11" s="19" t="s">
        <v>42</v>
      </c>
      <c r="V11" s="19" t="s">
        <v>42</v>
      </c>
      <c r="W11" s="116" t="s">
        <v>2</v>
      </c>
      <c r="X11" s="19" t="s">
        <v>41</v>
      </c>
      <c r="Y11" s="116" t="s">
        <v>2</v>
      </c>
      <c r="Z11" s="19" t="s">
        <v>41</v>
      </c>
      <c r="AA11" s="22" t="s">
        <v>30</v>
      </c>
      <c r="AB11" s="19" t="s">
        <v>42</v>
      </c>
      <c r="AC11" s="19" t="s">
        <v>42</v>
      </c>
      <c r="AD11" s="19" t="s">
        <v>41</v>
      </c>
      <c r="AE11" s="19" t="s">
        <v>41</v>
      </c>
      <c r="AF11" s="122" t="s">
        <v>5</v>
      </c>
      <c r="AH11">
        <f t="shared" si="1"/>
        <v>8</v>
      </c>
      <c r="AI11">
        <f t="shared" si="2"/>
        <v>7</v>
      </c>
    </row>
    <row r="12" spans="1:38" x14ac:dyDescent="0.35">
      <c r="A12" s="141" t="s">
        <v>124</v>
      </c>
      <c r="B12" s="115" t="s">
        <v>37</v>
      </c>
      <c r="C12" s="116" t="s">
        <v>2</v>
      </c>
      <c r="D12" s="172" t="s">
        <v>34</v>
      </c>
      <c r="E12" s="19" t="s">
        <v>41</v>
      </c>
      <c r="F12" s="19" t="s">
        <v>41</v>
      </c>
      <c r="G12" s="114" t="s">
        <v>4</v>
      </c>
      <c r="H12" s="114" t="s">
        <v>4</v>
      </c>
      <c r="I12" s="116" t="s">
        <v>2</v>
      </c>
      <c r="J12" s="19" t="s">
        <v>41</v>
      </c>
      <c r="K12" s="19" t="s">
        <v>41</v>
      </c>
      <c r="L12" s="19" t="s">
        <v>41</v>
      </c>
      <c r="M12" s="19" t="s">
        <v>41</v>
      </c>
      <c r="N12" s="114" t="s">
        <v>4</v>
      </c>
      <c r="O12" s="19" t="s">
        <v>42</v>
      </c>
      <c r="P12" s="19" t="s">
        <v>41</v>
      </c>
      <c r="Q12" s="116" t="s">
        <v>2</v>
      </c>
      <c r="R12" s="19" t="s">
        <v>41</v>
      </c>
      <c r="S12" s="19" t="s">
        <v>41</v>
      </c>
      <c r="T12" s="19" t="s">
        <v>41</v>
      </c>
      <c r="U12" s="114" t="s">
        <v>4</v>
      </c>
      <c r="V12" s="114" t="s">
        <v>4</v>
      </c>
      <c r="W12" s="19" t="s">
        <v>41</v>
      </c>
      <c r="X12" s="19" t="s">
        <v>41</v>
      </c>
      <c r="Y12" s="19" t="s">
        <v>41</v>
      </c>
      <c r="Z12" s="116" t="s">
        <v>2</v>
      </c>
      <c r="AA12" s="19" t="s">
        <v>42</v>
      </c>
      <c r="AB12" s="19" t="s">
        <v>42</v>
      </c>
      <c r="AC12" s="114" t="s">
        <v>4</v>
      </c>
      <c r="AD12" s="116" t="s">
        <v>2</v>
      </c>
      <c r="AE12" s="19" t="s">
        <v>41</v>
      </c>
      <c r="AF12" s="19" t="s">
        <v>41</v>
      </c>
      <c r="AH12">
        <f t="shared" si="1"/>
        <v>5</v>
      </c>
      <c r="AI12">
        <f t="shared" si="2"/>
        <v>3</v>
      </c>
    </row>
    <row r="13" spans="1:38" x14ac:dyDescent="0.35">
      <c r="A13" s="141" t="s">
        <v>22</v>
      </c>
      <c r="B13" s="19" t="s">
        <v>42</v>
      </c>
      <c r="C13" s="19" t="s">
        <v>41</v>
      </c>
      <c r="D13" s="116" t="s">
        <v>2</v>
      </c>
      <c r="E13" s="25" t="s">
        <v>6</v>
      </c>
      <c r="F13" s="25" t="s">
        <v>6</v>
      </c>
      <c r="G13" s="114" t="s">
        <v>4</v>
      </c>
      <c r="H13" s="114" t="s">
        <v>4</v>
      </c>
      <c r="I13" s="116" t="s">
        <v>2</v>
      </c>
      <c r="J13" s="19" t="s">
        <v>41</v>
      </c>
      <c r="K13" s="19" t="s">
        <v>41</v>
      </c>
      <c r="L13" s="19" t="s">
        <v>41</v>
      </c>
      <c r="M13" s="19" t="s">
        <v>41</v>
      </c>
      <c r="N13" s="122" t="s">
        <v>4</v>
      </c>
      <c r="O13" s="122" t="s">
        <v>4</v>
      </c>
      <c r="P13" s="122" t="s">
        <v>5</v>
      </c>
      <c r="Q13" s="122" t="s">
        <v>5</v>
      </c>
      <c r="R13" s="122" t="s">
        <v>5</v>
      </c>
      <c r="S13" s="19" t="s">
        <v>41</v>
      </c>
      <c r="T13" s="19" t="s">
        <v>41</v>
      </c>
      <c r="U13" s="19" t="s">
        <v>42</v>
      </c>
      <c r="V13" s="114" t="s">
        <v>4</v>
      </c>
      <c r="W13" s="19" t="s">
        <v>41</v>
      </c>
      <c r="X13" s="19" t="s">
        <v>41</v>
      </c>
      <c r="Y13" s="25" t="s">
        <v>6</v>
      </c>
      <c r="Z13" s="19" t="s">
        <v>41</v>
      </c>
      <c r="AA13" s="115" t="s">
        <v>37</v>
      </c>
      <c r="AB13" s="114" t="s">
        <v>4</v>
      </c>
      <c r="AC13" s="114" t="s">
        <v>4</v>
      </c>
      <c r="AD13" s="19" t="s">
        <v>41</v>
      </c>
      <c r="AE13" s="19" t="s">
        <v>41</v>
      </c>
      <c r="AF13" s="116" t="s">
        <v>2</v>
      </c>
      <c r="AH13">
        <f t="shared" si="1"/>
        <v>3</v>
      </c>
      <c r="AI13">
        <f t="shared" si="2"/>
        <v>2</v>
      </c>
    </row>
    <row r="14" spans="1:38" x14ac:dyDescent="0.35">
      <c r="A14" s="141" t="s">
        <v>71</v>
      </c>
      <c r="B14" s="19" t="s">
        <v>42</v>
      </c>
      <c r="C14" s="19" t="s">
        <v>41</v>
      </c>
      <c r="D14" s="19" t="s">
        <v>41</v>
      </c>
      <c r="E14" s="116" t="s">
        <v>2</v>
      </c>
      <c r="F14" s="19" t="s">
        <v>41</v>
      </c>
      <c r="G14" s="22" t="s">
        <v>30</v>
      </c>
      <c r="H14" s="114" t="s">
        <v>4</v>
      </c>
      <c r="I14" s="19" t="s">
        <v>41</v>
      </c>
      <c r="J14" s="116" t="s">
        <v>2</v>
      </c>
      <c r="K14" s="19" t="s">
        <v>41</v>
      </c>
      <c r="L14" s="19" t="s">
        <v>41</v>
      </c>
      <c r="M14" s="116" t="s">
        <v>2</v>
      </c>
      <c r="N14" s="19" t="s">
        <v>42</v>
      </c>
      <c r="O14" s="114" t="s">
        <v>4</v>
      </c>
      <c r="P14" s="19" t="s">
        <v>41</v>
      </c>
      <c r="Q14" s="19" t="s">
        <v>41</v>
      </c>
      <c r="R14" s="19" t="s">
        <v>41</v>
      </c>
      <c r="S14" s="122" t="s">
        <v>5</v>
      </c>
      <c r="T14" s="116" t="s">
        <v>2</v>
      </c>
      <c r="U14" s="22" t="s">
        <v>30</v>
      </c>
      <c r="V14" s="114" t="s">
        <v>4</v>
      </c>
      <c r="W14" s="19" t="s">
        <v>41</v>
      </c>
      <c r="X14" s="19" t="s">
        <v>41</v>
      </c>
      <c r="Y14" s="25" t="s">
        <v>6</v>
      </c>
      <c r="Z14" s="19" t="s">
        <v>41</v>
      </c>
      <c r="AA14" s="19" t="s">
        <v>42</v>
      </c>
      <c r="AB14" s="122" t="s">
        <v>4</v>
      </c>
      <c r="AC14" s="122" t="s">
        <v>4</v>
      </c>
      <c r="AD14" s="122" t="s">
        <v>5</v>
      </c>
      <c r="AE14" s="122" t="s">
        <v>5</v>
      </c>
      <c r="AF14" s="19" t="s">
        <v>41</v>
      </c>
      <c r="AH14">
        <f t="shared" si="1"/>
        <v>4</v>
      </c>
      <c r="AI14">
        <f t="shared" si="2"/>
        <v>5</v>
      </c>
    </row>
    <row r="15" spans="1:38" x14ac:dyDescent="0.35">
      <c r="A15" s="141" t="s">
        <v>149</v>
      </c>
      <c r="B15" s="115" t="s">
        <v>37</v>
      </c>
      <c r="C15" s="19" t="s">
        <v>41</v>
      </c>
      <c r="D15" s="19" t="s">
        <v>41</v>
      </c>
      <c r="E15" s="19" t="s">
        <v>41</v>
      </c>
      <c r="F15" s="19" t="s">
        <v>41</v>
      </c>
      <c r="G15" s="114" t="s">
        <v>4</v>
      </c>
      <c r="H15" s="114" t="s">
        <v>4</v>
      </c>
      <c r="I15" s="19" t="s">
        <v>41</v>
      </c>
      <c r="J15" s="19" t="s">
        <v>41</v>
      </c>
      <c r="K15" s="22" t="s">
        <v>16</v>
      </c>
      <c r="L15" s="22" t="s">
        <v>16</v>
      </c>
      <c r="M15" s="19" t="s">
        <v>41</v>
      </c>
      <c r="N15" s="114" t="s">
        <v>4</v>
      </c>
      <c r="O15" s="114" t="s">
        <v>4</v>
      </c>
      <c r="P15" s="19" t="s">
        <v>41</v>
      </c>
      <c r="Q15" s="25" t="s">
        <v>6</v>
      </c>
      <c r="R15" s="19" t="s">
        <v>41</v>
      </c>
      <c r="S15" s="19" t="s">
        <v>41</v>
      </c>
      <c r="T15" s="25" t="s">
        <v>6</v>
      </c>
      <c r="U15" s="122" t="s">
        <v>4</v>
      </c>
      <c r="V15" s="122" t="s">
        <v>4</v>
      </c>
      <c r="W15" s="122" t="s">
        <v>5</v>
      </c>
      <c r="X15" s="122" t="s">
        <v>5</v>
      </c>
      <c r="Y15" s="122" t="s">
        <v>5</v>
      </c>
      <c r="Z15" s="19" t="s">
        <v>41</v>
      </c>
      <c r="AA15" s="115" t="s">
        <v>37</v>
      </c>
      <c r="AB15" s="114" t="s">
        <v>4</v>
      </c>
      <c r="AC15" s="114" t="s">
        <v>4</v>
      </c>
      <c r="AD15" s="25" t="s">
        <v>6</v>
      </c>
      <c r="AE15" s="19" t="s">
        <v>41</v>
      </c>
      <c r="AF15" s="19" t="s">
        <v>41</v>
      </c>
      <c r="AH15">
        <f t="shared" si="1"/>
        <v>0</v>
      </c>
      <c r="AI15">
        <f t="shared" si="2"/>
        <v>0</v>
      </c>
    </row>
    <row r="17" spans="1:35" x14ac:dyDescent="0.35">
      <c r="A17" s="165" t="s">
        <v>9</v>
      </c>
      <c r="B17" s="25" t="s">
        <v>3</v>
      </c>
      <c r="C17" s="25" t="s">
        <v>6</v>
      </c>
      <c r="D17" s="25" t="s">
        <v>6</v>
      </c>
      <c r="E17" s="116" t="s">
        <v>2</v>
      </c>
      <c r="F17" s="116" t="s">
        <v>2</v>
      </c>
      <c r="G17" s="25" t="s">
        <v>3</v>
      </c>
      <c r="H17" s="25" t="s">
        <v>3</v>
      </c>
      <c r="I17" s="25" t="s">
        <v>6</v>
      </c>
      <c r="J17" s="25" t="s">
        <v>6</v>
      </c>
      <c r="K17" s="116" t="s">
        <v>2</v>
      </c>
      <c r="L17" s="116" t="s">
        <v>2</v>
      </c>
      <c r="M17" s="25" t="s">
        <v>6</v>
      </c>
      <c r="N17" s="25" t="s">
        <v>3</v>
      </c>
      <c r="O17" s="25" t="s">
        <v>3</v>
      </c>
      <c r="P17" s="25" t="s">
        <v>6</v>
      </c>
      <c r="Q17" s="25" t="s">
        <v>6</v>
      </c>
      <c r="R17" s="116" t="s">
        <v>2</v>
      </c>
      <c r="S17" s="116" t="s">
        <v>2</v>
      </c>
      <c r="T17" s="25" t="s">
        <v>6</v>
      </c>
      <c r="U17" s="25" t="s">
        <v>3</v>
      </c>
      <c r="V17" s="25" t="s">
        <v>3</v>
      </c>
      <c r="W17" s="25" t="s">
        <v>6</v>
      </c>
      <c r="X17" s="116" t="s">
        <v>2</v>
      </c>
      <c r="Y17" s="116" t="s">
        <v>2</v>
      </c>
      <c r="Z17" s="116" t="s">
        <v>2</v>
      </c>
      <c r="AA17" s="25" t="s">
        <v>3</v>
      </c>
      <c r="AB17" s="122" t="s">
        <v>4</v>
      </c>
      <c r="AC17" s="25" t="s">
        <v>3</v>
      </c>
      <c r="AD17" s="25" t="s">
        <v>6</v>
      </c>
      <c r="AE17" s="25" t="s">
        <v>6</v>
      </c>
      <c r="AF17" s="116" t="s">
        <v>2</v>
      </c>
      <c r="AH17">
        <f t="shared" si="1"/>
        <v>10</v>
      </c>
      <c r="AI17">
        <f t="shared" si="2"/>
        <v>9</v>
      </c>
    </row>
    <row r="18" spans="1:35" x14ac:dyDescent="0.35">
      <c r="A18" s="165" t="s">
        <v>43</v>
      </c>
      <c r="B18" s="19" t="s">
        <v>42</v>
      </c>
      <c r="C18" s="25" t="s">
        <v>6</v>
      </c>
      <c r="D18" s="25" t="s">
        <v>6</v>
      </c>
      <c r="E18" s="25" t="s">
        <v>6</v>
      </c>
      <c r="F18" s="25" t="s">
        <v>6</v>
      </c>
      <c r="G18" s="19" t="s">
        <v>42</v>
      </c>
      <c r="H18" s="25" t="s">
        <v>3</v>
      </c>
      <c r="I18" s="116" t="s">
        <v>2</v>
      </c>
      <c r="J18" s="116" t="s">
        <v>2</v>
      </c>
      <c r="K18" s="25" t="s">
        <v>6</v>
      </c>
      <c r="L18" s="25" t="s">
        <v>6</v>
      </c>
      <c r="M18" s="25" t="s">
        <v>6</v>
      </c>
      <c r="N18" s="25" t="s">
        <v>3</v>
      </c>
      <c r="O18" s="114" t="s">
        <v>4</v>
      </c>
      <c r="P18" s="25" t="s">
        <v>6</v>
      </c>
      <c r="Q18" s="116" t="s">
        <v>2</v>
      </c>
      <c r="R18" s="25" t="s">
        <v>6</v>
      </c>
      <c r="S18" s="25" t="s">
        <v>6</v>
      </c>
      <c r="T18" s="116" t="s">
        <v>2</v>
      </c>
      <c r="U18" s="114" t="s">
        <v>4</v>
      </c>
      <c r="V18" s="114" t="s">
        <v>4</v>
      </c>
      <c r="W18" s="116" t="s">
        <v>2</v>
      </c>
      <c r="X18" s="25" t="s">
        <v>6</v>
      </c>
      <c r="Y18" s="25" t="s">
        <v>6</v>
      </c>
      <c r="Z18" s="25" t="s">
        <v>6</v>
      </c>
      <c r="AA18" s="25" t="s">
        <v>3</v>
      </c>
      <c r="AB18" s="25" t="s">
        <v>3</v>
      </c>
      <c r="AC18" s="114" t="s">
        <v>4</v>
      </c>
      <c r="AD18" s="25" t="s">
        <v>6</v>
      </c>
      <c r="AE18" s="25" t="s">
        <v>6</v>
      </c>
      <c r="AF18" s="25" t="s">
        <v>6</v>
      </c>
      <c r="AH18">
        <f t="shared" si="1"/>
        <v>5</v>
      </c>
      <c r="AI18">
        <f t="shared" si="2"/>
        <v>6</v>
      </c>
    </row>
    <row r="19" spans="1:35" x14ac:dyDescent="0.35">
      <c r="A19" s="141" t="s">
        <v>68</v>
      </c>
      <c r="B19" s="25" t="s">
        <v>3</v>
      </c>
      <c r="C19" s="122" t="s">
        <v>5</v>
      </c>
      <c r="D19" s="122" t="s">
        <v>5</v>
      </c>
      <c r="E19" s="122" t="s">
        <v>5</v>
      </c>
      <c r="F19" s="122" t="s">
        <v>5</v>
      </c>
      <c r="G19" s="114" t="s">
        <v>4</v>
      </c>
      <c r="H19" s="114" t="s">
        <v>4</v>
      </c>
      <c r="I19" s="25" t="s">
        <v>6</v>
      </c>
      <c r="J19" s="25" t="s">
        <v>6</v>
      </c>
      <c r="K19" s="116" t="s">
        <v>2</v>
      </c>
      <c r="L19" s="25" t="s">
        <v>6</v>
      </c>
      <c r="M19" s="25" t="s">
        <v>6</v>
      </c>
      <c r="N19" s="114" t="s">
        <v>4</v>
      </c>
      <c r="O19" s="25" t="s">
        <v>3</v>
      </c>
      <c r="P19" s="25" t="s">
        <v>6</v>
      </c>
      <c r="Q19" s="25" t="s">
        <v>6</v>
      </c>
      <c r="R19" s="122" t="s">
        <v>2</v>
      </c>
      <c r="S19" s="25" t="s">
        <v>6</v>
      </c>
      <c r="T19" s="25" t="s">
        <v>6</v>
      </c>
      <c r="U19" s="114" t="s">
        <v>4</v>
      </c>
      <c r="V19" s="25" t="s">
        <v>3</v>
      </c>
      <c r="W19" s="25" t="s">
        <v>6</v>
      </c>
      <c r="X19" s="25" t="s">
        <v>6</v>
      </c>
      <c r="Y19" s="19" t="s">
        <v>41</v>
      </c>
      <c r="Z19" s="25" t="s">
        <v>6</v>
      </c>
      <c r="AA19" s="115" t="s">
        <v>37</v>
      </c>
      <c r="AB19" s="114" t="s">
        <v>4</v>
      </c>
      <c r="AC19" s="25" t="s">
        <v>3</v>
      </c>
      <c r="AD19" s="122" t="s">
        <v>2</v>
      </c>
      <c r="AE19" s="122" t="s">
        <v>2</v>
      </c>
      <c r="AF19" s="25" t="s">
        <v>6</v>
      </c>
      <c r="AH19">
        <f t="shared" si="1"/>
        <v>4</v>
      </c>
      <c r="AI19">
        <f t="shared" si="2"/>
        <v>4</v>
      </c>
    </row>
    <row r="20" spans="1:35" x14ac:dyDescent="0.35">
      <c r="A20" s="141" t="s">
        <v>60</v>
      </c>
      <c r="B20" s="25" t="s">
        <v>3</v>
      </c>
      <c r="C20" s="25" t="s">
        <v>6</v>
      </c>
      <c r="D20" s="116" t="s">
        <v>2</v>
      </c>
      <c r="E20" s="25" t="s">
        <v>6</v>
      </c>
      <c r="F20" s="25" t="s">
        <v>6</v>
      </c>
      <c r="G20" s="25" t="s">
        <v>3</v>
      </c>
      <c r="H20" s="114" t="s">
        <v>4</v>
      </c>
      <c r="I20" s="116" t="s">
        <v>2</v>
      </c>
      <c r="J20" s="25" t="s">
        <v>6</v>
      </c>
      <c r="K20" s="25" t="s">
        <v>6</v>
      </c>
      <c r="L20" s="172" t="s">
        <v>5</v>
      </c>
      <c r="M20" s="169" t="s">
        <v>2</v>
      </c>
      <c r="N20" s="172" t="s">
        <v>4</v>
      </c>
      <c r="O20" s="172" t="s">
        <v>4</v>
      </c>
      <c r="P20" s="169" t="s">
        <v>2</v>
      </c>
      <c r="Q20" s="19" t="s">
        <v>41</v>
      </c>
      <c r="R20" s="25" t="s">
        <v>6</v>
      </c>
      <c r="S20" s="25" t="s">
        <v>6</v>
      </c>
      <c r="T20" s="25" t="s">
        <v>6</v>
      </c>
      <c r="U20" s="25" t="s">
        <v>3</v>
      </c>
      <c r="V20" s="114" t="s">
        <v>4</v>
      </c>
      <c r="W20" s="25" t="s">
        <v>6</v>
      </c>
      <c r="X20" s="25" t="s">
        <v>6</v>
      </c>
      <c r="Y20" s="19" t="s">
        <v>41</v>
      </c>
      <c r="Z20" s="25" t="s">
        <v>6</v>
      </c>
      <c r="AA20" s="25" t="s">
        <v>3</v>
      </c>
      <c r="AB20" s="25" t="s">
        <v>3</v>
      </c>
      <c r="AC20" s="114" t="s">
        <v>4</v>
      </c>
      <c r="AD20" s="116" t="s">
        <v>2</v>
      </c>
      <c r="AE20" s="25" t="s">
        <v>6</v>
      </c>
      <c r="AF20" s="25" t="s">
        <v>6</v>
      </c>
      <c r="AH20">
        <f t="shared" si="1"/>
        <v>5</v>
      </c>
      <c r="AI20">
        <f t="shared" si="2"/>
        <v>5</v>
      </c>
    </row>
    <row r="21" spans="1:35" x14ac:dyDescent="0.35">
      <c r="A21" s="141" t="s">
        <v>153</v>
      </c>
      <c r="B21" s="115" t="s">
        <v>37</v>
      </c>
      <c r="C21" s="172" t="s">
        <v>34</v>
      </c>
      <c r="D21" s="25" t="s">
        <v>6</v>
      </c>
      <c r="E21" s="25" t="s">
        <v>6</v>
      </c>
      <c r="F21" s="25" t="s">
        <v>6</v>
      </c>
      <c r="G21" s="114" t="s">
        <v>4</v>
      </c>
      <c r="H21" s="114" t="s">
        <v>4</v>
      </c>
      <c r="I21" s="25" t="s">
        <v>6</v>
      </c>
      <c r="J21" s="25" t="s">
        <v>6</v>
      </c>
      <c r="K21" s="25" t="s">
        <v>6</v>
      </c>
      <c r="L21" s="25" t="s">
        <v>6</v>
      </c>
      <c r="M21" s="122" t="s">
        <v>5</v>
      </c>
      <c r="N21" s="122" t="s">
        <v>4</v>
      </c>
      <c r="O21" s="122" t="s">
        <v>4</v>
      </c>
      <c r="P21" s="25" t="s">
        <v>6</v>
      </c>
      <c r="Q21" s="25" t="s">
        <v>6</v>
      </c>
      <c r="R21" s="25" t="s">
        <v>6</v>
      </c>
      <c r="S21" s="25" t="s">
        <v>6</v>
      </c>
      <c r="T21" s="19" t="s">
        <v>41</v>
      </c>
      <c r="U21" s="114" t="s">
        <v>4</v>
      </c>
      <c r="V21" s="114" t="s">
        <v>4</v>
      </c>
      <c r="W21" s="122" t="s">
        <v>5</v>
      </c>
      <c r="X21" s="25" t="s">
        <v>6</v>
      </c>
      <c r="Y21" s="22" t="s">
        <v>16</v>
      </c>
      <c r="Z21" s="25" t="s">
        <v>6</v>
      </c>
      <c r="AA21" s="115" t="s">
        <v>37</v>
      </c>
      <c r="AB21" s="114" t="s">
        <v>4</v>
      </c>
      <c r="AC21" s="114" t="s">
        <v>4</v>
      </c>
      <c r="AD21" s="19" t="s">
        <v>41</v>
      </c>
      <c r="AE21" s="25" t="s">
        <v>6</v>
      </c>
      <c r="AF21" s="25" t="s">
        <v>6</v>
      </c>
      <c r="AH21">
        <f t="shared" si="1"/>
        <v>0</v>
      </c>
      <c r="AI21">
        <f t="shared" si="2"/>
        <v>0</v>
      </c>
    </row>
    <row r="23" spans="1:35" x14ac:dyDescent="0.35">
      <c r="A23" s="128" t="s">
        <v>125</v>
      </c>
      <c r="B23">
        <f t="shared" ref="B23:C23" si="3">COUNTIF(B4:B21,"*MS")</f>
        <v>3</v>
      </c>
      <c r="C23">
        <f t="shared" si="3"/>
        <v>3</v>
      </c>
      <c r="D23">
        <f t="shared" ref="D23:F23" si="4">COUNTIF(D4:D21,"*MS")</f>
        <v>3</v>
      </c>
      <c r="E23">
        <f t="shared" si="4"/>
        <v>4</v>
      </c>
      <c r="F23">
        <f t="shared" si="4"/>
        <v>4</v>
      </c>
      <c r="G23">
        <f>COUNTIF(G4:G21,"*MS")</f>
        <v>2</v>
      </c>
      <c r="H23">
        <f>COUNTIF(H4:H21,"*MS")</f>
        <v>2</v>
      </c>
      <c r="I23">
        <f>COUNTIF(I4:I21,"*MS")</f>
        <v>3</v>
      </c>
      <c r="J23">
        <f>COUNTIF(J4:J21,"*MS")</f>
        <v>4</v>
      </c>
      <c r="K23">
        <f t="shared" ref="K23:M23" si="5">COUNTIF(K4:K21,"*MS")</f>
        <v>3</v>
      </c>
      <c r="L23">
        <f t="shared" si="5"/>
        <v>3</v>
      </c>
      <c r="M23">
        <f t="shared" si="5"/>
        <v>3</v>
      </c>
      <c r="N23">
        <f>COUNTIF(N5:N21,"*MS")</f>
        <v>2</v>
      </c>
      <c r="O23">
        <f>COUNTIF(O5:O21,"*MS")</f>
        <v>2</v>
      </c>
      <c r="P23">
        <f>COUNTIF(P4:P21,"*MS")</f>
        <v>4</v>
      </c>
      <c r="Q23">
        <f>COUNTIF(Q4:Q21,"*MS")</f>
        <v>4</v>
      </c>
      <c r="R23">
        <f t="shared" ref="R23:T23" si="6">COUNTIF(R4:R21,"*MS")</f>
        <v>3</v>
      </c>
      <c r="S23">
        <f t="shared" si="6"/>
        <v>4</v>
      </c>
      <c r="T23">
        <f t="shared" si="6"/>
        <v>4</v>
      </c>
      <c r="U23">
        <f>COUNTIF(U4:U21,"*MS")</f>
        <v>2</v>
      </c>
      <c r="V23">
        <f>COUNTIF(V4:V21,"*MS")</f>
        <v>2</v>
      </c>
      <c r="W23">
        <f>COUNTIF(W4:W21,"*MS")</f>
        <v>3</v>
      </c>
      <c r="X23">
        <f>COUNTIF(X4:X21,"*MS")</f>
        <v>4</v>
      </c>
      <c r="Y23">
        <f>COUNTIF(Y4:Y21,"*MS")</f>
        <v>3</v>
      </c>
      <c r="Z23">
        <f t="shared" ref="Z23:AA23" si="7">COUNTIF(Z4:Z21,"*MS")</f>
        <v>4</v>
      </c>
      <c r="AA23">
        <f t="shared" si="7"/>
        <v>3</v>
      </c>
      <c r="AB23">
        <f>COUNTIF(AB4:AB21,"*MS")</f>
        <v>2</v>
      </c>
      <c r="AC23">
        <f>COUNTIF(AC4:AC21,"*MS")</f>
        <v>2</v>
      </c>
      <c r="AD23">
        <f t="shared" ref="AD23:AF23" si="8">COUNTIF(AD4:AD21,"*MS")</f>
        <v>3</v>
      </c>
      <c r="AE23">
        <f t="shared" si="8"/>
        <v>4</v>
      </c>
      <c r="AF23">
        <f t="shared" si="8"/>
        <v>4</v>
      </c>
    </row>
    <row r="24" spans="1:35" x14ac:dyDescent="0.35">
      <c r="A24" s="128" t="s">
        <v>126</v>
      </c>
      <c r="B24">
        <f t="shared" ref="B24:C24" si="9">COUNTIF(B4:B21,"*ASS1")</f>
        <v>3</v>
      </c>
      <c r="C24">
        <f t="shared" si="9"/>
        <v>4</v>
      </c>
      <c r="D24">
        <f t="shared" ref="D24:F24" si="10">COUNTIF(D4:D21,"*ASS1")</f>
        <v>3</v>
      </c>
      <c r="E24">
        <f t="shared" si="10"/>
        <v>4</v>
      </c>
      <c r="F24">
        <f t="shared" si="10"/>
        <v>4</v>
      </c>
      <c r="G24">
        <f>COUNTIF(G4:G21,"*ASS1")</f>
        <v>2</v>
      </c>
      <c r="H24">
        <f>COUNTIF(H4:H21,"*ASS1")</f>
        <v>2</v>
      </c>
      <c r="I24">
        <f>COUNTIF(I4:I21,"*ASS1")</f>
        <v>4</v>
      </c>
      <c r="J24">
        <f>COUNTIF(J4:J21,"*ASS1")</f>
        <v>4</v>
      </c>
      <c r="K24">
        <f t="shared" ref="K24:M24" si="11">COUNTIF(K4:K21,"*ASS1")</f>
        <v>4</v>
      </c>
      <c r="L24">
        <f t="shared" si="11"/>
        <v>5</v>
      </c>
      <c r="M24">
        <f t="shared" si="11"/>
        <v>4</v>
      </c>
      <c r="N24">
        <f>COUNTIF(N5:N21,"*ASS1")</f>
        <v>2</v>
      </c>
      <c r="O24">
        <f>COUNTIF(O5:O21,"*ASS1")</f>
        <v>2</v>
      </c>
      <c r="P24">
        <f>COUNTIF(P4:P21,"*ASS1")</f>
        <v>4</v>
      </c>
      <c r="Q24">
        <f>COUNTIF(Q4:Q21,"*ASS1")</f>
        <v>4</v>
      </c>
      <c r="R24">
        <f t="shared" ref="R24:T24" si="12">COUNTIF(R4:R21,"*ASS1")</f>
        <v>4</v>
      </c>
      <c r="S24">
        <f t="shared" si="12"/>
        <v>4</v>
      </c>
      <c r="T24">
        <f t="shared" si="12"/>
        <v>4</v>
      </c>
      <c r="U24">
        <f>COUNTIF(U4:U21,"*ASS1")</f>
        <v>2</v>
      </c>
      <c r="V24">
        <f>COUNTIF(V4:V21,"*ASS1")</f>
        <v>2</v>
      </c>
      <c r="W24">
        <f>COUNTIF(W4:W21,"*ASS1")</f>
        <v>3</v>
      </c>
      <c r="X24">
        <f>COUNTIF(X4:X21,"*ASS1")</f>
        <v>4</v>
      </c>
      <c r="Y24">
        <f>COUNTIF(Y4:Y21,"*ASS1")</f>
        <v>3</v>
      </c>
      <c r="Z24">
        <f t="shared" ref="Z24:AA24" si="13">COUNTIF(Z4:Z21,"*ASS1")</f>
        <v>4</v>
      </c>
      <c r="AA24">
        <f t="shared" si="13"/>
        <v>3</v>
      </c>
      <c r="AB24">
        <f>COUNTIF(AB4:AB21,"*ASS1")</f>
        <v>2</v>
      </c>
      <c r="AC24">
        <f>COUNTIF(AC4:AC21,"*ASS1")</f>
        <v>2</v>
      </c>
      <c r="AD24">
        <f t="shared" ref="AD24:AF24" si="14">COUNTIF(AD4:AD21,"*ASS1")</f>
        <v>3</v>
      </c>
      <c r="AE24">
        <f t="shared" si="14"/>
        <v>4</v>
      </c>
      <c r="AF24">
        <f t="shared" si="14"/>
        <v>4</v>
      </c>
    </row>
    <row r="25" spans="1:35" x14ac:dyDescent="0.35">
      <c r="A25" s="128" t="s">
        <v>127</v>
      </c>
      <c r="B25">
        <f t="shared" ref="B25:C25" si="15">COUNTIF(B4:B21,"*NST7")</f>
        <v>3</v>
      </c>
      <c r="C25">
        <f t="shared" si="15"/>
        <v>3</v>
      </c>
      <c r="D25">
        <f t="shared" ref="D25:F25" si="16">COUNTIF(D4:D21,"*NST7")</f>
        <v>3</v>
      </c>
      <c r="E25">
        <f t="shared" si="16"/>
        <v>3</v>
      </c>
      <c r="F25">
        <f t="shared" si="16"/>
        <v>3</v>
      </c>
      <c r="G25">
        <f>COUNTIF(G4:G21,"*NST7")</f>
        <v>3</v>
      </c>
      <c r="H25">
        <f>COUNTIF(H4:H21,"*NST7")</f>
        <v>2</v>
      </c>
      <c r="I25">
        <f>COUNTIF(I4:I21,"*NST7")</f>
        <v>3</v>
      </c>
      <c r="J25">
        <f>COUNTIF(J4:J21,"*NST7")</f>
        <v>3</v>
      </c>
      <c r="K25">
        <f t="shared" ref="K25:M25" si="17">COUNTIF(K4:K21,"*NST7")</f>
        <v>4</v>
      </c>
      <c r="L25">
        <f t="shared" si="17"/>
        <v>3</v>
      </c>
      <c r="M25">
        <f t="shared" si="17"/>
        <v>3</v>
      </c>
      <c r="N25">
        <f>COUNTIF(N5:N21,"*NST7")</f>
        <v>2</v>
      </c>
      <c r="O25">
        <f>COUNTIF(O5:O21,"*NST7")</f>
        <v>2</v>
      </c>
      <c r="P25">
        <f>COUNTIF(P4:P21,"*NST7")</f>
        <v>3</v>
      </c>
      <c r="Q25">
        <f>COUNTIF(Q4:Q21,"*NST7")</f>
        <v>3</v>
      </c>
      <c r="R25">
        <f t="shared" ref="R25:T25" si="18">COUNTIF(R4:R21,"*NST7")</f>
        <v>3</v>
      </c>
      <c r="S25">
        <f t="shared" si="18"/>
        <v>3</v>
      </c>
      <c r="T25">
        <f t="shared" si="18"/>
        <v>3</v>
      </c>
      <c r="U25">
        <f>COUNTIF(U4:U21,"*NST7")</f>
        <v>3</v>
      </c>
      <c r="V25">
        <f>COUNTIF(V4:V21,"*NST7")</f>
        <v>2</v>
      </c>
      <c r="W25">
        <f>COUNTIF(W4:W21,"*NST7")</f>
        <v>4</v>
      </c>
      <c r="X25">
        <f>COUNTIF(X4:X21,"*NST7")</f>
        <v>3</v>
      </c>
      <c r="Y25">
        <f>COUNTIF(Y4:Y21,"*NST7")</f>
        <v>3</v>
      </c>
      <c r="Z25">
        <f t="shared" ref="Z25:AA25" si="19">COUNTIF(Z4:Z21,"*NST7")</f>
        <v>4</v>
      </c>
      <c r="AA25">
        <f t="shared" si="19"/>
        <v>3</v>
      </c>
      <c r="AB25">
        <f>COUNTIF(AB4:AB21,"*NST7")</f>
        <v>3</v>
      </c>
      <c r="AC25">
        <f>COUNTIF(AC4:AC21,"*NST7")</f>
        <v>2</v>
      </c>
      <c r="AD25">
        <f t="shared" ref="AD25:AF25" si="20">COUNTIF(AD4:AD21,"*NST7")</f>
        <v>2</v>
      </c>
      <c r="AE25">
        <f t="shared" si="20"/>
        <v>3</v>
      </c>
      <c r="AF25">
        <f t="shared" si="20"/>
        <v>2</v>
      </c>
    </row>
    <row r="26" spans="1:35" x14ac:dyDescent="0.35">
      <c r="A26" s="128" t="s">
        <v>128</v>
      </c>
      <c r="B26">
        <f t="shared" ref="B26:C26" si="21">COUNTIF(B4:B21,"*GS")</f>
        <v>0</v>
      </c>
      <c r="C26">
        <f t="shared" si="21"/>
        <v>0</v>
      </c>
      <c r="D26">
        <f t="shared" ref="D26:F26" si="22">COUNTIF(D4:D21,"*GS")</f>
        <v>0</v>
      </c>
      <c r="E26">
        <f t="shared" si="22"/>
        <v>0</v>
      </c>
      <c r="F26">
        <f t="shared" si="22"/>
        <v>0</v>
      </c>
      <c r="G26">
        <f>COUNTIF(G4:G21,"*GS")</f>
        <v>1</v>
      </c>
      <c r="H26">
        <f>COUNTIF(H4:H21,"*GS")</f>
        <v>0</v>
      </c>
      <c r="I26">
        <f>COUNTIF(I4:I21,"*GS")</f>
        <v>0</v>
      </c>
      <c r="J26">
        <f>COUNTIF(J4:J21,"*GS")</f>
        <v>0</v>
      </c>
      <c r="K26">
        <f t="shared" ref="K26:M26" si="23">COUNTIF(K4:K21,"*GS")</f>
        <v>1</v>
      </c>
      <c r="L26">
        <f t="shared" si="23"/>
        <v>1</v>
      </c>
      <c r="M26">
        <f t="shared" si="23"/>
        <v>0</v>
      </c>
      <c r="N26">
        <f>COUNTIF(N5:N21,"*GS")</f>
        <v>1</v>
      </c>
      <c r="O26">
        <f>COUNTIF(O5:O21,"*GS")</f>
        <v>0</v>
      </c>
      <c r="P26">
        <f>COUNTIF(P4:P21,"*GS")</f>
        <v>0</v>
      </c>
      <c r="Q26">
        <f>COUNTIF(Q4:Q21,"*GS")</f>
        <v>0</v>
      </c>
      <c r="R26">
        <f t="shared" ref="R26:T26" si="24">COUNTIF(R4:R21,"*GS")</f>
        <v>0</v>
      </c>
      <c r="S26">
        <f t="shared" si="24"/>
        <v>0</v>
      </c>
      <c r="T26">
        <f t="shared" si="24"/>
        <v>0</v>
      </c>
      <c r="U26">
        <f>COUNTIF(U4:U21,"*GS")</f>
        <v>1</v>
      </c>
      <c r="V26">
        <f>COUNTIF(V4:V21,"*GS")</f>
        <v>0</v>
      </c>
      <c r="W26">
        <f>COUNTIF(W4:W21,"*GS")</f>
        <v>0</v>
      </c>
      <c r="X26">
        <f>COUNTIF(X4:X21,"*GS")</f>
        <v>0</v>
      </c>
      <c r="Y26">
        <f>COUNTIF(Y4:Y21,"*GS")</f>
        <v>1</v>
      </c>
      <c r="Z26">
        <f t="shared" ref="Z26:AA26" si="25">COUNTIF(Z4:Z21,"*GS")</f>
        <v>0</v>
      </c>
      <c r="AA26">
        <f t="shared" si="25"/>
        <v>1</v>
      </c>
      <c r="AB26">
        <f>COUNTIF(AB4:AB21,"*GS")</f>
        <v>1</v>
      </c>
      <c r="AC26">
        <f>COUNTIF(AC4:AC21,"*GS")</f>
        <v>0</v>
      </c>
      <c r="AD26">
        <f t="shared" ref="AD26:AF26" si="26">COUNTIF(AD4:AD21,"*GS")</f>
        <v>0</v>
      </c>
      <c r="AE26">
        <f t="shared" si="26"/>
        <v>0</v>
      </c>
      <c r="AF26">
        <f t="shared" si="26"/>
        <v>0</v>
      </c>
    </row>
    <row r="27" spans="1:35" x14ac:dyDescent="0.35">
      <c r="A27" s="128" t="s">
        <v>129</v>
      </c>
      <c r="B27">
        <f>COUNTIF(B4:B21,"C")</f>
        <v>0</v>
      </c>
      <c r="C27">
        <f>COUNTIF(C4:C21,"C")</f>
        <v>3</v>
      </c>
      <c r="D27">
        <f t="shared" ref="D27:F27" si="27">COUNTIF(D4:D21,"C")</f>
        <v>4</v>
      </c>
      <c r="E27">
        <f t="shared" si="27"/>
        <v>3</v>
      </c>
      <c r="F27">
        <f t="shared" si="27"/>
        <v>3</v>
      </c>
      <c r="G27">
        <f>COUNTIF(G4:G21,"WO")</f>
        <v>8</v>
      </c>
      <c r="H27">
        <f>COUNTIF(H4:H21,"WO")</f>
        <v>10</v>
      </c>
      <c r="I27">
        <f>COUNTIF(I4:I21,"C")</f>
        <v>5</v>
      </c>
      <c r="J27">
        <f>COUNTIF(J4:J21,"C")</f>
        <v>4</v>
      </c>
      <c r="K27">
        <f t="shared" ref="K27:M27" si="28">COUNTIF(K4:K21,"C")</f>
        <v>4</v>
      </c>
      <c r="L27">
        <f t="shared" si="28"/>
        <v>3</v>
      </c>
      <c r="M27">
        <f t="shared" si="28"/>
        <v>5</v>
      </c>
      <c r="N27">
        <f>COUNTIF(N5:N21,"WO")</f>
        <v>8</v>
      </c>
      <c r="O27">
        <f>COUNTIF(O5:O21,"WO")</f>
        <v>9</v>
      </c>
      <c r="P27">
        <f>COUNTIF(P4:P21,"C")</f>
        <v>4</v>
      </c>
      <c r="Q27">
        <f>COUNTIF(Q4:Q21,"C")</f>
        <v>3</v>
      </c>
      <c r="R27">
        <f t="shared" ref="R27:T27" si="29">COUNTIF(R4:R21,"C")</f>
        <v>4</v>
      </c>
      <c r="S27">
        <f t="shared" si="29"/>
        <v>3</v>
      </c>
      <c r="T27">
        <f t="shared" si="29"/>
        <v>4</v>
      </c>
      <c r="U27">
        <f>COUNTIF(U4:U21,"WO")</f>
        <v>8</v>
      </c>
      <c r="V27">
        <f>COUNTIF(V4:V21,"WO")</f>
        <v>10</v>
      </c>
      <c r="W27">
        <f>COUNTIF(W4:W21,"C")</f>
        <v>4</v>
      </c>
      <c r="X27">
        <f>COUNTIF(X4:X21,"C")</f>
        <v>3</v>
      </c>
      <c r="Y27">
        <f>COUNTIF(Y4:Y21,"C")</f>
        <v>4</v>
      </c>
      <c r="Z27">
        <f t="shared" ref="Z27:AA27" si="30">COUNTIF(Z4:Z21,"C")</f>
        <v>4</v>
      </c>
      <c r="AA27">
        <f t="shared" si="30"/>
        <v>0</v>
      </c>
      <c r="AB27">
        <f>COUNTIF(AB4:AB21,"WO")</f>
        <v>8</v>
      </c>
      <c r="AC27">
        <f>COUNTIF(AC4:AC21,"WO")</f>
        <v>10</v>
      </c>
      <c r="AD27">
        <f t="shared" ref="AD27:AF27" si="31">COUNTIF(AD4:AD21,"C")</f>
        <v>6</v>
      </c>
      <c r="AE27">
        <f t="shared" si="31"/>
        <v>3</v>
      </c>
      <c r="AF27">
        <f t="shared" si="31"/>
        <v>5</v>
      </c>
    </row>
    <row r="28" spans="1:35" x14ac:dyDescent="0.35">
      <c r="A28" s="128" t="s">
        <v>130</v>
      </c>
      <c r="B28">
        <f t="shared" ref="B28:C28" si="32">COUNTIF(B4:B21,"PL")</f>
        <v>0</v>
      </c>
      <c r="C28">
        <f t="shared" si="32"/>
        <v>2</v>
      </c>
      <c r="D28">
        <f t="shared" ref="D28:F28" si="33">COUNTIF(D4:D21,"PL")</f>
        <v>2</v>
      </c>
      <c r="E28">
        <f t="shared" si="33"/>
        <v>2</v>
      </c>
      <c r="F28">
        <f t="shared" si="33"/>
        <v>2</v>
      </c>
      <c r="G28">
        <f>COUNTIF(G4:G21,"PL")</f>
        <v>0</v>
      </c>
      <c r="H28">
        <f>COUNTIF(H4:H21,"PL")</f>
        <v>0</v>
      </c>
      <c r="I28">
        <f>COUNTIF(I4:I21,"PL")</f>
        <v>1</v>
      </c>
      <c r="J28">
        <f>COUNTIF(J4:J21,"PL")</f>
        <v>1</v>
      </c>
      <c r="K28">
        <f t="shared" ref="K28:M28" si="34">COUNTIF(K4:K21,"PL")</f>
        <v>0</v>
      </c>
      <c r="L28">
        <f t="shared" si="34"/>
        <v>1</v>
      </c>
      <c r="M28">
        <f t="shared" si="34"/>
        <v>1</v>
      </c>
      <c r="N28">
        <f>COUNTIF(N5:N21,"PL")</f>
        <v>0</v>
      </c>
      <c r="O28">
        <f>COUNTIF(O5:O21,"PL")</f>
        <v>0</v>
      </c>
      <c r="P28">
        <f>COUNTIF(P4:P21,"PL")</f>
        <v>1</v>
      </c>
      <c r="Q28">
        <f>COUNTIF(Q4:Q21,"PL")</f>
        <v>2</v>
      </c>
      <c r="R28">
        <f t="shared" ref="R28:T28" si="35">COUNTIF(R4:R21,"PL")</f>
        <v>2</v>
      </c>
      <c r="S28">
        <f t="shared" si="35"/>
        <v>2</v>
      </c>
      <c r="T28">
        <f t="shared" si="35"/>
        <v>1</v>
      </c>
      <c r="U28">
        <f>COUNTIF(U4:U21,"PL")</f>
        <v>0</v>
      </c>
      <c r="V28">
        <f>COUNTIF(V4:V21,"PL")</f>
        <v>0</v>
      </c>
      <c r="W28">
        <f>COUNTIF(W4:W21,"PL")</f>
        <v>2</v>
      </c>
      <c r="X28">
        <f>COUNTIF(X4:X21,"PL")</f>
        <v>2</v>
      </c>
      <c r="Y28">
        <f>COUNTIF(Y4:Y21,"PL")</f>
        <v>2</v>
      </c>
      <c r="Z28">
        <f t="shared" ref="Z28:AA28" si="36">COUNTIF(Z4:Z21,"PL")</f>
        <v>0</v>
      </c>
      <c r="AA28">
        <f t="shared" si="36"/>
        <v>0</v>
      </c>
      <c r="AB28">
        <f>COUNTIF(AB4:AB21,"PL")</f>
        <v>0</v>
      </c>
      <c r="AC28">
        <f>COUNTIF(AC4:AC21,"PL")</f>
        <v>0</v>
      </c>
      <c r="AD28">
        <f t="shared" ref="AD28:AF28" si="37">COUNTIF(AD4:AD21,"PL")</f>
        <v>2</v>
      </c>
      <c r="AE28">
        <f t="shared" si="37"/>
        <v>2</v>
      </c>
      <c r="AF28">
        <f t="shared" si="37"/>
        <v>1</v>
      </c>
    </row>
    <row r="29" spans="1:35" x14ac:dyDescent="0.35">
      <c r="A29" s="128" t="s">
        <v>33</v>
      </c>
      <c r="B29">
        <f t="shared" ref="B29:C29" si="38">COUNTIF(B4:B21,"UPL")</f>
        <v>0</v>
      </c>
      <c r="C29">
        <f t="shared" si="38"/>
        <v>1</v>
      </c>
      <c r="D29">
        <f t="shared" ref="D29:F29" si="39">COUNTIF(D4:D21,"UPL")</f>
        <v>1</v>
      </c>
      <c r="E29">
        <f t="shared" si="39"/>
        <v>0</v>
      </c>
      <c r="F29">
        <f t="shared" si="39"/>
        <v>0</v>
      </c>
      <c r="G29">
        <f>COUNTIF(G4:G21,"UPL")</f>
        <v>0</v>
      </c>
      <c r="H29">
        <f>COUNTIF(H4:H21,"UPL")</f>
        <v>0</v>
      </c>
      <c r="I29">
        <f>COUNTIF(I4:I21,"UPL")</f>
        <v>0</v>
      </c>
      <c r="J29">
        <f>COUNTIF(J4:J21,"UPL")</f>
        <v>0</v>
      </c>
      <c r="K29">
        <f t="shared" ref="K29:M29" si="40">COUNTIF(K4:K21,"UPL")</f>
        <v>0</v>
      </c>
      <c r="L29">
        <f t="shared" si="40"/>
        <v>0</v>
      </c>
      <c r="M29">
        <f t="shared" si="40"/>
        <v>0</v>
      </c>
      <c r="N29">
        <f>COUNTIF(N5:N21,"UPL")</f>
        <v>0</v>
      </c>
      <c r="O29">
        <f>COUNTIF(O5:O21,"UPL")</f>
        <v>0</v>
      </c>
      <c r="P29">
        <f>COUNTIF(P4:P21,"UPL")</f>
        <v>0</v>
      </c>
      <c r="Q29">
        <f>COUNTIF(Q4:Q21,"UPL")</f>
        <v>0</v>
      </c>
      <c r="R29">
        <f t="shared" ref="R29:T29" si="41">COUNTIF(R4:R21,"UPL")</f>
        <v>0</v>
      </c>
      <c r="S29">
        <f t="shared" si="41"/>
        <v>0</v>
      </c>
      <c r="T29">
        <f t="shared" si="41"/>
        <v>0</v>
      </c>
      <c r="U29">
        <f>COUNTIF(U4:U21,"UPL")</f>
        <v>0</v>
      </c>
      <c r="V29">
        <f>COUNTIF(V4:V21,"UPL")</f>
        <v>0</v>
      </c>
      <c r="W29">
        <f>COUNTIF(W4:W21,"UPL")</f>
        <v>0</v>
      </c>
      <c r="X29">
        <f>COUNTIF(X4:X21,"UPL")</f>
        <v>0</v>
      </c>
      <c r="Y29">
        <f>COUNTIF(Y4:Y21,"UPL")</f>
        <v>0</v>
      </c>
      <c r="Z29">
        <f t="shared" ref="Z29:AA29" si="42">COUNTIF(Z4:Z21,"UPL")</f>
        <v>0</v>
      </c>
      <c r="AA29">
        <f t="shared" si="42"/>
        <v>0</v>
      </c>
      <c r="AB29">
        <f>COUNTIF(AB4:AB21,"UPL")</f>
        <v>0</v>
      </c>
      <c r="AC29">
        <f>COUNTIF(AC4:AC21,"UPL")</f>
        <v>0</v>
      </c>
      <c r="AD29">
        <f t="shared" ref="AD29:AF29" si="43">COUNTIF(AD4:AD21,"UPL")</f>
        <v>0</v>
      </c>
      <c r="AE29">
        <f t="shared" si="43"/>
        <v>0</v>
      </c>
      <c r="AF29">
        <f t="shared" si="43"/>
        <v>0</v>
      </c>
    </row>
    <row r="30" spans="1:35" x14ac:dyDescent="0.35">
      <c r="A30" s="128" t="s">
        <v>141</v>
      </c>
      <c r="B30">
        <f t="shared" ref="B30:C30" si="44">COUNTIF(B4:B21,"H")</f>
        <v>7</v>
      </c>
      <c r="C30">
        <f t="shared" si="44"/>
        <v>0</v>
      </c>
      <c r="D30">
        <f t="shared" ref="D30:F30" si="45">COUNTIF(D4:D21,"H")</f>
        <v>0</v>
      </c>
      <c r="E30">
        <f t="shared" si="45"/>
        <v>0</v>
      </c>
      <c r="F30">
        <f t="shared" si="45"/>
        <v>0</v>
      </c>
      <c r="G30">
        <f>COUNTIF(G4:G21,"H")</f>
        <v>0</v>
      </c>
      <c r="H30">
        <f>COUNTIF(H4:H21,"H")</f>
        <v>0</v>
      </c>
      <c r="I30">
        <f>COUNTIF(I4:I21,"H")</f>
        <v>0</v>
      </c>
      <c r="J30">
        <f>COUNTIF(J4:J21,"H")</f>
        <v>0</v>
      </c>
      <c r="K30">
        <f t="shared" ref="K30:M30" si="46">COUNTIF(K4:K21,"H")</f>
        <v>0</v>
      </c>
      <c r="L30">
        <f t="shared" si="46"/>
        <v>0</v>
      </c>
      <c r="M30">
        <f t="shared" si="46"/>
        <v>0</v>
      </c>
      <c r="N30">
        <f>COUNTIF(N5:N21,"H")</f>
        <v>0</v>
      </c>
      <c r="O30">
        <f>COUNTIF(O5:O21,"H")</f>
        <v>0</v>
      </c>
      <c r="P30">
        <f>COUNTIF(P4:P21,"H")</f>
        <v>0</v>
      </c>
      <c r="Q30">
        <f>COUNTIF(Q4:Q21,"H")</f>
        <v>0</v>
      </c>
      <c r="R30">
        <f t="shared" ref="R30:T30" si="47">COUNTIF(R4:R21,"H")</f>
        <v>0</v>
      </c>
      <c r="S30">
        <f t="shared" si="47"/>
        <v>0</v>
      </c>
      <c r="T30">
        <f t="shared" si="47"/>
        <v>0</v>
      </c>
      <c r="U30">
        <f>COUNTIF(U4:U21,"H")</f>
        <v>0</v>
      </c>
      <c r="V30">
        <f>COUNTIF(V4:V21,"H")</f>
        <v>0</v>
      </c>
      <c r="W30">
        <f>COUNTIF(W4:W21,"H")</f>
        <v>0</v>
      </c>
      <c r="X30">
        <f>COUNTIF(X4:X21,"H")</f>
        <v>0</v>
      </c>
      <c r="Y30">
        <f>COUNTIF(Y4:Y21,"H")</f>
        <v>0</v>
      </c>
      <c r="Z30">
        <f t="shared" ref="Z30:AA30" si="48">COUNTIF(Z4:Z21,"H")</f>
        <v>0</v>
      </c>
      <c r="AA30">
        <f t="shared" si="48"/>
        <v>6</v>
      </c>
      <c r="AB30">
        <f>COUNTIF(AB4:AB21,"H")</f>
        <v>0</v>
      </c>
      <c r="AC30">
        <f>COUNTIF(AC4:AC21,"H")</f>
        <v>0</v>
      </c>
      <c r="AD30">
        <f t="shared" ref="AD30:AF30" si="49">COUNTIF(AD4:AD21,"H")</f>
        <v>0</v>
      </c>
      <c r="AE30">
        <f t="shared" si="49"/>
        <v>0</v>
      </c>
      <c r="AF30">
        <f t="shared" si="49"/>
        <v>0</v>
      </c>
    </row>
    <row r="31" spans="1:35" x14ac:dyDescent="0.35">
      <c r="A31" s="128" t="s">
        <v>131</v>
      </c>
      <c r="B31" s="129">
        <f t="shared" ref="B31:C31" si="50">SUM(B23:B30)</f>
        <v>16</v>
      </c>
      <c r="C31" s="129">
        <f t="shared" si="50"/>
        <v>16</v>
      </c>
      <c r="D31" s="129">
        <f t="shared" ref="D31:J31" si="51">SUM(D23:D30)</f>
        <v>16</v>
      </c>
      <c r="E31" s="129">
        <f t="shared" si="51"/>
        <v>16</v>
      </c>
      <c r="F31" s="129">
        <f t="shared" si="51"/>
        <v>16</v>
      </c>
      <c r="G31" s="129">
        <f t="shared" si="51"/>
        <v>16</v>
      </c>
      <c r="H31" s="129">
        <f t="shared" si="51"/>
        <v>16</v>
      </c>
      <c r="I31" s="129">
        <f t="shared" si="51"/>
        <v>16</v>
      </c>
      <c r="J31" s="129">
        <f t="shared" si="51"/>
        <v>16</v>
      </c>
      <c r="K31" s="129">
        <f t="shared" ref="K31:AC31" si="52">SUM(K23:K30)</f>
        <v>16</v>
      </c>
      <c r="L31" s="129">
        <f t="shared" si="52"/>
        <v>16</v>
      </c>
      <c r="M31" s="129">
        <f t="shared" si="52"/>
        <v>16</v>
      </c>
      <c r="N31" s="129">
        <f t="shared" si="52"/>
        <v>15</v>
      </c>
      <c r="O31" s="129">
        <f t="shared" si="52"/>
        <v>15</v>
      </c>
      <c r="P31" s="129">
        <f t="shared" si="52"/>
        <v>16</v>
      </c>
      <c r="Q31" s="129">
        <f t="shared" si="52"/>
        <v>16</v>
      </c>
      <c r="R31" s="129">
        <f t="shared" si="52"/>
        <v>16</v>
      </c>
      <c r="S31" s="129">
        <f t="shared" si="52"/>
        <v>16</v>
      </c>
      <c r="T31" s="129">
        <f t="shared" si="52"/>
        <v>16</v>
      </c>
      <c r="U31" s="129">
        <f t="shared" si="52"/>
        <v>16</v>
      </c>
      <c r="V31" s="129">
        <f t="shared" si="52"/>
        <v>16</v>
      </c>
      <c r="W31" s="129">
        <f t="shared" si="52"/>
        <v>16</v>
      </c>
      <c r="X31" s="129">
        <f t="shared" si="52"/>
        <v>16</v>
      </c>
      <c r="Y31" s="129">
        <f t="shared" si="52"/>
        <v>16</v>
      </c>
      <c r="Z31" s="129">
        <f t="shared" si="52"/>
        <v>16</v>
      </c>
      <c r="AA31" s="129">
        <f t="shared" si="52"/>
        <v>16</v>
      </c>
      <c r="AB31" s="129">
        <f t="shared" si="52"/>
        <v>16</v>
      </c>
      <c r="AC31" s="129">
        <f t="shared" si="52"/>
        <v>16</v>
      </c>
      <c r="AD31" s="129">
        <f t="shared" ref="AD31:AF31" si="53">SUM(AD23:AD30)</f>
        <v>16</v>
      </c>
      <c r="AE31" s="129">
        <f t="shared" si="53"/>
        <v>16</v>
      </c>
      <c r="AF31" s="129">
        <f t="shared" si="53"/>
        <v>16</v>
      </c>
    </row>
  </sheetData>
  <conditionalFormatting sqref="B23:AF26">
    <cfRule type="cellIs" dxfId="829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129F7-2B48-4430-9687-2DDAF166C988}">
  <sheetPr codeName="Sheet35"/>
  <dimension ref="A1:AJ31"/>
  <sheetViews>
    <sheetView zoomScale="60" zoomScaleNormal="60" workbookViewId="0">
      <pane xSplit="1" topLeftCell="G1" activePane="topRight" state="frozen"/>
      <selection pane="topRight" activeCell="U19" sqref="U19"/>
    </sheetView>
  </sheetViews>
  <sheetFormatPr defaultRowHeight="14.5" x14ac:dyDescent="0.35"/>
  <cols>
    <col min="1" max="1" width="26.453125" bestFit="1" customWidth="1"/>
    <col min="2" max="22" width="8.7265625" customWidth="1"/>
    <col min="30" max="37" width="8.7265625" customWidth="1"/>
  </cols>
  <sheetData>
    <row r="1" spans="1:36" x14ac:dyDescent="0.35">
      <c r="A1" s="1"/>
      <c r="B1" s="2" t="str">
        <f t="shared" ref="B1:AG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I1" s="203" t="s">
        <v>304</v>
      </c>
      <c r="AJ1" s="202" t="s">
        <v>305</v>
      </c>
    </row>
    <row r="2" spans="1:36" x14ac:dyDescent="0.35">
      <c r="A2" s="95" t="s">
        <v>0</v>
      </c>
      <c r="B2" s="29">
        <v>45320</v>
      </c>
      <c r="C2" s="29">
        <v>45321</v>
      </c>
      <c r="D2" s="29">
        <v>45322</v>
      </c>
      <c r="E2" s="29">
        <v>45323</v>
      </c>
      <c r="F2" s="29">
        <v>45324</v>
      </c>
      <c r="G2" s="29">
        <v>45325</v>
      </c>
      <c r="H2" s="29">
        <v>45326</v>
      </c>
      <c r="I2" s="29">
        <v>45327</v>
      </c>
      <c r="J2" s="29">
        <v>45328</v>
      </c>
      <c r="K2" s="29">
        <v>45329</v>
      </c>
      <c r="L2" s="29">
        <v>45330</v>
      </c>
      <c r="M2" s="29">
        <v>45331</v>
      </c>
      <c r="N2" s="29">
        <v>45332</v>
      </c>
      <c r="O2" s="29">
        <v>45333</v>
      </c>
      <c r="P2" s="29">
        <v>45334</v>
      </c>
      <c r="Q2" s="29">
        <v>45335</v>
      </c>
      <c r="R2" s="29">
        <v>45336</v>
      </c>
      <c r="S2" s="29">
        <v>45337</v>
      </c>
      <c r="T2" s="29">
        <v>45338</v>
      </c>
      <c r="U2" s="29">
        <v>45339</v>
      </c>
      <c r="V2" s="29">
        <v>45340</v>
      </c>
      <c r="W2" s="29">
        <v>45341</v>
      </c>
      <c r="X2" s="29">
        <v>45342</v>
      </c>
      <c r="Y2" s="29">
        <v>45343</v>
      </c>
      <c r="Z2" s="29">
        <v>45344</v>
      </c>
      <c r="AA2" s="29">
        <v>45345</v>
      </c>
      <c r="AB2" s="29">
        <v>45346</v>
      </c>
      <c r="AC2" s="29">
        <v>45347</v>
      </c>
      <c r="AD2" s="29">
        <v>45348</v>
      </c>
      <c r="AE2" s="29">
        <v>45349</v>
      </c>
      <c r="AF2" s="29">
        <v>45350</v>
      </c>
      <c r="AG2" s="29">
        <v>45351</v>
      </c>
    </row>
    <row r="3" spans="1:36" x14ac:dyDescent="0.3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</row>
    <row r="4" spans="1:36" x14ac:dyDescent="0.35">
      <c r="A4" s="165" t="s">
        <v>57</v>
      </c>
      <c r="B4" s="116" t="s">
        <v>2</v>
      </c>
      <c r="C4" s="16" t="s">
        <v>10</v>
      </c>
      <c r="D4" s="16" t="s">
        <v>10</v>
      </c>
      <c r="E4" s="116" t="s">
        <v>2</v>
      </c>
      <c r="F4" s="19" t="s">
        <v>41</v>
      </c>
      <c r="G4" s="19" t="s">
        <v>42</v>
      </c>
      <c r="H4" s="19" t="s">
        <v>42</v>
      </c>
      <c r="I4" s="122" t="s">
        <v>5</v>
      </c>
      <c r="J4" s="122" t="s">
        <v>5</v>
      </c>
      <c r="K4" s="122" t="s">
        <v>5</v>
      </c>
      <c r="L4" s="122" t="s">
        <v>5</v>
      </c>
      <c r="M4" s="122" t="s">
        <v>5</v>
      </c>
      <c r="N4" s="19" t="s">
        <v>42</v>
      </c>
      <c r="O4" s="19" t="s">
        <v>42</v>
      </c>
      <c r="P4" s="116" t="s">
        <v>2</v>
      </c>
      <c r="Q4" s="19" t="s">
        <v>41</v>
      </c>
      <c r="R4" s="19" t="s">
        <v>41</v>
      </c>
      <c r="S4" s="19" t="s">
        <v>41</v>
      </c>
      <c r="T4" s="19" t="s">
        <v>41</v>
      </c>
      <c r="U4" s="19" t="s">
        <v>42</v>
      </c>
      <c r="V4" s="114" t="s">
        <v>4</v>
      </c>
      <c r="W4" s="116" t="s">
        <v>2</v>
      </c>
      <c r="X4" s="19" t="s">
        <v>41</v>
      </c>
      <c r="Y4" s="25" t="s">
        <v>6</v>
      </c>
      <c r="Z4" s="25" t="s">
        <v>6</v>
      </c>
      <c r="AA4" s="25" t="s">
        <v>6</v>
      </c>
      <c r="AB4" s="19" t="s">
        <v>42</v>
      </c>
      <c r="AC4" s="114" t="s">
        <v>4</v>
      </c>
      <c r="AD4" s="122" t="s">
        <v>5</v>
      </c>
      <c r="AE4" s="122" t="s">
        <v>2</v>
      </c>
      <c r="AF4" s="122" t="s">
        <v>2</v>
      </c>
      <c r="AG4" s="122" t="s">
        <v>2</v>
      </c>
      <c r="AI4">
        <f>COUNTIF(E4:AG4,"C")</f>
        <v>6</v>
      </c>
      <c r="AJ4">
        <f>COUNTIF(E4:AG4,"W*S*")</f>
        <v>6</v>
      </c>
    </row>
    <row r="5" spans="1:36" x14ac:dyDescent="0.35">
      <c r="A5" s="165" t="s">
        <v>69</v>
      </c>
      <c r="B5" s="16" t="s">
        <v>10</v>
      </c>
      <c r="C5" s="16" t="s">
        <v>10</v>
      </c>
      <c r="D5" s="116" t="s">
        <v>2</v>
      </c>
      <c r="E5" s="25" t="s">
        <v>6</v>
      </c>
      <c r="F5" s="25" t="s">
        <v>6</v>
      </c>
      <c r="G5" s="114" t="s">
        <v>4</v>
      </c>
      <c r="H5" s="25" t="s">
        <v>3</v>
      </c>
      <c r="I5" s="25" t="s">
        <v>6</v>
      </c>
      <c r="J5" s="25" t="s">
        <v>6</v>
      </c>
      <c r="K5" s="25" t="s">
        <v>6</v>
      </c>
      <c r="L5" s="116" t="s">
        <v>2</v>
      </c>
      <c r="M5" s="25" t="s">
        <v>6</v>
      </c>
      <c r="N5" s="204" t="s">
        <v>4</v>
      </c>
      <c r="O5" s="204" t="s">
        <v>4</v>
      </c>
      <c r="P5" s="25" t="s">
        <v>6</v>
      </c>
      <c r="Q5" s="19" t="s">
        <v>41</v>
      </c>
      <c r="R5" s="19" t="s">
        <v>41</v>
      </c>
      <c r="S5" s="116" t="s">
        <v>2</v>
      </c>
      <c r="T5" s="116" t="s">
        <v>2</v>
      </c>
      <c r="U5" s="114" t="s">
        <v>4</v>
      </c>
      <c r="V5" s="19" t="s">
        <v>42</v>
      </c>
      <c r="W5" s="19" t="s">
        <v>41</v>
      </c>
      <c r="X5" s="19" t="s">
        <v>41</v>
      </c>
      <c r="Y5" s="19" t="s">
        <v>41</v>
      </c>
      <c r="Z5" s="19" t="s">
        <v>41</v>
      </c>
      <c r="AA5" s="116" t="s">
        <v>2</v>
      </c>
      <c r="AB5" s="114" t="s">
        <v>4</v>
      </c>
      <c r="AC5" s="19" t="s">
        <v>42</v>
      </c>
      <c r="AD5" s="19" t="s">
        <v>41</v>
      </c>
      <c r="AE5" s="19" t="s">
        <v>41</v>
      </c>
      <c r="AF5" s="19" t="s">
        <v>41</v>
      </c>
      <c r="AG5" s="19" t="s">
        <v>41</v>
      </c>
      <c r="AI5">
        <f>COUNTIF(E5:AG5,"C")</f>
        <v>4</v>
      </c>
      <c r="AJ5">
        <f>COUNTIF(E5:AG5,"W*S*")</f>
        <v>3</v>
      </c>
    </row>
    <row r="6" spans="1:36" x14ac:dyDescent="0.35">
      <c r="A6" s="141" t="s">
        <v>43</v>
      </c>
      <c r="B6" s="25" t="s">
        <v>6</v>
      </c>
      <c r="C6" s="25" t="s">
        <v>6</v>
      </c>
      <c r="D6" s="25" t="s">
        <v>6</v>
      </c>
      <c r="E6" s="19" t="s">
        <v>41</v>
      </c>
      <c r="F6" s="22" t="s">
        <v>16</v>
      </c>
      <c r="G6" s="114" t="s">
        <v>4</v>
      </c>
      <c r="H6" s="114" t="s">
        <v>4</v>
      </c>
      <c r="I6" s="116" t="s">
        <v>2</v>
      </c>
      <c r="J6" s="19" t="s">
        <v>41</v>
      </c>
      <c r="K6" s="19" t="s">
        <v>41</v>
      </c>
      <c r="L6" s="19" t="s">
        <v>41</v>
      </c>
      <c r="M6" s="116" t="s">
        <v>2</v>
      </c>
      <c r="N6" s="204" t="s">
        <v>4</v>
      </c>
      <c r="O6" s="204" t="s">
        <v>4</v>
      </c>
      <c r="P6" s="19" t="s">
        <v>41</v>
      </c>
      <c r="Q6" s="19" t="s">
        <v>41</v>
      </c>
      <c r="R6" s="116" t="s">
        <v>2</v>
      </c>
      <c r="S6" s="19" t="s">
        <v>41</v>
      </c>
      <c r="T6" s="19" t="s">
        <v>41</v>
      </c>
      <c r="U6" s="114" t="s">
        <v>4</v>
      </c>
      <c r="V6" s="19" t="s">
        <v>42</v>
      </c>
      <c r="W6" s="19" t="s">
        <v>41</v>
      </c>
      <c r="X6" s="19" t="s">
        <v>41</v>
      </c>
      <c r="Y6" s="116" t="s">
        <v>2</v>
      </c>
      <c r="Z6" s="122" t="s">
        <v>5</v>
      </c>
      <c r="AA6" s="19" t="s">
        <v>41</v>
      </c>
      <c r="AB6" s="114" t="s">
        <v>4</v>
      </c>
      <c r="AC6" s="19" t="s">
        <v>42</v>
      </c>
      <c r="AD6" s="19" t="s">
        <v>41</v>
      </c>
      <c r="AE6" s="19" t="s">
        <v>41</v>
      </c>
      <c r="AF6" s="19" t="s">
        <v>41</v>
      </c>
      <c r="AG6" s="19" t="s">
        <v>41</v>
      </c>
      <c r="AI6">
        <f>COUNTIF(E6:AG6,"C")</f>
        <v>4</v>
      </c>
      <c r="AJ6">
        <f>COUNTIF(E6:AG6,"W*S*")</f>
        <v>2</v>
      </c>
    </row>
    <row r="7" spans="1:36" x14ac:dyDescent="0.35">
      <c r="A7" s="141" t="s">
        <v>70</v>
      </c>
      <c r="B7" s="16" t="s">
        <v>10</v>
      </c>
      <c r="C7" s="16" t="s">
        <v>10</v>
      </c>
      <c r="D7" s="16" t="s">
        <v>10</v>
      </c>
      <c r="E7" s="116" t="s">
        <v>2</v>
      </c>
      <c r="F7" s="19" t="s">
        <v>41</v>
      </c>
      <c r="G7" s="19" t="s">
        <v>42</v>
      </c>
      <c r="H7" s="114" t="s">
        <v>4</v>
      </c>
      <c r="I7" s="19" t="s">
        <v>41</v>
      </c>
      <c r="J7" s="19" t="s">
        <v>41</v>
      </c>
      <c r="K7" s="19" t="s">
        <v>41</v>
      </c>
      <c r="L7" s="19" t="s">
        <v>41</v>
      </c>
      <c r="M7" s="19" t="s">
        <v>41</v>
      </c>
      <c r="N7" s="204" t="s">
        <v>4</v>
      </c>
      <c r="O7" s="204" t="s">
        <v>4</v>
      </c>
      <c r="P7" s="19" t="s">
        <v>41</v>
      </c>
      <c r="Q7" s="116" t="s">
        <v>2</v>
      </c>
      <c r="R7" s="19" t="s">
        <v>41</v>
      </c>
      <c r="S7" s="19" t="s">
        <v>41</v>
      </c>
      <c r="T7" s="19" t="s">
        <v>41</v>
      </c>
      <c r="U7" s="19" t="s">
        <v>42</v>
      </c>
      <c r="V7" s="114" t="s">
        <v>4</v>
      </c>
      <c r="W7" s="19" t="s">
        <v>41</v>
      </c>
      <c r="X7" s="116" t="s">
        <v>2</v>
      </c>
      <c r="Y7" s="19" t="s">
        <v>41</v>
      </c>
      <c r="Z7" s="19" t="s">
        <v>41</v>
      </c>
      <c r="AA7" s="19" t="s">
        <v>41</v>
      </c>
      <c r="AB7" s="114" t="s">
        <v>4</v>
      </c>
      <c r="AC7" s="122" t="s">
        <v>5</v>
      </c>
      <c r="AD7" s="122" t="s">
        <v>5</v>
      </c>
      <c r="AE7" s="122" t="s">
        <v>5</v>
      </c>
      <c r="AF7" s="122" t="s">
        <v>5</v>
      </c>
      <c r="AG7" s="19" t="s">
        <v>41</v>
      </c>
      <c r="AI7">
        <f>COUNTIF(E7:AG7,"C")</f>
        <v>3</v>
      </c>
      <c r="AJ7">
        <f>COUNTIF(E7:AG7,"W*S*")</f>
        <v>2</v>
      </c>
    </row>
    <row r="8" spans="1:36" x14ac:dyDescent="0.35">
      <c r="A8" s="141" t="s">
        <v>152</v>
      </c>
      <c r="B8" s="122" t="s">
        <v>5</v>
      </c>
      <c r="C8" s="122" t="s">
        <v>5</v>
      </c>
      <c r="D8" s="116" t="s">
        <v>2</v>
      </c>
      <c r="E8" s="19" t="s">
        <v>41</v>
      </c>
      <c r="F8" s="19" t="s">
        <v>41</v>
      </c>
      <c r="G8" s="114" t="s">
        <v>4</v>
      </c>
      <c r="H8" s="114" t="s">
        <v>4</v>
      </c>
      <c r="I8" s="19" t="s">
        <v>41</v>
      </c>
      <c r="J8" s="25" t="s">
        <v>6</v>
      </c>
      <c r="K8" s="25" t="s">
        <v>6</v>
      </c>
      <c r="L8" s="19" t="s">
        <v>41</v>
      </c>
      <c r="M8" s="19" t="s">
        <v>41</v>
      </c>
      <c r="N8" s="204" t="s">
        <v>4</v>
      </c>
      <c r="O8" s="204" t="s">
        <v>4</v>
      </c>
      <c r="P8" s="19" t="s">
        <v>41</v>
      </c>
      <c r="Q8" s="19" t="s">
        <v>41</v>
      </c>
      <c r="R8" s="19" t="s">
        <v>41</v>
      </c>
      <c r="S8" s="19" t="s">
        <v>41</v>
      </c>
      <c r="T8" s="19" t="s">
        <v>41</v>
      </c>
      <c r="U8" s="122" t="s">
        <v>4</v>
      </c>
      <c r="V8" s="122" t="s">
        <v>4</v>
      </c>
      <c r="W8" s="19" t="s">
        <v>41</v>
      </c>
      <c r="X8" s="19" t="s">
        <v>41</v>
      </c>
      <c r="Y8" s="19" t="s">
        <v>41</v>
      </c>
      <c r="Z8" s="19" t="s">
        <v>41</v>
      </c>
      <c r="AA8" s="19" t="s">
        <v>41</v>
      </c>
      <c r="AB8" s="19" t="s">
        <v>42</v>
      </c>
      <c r="AC8" s="122" t="s">
        <v>4</v>
      </c>
      <c r="AD8" s="19" t="s">
        <v>41</v>
      </c>
      <c r="AE8" s="19" t="s">
        <v>41</v>
      </c>
      <c r="AF8" s="19" t="s">
        <v>41</v>
      </c>
      <c r="AG8" s="19" t="s">
        <v>41</v>
      </c>
      <c r="AI8">
        <f>COUNTIF(E8:AG8,"C")</f>
        <v>0</v>
      </c>
      <c r="AJ8">
        <f>COUNTIF(E8:AG8,"W*S*")</f>
        <v>1</v>
      </c>
    </row>
    <row r="9" spans="1:36" x14ac:dyDescent="0.35">
      <c r="A9" s="167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</row>
    <row r="10" spans="1:36" x14ac:dyDescent="0.35">
      <c r="A10" s="165" t="s">
        <v>9</v>
      </c>
      <c r="B10" s="25" t="s">
        <v>6</v>
      </c>
      <c r="C10" s="25" t="s">
        <v>6</v>
      </c>
      <c r="D10" s="116" t="s">
        <v>2</v>
      </c>
      <c r="E10" s="116" t="s">
        <v>2</v>
      </c>
      <c r="F10" s="25" t="s">
        <v>6</v>
      </c>
      <c r="G10" s="25" t="s">
        <v>3</v>
      </c>
      <c r="H10" s="25" t="s">
        <v>3</v>
      </c>
      <c r="I10" s="25" t="s">
        <v>6</v>
      </c>
      <c r="J10" s="122" t="s">
        <v>5</v>
      </c>
      <c r="K10" s="116" t="s">
        <v>2</v>
      </c>
      <c r="L10" s="25" t="s">
        <v>6</v>
      </c>
      <c r="M10" s="25" t="s">
        <v>6</v>
      </c>
      <c r="N10" s="204" t="s">
        <v>4</v>
      </c>
      <c r="O10" s="204" t="s">
        <v>4</v>
      </c>
      <c r="P10" s="25" t="s">
        <v>6</v>
      </c>
      <c r="Q10" s="25" t="s">
        <v>6</v>
      </c>
      <c r="R10" s="116" t="s">
        <v>2</v>
      </c>
      <c r="S10" s="122" t="s">
        <v>5</v>
      </c>
      <c r="T10" s="25" t="s">
        <v>6</v>
      </c>
      <c r="U10" s="122" t="s">
        <v>4</v>
      </c>
      <c r="V10" s="122" t="s">
        <v>4</v>
      </c>
      <c r="W10" s="122" t="s">
        <v>5</v>
      </c>
      <c r="X10" s="122" t="s">
        <v>5</v>
      </c>
      <c r="Y10" s="122" t="s">
        <v>5</v>
      </c>
      <c r="Z10" s="122" t="s">
        <v>5</v>
      </c>
      <c r="AA10" s="122" t="s">
        <v>5</v>
      </c>
      <c r="AB10" s="122" t="s">
        <v>4</v>
      </c>
      <c r="AC10" s="122" t="s">
        <v>4</v>
      </c>
      <c r="AD10" s="122" t="s">
        <v>5</v>
      </c>
      <c r="AE10" s="122" t="s">
        <v>5</v>
      </c>
      <c r="AF10" s="122" t="s">
        <v>5</v>
      </c>
      <c r="AG10" s="122" t="s">
        <v>5</v>
      </c>
      <c r="AI10">
        <f t="shared" ref="AI10:AI15" si="1">COUNTIF(E10:AG10,"C")</f>
        <v>3</v>
      </c>
      <c r="AJ10">
        <f t="shared" ref="AJ10:AJ15" si="2">COUNTIF(E10:AG10,"W*S*")</f>
        <v>2</v>
      </c>
    </row>
    <row r="11" spans="1:36" x14ac:dyDescent="0.35">
      <c r="A11" s="165" t="s">
        <v>124</v>
      </c>
      <c r="B11" s="116" t="s">
        <v>2</v>
      </c>
      <c r="C11" s="19" t="s">
        <v>41</v>
      </c>
      <c r="D11" s="19" t="s">
        <v>41</v>
      </c>
      <c r="E11" s="19" t="s">
        <v>41</v>
      </c>
      <c r="F11" s="19" t="s">
        <v>41</v>
      </c>
      <c r="G11" s="114" t="s">
        <v>4</v>
      </c>
      <c r="H11" s="19" t="s">
        <v>42</v>
      </c>
      <c r="I11" s="19" t="s">
        <v>41</v>
      </c>
      <c r="J11" s="19" t="s">
        <v>41</v>
      </c>
      <c r="K11" s="19" t="s">
        <v>41</v>
      </c>
      <c r="L11" s="19" t="s">
        <v>41</v>
      </c>
      <c r="M11" s="116" t="s">
        <v>2</v>
      </c>
      <c r="N11" s="204" t="s">
        <v>4</v>
      </c>
      <c r="O11" s="19" t="s">
        <v>42</v>
      </c>
      <c r="P11" s="19" t="s">
        <v>41</v>
      </c>
      <c r="Q11" s="25" t="s">
        <v>6</v>
      </c>
      <c r="R11" s="25" t="s">
        <v>6</v>
      </c>
      <c r="S11" s="25" t="s">
        <v>6</v>
      </c>
      <c r="T11" s="116" t="s">
        <v>2</v>
      </c>
      <c r="U11" s="114" t="s">
        <v>4</v>
      </c>
      <c r="V11" s="25" t="s">
        <v>3</v>
      </c>
      <c r="W11" s="25" t="s">
        <v>6</v>
      </c>
      <c r="X11" s="25" t="s">
        <v>6</v>
      </c>
      <c r="Y11" s="19" t="s">
        <v>41</v>
      </c>
      <c r="Z11" s="19" t="s">
        <v>41</v>
      </c>
      <c r="AA11" s="116" t="s">
        <v>2</v>
      </c>
      <c r="AB11" s="114" t="s">
        <v>4</v>
      </c>
      <c r="AC11" s="25" t="s">
        <v>3</v>
      </c>
      <c r="AD11" s="19" t="s">
        <v>41</v>
      </c>
      <c r="AE11" s="19" t="s">
        <v>41</v>
      </c>
      <c r="AF11" s="25" t="s">
        <v>6</v>
      </c>
      <c r="AG11" s="25" t="s">
        <v>6</v>
      </c>
      <c r="AI11">
        <f t="shared" si="1"/>
        <v>3</v>
      </c>
      <c r="AJ11">
        <f t="shared" si="2"/>
        <v>4</v>
      </c>
    </row>
    <row r="12" spans="1:36" x14ac:dyDescent="0.35">
      <c r="A12" s="141" t="s">
        <v>15</v>
      </c>
      <c r="B12" s="19" t="s">
        <v>41</v>
      </c>
      <c r="C12" s="19" t="s">
        <v>41</v>
      </c>
      <c r="D12" s="122" t="s">
        <v>5</v>
      </c>
      <c r="E12" s="122" t="s">
        <v>5</v>
      </c>
      <c r="F12" s="122" t="s">
        <v>5</v>
      </c>
      <c r="G12" s="114" t="s">
        <v>4</v>
      </c>
      <c r="H12" s="114" t="s">
        <v>4</v>
      </c>
      <c r="I12" s="25" t="s">
        <v>6</v>
      </c>
      <c r="J12" s="25" t="s">
        <v>6</v>
      </c>
      <c r="K12" s="122" t="s">
        <v>5</v>
      </c>
      <c r="L12" s="122" t="s">
        <v>5</v>
      </c>
      <c r="M12" s="19" t="s">
        <v>41</v>
      </c>
      <c r="N12" s="25" t="s">
        <v>3</v>
      </c>
      <c r="O12" s="25" t="s">
        <v>3</v>
      </c>
      <c r="P12" s="116" t="s">
        <v>2</v>
      </c>
      <c r="Q12" s="25" t="s">
        <v>6</v>
      </c>
      <c r="R12" s="25" t="s">
        <v>6</v>
      </c>
      <c r="S12" s="25" t="s">
        <v>6</v>
      </c>
      <c r="T12" s="25" t="s">
        <v>6</v>
      </c>
      <c r="U12" s="25" t="s">
        <v>3</v>
      </c>
      <c r="V12" s="114" t="s">
        <v>4</v>
      </c>
      <c r="W12" s="116" t="s">
        <v>2</v>
      </c>
      <c r="X12" s="122" t="s">
        <v>5</v>
      </c>
      <c r="Y12" s="25" t="s">
        <v>6</v>
      </c>
      <c r="Z12" s="25" t="s">
        <v>6</v>
      </c>
      <c r="AA12" s="19" t="s">
        <v>41</v>
      </c>
      <c r="AB12" s="25" t="s">
        <v>3</v>
      </c>
      <c r="AC12" s="114" t="s">
        <v>4</v>
      </c>
      <c r="AD12" s="25" t="s">
        <v>6</v>
      </c>
      <c r="AE12" s="25" t="s">
        <v>6</v>
      </c>
      <c r="AF12" s="116" t="s">
        <v>2</v>
      </c>
      <c r="AG12" s="25" t="s">
        <v>6</v>
      </c>
      <c r="AI12">
        <f t="shared" si="1"/>
        <v>3</v>
      </c>
      <c r="AJ12">
        <f t="shared" si="2"/>
        <v>4</v>
      </c>
    </row>
    <row r="13" spans="1:36" x14ac:dyDescent="0.35">
      <c r="A13" s="141" t="s">
        <v>22</v>
      </c>
      <c r="B13" s="19" t="s">
        <v>41</v>
      </c>
      <c r="C13" s="19" t="s">
        <v>41</v>
      </c>
      <c r="D13" s="116" t="s">
        <v>2</v>
      </c>
      <c r="E13" s="25" t="s">
        <v>6</v>
      </c>
      <c r="F13" s="25" t="s">
        <v>6</v>
      </c>
      <c r="G13" s="25" t="s">
        <v>3</v>
      </c>
      <c r="H13" s="114" t="s">
        <v>307</v>
      </c>
      <c r="I13" s="25" t="s">
        <v>6</v>
      </c>
      <c r="J13" s="116" t="s">
        <v>2</v>
      </c>
      <c r="K13" s="25" t="s">
        <v>6</v>
      </c>
      <c r="L13" s="25" t="s">
        <v>6</v>
      </c>
      <c r="M13" s="25" t="s">
        <v>6</v>
      </c>
      <c r="N13" s="19" t="s">
        <v>42</v>
      </c>
      <c r="O13" s="122" t="s">
        <v>5</v>
      </c>
      <c r="P13" s="25" t="s">
        <v>6</v>
      </c>
      <c r="Q13" s="116" t="s">
        <v>2</v>
      </c>
      <c r="R13" s="25" t="s">
        <v>6</v>
      </c>
      <c r="S13" s="25" t="s">
        <v>6</v>
      </c>
      <c r="T13" s="22" t="s">
        <v>16</v>
      </c>
      <c r="U13" s="25" t="s">
        <v>3</v>
      </c>
      <c r="V13" s="114" t="s">
        <v>4</v>
      </c>
      <c r="W13" s="172" t="s">
        <v>34</v>
      </c>
      <c r="X13" s="25" t="s">
        <v>6</v>
      </c>
      <c r="Y13" s="25" t="s">
        <v>6</v>
      </c>
      <c r="Z13" s="25" t="s">
        <v>6</v>
      </c>
      <c r="AA13" s="25" t="s">
        <v>6</v>
      </c>
      <c r="AB13" s="25" t="s">
        <v>3</v>
      </c>
      <c r="AC13" s="114" t="s">
        <v>4</v>
      </c>
      <c r="AD13" s="25" t="s">
        <v>6</v>
      </c>
      <c r="AE13" s="25" t="s">
        <v>6</v>
      </c>
      <c r="AF13" s="116" t="s">
        <v>2</v>
      </c>
      <c r="AG13" s="116" t="s">
        <v>2</v>
      </c>
      <c r="AI13">
        <f t="shared" si="1"/>
        <v>4</v>
      </c>
      <c r="AJ13">
        <f t="shared" si="2"/>
        <v>4</v>
      </c>
    </row>
    <row r="14" spans="1:36" x14ac:dyDescent="0.35">
      <c r="A14" s="141" t="s">
        <v>71</v>
      </c>
      <c r="B14" s="122" t="s">
        <v>5</v>
      </c>
      <c r="C14" s="122" t="s">
        <v>5</v>
      </c>
      <c r="D14" s="19" t="s">
        <v>41</v>
      </c>
      <c r="E14" s="25" t="s">
        <v>6</v>
      </c>
      <c r="F14" s="116" t="s">
        <v>2</v>
      </c>
      <c r="G14" s="114" t="s">
        <v>4</v>
      </c>
      <c r="H14" s="114" t="s">
        <v>4</v>
      </c>
      <c r="I14" s="19" t="s">
        <v>41</v>
      </c>
      <c r="J14" s="19" t="s">
        <v>41</v>
      </c>
      <c r="K14" s="19" t="s">
        <v>41</v>
      </c>
      <c r="L14" s="25" t="s">
        <v>6</v>
      </c>
      <c r="M14" s="19" t="s">
        <v>41</v>
      </c>
      <c r="N14" s="204" t="s">
        <v>4</v>
      </c>
      <c r="O14" s="204" t="s">
        <v>4</v>
      </c>
      <c r="P14" s="25" t="s">
        <v>6</v>
      </c>
      <c r="Q14" s="25" t="s">
        <v>6</v>
      </c>
      <c r="R14" s="25" t="s">
        <v>6</v>
      </c>
      <c r="S14" s="25" t="s">
        <v>6</v>
      </c>
      <c r="T14" s="25" t="s">
        <v>6</v>
      </c>
      <c r="U14" s="122" t="s">
        <v>4</v>
      </c>
      <c r="V14" s="25" t="s">
        <v>3</v>
      </c>
      <c r="W14" s="25" t="s">
        <v>6</v>
      </c>
      <c r="X14" s="25" t="s">
        <v>6</v>
      </c>
      <c r="Y14" s="116" t="s">
        <v>2</v>
      </c>
      <c r="Z14" s="25" t="s">
        <v>6</v>
      </c>
      <c r="AA14" s="25" t="s">
        <v>6</v>
      </c>
      <c r="AB14" s="114" t="s">
        <v>4</v>
      </c>
      <c r="AC14" s="25" t="s">
        <v>3</v>
      </c>
      <c r="AD14" s="25" t="s">
        <v>6</v>
      </c>
      <c r="AE14" s="25" t="s">
        <v>6</v>
      </c>
      <c r="AF14" s="25" t="s">
        <v>6</v>
      </c>
      <c r="AG14" s="116" t="s">
        <v>2</v>
      </c>
      <c r="AI14">
        <f t="shared" si="1"/>
        <v>3</v>
      </c>
      <c r="AJ14">
        <f t="shared" si="2"/>
        <v>2</v>
      </c>
    </row>
    <row r="15" spans="1:36" x14ac:dyDescent="0.35">
      <c r="A15" s="141" t="s">
        <v>149</v>
      </c>
      <c r="B15" s="19" t="s">
        <v>41</v>
      </c>
      <c r="C15" s="19" t="s">
        <v>41</v>
      </c>
      <c r="D15" s="19" t="s">
        <v>41</v>
      </c>
      <c r="E15" s="116" t="s">
        <v>2</v>
      </c>
      <c r="F15" s="25" t="s">
        <v>6</v>
      </c>
      <c r="G15" s="22" t="s">
        <v>30</v>
      </c>
      <c r="H15" s="114" t="s">
        <v>4</v>
      </c>
      <c r="I15" s="116" t="s">
        <v>2</v>
      </c>
      <c r="J15" s="25" t="s">
        <v>6</v>
      </c>
      <c r="K15" s="25" t="s">
        <v>6</v>
      </c>
      <c r="L15" s="25" t="s">
        <v>6</v>
      </c>
      <c r="M15" s="25" t="s">
        <v>6</v>
      </c>
      <c r="N15" s="25" t="s">
        <v>3</v>
      </c>
      <c r="O15" s="25" t="s">
        <v>3</v>
      </c>
      <c r="P15" s="116" t="s">
        <v>2</v>
      </c>
      <c r="Q15" s="116" t="s">
        <v>2</v>
      </c>
      <c r="R15" s="122" t="s">
        <v>5</v>
      </c>
      <c r="S15" s="122" t="s">
        <v>5</v>
      </c>
      <c r="T15" s="25" t="s">
        <v>6</v>
      </c>
      <c r="U15" s="22" t="s">
        <v>30</v>
      </c>
      <c r="V15" s="122" t="s">
        <v>4</v>
      </c>
      <c r="W15" s="25" t="s">
        <v>6</v>
      </c>
      <c r="X15" s="25" t="s">
        <v>6</v>
      </c>
      <c r="Y15" s="25" t="s">
        <v>6</v>
      </c>
      <c r="Z15" s="116" t="s">
        <v>2</v>
      </c>
      <c r="AA15" s="25" t="s">
        <v>6</v>
      </c>
      <c r="AB15" s="22" t="s">
        <v>30</v>
      </c>
      <c r="AC15" s="114" t="s">
        <v>4</v>
      </c>
      <c r="AD15" s="25" t="s">
        <v>6</v>
      </c>
      <c r="AE15" s="116" t="s">
        <v>2</v>
      </c>
      <c r="AF15" s="25" t="s">
        <v>6</v>
      </c>
      <c r="AG15" s="25" t="s">
        <v>6</v>
      </c>
      <c r="AI15">
        <f t="shared" si="1"/>
        <v>6</v>
      </c>
      <c r="AJ15">
        <f t="shared" si="2"/>
        <v>5</v>
      </c>
    </row>
    <row r="16" spans="1:36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6" x14ac:dyDescent="0.35">
      <c r="A17" s="165" t="s">
        <v>1</v>
      </c>
      <c r="B17" s="122" t="s">
        <v>2</v>
      </c>
      <c r="C17" s="122" t="s">
        <v>2</v>
      </c>
      <c r="D17" s="22" t="s">
        <v>16</v>
      </c>
      <c r="E17" s="16" t="s">
        <v>10</v>
      </c>
      <c r="F17" s="16" t="s">
        <v>10</v>
      </c>
      <c r="G17" s="122" t="s">
        <v>4</v>
      </c>
      <c r="H17" s="16" t="s">
        <v>11</v>
      </c>
      <c r="I17" s="16" t="s">
        <v>10</v>
      </c>
      <c r="J17" s="16" t="s">
        <v>10</v>
      </c>
      <c r="K17" s="122" t="s">
        <v>2</v>
      </c>
      <c r="L17" s="16" t="s">
        <v>10</v>
      </c>
      <c r="M17" s="16" t="s">
        <v>10</v>
      </c>
      <c r="N17" s="204" t="s">
        <v>4</v>
      </c>
      <c r="O17" s="16" t="s">
        <v>11</v>
      </c>
      <c r="P17" s="16" t="s">
        <v>10</v>
      </c>
      <c r="Q17" s="16" t="s">
        <v>10</v>
      </c>
      <c r="R17" s="16" t="s">
        <v>10</v>
      </c>
      <c r="S17" s="116" t="s">
        <v>2</v>
      </c>
      <c r="T17" s="16" t="s">
        <v>10</v>
      </c>
      <c r="U17" s="114" t="s">
        <v>4</v>
      </c>
      <c r="V17" s="16" t="s">
        <v>11</v>
      </c>
      <c r="W17" s="16" t="s">
        <v>10</v>
      </c>
      <c r="X17" s="16" t="s">
        <v>10</v>
      </c>
      <c r="Y17" s="16" t="s">
        <v>10</v>
      </c>
      <c r="Z17" s="116" t="s">
        <v>2</v>
      </c>
      <c r="AA17" s="16" t="s">
        <v>10</v>
      </c>
      <c r="AB17" s="16" t="s">
        <v>11</v>
      </c>
      <c r="AC17" s="122" t="s">
        <v>4</v>
      </c>
      <c r="AD17" s="16" t="s">
        <v>10</v>
      </c>
      <c r="AE17" s="16" t="s">
        <v>10</v>
      </c>
      <c r="AF17" s="116" t="s">
        <v>2</v>
      </c>
      <c r="AG17" s="116" t="s">
        <v>2</v>
      </c>
      <c r="AI17">
        <f>COUNTIF(E17:AG17,"C")</f>
        <v>5</v>
      </c>
      <c r="AJ17">
        <f>COUNTIF(E17:AG17,"W*S*")</f>
        <v>4</v>
      </c>
    </row>
    <row r="18" spans="1:36" x14ac:dyDescent="0.35">
      <c r="A18" s="165" t="s">
        <v>21</v>
      </c>
      <c r="B18" s="16" t="s">
        <v>10</v>
      </c>
      <c r="C18" s="116" t="s">
        <v>2</v>
      </c>
      <c r="D18" s="116" t="s">
        <v>2</v>
      </c>
      <c r="E18" s="204" t="s">
        <v>34</v>
      </c>
      <c r="F18" s="204" t="s">
        <v>34</v>
      </c>
      <c r="G18" s="114" t="s">
        <v>4</v>
      </c>
      <c r="H18" s="114" t="s">
        <v>4</v>
      </c>
      <c r="I18" s="16" t="s">
        <v>10</v>
      </c>
      <c r="J18" s="16" t="s">
        <v>10</v>
      </c>
      <c r="K18" s="16" t="s">
        <v>10</v>
      </c>
      <c r="L18" s="116" t="s">
        <v>2</v>
      </c>
      <c r="M18" s="116" t="s">
        <v>2</v>
      </c>
      <c r="N18" s="16" t="s">
        <v>11</v>
      </c>
      <c r="O18" s="204" t="s">
        <v>4</v>
      </c>
      <c r="P18" s="16" t="s">
        <v>10</v>
      </c>
      <c r="Q18" s="16" t="s">
        <v>10</v>
      </c>
      <c r="R18" s="16" t="s">
        <v>10</v>
      </c>
      <c r="S18" s="16" t="s">
        <v>10</v>
      </c>
      <c r="T18" s="116" t="s">
        <v>2</v>
      </c>
      <c r="U18" s="16" t="s">
        <v>11</v>
      </c>
      <c r="V18" s="16" t="s">
        <v>11</v>
      </c>
      <c r="W18" s="16" t="s">
        <v>10</v>
      </c>
      <c r="X18" s="16" t="s">
        <v>10</v>
      </c>
      <c r="Y18" s="16" t="s">
        <v>10</v>
      </c>
      <c r="Z18" s="16" t="s">
        <v>10</v>
      </c>
      <c r="AA18" s="116" t="s">
        <v>2</v>
      </c>
      <c r="AB18" s="114" t="s">
        <v>4</v>
      </c>
      <c r="AC18" s="16" t="s">
        <v>11</v>
      </c>
      <c r="AD18" s="16" t="s">
        <v>10</v>
      </c>
      <c r="AE18" s="16" t="s">
        <v>10</v>
      </c>
      <c r="AF18" s="16" t="s">
        <v>10</v>
      </c>
      <c r="AG18" s="16" t="s">
        <v>10</v>
      </c>
      <c r="AI18">
        <f>COUNTIF(E18:AG18,"C")</f>
        <v>4</v>
      </c>
      <c r="AJ18">
        <f>COUNTIF(E18:AG18,"W*S*")</f>
        <v>4</v>
      </c>
    </row>
    <row r="19" spans="1:36" x14ac:dyDescent="0.35">
      <c r="A19" s="141" t="s">
        <v>68</v>
      </c>
      <c r="B19" s="122" t="s">
        <v>2</v>
      </c>
      <c r="C19" s="122" t="s">
        <v>2</v>
      </c>
      <c r="D19" s="16" t="s">
        <v>10</v>
      </c>
      <c r="E19" s="16" t="s">
        <v>10</v>
      </c>
      <c r="F19" s="16" t="s">
        <v>10</v>
      </c>
      <c r="G19" s="16" t="s">
        <v>11</v>
      </c>
      <c r="H19" s="16" t="s">
        <v>11</v>
      </c>
      <c r="I19" s="116" t="s">
        <v>2</v>
      </c>
      <c r="J19" s="116" t="s">
        <v>2</v>
      </c>
      <c r="K19" s="16" t="s">
        <v>10</v>
      </c>
      <c r="L19" s="16" t="s">
        <v>10</v>
      </c>
      <c r="M19" s="16" t="s">
        <v>10</v>
      </c>
      <c r="N19" s="16" t="s">
        <v>11</v>
      </c>
      <c r="O19" s="16" t="s">
        <v>11</v>
      </c>
      <c r="P19" s="116" t="s">
        <v>2</v>
      </c>
      <c r="Q19" s="116" t="s">
        <v>2</v>
      </c>
      <c r="R19" s="16" t="s">
        <v>10</v>
      </c>
      <c r="S19" s="16" t="s">
        <v>10</v>
      </c>
      <c r="T19" s="16" t="s">
        <v>10</v>
      </c>
      <c r="U19" s="114" t="s">
        <v>4</v>
      </c>
      <c r="V19" s="114" t="s">
        <v>4</v>
      </c>
      <c r="W19" s="122" t="s">
        <v>5</v>
      </c>
      <c r="X19" s="16" t="s">
        <v>10</v>
      </c>
      <c r="Y19" s="16" t="s">
        <v>10</v>
      </c>
      <c r="Z19" s="16" t="s">
        <v>10</v>
      </c>
      <c r="AA19" s="16" t="s">
        <v>10</v>
      </c>
      <c r="AB19" s="114" t="s">
        <v>4</v>
      </c>
      <c r="AC19" s="16" t="s">
        <v>11</v>
      </c>
      <c r="AD19" s="16" t="s">
        <v>10</v>
      </c>
      <c r="AE19" s="122" t="s">
        <v>2</v>
      </c>
      <c r="AF19" s="16" t="s">
        <v>10</v>
      </c>
      <c r="AG19" s="16" t="s">
        <v>10</v>
      </c>
      <c r="AI19">
        <f>COUNTIF(E19:AG19,"C")</f>
        <v>5</v>
      </c>
      <c r="AJ19">
        <f>COUNTIF(E19:AG19,"W*S*")</f>
        <v>5</v>
      </c>
    </row>
    <row r="20" spans="1:36" x14ac:dyDescent="0.35">
      <c r="A20" s="141" t="s">
        <v>60</v>
      </c>
      <c r="B20" s="116" t="s">
        <v>2</v>
      </c>
      <c r="C20" s="25" t="s">
        <v>6</v>
      </c>
      <c r="D20" s="25" t="s">
        <v>6</v>
      </c>
      <c r="E20" s="16" t="s">
        <v>10</v>
      </c>
      <c r="F20" s="116" t="s">
        <v>2</v>
      </c>
      <c r="G20" s="16" t="s">
        <v>11</v>
      </c>
      <c r="H20" s="114" t="s">
        <v>4</v>
      </c>
      <c r="I20" s="116" t="s">
        <v>2</v>
      </c>
      <c r="J20" s="16" t="s">
        <v>10</v>
      </c>
      <c r="K20" s="16" t="s">
        <v>10</v>
      </c>
      <c r="L20" s="16" t="s">
        <v>10</v>
      </c>
      <c r="M20" s="116" t="s">
        <v>2</v>
      </c>
      <c r="N20" s="204" t="s">
        <v>4</v>
      </c>
      <c r="O20" s="204" t="s">
        <v>4</v>
      </c>
      <c r="P20" s="16" t="s">
        <v>10</v>
      </c>
      <c r="Q20" s="16" t="s">
        <v>10</v>
      </c>
      <c r="R20" s="116" t="s">
        <v>2</v>
      </c>
      <c r="S20" s="16" t="s">
        <v>10</v>
      </c>
      <c r="T20" s="16" t="s">
        <v>10</v>
      </c>
      <c r="U20" s="16" t="s">
        <v>11</v>
      </c>
      <c r="V20" s="122" t="s">
        <v>4</v>
      </c>
      <c r="W20" s="16" t="s">
        <v>10</v>
      </c>
      <c r="X20" s="116" t="s">
        <v>2</v>
      </c>
      <c r="Y20" s="16" t="s">
        <v>10</v>
      </c>
      <c r="Z20" s="16" t="s">
        <v>10</v>
      </c>
      <c r="AA20" s="16" t="s">
        <v>10</v>
      </c>
      <c r="AB20" s="16" t="s">
        <v>11</v>
      </c>
      <c r="AC20" s="114" t="s">
        <v>4</v>
      </c>
      <c r="AD20" s="116" t="s">
        <v>2</v>
      </c>
      <c r="AE20" s="16" t="s">
        <v>10</v>
      </c>
      <c r="AF20" s="16" t="s">
        <v>10</v>
      </c>
      <c r="AG20" s="116" t="s">
        <v>2</v>
      </c>
      <c r="AI20">
        <f>COUNTIF(E20:AG20,"C")</f>
        <v>7</v>
      </c>
      <c r="AJ20">
        <f>COUNTIF(E20:AG20,"W*S*")</f>
        <v>3</v>
      </c>
    </row>
    <row r="21" spans="1:36" x14ac:dyDescent="0.35">
      <c r="A21" s="141" t="s">
        <v>153</v>
      </c>
      <c r="B21" s="25" t="s">
        <v>6</v>
      </c>
      <c r="C21" s="25" t="s">
        <v>6</v>
      </c>
      <c r="D21" s="25" t="s">
        <v>6</v>
      </c>
      <c r="E21" s="22" t="s">
        <v>16</v>
      </c>
      <c r="F21" s="16" t="s">
        <v>10</v>
      </c>
      <c r="G21" s="16" t="s">
        <v>11</v>
      </c>
      <c r="H21" s="114" t="s">
        <v>4</v>
      </c>
      <c r="I21" s="16" t="s">
        <v>10</v>
      </c>
      <c r="J21" s="16" t="s">
        <v>10</v>
      </c>
      <c r="K21" s="116" t="s">
        <v>2</v>
      </c>
      <c r="L21" s="16" t="s">
        <v>10</v>
      </c>
      <c r="M21" s="16" t="s">
        <v>10</v>
      </c>
      <c r="N21" s="204" t="s">
        <v>4</v>
      </c>
      <c r="O21" s="16" t="s">
        <v>11</v>
      </c>
      <c r="P21" s="16" t="s">
        <v>10</v>
      </c>
      <c r="Q21" s="16" t="s">
        <v>10</v>
      </c>
      <c r="R21" s="116" t="s">
        <v>2</v>
      </c>
      <c r="S21" s="16" t="s">
        <v>10</v>
      </c>
      <c r="T21" s="16" t="s">
        <v>10</v>
      </c>
      <c r="U21" s="16" t="s">
        <v>11</v>
      </c>
      <c r="V21" s="114" t="s">
        <v>4</v>
      </c>
      <c r="W21" s="16" t="s">
        <v>10</v>
      </c>
      <c r="X21" s="16" t="s">
        <v>10</v>
      </c>
      <c r="Y21" s="116" t="s">
        <v>2</v>
      </c>
      <c r="Z21" s="16" t="s">
        <v>10</v>
      </c>
      <c r="AA21" s="16" t="s">
        <v>10</v>
      </c>
      <c r="AB21" s="114" t="s">
        <v>4</v>
      </c>
      <c r="AC21" s="114" t="s">
        <v>4</v>
      </c>
      <c r="AD21" s="16" t="s">
        <v>10</v>
      </c>
      <c r="AE21" s="16" t="s">
        <v>10</v>
      </c>
      <c r="AF21" s="16" t="s">
        <v>10</v>
      </c>
      <c r="AG21" s="16" t="s">
        <v>10</v>
      </c>
      <c r="AI21">
        <f>COUNTIF(E21:AG21,"C")</f>
        <v>3</v>
      </c>
      <c r="AJ21">
        <f>COUNTIF(E21:AG21,"W*S*")</f>
        <v>3</v>
      </c>
    </row>
    <row r="23" spans="1:36" x14ac:dyDescent="0.35">
      <c r="A23" s="128" t="s">
        <v>125</v>
      </c>
      <c r="B23">
        <f t="shared" ref="B23:F23" si="3">COUNTIF(B4:B21,"*MS")</f>
        <v>3</v>
      </c>
      <c r="C23">
        <f t="shared" si="3"/>
        <v>4</v>
      </c>
      <c r="D23">
        <f t="shared" si="3"/>
        <v>3</v>
      </c>
      <c r="E23">
        <f t="shared" si="3"/>
        <v>3</v>
      </c>
      <c r="F23">
        <f t="shared" si="3"/>
        <v>4</v>
      </c>
      <c r="G23">
        <f>COUNTIF(G4:G21,"*MS")</f>
        <v>2</v>
      </c>
      <c r="H23">
        <f>COUNTIF(H4:H21,"*MS")</f>
        <v>2</v>
      </c>
      <c r="I23">
        <f t="shared" ref="I23:M23" si="4">COUNTIF(I4:I21,"*MS")</f>
        <v>4</v>
      </c>
      <c r="J23">
        <f t="shared" si="4"/>
        <v>4</v>
      </c>
      <c r="K23">
        <f t="shared" si="4"/>
        <v>4</v>
      </c>
      <c r="L23">
        <f t="shared" si="4"/>
        <v>4</v>
      </c>
      <c r="M23">
        <f t="shared" si="4"/>
        <v>4</v>
      </c>
      <c r="N23">
        <f>COUNTIF(N4:N21,"*MS")</f>
        <v>2</v>
      </c>
      <c r="O23">
        <f>COUNTIF(O4:O21,"*MS")</f>
        <v>2</v>
      </c>
      <c r="P23">
        <f t="shared" ref="P23:T23" si="5">COUNTIF(P4:P21,"*MS")</f>
        <v>4</v>
      </c>
      <c r="Q23">
        <f t="shared" si="5"/>
        <v>4</v>
      </c>
      <c r="R23">
        <f t="shared" si="5"/>
        <v>4</v>
      </c>
      <c r="S23">
        <f t="shared" si="5"/>
        <v>4</v>
      </c>
      <c r="T23">
        <f t="shared" si="5"/>
        <v>4</v>
      </c>
      <c r="U23">
        <f>COUNTIF(U4:U21,"*MS")</f>
        <v>2</v>
      </c>
      <c r="V23">
        <f>COUNTIF(V4:V21,"*MS")</f>
        <v>2</v>
      </c>
      <c r="W23">
        <f t="shared" ref="W23:AA23" si="6">COUNTIF(W4:W21,"*MS")</f>
        <v>3</v>
      </c>
      <c r="X23">
        <f t="shared" si="6"/>
        <v>4</v>
      </c>
      <c r="Y23">
        <f t="shared" si="6"/>
        <v>4</v>
      </c>
      <c r="Z23">
        <f t="shared" si="6"/>
        <v>4</v>
      </c>
      <c r="AA23">
        <f t="shared" si="6"/>
        <v>4</v>
      </c>
      <c r="AB23">
        <f>COUNTIF(AB4:AB21,"*MS")</f>
        <v>2</v>
      </c>
      <c r="AC23">
        <f>COUNTIF(AC4:AC21,"*MS")</f>
        <v>2</v>
      </c>
      <c r="AD23">
        <f t="shared" ref="AD23:AF23" si="7">COUNTIF(AD4:AD21,"*MS")</f>
        <v>4</v>
      </c>
      <c r="AE23">
        <f t="shared" si="7"/>
        <v>3</v>
      </c>
      <c r="AF23">
        <f t="shared" si="7"/>
        <v>3</v>
      </c>
      <c r="AG23">
        <f>COUNTIF(AG4:AG21,"*MS")</f>
        <v>3</v>
      </c>
    </row>
    <row r="24" spans="1:36" x14ac:dyDescent="0.35">
      <c r="A24" s="128" t="s">
        <v>126</v>
      </c>
      <c r="B24">
        <f t="shared" ref="B24:F24" si="8">COUNTIF(B4:B21,"*ASS1")</f>
        <v>3</v>
      </c>
      <c r="C24">
        <f t="shared" si="8"/>
        <v>4</v>
      </c>
      <c r="D24">
        <f t="shared" si="8"/>
        <v>3</v>
      </c>
      <c r="E24">
        <f t="shared" si="8"/>
        <v>3</v>
      </c>
      <c r="F24">
        <f t="shared" si="8"/>
        <v>4</v>
      </c>
      <c r="G24">
        <f>COUNTIF(G4:G21,"*ASS1")</f>
        <v>2</v>
      </c>
      <c r="H24">
        <f>COUNTIF(H4:H21,"*ASS1")</f>
        <v>2</v>
      </c>
      <c r="I24">
        <f t="shared" ref="I24:M24" si="9">COUNTIF(I4:I21,"*ASS1")</f>
        <v>4</v>
      </c>
      <c r="J24">
        <f t="shared" si="9"/>
        <v>4</v>
      </c>
      <c r="K24">
        <f t="shared" si="9"/>
        <v>4</v>
      </c>
      <c r="L24">
        <f t="shared" si="9"/>
        <v>4</v>
      </c>
      <c r="M24">
        <f t="shared" si="9"/>
        <v>4</v>
      </c>
      <c r="N24">
        <f>COUNTIF(N4:N21,"*ASS1")</f>
        <v>2</v>
      </c>
      <c r="O24">
        <f>COUNTIF(O4:O21,"*ASS1")</f>
        <v>2</v>
      </c>
      <c r="P24">
        <f t="shared" ref="P24:T24" si="10">COUNTIF(P4:P21,"*ASS1")</f>
        <v>4</v>
      </c>
      <c r="Q24">
        <f t="shared" si="10"/>
        <v>4</v>
      </c>
      <c r="R24">
        <f t="shared" si="10"/>
        <v>4</v>
      </c>
      <c r="S24">
        <f t="shared" si="10"/>
        <v>4</v>
      </c>
      <c r="T24">
        <f t="shared" si="10"/>
        <v>4</v>
      </c>
      <c r="U24">
        <f>COUNTIF(U4:U21,"*ASS1")</f>
        <v>2</v>
      </c>
      <c r="V24">
        <f>COUNTIF(V4:V21,"*ASS1")</f>
        <v>2</v>
      </c>
      <c r="W24">
        <f t="shared" ref="W24:AA24" si="11">COUNTIF(W4:W21,"*ASS1")</f>
        <v>4</v>
      </c>
      <c r="X24">
        <f t="shared" si="11"/>
        <v>4</v>
      </c>
      <c r="Y24">
        <f t="shared" si="11"/>
        <v>4</v>
      </c>
      <c r="Z24">
        <f t="shared" si="11"/>
        <v>4</v>
      </c>
      <c r="AA24">
        <f t="shared" si="11"/>
        <v>4</v>
      </c>
      <c r="AB24">
        <f>COUNTIF(AB4:AB21,"*ASS1")</f>
        <v>2</v>
      </c>
      <c r="AC24">
        <f>COUNTIF(AC4:AC21,"*ASS1")</f>
        <v>2</v>
      </c>
      <c r="AD24">
        <f t="shared" ref="AD24:AF24" si="12">COUNTIF(AD4:AD21,"*ASS1")</f>
        <v>4</v>
      </c>
      <c r="AE24">
        <f t="shared" si="12"/>
        <v>4</v>
      </c>
      <c r="AF24">
        <f t="shared" si="12"/>
        <v>3</v>
      </c>
      <c r="AG24">
        <f>COUNTIF(AG4:AG21,"*ASS1")</f>
        <v>4</v>
      </c>
    </row>
    <row r="25" spans="1:36" x14ac:dyDescent="0.35">
      <c r="A25" s="128" t="s">
        <v>127</v>
      </c>
      <c r="B25">
        <f t="shared" ref="B25:F25" si="13">COUNTIF(B4:B21,"*NST7")</f>
        <v>3</v>
      </c>
      <c r="C25">
        <f t="shared" si="13"/>
        <v>3</v>
      </c>
      <c r="D25">
        <f t="shared" si="13"/>
        <v>3</v>
      </c>
      <c r="E25">
        <f t="shared" si="13"/>
        <v>3</v>
      </c>
      <c r="F25">
        <f t="shared" si="13"/>
        <v>3</v>
      </c>
      <c r="G25">
        <f>COUNTIF(G4:G21,"*NST7")</f>
        <v>3</v>
      </c>
      <c r="H25">
        <f>COUNTIF(H4:H21,"*NST7")</f>
        <v>2</v>
      </c>
      <c r="I25">
        <f t="shared" ref="I25:M25" si="14">COUNTIF(I4:I21,"*NST7")</f>
        <v>3</v>
      </c>
      <c r="J25">
        <f t="shared" si="14"/>
        <v>4</v>
      </c>
      <c r="K25">
        <f t="shared" si="14"/>
        <v>3</v>
      </c>
      <c r="L25">
        <f t="shared" si="14"/>
        <v>4</v>
      </c>
      <c r="M25">
        <f t="shared" si="14"/>
        <v>3</v>
      </c>
      <c r="N25">
        <f>COUNTIF(N4:N21,"*NST7")</f>
        <v>2</v>
      </c>
      <c r="O25">
        <f>COUNTIF(O4:O21,"*NST7")</f>
        <v>3</v>
      </c>
      <c r="P25">
        <f t="shared" ref="P25:T25" si="15">COUNTIF(P4:P21,"*NST7")</f>
        <v>4</v>
      </c>
      <c r="Q25">
        <f t="shared" si="15"/>
        <v>4</v>
      </c>
      <c r="R25">
        <f t="shared" si="15"/>
        <v>3</v>
      </c>
      <c r="S25">
        <f t="shared" si="15"/>
        <v>4</v>
      </c>
      <c r="T25">
        <f t="shared" si="15"/>
        <v>4</v>
      </c>
      <c r="U25">
        <f>COUNTIF(U4:U21,"*NST7")</f>
        <v>3</v>
      </c>
      <c r="V25">
        <f>COUNTIF(V4:V21,"*NST7")</f>
        <v>2</v>
      </c>
      <c r="W25">
        <f t="shared" ref="W25:AA25" si="16">COUNTIF(W4:W21,"*NST7")</f>
        <v>4</v>
      </c>
      <c r="X25">
        <f t="shared" si="16"/>
        <v>4</v>
      </c>
      <c r="Y25">
        <f t="shared" si="16"/>
        <v>4</v>
      </c>
      <c r="Z25">
        <f t="shared" si="16"/>
        <v>4</v>
      </c>
      <c r="AA25">
        <f t="shared" si="16"/>
        <v>4</v>
      </c>
      <c r="AB25">
        <f>COUNTIF(AB4:AB21,"*NST7")</f>
        <v>2</v>
      </c>
      <c r="AC25">
        <f>COUNTIF(AC4:AC21,"*NST7")</f>
        <v>2</v>
      </c>
      <c r="AD25">
        <f t="shared" ref="AD25:AF25" si="17">COUNTIF(AD4:AD21,"*NST7")</f>
        <v>4</v>
      </c>
      <c r="AE25">
        <f t="shared" si="17"/>
        <v>4</v>
      </c>
      <c r="AF25">
        <f t="shared" si="17"/>
        <v>4</v>
      </c>
      <c r="AG25">
        <f>COUNTIF(AG4:AG21,"*NST7")</f>
        <v>3</v>
      </c>
    </row>
    <row r="26" spans="1:36" x14ac:dyDescent="0.35">
      <c r="A26" s="128" t="s">
        <v>128</v>
      </c>
      <c r="B26">
        <f t="shared" ref="B26:F26" si="18">COUNTIF(B4:B21,"*GS")</f>
        <v>0</v>
      </c>
      <c r="C26">
        <f t="shared" si="18"/>
        <v>0</v>
      </c>
      <c r="D26">
        <f t="shared" si="18"/>
        <v>1</v>
      </c>
      <c r="E26">
        <f t="shared" si="18"/>
        <v>1</v>
      </c>
      <c r="F26">
        <f t="shared" si="18"/>
        <v>1</v>
      </c>
      <c r="G26">
        <f>COUNTIF(G4:G21,"*GS")</f>
        <v>1</v>
      </c>
      <c r="H26">
        <f>COUNTIF(H4:H21,"*GS")</f>
        <v>0</v>
      </c>
      <c r="I26">
        <f t="shared" ref="I26:M26" si="19">COUNTIF(I4:I21,"*GS")</f>
        <v>0</v>
      </c>
      <c r="J26">
        <f t="shared" si="19"/>
        <v>0</v>
      </c>
      <c r="K26">
        <f t="shared" si="19"/>
        <v>0</v>
      </c>
      <c r="L26">
        <f t="shared" si="19"/>
        <v>0</v>
      </c>
      <c r="M26">
        <f t="shared" si="19"/>
        <v>0</v>
      </c>
      <c r="N26">
        <f>COUNTIF(N4:N21,"*GS")</f>
        <v>0</v>
      </c>
      <c r="O26">
        <f>COUNTIF(O4:O21,"*GS")</f>
        <v>0</v>
      </c>
      <c r="P26">
        <f t="shared" ref="P26:T26" si="20">COUNTIF(P4:P21,"*GS")</f>
        <v>0</v>
      </c>
      <c r="Q26">
        <f t="shared" si="20"/>
        <v>0</v>
      </c>
      <c r="R26">
        <f t="shared" si="20"/>
        <v>0</v>
      </c>
      <c r="S26">
        <f t="shared" si="20"/>
        <v>0</v>
      </c>
      <c r="T26">
        <f t="shared" si="20"/>
        <v>1</v>
      </c>
      <c r="U26">
        <f>COUNTIF(U4:U21,"*GS")</f>
        <v>1</v>
      </c>
      <c r="V26">
        <f>COUNTIF(V4:V21,"*GS")</f>
        <v>0</v>
      </c>
      <c r="W26">
        <f t="shared" ref="W26:AA26" si="21">COUNTIF(W4:W21,"*GS")</f>
        <v>0</v>
      </c>
      <c r="X26">
        <f t="shared" si="21"/>
        <v>0</v>
      </c>
      <c r="Y26">
        <f t="shared" si="21"/>
        <v>0</v>
      </c>
      <c r="Z26">
        <f t="shared" si="21"/>
        <v>0</v>
      </c>
      <c r="AA26">
        <f t="shared" si="21"/>
        <v>0</v>
      </c>
      <c r="AB26">
        <f>COUNTIF(AB4:AB21,"*GS")</f>
        <v>1</v>
      </c>
      <c r="AC26">
        <f>COUNTIF(AC4:AC21,"*GS")</f>
        <v>0</v>
      </c>
      <c r="AD26">
        <f t="shared" ref="AD26:AF26" si="22">COUNTIF(AD4:AD21,"*GS")</f>
        <v>0</v>
      </c>
      <c r="AE26">
        <f t="shared" si="22"/>
        <v>0</v>
      </c>
      <c r="AF26">
        <f t="shared" si="22"/>
        <v>0</v>
      </c>
      <c r="AG26">
        <f>COUNTIF(AG4:AG21,"*GS")</f>
        <v>0</v>
      </c>
    </row>
    <row r="27" spans="1:36" x14ac:dyDescent="0.35">
      <c r="A27" s="128" t="s">
        <v>129</v>
      </c>
      <c r="B27">
        <f>COUNTIF(B4:B21,"C")</f>
        <v>5</v>
      </c>
      <c r="C27">
        <f>COUNTIF(C4:C21,"C")</f>
        <v>3</v>
      </c>
      <c r="D27">
        <f t="shared" ref="D27:F27" si="23">COUNTIF(D4:D21,"C")</f>
        <v>5</v>
      </c>
      <c r="E27">
        <f t="shared" si="23"/>
        <v>4</v>
      </c>
      <c r="F27">
        <f t="shared" si="23"/>
        <v>2</v>
      </c>
      <c r="G27">
        <f>COUNTIF(G4:G21,"WO")</f>
        <v>8</v>
      </c>
      <c r="H27">
        <f>COUNTIF(H4:H21,"WO")</f>
        <v>9</v>
      </c>
      <c r="I27">
        <f>COUNTIF(I4:I21,"C")</f>
        <v>4</v>
      </c>
      <c r="J27">
        <f>COUNTIF(J4:J21,"C")</f>
        <v>2</v>
      </c>
      <c r="K27">
        <f t="shared" ref="K27:M27" si="24">COUNTIF(K4:K21,"C")</f>
        <v>3</v>
      </c>
      <c r="L27">
        <f t="shared" si="24"/>
        <v>2</v>
      </c>
      <c r="M27">
        <f t="shared" si="24"/>
        <v>4</v>
      </c>
      <c r="N27">
        <f>COUNTIF(N4:N21,"WO")</f>
        <v>10</v>
      </c>
      <c r="O27">
        <f>COUNTIF(O4:O21,"WO")</f>
        <v>8</v>
      </c>
      <c r="P27">
        <f>COUNTIF(P4:P21,"C")</f>
        <v>4</v>
      </c>
      <c r="Q27">
        <f>COUNTIF(Q4:Q21,"C")</f>
        <v>4</v>
      </c>
      <c r="R27">
        <f t="shared" ref="R27:T27" si="25">COUNTIF(R4:R21,"C")</f>
        <v>4</v>
      </c>
      <c r="S27">
        <f t="shared" si="25"/>
        <v>2</v>
      </c>
      <c r="T27">
        <f t="shared" si="25"/>
        <v>3</v>
      </c>
      <c r="U27">
        <f>COUNTIF(U4:U21,"WO")</f>
        <v>8</v>
      </c>
      <c r="V27">
        <f>COUNTIF(V4:V21,"WO")</f>
        <v>10</v>
      </c>
      <c r="W27">
        <f>COUNTIF(W4:W21,"C")</f>
        <v>2</v>
      </c>
      <c r="X27">
        <f>COUNTIF(X4:X21,"C")</f>
        <v>2</v>
      </c>
      <c r="Y27">
        <f t="shared" ref="Y27:AA27" si="26">COUNTIF(Y4:Y21,"C")</f>
        <v>3</v>
      </c>
      <c r="Z27">
        <f t="shared" si="26"/>
        <v>2</v>
      </c>
      <c r="AA27">
        <f t="shared" si="26"/>
        <v>3</v>
      </c>
      <c r="AB27">
        <f>COUNTIF(AB4:AB21,"WO")</f>
        <v>9</v>
      </c>
      <c r="AC27">
        <f>COUNTIF(AC4:AC21,"WO")</f>
        <v>9</v>
      </c>
      <c r="AD27">
        <f>COUNTIF(AD4:AD21,"C")</f>
        <v>1</v>
      </c>
      <c r="AE27">
        <f>COUNTIF(AE4:AE21,"C")</f>
        <v>3</v>
      </c>
      <c r="AF27">
        <f t="shared" ref="AF27" si="27">COUNTIF(AF4:AF21,"C")</f>
        <v>4</v>
      </c>
      <c r="AG27">
        <f>COUNTIF(AG4:AG21,"C")</f>
        <v>5</v>
      </c>
    </row>
    <row r="28" spans="1:36" x14ac:dyDescent="0.35">
      <c r="A28" s="128" t="s">
        <v>130</v>
      </c>
      <c r="B28">
        <f t="shared" ref="B28:F28" si="28">COUNTIF(B4:B21,"PL")</f>
        <v>2</v>
      </c>
      <c r="C28">
        <f t="shared" si="28"/>
        <v>2</v>
      </c>
      <c r="D28">
        <f t="shared" si="28"/>
        <v>1</v>
      </c>
      <c r="E28">
        <f t="shared" si="28"/>
        <v>1</v>
      </c>
      <c r="F28">
        <f t="shared" si="28"/>
        <v>1</v>
      </c>
      <c r="G28">
        <f>COUNTIF(G4:G21,"PL")</f>
        <v>0</v>
      </c>
      <c r="H28">
        <f>COUNTIF(H4:H21,"PL")</f>
        <v>0</v>
      </c>
      <c r="I28">
        <f t="shared" ref="I28:M28" si="29">COUNTIF(I4:I21,"PL")</f>
        <v>1</v>
      </c>
      <c r="J28">
        <f t="shared" si="29"/>
        <v>2</v>
      </c>
      <c r="K28">
        <f t="shared" si="29"/>
        <v>2</v>
      </c>
      <c r="L28">
        <f t="shared" si="29"/>
        <v>2</v>
      </c>
      <c r="M28">
        <f t="shared" si="29"/>
        <v>1</v>
      </c>
      <c r="N28">
        <f>COUNTIF(N4:N21,"PL")</f>
        <v>0</v>
      </c>
      <c r="O28">
        <f>COUNTIF(O4:O21,"PL")</f>
        <v>1</v>
      </c>
      <c r="P28">
        <f t="shared" ref="P28:T28" si="30">COUNTIF(P4:P21,"PL")</f>
        <v>0</v>
      </c>
      <c r="Q28">
        <f t="shared" si="30"/>
        <v>0</v>
      </c>
      <c r="R28">
        <f t="shared" si="30"/>
        <v>1</v>
      </c>
      <c r="S28">
        <f t="shared" si="30"/>
        <v>2</v>
      </c>
      <c r="T28">
        <f t="shared" si="30"/>
        <v>0</v>
      </c>
      <c r="U28">
        <f>COUNTIF(U4:U21,"PL")</f>
        <v>0</v>
      </c>
      <c r="V28">
        <f>COUNTIF(V4:V21,"PL")</f>
        <v>0</v>
      </c>
      <c r="W28">
        <f t="shared" ref="W28:AA28" si="31">COUNTIF(W4:W21,"PL")</f>
        <v>2</v>
      </c>
      <c r="X28">
        <f t="shared" si="31"/>
        <v>2</v>
      </c>
      <c r="Y28">
        <f t="shared" si="31"/>
        <v>1</v>
      </c>
      <c r="Z28">
        <f t="shared" si="31"/>
        <v>2</v>
      </c>
      <c r="AA28">
        <f t="shared" si="31"/>
        <v>1</v>
      </c>
      <c r="AB28">
        <f>COUNTIF(AB4:AB21,"PL")</f>
        <v>0</v>
      </c>
      <c r="AC28">
        <f>COUNTIF(AC4:AC21,"PL")</f>
        <v>1</v>
      </c>
      <c r="AD28">
        <f t="shared" ref="AD28:AF28" si="32">COUNTIF(AD4:AD21,"PL")</f>
        <v>3</v>
      </c>
      <c r="AE28">
        <f t="shared" si="32"/>
        <v>2</v>
      </c>
      <c r="AF28">
        <f t="shared" si="32"/>
        <v>2</v>
      </c>
      <c r="AG28">
        <f>COUNTIF(AG4:AG21,"PL")</f>
        <v>1</v>
      </c>
    </row>
    <row r="29" spans="1:36" x14ac:dyDescent="0.35">
      <c r="A29" s="128" t="s">
        <v>33</v>
      </c>
      <c r="B29">
        <f t="shared" ref="B29:F29" si="33">COUNTIF(B4:B21,"UPL")</f>
        <v>0</v>
      </c>
      <c r="C29">
        <f t="shared" si="33"/>
        <v>0</v>
      </c>
      <c r="D29">
        <f t="shared" si="33"/>
        <v>0</v>
      </c>
      <c r="E29">
        <f t="shared" si="33"/>
        <v>1</v>
      </c>
      <c r="F29">
        <f t="shared" si="33"/>
        <v>1</v>
      </c>
      <c r="G29">
        <f>COUNTIF(G4:G21,"UPL")</f>
        <v>0</v>
      </c>
      <c r="H29">
        <f>COUNTIF(H4:H21,"UPL")</f>
        <v>0</v>
      </c>
      <c r="I29">
        <f t="shared" ref="I29:M29" si="34">COUNTIF(I4:I21,"UPL")</f>
        <v>0</v>
      </c>
      <c r="J29">
        <f t="shared" si="34"/>
        <v>0</v>
      </c>
      <c r="K29">
        <f t="shared" si="34"/>
        <v>0</v>
      </c>
      <c r="L29">
        <f t="shared" si="34"/>
        <v>0</v>
      </c>
      <c r="M29">
        <f t="shared" si="34"/>
        <v>0</v>
      </c>
      <c r="N29">
        <f>COUNTIF(N4:N21,"UPL")</f>
        <v>0</v>
      </c>
      <c r="O29">
        <f>COUNTIF(O4:O21,"UPL")</f>
        <v>0</v>
      </c>
      <c r="P29">
        <f t="shared" ref="P29:T29" si="35">COUNTIF(P4:P21,"UPL")</f>
        <v>0</v>
      </c>
      <c r="Q29">
        <f t="shared" si="35"/>
        <v>0</v>
      </c>
      <c r="R29">
        <f t="shared" si="35"/>
        <v>0</v>
      </c>
      <c r="S29">
        <f t="shared" si="35"/>
        <v>0</v>
      </c>
      <c r="T29">
        <f t="shared" si="35"/>
        <v>0</v>
      </c>
      <c r="U29">
        <f>COUNTIF(U4:U21,"UPL")</f>
        <v>0</v>
      </c>
      <c r="V29">
        <f>COUNTIF(V4:V21,"UPL")</f>
        <v>0</v>
      </c>
      <c r="W29">
        <f t="shared" ref="W29:AA29" si="36">COUNTIF(W4:W21,"UPL")</f>
        <v>1</v>
      </c>
      <c r="X29">
        <f t="shared" si="36"/>
        <v>0</v>
      </c>
      <c r="Y29">
        <f t="shared" si="36"/>
        <v>0</v>
      </c>
      <c r="Z29">
        <f t="shared" si="36"/>
        <v>0</v>
      </c>
      <c r="AA29">
        <f t="shared" si="36"/>
        <v>0</v>
      </c>
      <c r="AB29">
        <f>COUNTIF(AB4:AB21,"UPL")</f>
        <v>0</v>
      </c>
      <c r="AC29">
        <f>COUNTIF(AC4:AC21,"UPL")</f>
        <v>0</v>
      </c>
      <c r="AD29">
        <f t="shared" ref="AD29:AF29" si="37">COUNTIF(AD4:AD21,"UPL")</f>
        <v>0</v>
      </c>
      <c r="AE29">
        <f t="shared" si="37"/>
        <v>0</v>
      </c>
      <c r="AF29">
        <f t="shared" si="37"/>
        <v>0</v>
      </c>
      <c r="AG29">
        <f>COUNTIF(AG4:AG21,"UPL")</f>
        <v>0</v>
      </c>
    </row>
    <row r="30" spans="1:36" x14ac:dyDescent="0.35">
      <c r="A30" s="128" t="s">
        <v>141</v>
      </c>
      <c r="B30">
        <f t="shared" ref="B30:F30" si="38">COUNTIF(B4:B21,"H")</f>
        <v>0</v>
      </c>
      <c r="C30">
        <f t="shared" si="38"/>
        <v>0</v>
      </c>
      <c r="D30">
        <f t="shared" si="38"/>
        <v>0</v>
      </c>
      <c r="E30">
        <f t="shared" si="38"/>
        <v>0</v>
      </c>
      <c r="F30">
        <f t="shared" si="38"/>
        <v>0</v>
      </c>
      <c r="G30">
        <f>COUNTIF(G4:G21,"H")</f>
        <v>0</v>
      </c>
      <c r="H30">
        <f>COUNTIF(H4:H21,"H")</f>
        <v>0</v>
      </c>
      <c r="I30">
        <f t="shared" ref="I30:M30" si="39">COUNTIF(I4:I21,"H")</f>
        <v>0</v>
      </c>
      <c r="J30">
        <f t="shared" si="39"/>
        <v>0</v>
      </c>
      <c r="K30">
        <f t="shared" si="39"/>
        <v>0</v>
      </c>
      <c r="L30">
        <f t="shared" si="39"/>
        <v>0</v>
      </c>
      <c r="M30">
        <f t="shared" si="39"/>
        <v>0</v>
      </c>
      <c r="N30">
        <f>COUNTIF(N4:N21,"H")</f>
        <v>0</v>
      </c>
      <c r="O30">
        <f>COUNTIF(O4:O21,"H")</f>
        <v>0</v>
      </c>
      <c r="P30">
        <f t="shared" ref="P30:T30" si="40">COUNTIF(P4:P21,"H")</f>
        <v>0</v>
      </c>
      <c r="Q30">
        <f t="shared" si="40"/>
        <v>0</v>
      </c>
      <c r="R30">
        <f t="shared" si="40"/>
        <v>0</v>
      </c>
      <c r="S30">
        <f t="shared" si="40"/>
        <v>0</v>
      </c>
      <c r="T30">
        <f t="shared" si="40"/>
        <v>0</v>
      </c>
      <c r="U30">
        <f>COUNTIF(U4:U21,"H")</f>
        <v>0</v>
      </c>
      <c r="V30">
        <f>COUNTIF(V4:V21,"H")</f>
        <v>0</v>
      </c>
      <c r="W30">
        <f t="shared" ref="W30:AA30" si="41">COUNTIF(W4:W21,"H")</f>
        <v>0</v>
      </c>
      <c r="X30">
        <f t="shared" si="41"/>
        <v>0</v>
      </c>
      <c r="Y30">
        <f t="shared" si="41"/>
        <v>0</v>
      </c>
      <c r="Z30">
        <f t="shared" si="41"/>
        <v>0</v>
      </c>
      <c r="AA30">
        <f t="shared" si="41"/>
        <v>0</v>
      </c>
      <c r="AB30">
        <f>COUNTIF(AB4:AB21,"H")</f>
        <v>0</v>
      </c>
      <c r="AC30">
        <f>COUNTIF(AC4:AC21,"H")</f>
        <v>0</v>
      </c>
      <c r="AD30">
        <f t="shared" ref="AD30:AF30" si="42">COUNTIF(AD4:AD21,"H")</f>
        <v>0</v>
      </c>
      <c r="AE30">
        <f t="shared" si="42"/>
        <v>0</v>
      </c>
      <c r="AF30">
        <f t="shared" si="42"/>
        <v>0</v>
      </c>
      <c r="AG30">
        <f>COUNTIF(AG4:AG21,"H")</f>
        <v>0</v>
      </c>
    </row>
    <row r="31" spans="1:36" x14ac:dyDescent="0.35">
      <c r="A31" s="128" t="s">
        <v>131</v>
      </c>
      <c r="B31" s="129">
        <f t="shared" ref="B31:C31" si="43">SUM(B23:B30)</f>
        <v>16</v>
      </c>
      <c r="C31" s="129">
        <f t="shared" si="43"/>
        <v>16</v>
      </c>
      <c r="D31" s="129">
        <f t="shared" ref="D31:H31" si="44">SUM(D23:D30)</f>
        <v>16</v>
      </c>
      <c r="E31" s="129">
        <f t="shared" si="44"/>
        <v>16</v>
      </c>
      <c r="F31" s="129">
        <f t="shared" si="44"/>
        <v>16</v>
      </c>
      <c r="G31" s="129">
        <f t="shared" si="44"/>
        <v>16</v>
      </c>
      <c r="H31" s="129">
        <f t="shared" si="44"/>
        <v>15</v>
      </c>
      <c r="I31" s="129">
        <f t="shared" ref="I31:J31" si="45">SUM(I23:I30)</f>
        <v>16</v>
      </c>
      <c r="J31" s="129">
        <f t="shared" si="45"/>
        <v>16</v>
      </c>
      <c r="K31" s="129">
        <f t="shared" ref="K31:O31" si="46">SUM(K23:K30)</f>
        <v>16</v>
      </c>
      <c r="L31" s="129">
        <f t="shared" si="46"/>
        <v>16</v>
      </c>
      <c r="M31" s="129">
        <f t="shared" si="46"/>
        <v>16</v>
      </c>
      <c r="N31" s="129">
        <f t="shared" si="46"/>
        <v>16</v>
      </c>
      <c r="O31" s="129">
        <f t="shared" si="46"/>
        <v>16</v>
      </c>
      <c r="P31" s="129">
        <f t="shared" ref="P31:Q31" si="47">SUM(P23:P30)</f>
        <v>16</v>
      </c>
      <c r="Q31" s="129">
        <f t="shared" si="47"/>
        <v>16</v>
      </c>
      <c r="R31" s="129">
        <f t="shared" ref="R31:V31" si="48">SUM(R23:R30)</f>
        <v>16</v>
      </c>
      <c r="S31" s="129">
        <f t="shared" si="48"/>
        <v>16</v>
      </c>
      <c r="T31" s="129">
        <f t="shared" si="48"/>
        <v>16</v>
      </c>
      <c r="U31" s="129">
        <f t="shared" si="48"/>
        <v>16</v>
      </c>
      <c r="V31" s="129">
        <f t="shared" si="48"/>
        <v>16</v>
      </c>
      <c r="W31" s="129">
        <f t="shared" ref="W31:X31" si="49">SUM(W23:W30)</f>
        <v>16</v>
      </c>
      <c r="X31" s="129">
        <f t="shared" si="49"/>
        <v>16</v>
      </c>
      <c r="Y31" s="129">
        <f t="shared" ref="Y31:AC31" si="50">SUM(Y23:Y30)</f>
        <v>16</v>
      </c>
      <c r="Z31" s="129">
        <f t="shared" si="50"/>
        <v>16</v>
      </c>
      <c r="AA31" s="129">
        <f t="shared" si="50"/>
        <v>16</v>
      </c>
      <c r="AB31" s="129">
        <f t="shared" si="50"/>
        <v>16</v>
      </c>
      <c r="AC31" s="129">
        <f t="shared" si="50"/>
        <v>16</v>
      </c>
      <c r="AD31" s="129">
        <f t="shared" ref="AD31:AE31" si="51">SUM(AD23:AD30)</f>
        <v>16</v>
      </c>
      <c r="AE31" s="129">
        <f t="shared" si="51"/>
        <v>16</v>
      </c>
      <c r="AF31" s="129">
        <f t="shared" ref="AF31:AG31" si="52">SUM(AF23:AF30)</f>
        <v>16</v>
      </c>
      <c r="AG31" s="129">
        <f t="shared" si="52"/>
        <v>16</v>
      </c>
    </row>
  </sheetData>
  <conditionalFormatting sqref="B23:AG26">
    <cfRule type="cellIs" dxfId="828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E88B-465F-42F0-A10C-C623CBDB79CD}">
  <sheetPr codeName="Sheet36"/>
  <dimension ref="A1:AI32"/>
  <sheetViews>
    <sheetView zoomScale="60" zoomScaleNormal="60" workbookViewId="0">
      <pane xSplit="1" topLeftCell="E1" activePane="topRight" state="frozen"/>
      <selection pane="topRight" activeCell="N10" sqref="N10"/>
    </sheetView>
  </sheetViews>
  <sheetFormatPr defaultRowHeight="14.5" x14ac:dyDescent="0.35"/>
  <cols>
    <col min="1" max="1" width="17.6328125" customWidth="1"/>
    <col min="2" max="20" width="8.7265625" customWidth="1"/>
    <col min="21" max="22" width="8.08984375" customWidth="1"/>
    <col min="23" max="23" width="6.7265625" customWidth="1"/>
    <col min="24" max="32" width="8.7265625" customWidth="1"/>
  </cols>
  <sheetData>
    <row r="1" spans="1:35" x14ac:dyDescent="0.35">
      <c r="A1" s="1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  <c r="AH1" s="203" t="s">
        <v>304</v>
      </c>
      <c r="AI1" s="202" t="s">
        <v>305</v>
      </c>
    </row>
    <row r="2" spans="1:35" x14ac:dyDescent="0.35">
      <c r="A2" s="95" t="s">
        <v>0</v>
      </c>
      <c r="B2" s="29">
        <v>45352</v>
      </c>
      <c r="C2" s="29">
        <v>45353</v>
      </c>
      <c r="D2" s="29">
        <v>45354</v>
      </c>
      <c r="E2" s="29">
        <v>45355</v>
      </c>
      <c r="F2" s="29">
        <v>45356</v>
      </c>
      <c r="G2" s="29">
        <v>45357</v>
      </c>
      <c r="H2" s="29">
        <v>45358</v>
      </c>
      <c r="I2" s="29">
        <v>45359</v>
      </c>
      <c r="J2" s="29">
        <v>45360</v>
      </c>
      <c r="K2" s="29">
        <v>45361</v>
      </c>
      <c r="L2" s="29">
        <v>45362</v>
      </c>
      <c r="M2" s="29">
        <v>45363</v>
      </c>
      <c r="N2" s="29">
        <v>45364</v>
      </c>
      <c r="O2" s="29">
        <v>45365</v>
      </c>
      <c r="P2" s="29">
        <v>45366</v>
      </c>
      <c r="Q2" s="29">
        <v>45367</v>
      </c>
      <c r="R2" s="29">
        <v>45368</v>
      </c>
      <c r="S2" s="29">
        <v>45369</v>
      </c>
      <c r="T2" s="29">
        <v>45370</v>
      </c>
      <c r="U2" s="29">
        <v>45371</v>
      </c>
      <c r="V2" s="29">
        <v>45372</v>
      </c>
      <c r="W2" s="29">
        <v>45373</v>
      </c>
      <c r="X2" s="29">
        <v>45374</v>
      </c>
      <c r="Y2" s="29">
        <v>45375</v>
      </c>
      <c r="Z2" s="29">
        <v>45376</v>
      </c>
      <c r="AA2" s="29">
        <v>45377</v>
      </c>
      <c r="AB2" s="29">
        <v>45378</v>
      </c>
      <c r="AC2" s="29">
        <v>45379</v>
      </c>
      <c r="AD2" s="29">
        <v>45380</v>
      </c>
      <c r="AE2" s="29">
        <v>45381</v>
      </c>
      <c r="AF2" s="29">
        <v>45382</v>
      </c>
    </row>
    <row r="3" spans="1:35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5" x14ac:dyDescent="0.35">
      <c r="A4" s="165" t="s">
        <v>9</v>
      </c>
      <c r="B4" s="16" t="s">
        <v>10</v>
      </c>
      <c r="C4" s="16" t="s">
        <v>11</v>
      </c>
      <c r="D4" s="16" t="s">
        <v>11</v>
      </c>
      <c r="E4" s="16" t="s">
        <v>10</v>
      </c>
      <c r="F4" s="16" t="s">
        <v>10</v>
      </c>
      <c r="G4" s="16" t="s">
        <v>10</v>
      </c>
      <c r="H4" s="16" t="s">
        <v>10</v>
      </c>
      <c r="I4" s="116" t="s">
        <v>2</v>
      </c>
      <c r="J4" s="16" t="s">
        <v>11</v>
      </c>
      <c r="K4" s="16" t="s">
        <v>11</v>
      </c>
      <c r="L4" s="16" t="s">
        <v>10</v>
      </c>
      <c r="M4" s="116" t="s">
        <v>2</v>
      </c>
      <c r="N4" s="116" t="s">
        <v>2</v>
      </c>
      <c r="O4" s="25" t="s">
        <v>6</v>
      </c>
      <c r="P4" s="25" t="s">
        <v>6</v>
      </c>
      <c r="Q4" s="25" t="s">
        <v>3</v>
      </c>
      <c r="R4" s="25" t="s">
        <v>3</v>
      </c>
      <c r="S4" s="25" t="s">
        <v>6</v>
      </c>
      <c r="T4" s="116" t="s">
        <v>2</v>
      </c>
      <c r="U4" s="116" t="s">
        <v>2</v>
      </c>
      <c r="V4" s="116" t="s">
        <v>2</v>
      </c>
      <c r="W4" s="25" t="s">
        <v>6</v>
      </c>
      <c r="X4" s="25" t="s">
        <v>3</v>
      </c>
      <c r="Y4" s="25" t="s">
        <v>3</v>
      </c>
      <c r="Z4" s="25" t="s">
        <v>3</v>
      </c>
      <c r="AA4" s="25" t="s">
        <v>6</v>
      </c>
      <c r="AB4" s="25" t="s">
        <v>6</v>
      </c>
      <c r="AC4" s="25" t="s">
        <v>6</v>
      </c>
      <c r="AD4" s="116" t="s">
        <v>2</v>
      </c>
      <c r="AE4" s="25" t="s">
        <v>3</v>
      </c>
      <c r="AF4" s="25" t="s">
        <v>3</v>
      </c>
      <c r="AH4">
        <f>COUNTIF(B4:AF4,"C")</f>
        <v>7</v>
      </c>
      <c r="AI4">
        <f>COUNTIF(B4:AF4,"W*S*")</f>
        <v>11</v>
      </c>
    </row>
    <row r="5" spans="1:35" x14ac:dyDescent="0.35">
      <c r="A5" s="165" t="s">
        <v>69</v>
      </c>
      <c r="B5" s="116" t="s">
        <v>2</v>
      </c>
      <c r="C5" s="114" t="s">
        <v>4</v>
      </c>
      <c r="D5" s="25" t="s">
        <v>3</v>
      </c>
      <c r="E5" s="25" t="s">
        <v>6</v>
      </c>
      <c r="F5" s="116" t="s">
        <v>2</v>
      </c>
      <c r="G5" s="25" t="s">
        <v>6</v>
      </c>
      <c r="H5" s="25" t="s">
        <v>6</v>
      </c>
      <c r="I5" s="25" t="s">
        <v>6</v>
      </c>
      <c r="J5" s="25" t="s">
        <v>3</v>
      </c>
      <c r="K5" s="114" t="s">
        <v>4</v>
      </c>
      <c r="L5" s="25" t="s">
        <v>6</v>
      </c>
      <c r="M5" s="25" t="s">
        <v>6</v>
      </c>
      <c r="N5" s="25" t="s">
        <v>6</v>
      </c>
      <c r="O5" s="116" t="s">
        <v>2</v>
      </c>
      <c r="P5" s="25" t="s">
        <v>6</v>
      </c>
      <c r="Q5" s="25" t="s">
        <v>3</v>
      </c>
      <c r="R5" s="114" t="s">
        <v>4</v>
      </c>
      <c r="S5" s="116" t="s">
        <v>2</v>
      </c>
      <c r="T5" s="25" t="s">
        <v>6</v>
      </c>
      <c r="U5" s="25" t="s">
        <v>6</v>
      </c>
      <c r="V5" s="25" t="s">
        <v>6</v>
      </c>
      <c r="W5" s="25" t="s">
        <v>6</v>
      </c>
      <c r="X5" s="122" t="s">
        <v>4</v>
      </c>
      <c r="Y5" s="122" t="s">
        <v>4</v>
      </c>
      <c r="Z5" s="122" t="s">
        <v>5</v>
      </c>
      <c r="AA5" s="122" t="s">
        <v>5</v>
      </c>
      <c r="AB5" s="25" t="s">
        <v>6</v>
      </c>
      <c r="AC5" s="19" t="s">
        <v>41</v>
      </c>
      <c r="AD5" s="25" t="s">
        <v>6</v>
      </c>
      <c r="AE5" s="114" t="s">
        <v>4</v>
      </c>
      <c r="AF5" s="25" t="s">
        <v>3</v>
      </c>
      <c r="AH5">
        <f>COUNTIF(B5:AF5,"C")</f>
        <v>4</v>
      </c>
      <c r="AI5">
        <f>COUNTIF(B5:AF5,"W*S*")</f>
        <v>4</v>
      </c>
    </row>
    <row r="6" spans="1:35" x14ac:dyDescent="0.35">
      <c r="A6" s="141" t="s">
        <v>43</v>
      </c>
      <c r="B6" s="25" t="s">
        <v>6</v>
      </c>
      <c r="C6" s="114" t="s">
        <v>4</v>
      </c>
      <c r="D6" s="25" t="s">
        <v>3</v>
      </c>
      <c r="E6" s="25" t="s">
        <v>6</v>
      </c>
      <c r="F6" s="25" t="s">
        <v>6</v>
      </c>
      <c r="G6" s="25" t="s">
        <v>6</v>
      </c>
      <c r="H6" s="116" t="s">
        <v>2</v>
      </c>
      <c r="I6" s="19" t="s">
        <v>41</v>
      </c>
      <c r="J6" s="114" t="s">
        <v>4</v>
      </c>
      <c r="K6" s="25" t="s">
        <v>3</v>
      </c>
      <c r="L6" s="25" t="s">
        <v>6</v>
      </c>
      <c r="M6" s="25" t="s">
        <v>6</v>
      </c>
      <c r="N6" s="25" t="s">
        <v>6</v>
      </c>
      <c r="O6" s="25" t="s">
        <v>6</v>
      </c>
      <c r="P6" s="116" t="s">
        <v>2</v>
      </c>
      <c r="Q6" s="114" t="s">
        <v>4</v>
      </c>
      <c r="R6" s="114" t="s">
        <v>4</v>
      </c>
      <c r="S6" s="25" t="s">
        <v>6</v>
      </c>
      <c r="T6" s="25" t="s">
        <v>6</v>
      </c>
      <c r="U6" s="25" t="s">
        <v>6</v>
      </c>
      <c r="V6" s="25" t="s">
        <v>6</v>
      </c>
      <c r="W6" s="116" t="s">
        <v>2</v>
      </c>
      <c r="X6" s="114" t="s">
        <v>4</v>
      </c>
      <c r="Y6" s="25" t="s">
        <v>3</v>
      </c>
      <c r="Z6" s="25" t="s">
        <v>6</v>
      </c>
      <c r="AA6" s="116" t="s">
        <v>2</v>
      </c>
      <c r="AB6" s="25" t="s">
        <v>6</v>
      </c>
      <c r="AC6" s="25" t="s">
        <v>6</v>
      </c>
      <c r="AD6" s="25" t="s">
        <v>6</v>
      </c>
      <c r="AE6" s="25" t="s">
        <v>3</v>
      </c>
      <c r="AF6" s="114" t="s">
        <v>4</v>
      </c>
      <c r="AH6">
        <f t="shared" ref="AH6:AH8" si="1">COUNTIF(B6:AF6,"C")</f>
        <v>4</v>
      </c>
      <c r="AI6">
        <f t="shared" ref="AI6:AI8" si="2">COUNTIF(B6:AF6,"W*S*")</f>
        <v>4</v>
      </c>
    </row>
    <row r="7" spans="1:35" x14ac:dyDescent="0.35">
      <c r="A7" s="141" t="s">
        <v>70</v>
      </c>
      <c r="B7" s="25" t="s">
        <v>6</v>
      </c>
      <c r="C7" s="22" t="s">
        <v>30</v>
      </c>
      <c r="D7" s="114" t="s">
        <v>4</v>
      </c>
      <c r="E7" s="25" t="s">
        <v>6</v>
      </c>
      <c r="F7" s="25" t="s">
        <v>6</v>
      </c>
      <c r="G7" s="116" t="s">
        <v>2</v>
      </c>
      <c r="H7" s="25" t="s">
        <v>6</v>
      </c>
      <c r="I7" s="25" t="s">
        <v>6</v>
      </c>
      <c r="J7" s="22" t="s">
        <v>30</v>
      </c>
      <c r="K7" s="114" t="s">
        <v>4</v>
      </c>
      <c r="L7" s="22" t="s">
        <v>16</v>
      </c>
      <c r="M7" s="25" t="s">
        <v>6</v>
      </c>
      <c r="N7" s="25" t="s">
        <v>6</v>
      </c>
      <c r="O7" s="25" t="s">
        <v>6</v>
      </c>
      <c r="P7" s="25" t="s">
        <v>6</v>
      </c>
      <c r="Q7" s="114" t="s">
        <v>4</v>
      </c>
      <c r="R7" s="25" t="s">
        <v>3</v>
      </c>
      <c r="S7" s="25" t="s">
        <v>6</v>
      </c>
      <c r="T7" s="25" t="s">
        <v>6</v>
      </c>
      <c r="U7" s="116" t="s">
        <v>2</v>
      </c>
      <c r="V7" s="25" t="s">
        <v>6</v>
      </c>
      <c r="W7" s="25" t="s">
        <v>6</v>
      </c>
      <c r="X7" s="22" t="s">
        <v>30</v>
      </c>
      <c r="Y7" s="114" t="s">
        <v>4</v>
      </c>
      <c r="Z7" s="115" t="s">
        <v>37</v>
      </c>
      <c r="AA7" s="25" t="s">
        <v>6</v>
      </c>
      <c r="AB7" s="25" t="s">
        <v>6</v>
      </c>
      <c r="AC7" s="22" t="s">
        <v>16</v>
      </c>
      <c r="AD7" s="25" t="s">
        <v>6</v>
      </c>
      <c r="AE7" s="22" t="s">
        <v>30</v>
      </c>
      <c r="AF7" s="114" t="s">
        <v>4</v>
      </c>
      <c r="AH7">
        <f t="shared" si="1"/>
        <v>2</v>
      </c>
      <c r="AI7">
        <f t="shared" si="2"/>
        <v>5</v>
      </c>
    </row>
    <row r="8" spans="1:35" x14ac:dyDescent="0.35">
      <c r="A8" s="141" t="s">
        <v>152</v>
      </c>
      <c r="B8" s="19" t="s">
        <v>41</v>
      </c>
      <c r="C8" s="114" t="s">
        <v>4</v>
      </c>
      <c r="D8" s="114" t="s">
        <v>4</v>
      </c>
      <c r="E8" s="25" t="s">
        <v>6</v>
      </c>
      <c r="F8" s="25" t="s">
        <v>6</v>
      </c>
      <c r="G8" s="25" t="s">
        <v>6</v>
      </c>
      <c r="H8" s="25" t="s">
        <v>6</v>
      </c>
      <c r="I8" s="25" t="s">
        <v>6</v>
      </c>
      <c r="J8" s="114" t="s">
        <v>4</v>
      </c>
      <c r="K8" s="114" t="s">
        <v>4</v>
      </c>
      <c r="L8" s="25" t="s">
        <v>6</v>
      </c>
      <c r="M8" s="25" t="s">
        <v>6</v>
      </c>
      <c r="N8" s="22" t="s">
        <v>16</v>
      </c>
      <c r="O8" s="25" t="s">
        <v>6</v>
      </c>
      <c r="P8" s="25" t="s">
        <v>6</v>
      </c>
      <c r="Q8" s="114" t="s">
        <v>4</v>
      </c>
      <c r="R8" s="114" t="s">
        <v>4</v>
      </c>
      <c r="S8" s="25" t="s">
        <v>6</v>
      </c>
      <c r="T8" s="22" t="s">
        <v>16</v>
      </c>
      <c r="U8" s="25" t="s">
        <v>6</v>
      </c>
      <c r="V8" s="22" t="s">
        <v>16</v>
      </c>
      <c r="W8" s="25" t="s">
        <v>6</v>
      </c>
      <c r="X8" s="114" t="s">
        <v>4</v>
      </c>
      <c r="Y8" s="114" t="s">
        <v>4</v>
      </c>
      <c r="Z8" s="25" t="s">
        <v>3</v>
      </c>
      <c r="AA8" s="25" t="s">
        <v>6</v>
      </c>
      <c r="AB8" s="22" t="s">
        <v>16</v>
      </c>
      <c r="AC8" s="25" t="s">
        <v>6</v>
      </c>
      <c r="AD8" s="25" t="s">
        <v>6</v>
      </c>
      <c r="AE8" s="114" t="s">
        <v>4</v>
      </c>
      <c r="AF8" s="114" t="s">
        <v>4</v>
      </c>
      <c r="AH8">
        <f t="shared" si="1"/>
        <v>0</v>
      </c>
      <c r="AI8">
        <f t="shared" si="2"/>
        <v>1</v>
      </c>
    </row>
    <row r="10" spans="1:35" x14ac:dyDescent="0.35">
      <c r="A10" s="165" t="s">
        <v>1</v>
      </c>
      <c r="B10" s="19" t="s">
        <v>41</v>
      </c>
      <c r="C10" s="19" t="s">
        <v>42</v>
      </c>
      <c r="D10" s="19" t="s">
        <v>42</v>
      </c>
      <c r="E10" s="116" t="s">
        <v>2</v>
      </c>
      <c r="F10" s="19" t="s">
        <v>41</v>
      </c>
      <c r="G10" s="19" t="s">
        <v>41</v>
      </c>
      <c r="H10" s="19" t="s">
        <v>41</v>
      </c>
      <c r="I10" s="116" t="s">
        <v>2</v>
      </c>
      <c r="J10" s="19" t="s">
        <v>42</v>
      </c>
      <c r="K10" s="19" t="s">
        <v>42</v>
      </c>
      <c r="L10" s="116" t="s">
        <v>2</v>
      </c>
      <c r="M10" s="16" t="s">
        <v>10</v>
      </c>
      <c r="N10" s="16" t="s">
        <v>10</v>
      </c>
      <c r="O10" s="116" t="s">
        <v>2</v>
      </c>
      <c r="P10" s="16" t="s">
        <v>10</v>
      </c>
      <c r="Q10" s="16" t="s">
        <v>11</v>
      </c>
      <c r="R10" s="114" t="s">
        <v>4</v>
      </c>
      <c r="S10" s="16" t="s">
        <v>10</v>
      </c>
      <c r="T10" s="16" t="s">
        <v>10</v>
      </c>
      <c r="U10" s="16" t="s">
        <v>10</v>
      </c>
      <c r="V10" s="116" t="s">
        <v>2</v>
      </c>
      <c r="W10" s="16" t="s">
        <v>10</v>
      </c>
      <c r="X10" s="16" t="s">
        <v>11</v>
      </c>
      <c r="Y10" s="16" t="s">
        <v>11</v>
      </c>
      <c r="Z10" s="16" t="s">
        <v>10</v>
      </c>
      <c r="AA10" s="16" t="s">
        <v>10</v>
      </c>
      <c r="AB10" s="122" t="s">
        <v>2</v>
      </c>
      <c r="AC10" s="122" t="s">
        <v>2</v>
      </c>
      <c r="AD10" s="16" t="s">
        <v>10</v>
      </c>
      <c r="AE10" s="16" t="s">
        <v>11</v>
      </c>
      <c r="AF10" s="16" t="s">
        <v>11</v>
      </c>
      <c r="AH10">
        <f>COUNTIF(B10:AF10,"C")</f>
        <v>7</v>
      </c>
      <c r="AI10">
        <f>COUNTIF(B10:AF10,"W*S*")</f>
        <v>9</v>
      </c>
    </row>
    <row r="11" spans="1:35" x14ac:dyDescent="0.35">
      <c r="A11" s="141" t="s">
        <v>15</v>
      </c>
      <c r="B11" s="16" t="s">
        <v>10</v>
      </c>
      <c r="C11" s="16" t="s">
        <v>11</v>
      </c>
      <c r="D11" s="16" t="s">
        <v>11</v>
      </c>
      <c r="E11" s="116" t="s">
        <v>2</v>
      </c>
      <c r="F11" s="116" t="s">
        <v>2</v>
      </c>
      <c r="G11" s="16" t="s">
        <v>10</v>
      </c>
      <c r="H11" s="16" t="s">
        <v>10</v>
      </c>
      <c r="I11" s="16" t="s">
        <v>10</v>
      </c>
      <c r="J11" s="16" t="s">
        <v>11</v>
      </c>
      <c r="K11" s="114" t="s">
        <v>4</v>
      </c>
      <c r="L11" s="116" t="s">
        <v>2</v>
      </c>
      <c r="M11" s="16" t="s">
        <v>10</v>
      </c>
      <c r="N11" s="16" t="s">
        <v>10</v>
      </c>
      <c r="O11" s="16" t="s">
        <v>10</v>
      </c>
      <c r="P11" s="16" t="s">
        <v>10</v>
      </c>
      <c r="Q11" s="16" t="s">
        <v>11</v>
      </c>
      <c r="R11" s="16" t="s">
        <v>11</v>
      </c>
      <c r="S11" s="116" t="s">
        <v>2</v>
      </c>
      <c r="T11" s="116" t="s">
        <v>2</v>
      </c>
      <c r="U11" s="16" t="s">
        <v>10</v>
      </c>
      <c r="V11" s="16" t="s">
        <v>10</v>
      </c>
      <c r="W11" s="16" t="s">
        <v>10</v>
      </c>
      <c r="X11" s="114" t="s">
        <v>4</v>
      </c>
      <c r="Y11" s="114" t="s">
        <v>4</v>
      </c>
      <c r="Z11" s="116" t="s">
        <v>2</v>
      </c>
      <c r="AA11" s="16" t="s">
        <v>10</v>
      </c>
      <c r="AB11" s="16" t="s">
        <v>10</v>
      </c>
      <c r="AC11" s="16" t="s">
        <v>10</v>
      </c>
      <c r="AD11" s="16" t="s">
        <v>10</v>
      </c>
      <c r="AE11" s="114" t="s">
        <v>4</v>
      </c>
      <c r="AF11" s="114" t="s">
        <v>4</v>
      </c>
      <c r="AH11">
        <f t="shared" ref="AH11:AH14" si="3">COUNTIF(B11:AF11,"C")</f>
        <v>6</v>
      </c>
      <c r="AI11">
        <f t="shared" ref="AI11:AI14" si="4">COUNTIF(B11:AF11,"W*S*")</f>
        <v>5</v>
      </c>
    </row>
    <row r="12" spans="1:35" x14ac:dyDescent="0.35">
      <c r="A12" s="165" t="s">
        <v>124</v>
      </c>
      <c r="B12" s="122" t="s">
        <v>5</v>
      </c>
      <c r="C12" s="114" t="s">
        <v>4</v>
      </c>
      <c r="D12" s="114" t="s">
        <v>4</v>
      </c>
      <c r="E12" s="122" t="s">
        <v>5</v>
      </c>
      <c r="F12" s="122" t="s">
        <v>5</v>
      </c>
      <c r="G12" s="122" t="s">
        <v>5</v>
      </c>
      <c r="H12" s="122" t="s">
        <v>5</v>
      </c>
      <c r="I12" s="122" t="s">
        <v>5</v>
      </c>
      <c r="J12" s="114" t="s">
        <v>4</v>
      </c>
      <c r="K12" s="114" t="s">
        <v>4</v>
      </c>
      <c r="L12" s="122" t="s">
        <v>5</v>
      </c>
      <c r="M12" s="122" t="s">
        <v>5</v>
      </c>
      <c r="N12" s="122" t="s">
        <v>5</v>
      </c>
      <c r="O12" s="122" t="s">
        <v>5</v>
      </c>
      <c r="P12" s="122" t="s">
        <v>5</v>
      </c>
      <c r="Q12" s="114" t="s">
        <v>4</v>
      </c>
      <c r="R12" s="114" t="s">
        <v>4</v>
      </c>
      <c r="S12" s="122" t="s">
        <v>5</v>
      </c>
      <c r="T12" s="122" t="s">
        <v>5</v>
      </c>
      <c r="U12" s="122" t="s">
        <v>5</v>
      </c>
      <c r="V12" s="122" t="s">
        <v>5</v>
      </c>
      <c r="W12" s="122" t="s">
        <v>5</v>
      </c>
      <c r="X12" s="16" t="s">
        <v>11</v>
      </c>
      <c r="Y12" s="16" t="s">
        <v>11</v>
      </c>
      <c r="Z12" s="116" t="s">
        <v>2</v>
      </c>
      <c r="AA12" s="116" t="s">
        <v>2</v>
      </c>
      <c r="AB12" s="16" t="s">
        <v>10</v>
      </c>
      <c r="AC12" s="16" t="s">
        <v>10</v>
      </c>
      <c r="AD12" s="16" t="s">
        <v>10</v>
      </c>
      <c r="AE12" s="16" t="s">
        <v>11</v>
      </c>
      <c r="AF12" s="16" t="s">
        <v>11</v>
      </c>
      <c r="AH12">
        <f t="shared" si="3"/>
        <v>2</v>
      </c>
      <c r="AI12">
        <f t="shared" si="4"/>
        <v>4</v>
      </c>
    </row>
    <row r="13" spans="1:35" x14ac:dyDescent="0.35">
      <c r="A13" s="141" t="s">
        <v>71</v>
      </c>
      <c r="B13" s="16" t="s">
        <v>10</v>
      </c>
      <c r="C13" s="16" t="s">
        <v>11</v>
      </c>
      <c r="D13" s="114" t="s">
        <v>4</v>
      </c>
      <c r="E13" s="16" t="s">
        <v>10</v>
      </c>
      <c r="F13" s="16" t="s">
        <v>10</v>
      </c>
      <c r="G13" s="116" t="s">
        <v>2</v>
      </c>
      <c r="H13" s="16" t="s">
        <v>10</v>
      </c>
      <c r="I13" s="16" t="s">
        <v>10</v>
      </c>
      <c r="J13" s="114" t="s">
        <v>4</v>
      </c>
      <c r="K13" s="16" t="s">
        <v>11</v>
      </c>
      <c r="L13" s="16" t="s">
        <v>10</v>
      </c>
      <c r="M13" s="16" t="s">
        <v>10</v>
      </c>
      <c r="N13" s="116" t="s">
        <v>2</v>
      </c>
      <c r="O13" s="16" t="s">
        <v>10</v>
      </c>
      <c r="P13" s="16" t="s">
        <v>10</v>
      </c>
      <c r="Q13" s="114" t="s">
        <v>4</v>
      </c>
      <c r="R13" s="16" t="s">
        <v>11</v>
      </c>
      <c r="S13" s="16" t="s">
        <v>10</v>
      </c>
      <c r="T13" s="16" t="s">
        <v>10</v>
      </c>
      <c r="U13" s="16" t="s">
        <v>10</v>
      </c>
      <c r="V13" s="16" t="s">
        <v>10</v>
      </c>
      <c r="W13" s="16" t="s">
        <v>10</v>
      </c>
      <c r="X13" s="114" t="s">
        <v>4</v>
      </c>
      <c r="Y13" s="114" t="s">
        <v>4</v>
      </c>
      <c r="Z13" s="16" t="s">
        <v>10</v>
      </c>
      <c r="AA13" s="16" t="s">
        <v>10</v>
      </c>
      <c r="AB13" s="16" t="s">
        <v>10</v>
      </c>
      <c r="AC13" s="16" t="s">
        <v>10</v>
      </c>
      <c r="AD13" s="16" t="s">
        <v>10</v>
      </c>
      <c r="AE13" s="114" t="s">
        <v>4</v>
      </c>
      <c r="AF13" s="114" t="s">
        <v>4</v>
      </c>
      <c r="AH13">
        <f t="shared" si="3"/>
        <v>2</v>
      </c>
      <c r="AI13">
        <f t="shared" si="4"/>
        <v>3</v>
      </c>
    </row>
    <row r="14" spans="1:35" x14ac:dyDescent="0.35">
      <c r="A14" s="141" t="s">
        <v>149</v>
      </c>
      <c r="B14" s="16" t="s">
        <v>10</v>
      </c>
      <c r="C14" s="114" t="s">
        <v>4</v>
      </c>
      <c r="D14" s="16" t="s">
        <v>11</v>
      </c>
      <c r="E14" s="16" t="s">
        <v>10</v>
      </c>
      <c r="F14" s="16" t="s">
        <v>10</v>
      </c>
      <c r="G14" s="16" t="s">
        <v>10</v>
      </c>
      <c r="H14" s="116" t="s">
        <v>2</v>
      </c>
      <c r="I14" s="16" t="s">
        <v>10</v>
      </c>
      <c r="J14" s="16" t="s">
        <v>11</v>
      </c>
      <c r="K14" s="114" t="s">
        <v>4</v>
      </c>
      <c r="L14" s="16" t="s">
        <v>10</v>
      </c>
      <c r="M14" s="16" t="s">
        <v>10</v>
      </c>
      <c r="N14" s="16" t="s">
        <v>10</v>
      </c>
      <c r="O14" s="16" t="s">
        <v>10</v>
      </c>
      <c r="P14" s="16" t="s">
        <v>10</v>
      </c>
      <c r="Q14" s="114" t="s">
        <v>4</v>
      </c>
      <c r="R14" s="114" t="s">
        <v>4</v>
      </c>
      <c r="S14" s="16" t="s">
        <v>10</v>
      </c>
      <c r="T14" s="16" t="s">
        <v>10</v>
      </c>
      <c r="U14" s="16" t="s">
        <v>10</v>
      </c>
      <c r="V14" s="16" t="s">
        <v>10</v>
      </c>
      <c r="W14" s="116" t="s">
        <v>2</v>
      </c>
      <c r="X14" s="114" t="s">
        <v>4</v>
      </c>
      <c r="Y14" s="16" t="s">
        <v>11</v>
      </c>
      <c r="Z14" s="16" t="s">
        <v>10</v>
      </c>
      <c r="AA14" s="16" t="s">
        <v>10</v>
      </c>
      <c r="AB14" s="16" t="s">
        <v>10</v>
      </c>
      <c r="AC14" s="16" t="s">
        <v>10</v>
      </c>
      <c r="AD14" s="116" t="s">
        <v>2</v>
      </c>
      <c r="AE14" s="114" t="s">
        <v>4</v>
      </c>
      <c r="AF14" s="114" t="s">
        <v>4</v>
      </c>
      <c r="AH14">
        <f t="shared" si="3"/>
        <v>3</v>
      </c>
      <c r="AI14">
        <f t="shared" si="4"/>
        <v>3</v>
      </c>
    </row>
    <row r="16" spans="1:35" x14ac:dyDescent="0.35">
      <c r="A16" s="165" t="s">
        <v>57</v>
      </c>
      <c r="B16" s="25" t="s">
        <v>6</v>
      </c>
      <c r="C16" s="25" t="s">
        <v>3</v>
      </c>
      <c r="D16" s="114" t="s">
        <v>4</v>
      </c>
      <c r="E16" s="116" t="s">
        <v>2</v>
      </c>
      <c r="F16" s="25" t="s">
        <v>6</v>
      </c>
      <c r="G16" s="25" t="s">
        <v>6</v>
      </c>
      <c r="H16" s="25" t="s">
        <v>6</v>
      </c>
      <c r="I16" s="25" t="s">
        <v>6</v>
      </c>
      <c r="J16" s="25" t="s">
        <v>3</v>
      </c>
      <c r="K16" s="114" t="s">
        <v>4</v>
      </c>
      <c r="L16" s="116" t="s">
        <v>2</v>
      </c>
      <c r="M16" s="19" t="s">
        <v>41</v>
      </c>
      <c r="N16" s="19" t="s">
        <v>41</v>
      </c>
      <c r="O16" s="19" t="s">
        <v>41</v>
      </c>
      <c r="P16" s="19" t="s">
        <v>41</v>
      </c>
      <c r="Q16" s="114" t="s">
        <v>4</v>
      </c>
      <c r="R16" s="19" t="s">
        <v>42</v>
      </c>
      <c r="S16" s="116" t="s">
        <v>2</v>
      </c>
      <c r="T16" s="19" t="s">
        <v>41</v>
      </c>
      <c r="U16" s="19" t="s">
        <v>41</v>
      </c>
      <c r="V16" s="19" t="s">
        <v>41</v>
      </c>
      <c r="W16" s="19" t="s">
        <v>41</v>
      </c>
      <c r="X16" s="19" t="s">
        <v>42</v>
      </c>
      <c r="Y16" s="122" t="s">
        <v>4</v>
      </c>
      <c r="Z16" s="122" t="s">
        <v>2</v>
      </c>
      <c r="AA16" s="122" t="s">
        <v>5</v>
      </c>
      <c r="AB16" s="122" t="s">
        <v>5</v>
      </c>
      <c r="AC16" s="122" t="s">
        <v>5</v>
      </c>
      <c r="AD16" s="122" t="s">
        <v>5</v>
      </c>
      <c r="AE16" s="122" t="s">
        <v>4</v>
      </c>
      <c r="AF16" s="122" t="s">
        <v>4</v>
      </c>
      <c r="AH16">
        <f>COUNTIF(B16:AF16,"C")</f>
        <v>4</v>
      </c>
      <c r="AI16">
        <f t="shared" ref="AI16:AI20" si="5">COUNTIF(B16:AF16,"W*S*")</f>
        <v>4</v>
      </c>
    </row>
    <row r="17" spans="1:35" x14ac:dyDescent="0.35">
      <c r="A17" s="165" t="s">
        <v>21</v>
      </c>
      <c r="B17" s="116" t="s">
        <v>2</v>
      </c>
      <c r="C17" s="114" t="s">
        <v>4</v>
      </c>
      <c r="D17" s="114" t="s">
        <v>4</v>
      </c>
      <c r="E17" s="19" t="s">
        <v>41</v>
      </c>
      <c r="F17" s="19" t="s">
        <v>41</v>
      </c>
      <c r="G17" s="116" t="s">
        <v>2</v>
      </c>
      <c r="H17" s="19" t="s">
        <v>41</v>
      </c>
      <c r="I17" s="19" t="s">
        <v>41</v>
      </c>
      <c r="J17" s="19" t="s">
        <v>42</v>
      </c>
      <c r="K17" s="114" t="s">
        <v>4</v>
      </c>
      <c r="L17" s="122" t="s">
        <v>2</v>
      </c>
      <c r="M17" s="122" t="s">
        <v>5</v>
      </c>
      <c r="N17" s="122" t="s">
        <v>5</v>
      </c>
      <c r="O17" s="122" t="s">
        <v>5</v>
      </c>
      <c r="P17" s="122" t="s">
        <v>5</v>
      </c>
      <c r="Q17" s="114" t="s">
        <v>4</v>
      </c>
      <c r="R17" s="114" t="s">
        <v>4</v>
      </c>
      <c r="S17" s="122" t="s">
        <v>5</v>
      </c>
      <c r="T17" s="122" t="s">
        <v>5</v>
      </c>
      <c r="U17" s="122" t="s">
        <v>5</v>
      </c>
      <c r="V17" s="122" t="s">
        <v>5</v>
      </c>
      <c r="W17" s="122" t="s">
        <v>5</v>
      </c>
      <c r="X17" s="122" t="s">
        <v>4</v>
      </c>
      <c r="Y17" s="19" t="s">
        <v>42</v>
      </c>
      <c r="Z17" s="19" t="s">
        <v>41</v>
      </c>
      <c r="AA17" s="19" t="s">
        <v>41</v>
      </c>
      <c r="AB17" s="19" t="s">
        <v>41</v>
      </c>
      <c r="AC17" s="19" t="s">
        <v>41</v>
      </c>
      <c r="AD17" s="19" t="s">
        <v>41</v>
      </c>
      <c r="AE17" s="19" t="s">
        <v>42</v>
      </c>
      <c r="AF17" s="114" t="s">
        <v>4</v>
      </c>
      <c r="AH17">
        <f t="shared" ref="AH17:AH20" si="6">COUNTIF(B17:AF17,"C")</f>
        <v>3</v>
      </c>
      <c r="AI17">
        <f t="shared" si="5"/>
        <v>3</v>
      </c>
    </row>
    <row r="18" spans="1:35" x14ac:dyDescent="0.35">
      <c r="A18" s="141" t="s">
        <v>68</v>
      </c>
      <c r="B18" s="116" t="s">
        <v>2</v>
      </c>
      <c r="C18" s="19" t="s">
        <v>42</v>
      </c>
      <c r="D18" s="114" t="s">
        <v>4</v>
      </c>
      <c r="E18" s="19" t="s">
        <v>41</v>
      </c>
      <c r="F18" s="19" t="s">
        <v>41</v>
      </c>
      <c r="G18" s="19" t="s">
        <v>41</v>
      </c>
      <c r="H18" s="19" t="s">
        <v>41</v>
      </c>
      <c r="I18" s="19" t="s">
        <v>41</v>
      </c>
      <c r="J18" s="114" t="s">
        <v>4</v>
      </c>
      <c r="K18" s="114" t="s">
        <v>4</v>
      </c>
      <c r="L18" s="19" t="s">
        <v>41</v>
      </c>
      <c r="M18" s="19" t="s">
        <v>41</v>
      </c>
      <c r="N18" s="116" t="s">
        <v>2</v>
      </c>
      <c r="O18" s="19" t="s">
        <v>41</v>
      </c>
      <c r="P18" s="19" t="s">
        <v>41</v>
      </c>
      <c r="Q18" s="19" t="s">
        <v>42</v>
      </c>
      <c r="R18" s="19" t="s">
        <v>42</v>
      </c>
      <c r="S18" s="19" t="s">
        <v>41</v>
      </c>
      <c r="T18" s="116" t="s">
        <v>2</v>
      </c>
      <c r="U18" s="116" t="s">
        <v>2</v>
      </c>
      <c r="V18" s="19" t="s">
        <v>41</v>
      </c>
      <c r="W18" s="19" t="s">
        <v>41</v>
      </c>
      <c r="X18" s="19" t="s">
        <v>42</v>
      </c>
      <c r="Y18" s="114" t="s">
        <v>4</v>
      </c>
      <c r="Z18" s="19" t="s">
        <v>41</v>
      </c>
      <c r="AA18" s="19" t="s">
        <v>41</v>
      </c>
      <c r="AB18" s="116" t="s">
        <v>2</v>
      </c>
      <c r="AC18" s="19" t="s">
        <v>41</v>
      </c>
      <c r="AD18" s="19" t="s">
        <v>41</v>
      </c>
      <c r="AE18" s="19" t="s">
        <v>42</v>
      </c>
      <c r="AF18" s="114" t="s">
        <v>4</v>
      </c>
      <c r="AH18">
        <f t="shared" si="6"/>
        <v>5</v>
      </c>
      <c r="AI18">
        <f t="shared" si="5"/>
        <v>5</v>
      </c>
    </row>
    <row r="19" spans="1:35" x14ac:dyDescent="0.35">
      <c r="A19" s="141" t="s">
        <v>60</v>
      </c>
      <c r="B19" s="19" t="s">
        <v>41</v>
      </c>
      <c r="C19" s="114" t="s">
        <v>4</v>
      </c>
      <c r="D19" s="19" t="s">
        <v>42</v>
      </c>
      <c r="E19" s="19" t="s">
        <v>41</v>
      </c>
      <c r="F19" s="116" t="s">
        <v>2</v>
      </c>
      <c r="G19" s="19" t="s">
        <v>41</v>
      </c>
      <c r="H19" s="19" t="s">
        <v>41</v>
      </c>
      <c r="I19" s="19" t="s">
        <v>41</v>
      </c>
      <c r="J19" s="114" t="s">
        <v>4</v>
      </c>
      <c r="K19" s="19" t="s">
        <v>42</v>
      </c>
      <c r="L19" s="19" t="s">
        <v>41</v>
      </c>
      <c r="M19" s="19" t="s">
        <v>41</v>
      </c>
      <c r="N19" s="19" t="s">
        <v>41</v>
      </c>
      <c r="O19" s="19" t="s">
        <v>41</v>
      </c>
      <c r="P19" s="116" t="s">
        <v>2</v>
      </c>
      <c r="Q19" s="19" t="s">
        <v>42</v>
      </c>
      <c r="R19" s="114" t="s">
        <v>4</v>
      </c>
      <c r="S19" s="19" t="s">
        <v>41</v>
      </c>
      <c r="T19" s="19" t="s">
        <v>41</v>
      </c>
      <c r="U19" s="19" t="s">
        <v>41</v>
      </c>
      <c r="V19" s="116" t="s">
        <v>2</v>
      </c>
      <c r="W19" s="19" t="s">
        <v>41</v>
      </c>
      <c r="X19" s="114" t="s">
        <v>4</v>
      </c>
      <c r="Y19" s="19" t="s">
        <v>42</v>
      </c>
      <c r="Z19" s="19" t="s">
        <v>41</v>
      </c>
      <c r="AA19" s="19" t="s">
        <v>41</v>
      </c>
      <c r="AB19" s="19" t="s">
        <v>41</v>
      </c>
      <c r="AC19" s="19" t="s">
        <v>41</v>
      </c>
      <c r="AD19" s="116" t="s">
        <v>2</v>
      </c>
      <c r="AE19" s="114" t="s">
        <v>4</v>
      </c>
      <c r="AF19" s="19" t="s">
        <v>42</v>
      </c>
      <c r="AH19">
        <f t="shared" si="6"/>
        <v>4</v>
      </c>
      <c r="AI19">
        <f t="shared" si="5"/>
        <v>5</v>
      </c>
    </row>
    <row r="20" spans="1:35" x14ac:dyDescent="0.35">
      <c r="A20" s="141" t="s">
        <v>22</v>
      </c>
      <c r="B20" s="19" t="s">
        <v>41</v>
      </c>
      <c r="C20" s="25" t="s">
        <v>3</v>
      </c>
      <c r="D20" s="114" t="s">
        <v>4</v>
      </c>
      <c r="E20" s="19" t="s">
        <v>41</v>
      </c>
      <c r="F20" s="19" t="s">
        <v>41</v>
      </c>
      <c r="G20" s="19" t="s">
        <v>41</v>
      </c>
      <c r="H20" s="116" t="s">
        <v>2</v>
      </c>
      <c r="I20" s="122" t="s">
        <v>2</v>
      </c>
      <c r="J20" s="122" t="s">
        <v>4</v>
      </c>
      <c r="K20" s="25" t="s">
        <v>3</v>
      </c>
      <c r="L20" s="19" t="s">
        <v>41</v>
      </c>
      <c r="M20" s="19" t="s">
        <v>41</v>
      </c>
      <c r="N20" s="19" t="s">
        <v>41</v>
      </c>
      <c r="O20" s="116" t="s">
        <v>2</v>
      </c>
      <c r="P20" s="19" t="s">
        <v>41</v>
      </c>
      <c r="Q20" s="22" t="s">
        <v>30</v>
      </c>
      <c r="R20" s="114" t="s">
        <v>4</v>
      </c>
      <c r="S20" s="19" t="s">
        <v>41</v>
      </c>
      <c r="T20" s="19" t="s">
        <v>41</v>
      </c>
      <c r="U20" s="19" t="s">
        <v>41</v>
      </c>
      <c r="V20" s="19" t="s">
        <v>41</v>
      </c>
      <c r="W20" s="116" t="s">
        <v>2</v>
      </c>
      <c r="X20" s="25" t="s">
        <v>3</v>
      </c>
      <c r="Y20" s="114" t="s">
        <v>4</v>
      </c>
      <c r="Z20" s="22" t="s">
        <v>16</v>
      </c>
      <c r="AA20" s="19" t="s">
        <v>41</v>
      </c>
      <c r="AB20" s="19" t="s">
        <v>41</v>
      </c>
      <c r="AC20" s="25" t="s">
        <v>6</v>
      </c>
      <c r="AD20" s="19" t="s">
        <v>41</v>
      </c>
      <c r="AE20" s="114" t="s">
        <v>4</v>
      </c>
      <c r="AF20" s="19" t="s">
        <v>42</v>
      </c>
      <c r="AH20">
        <f t="shared" si="6"/>
        <v>4</v>
      </c>
      <c r="AI20">
        <f t="shared" si="5"/>
        <v>5</v>
      </c>
    </row>
    <row r="21" spans="1:35" hidden="1" x14ac:dyDescent="0.35">
      <c r="A21" s="141" t="s">
        <v>153</v>
      </c>
      <c r="B21" s="116" t="s">
        <v>2</v>
      </c>
      <c r="C21" s="114" t="s">
        <v>4</v>
      </c>
      <c r="D21" s="114" t="s">
        <v>4</v>
      </c>
      <c r="E21" s="22" t="s">
        <v>16</v>
      </c>
      <c r="F21" s="22" t="s">
        <v>16</v>
      </c>
      <c r="G21" s="22" t="s">
        <v>16</v>
      </c>
      <c r="H21" s="22" t="s">
        <v>16</v>
      </c>
      <c r="I21" s="22" t="s">
        <v>16</v>
      </c>
      <c r="J21" s="114" t="s">
        <v>4</v>
      </c>
      <c r="K21" s="114" t="s">
        <v>4</v>
      </c>
      <c r="L21" s="22" t="s">
        <v>16</v>
      </c>
      <c r="M21" s="22" t="s">
        <v>16</v>
      </c>
      <c r="N21" s="22" t="s">
        <v>16</v>
      </c>
      <c r="O21" s="22" t="s">
        <v>16</v>
      </c>
      <c r="P21" s="22" t="s">
        <v>16</v>
      </c>
      <c r="Q21" s="114" t="s">
        <v>4</v>
      </c>
      <c r="R21" s="114" t="s">
        <v>4</v>
      </c>
      <c r="S21" s="22" t="s">
        <v>16</v>
      </c>
      <c r="T21" s="22" t="s">
        <v>16</v>
      </c>
      <c r="U21" s="22" t="s">
        <v>16</v>
      </c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</row>
    <row r="22" spans="1:35" x14ac:dyDescent="0.35">
      <c r="A22" s="141" t="s">
        <v>308</v>
      </c>
      <c r="B22" s="22" t="s">
        <v>16</v>
      </c>
      <c r="C22" s="114" t="s">
        <v>4</v>
      </c>
      <c r="D22" s="114" t="s">
        <v>4</v>
      </c>
      <c r="E22" s="22" t="s">
        <v>16</v>
      </c>
      <c r="F22" s="22" t="s">
        <v>16</v>
      </c>
      <c r="G22" s="22" t="s">
        <v>16</v>
      </c>
      <c r="H22" s="22" t="s">
        <v>16</v>
      </c>
      <c r="I22" s="22" t="s">
        <v>16</v>
      </c>
      <c r="J22" s="114" t="s">
        <v>4</v>
      </c>
      <c r="K22" s="114" t="s">
        <v>4</v>
      </c>
      <c r="L22" s="22" t="s">
        <v>16</v>
      </c>
      <c r="M22" s="22" t="s">
        <v>16</v>
      </c>
      <c r="N22" s="22" t="s">
        <v>16</v>
      </c>
      <c r="O22" s="22" t="s">
        <v>16</v>
      </c>
      <c r="P22" s="22" t="s">
        <v>16</v>
      </c>
      <c r="Q22" s="114" t="s">
        <v>4</v>
      </c>
      <c r="R22" s="114" t="s">
        <v>4</v>
      </c>
      <c r="S22" s="22" t="s">
        <v>16</v>
      </c>
      <c r="T22" s="22" t="s">
        <v>16</v>
      </c>
      <c r="U22" s="22" t="s">
        <v>16</v>
      </c>
      <c r="V22" s="22" t="s">
        <v>16</v>
      </c>
      <c r="W22" s="22" t="s">
        <v>16</v>
      </c>
      <c r="X22" s="114" t="s">
        <v>4</v>
      </c>
      <c r="Y22" s="114" t="s">
        <v>4</v>
      </c>
      <c r="Z22" s="22" t="s">
        <v>16</v>
      </c>
      <c r="AA22" s="22" t="s">
        <v>16</v>
      </c>
      <c r="AB22" s="22" t="s">
        <v>16</v>
      </c>
      <c r="AC22" s="22" t="s">
        <v>16</v>
      </c>
      <c r="AD22" s="22" t="s">
        <v>16</v>
      </c>
      <c r="AE22" s="114" t="s">
        <v>4</v>
      </c>
      <c r="AF22" s="114" t="s">
        <v>4</v>
      </c>
    </row>
    <row r="24" spans="1:35" x14ac:dyDescent="0.35">
      <c r="A24" s="128" t="s">
        <v>125</v>
      </c>
      <c r="B24">
        <f t="shared" ref="B24:AF24" si="7">COUNTIF(B4:B21,"*MS")</f>
        <v>3</v>
      </c>
      <c r="C24">
        <f t="shared" si="7"/>
        <v>2</v>
      </c>
      <c r="D24">
        <f t="shared" si="7"/>
        <v>2</v>
      </c>
      <c r="E24">
        <f t="shared" si="7"/>
        <v>4</v>
      </c>
      <c r="F24">
        <f t="shared" si="7"/>
        <v>4</v>
      </c>
      <c r="G24">
        <f t="shared" si="7"/>
        <v>4</v>
      </c>
      <c r="H24">
        <f t="shared" si="7"/>
        <v>4</v>
      </c>
      <c r="I24">
        <f t="shared" si="7"/>
        <v>4</v>
      </c>
      <c r="J24">
        <f t="shared" si="7"/>
        <v>2</v>
      </c>
      <c r="K24">
        <f t="shared" si="7"/>
        <v>2</v>
      </c>
      <c r="L24">
        <f t="shared" si="7"/>
        <v>3</v>
      </c>
      <c r="M24">
        <f t="shared" si="7"/>
        <v>4</v>
      </c>
      <c r="N24">
        <f t="shared" si="7"/>
        <v>3</v>
      </c>
      <c r="O24">
        <f t="shared" si="7"/>
        <v>4</v>
      </c>
      <c r="P24">
        <f t="shared" si="7"/>
        <v>4</v>
      </c>
      <c r="Q24">
        <f t="shared" si="7"/>
        <v>2</v>
      </c>
      <c r="R24">
        <f t="shared" si="7"/>
        <v>2</v>
      </c>
      <c r="S24">
        <f t="shared" si="7"/>
        <v>4</v>
      </c>
      <c r="T24">
        <f t="shared" si="7"/>
        <v>3</v>
      </c>
      <c r="U24">
        <f t="shared" si="7"/>
        <v>3</v>
      </c>
      <c r="V24">
        <f t="shared" si="7"/>
        <v>3</v>
      </c>
      <c r="W24">
        <f t="shared" si="7"/>
        <v>4</v>
      </c>
      <c r="X24">
        <f>COUNTIF(X4:X21,"*MS")</f>
        <v>2</v>
      </c>
      <c r="Y24">
        <f t="shared" si="7"/>
        <v>2</v>
      </c>
      <c r="Z24">
        <f t="shared" si="7"/>
        <v>3</v>
      </c>
      <c r="AA24">
        <f t="shared" si="7"/>
        <v>3</v>
      </c>
      <c r="AB24">
        <f t="shared" si="7"/>
        <v>4</v>
      </c>
      <c r="AC24">
        <f t="shared" si="7"/>
        <v>4</v>
      </c>
      <c r="AD24">
        <f t="shared" si="7"/>
        <v>4</v>
      </c>
      <c r="AE24">
        <f t="shared" si="7"/>
        <v>2</v>
      </c>
      <c r="AF24">
        <f t="shared" si="7"/>
        <v>2</v>
      </c>
    </row>
    <row r="25" spans="1:35" x14ac:dyDescent="0.35">
      <c r="A25" s="128" t="s">
        <v>126</v>
      </c>
      <c r="B25">
        <f t="shared" ref="B25:AF25" si="8">COUNTIF(B4:B21,"*ASS1")</f>
        <v>4</v>
      </c>
      <c r="C25">
        <f t="shared" si="8"/>
        <v>2</v>
      </c>
      <c r="D25">
        <f t="shared" si="8"/>
        <v>2</v>
      </c>
      <c r="E25">
        <f t="shared" si="8"/>
        <v>4</v>
      </c>
      <c r="F25">
        <f t="shared" si="8"/>
        <v>4</v>
      </c>
      <c r="G25">
        <f t="shared" si="8"/>
        <v>4</v>
      </c>
      <c r="H25">
        <f t="shared" si="8"/>
        <v>4</v>
      </c>
      <c r="I25">
        <f t="shared" si="8"/>
        <v>4</v>
      </c>
      <c r="J25">
        <f t="shared" si="8"/>
        <v>2</v>
      </c>
      <c r="K25">
        <f t="shared" si="8"/>
        <v>2</v>
      </c>
      <c r="L25">
        <f t="shared" si="8"/>
        <v>3</v>
      </c>
      <c r="M25">
        <f t="shared" si="8"/>
        <v>4</v>
      </c>
      <c r="N25">
        <f t="shared" si="8"/>
        <v>3</v>
      </c>
      <c r="O25">
        <f t="shared" si="8"/>
        <v>3</v>
      </c>
      <c r="P25">
        <f t="shared" si="8"/>
        <v>3</v>
      </c>
      <c r="Q25">
        <f t="shared" si="8"/>
        <v>2</v>
      </c>
      <c r="R25">
        <f t="shared" si="8"/>
        <v>2</v>
      </c>
      <c r="S25">
        <f t="shared" si="8"/>
        <v>3</v>
      </c>
      <c r="T25">
        <f t="shared" si="8"/>
        <v>3</v>
      </c>
      <c r="U25">
        <f t="shared" si="8"/>
        <v>3</v>
      </c>
      <c r="V25">
        <f t="shared" si="8"/>
        <v>3</v>
      </c>
      <c r="W25">
        <f t="shared" si="8"/>
        <v>3</v>
      </c>
      <c r="X25">
        <f>COUNTIF(X4:X21,"*ASS1")</f>
        <v>2</v>
      </c>
      <c r="Y25">
        <f t="shared" si="8"/>
        <v>2</v>
      </c>
      <c r="Z25">
        <f t="shared" si="8"/>
        <v>3</v>
      </c>
      <c r="AA25">
        <f t="shared" si="8"/>
        <v>4</v>
      </c>
      <c r="AB25">
        <f t="shared" si="8"/>
        <v>3</v>
      </c>
      <c r="AC25">
        <f t="shared" si="8"/>
        <v>4</v>
      </c>
      <c r="AD25">
        <f t="shared" si="8"/>
        <v>3</v>
      </c>
      <c r="AE25">
        <f t="shared" si="8"/>
        <v>2</v>
      </c>
      <c r="AF25">
        <f t="shared" si="8"/>
        <v>2</v>
      </c>
    </row>
    <row r="26" spans="1:35" x14ac:dyDescent="0.35">
      <c r="A26" s="128" t="s">
        <v>127</v>
      </c>
      <c r="B26">
        <f t="shared" ref="B26:AF26" si="9">COUNTIF(B4:B21,"*NST7")</f>
        <v>4</v>
      </c>
      <c r="C26">
        <f t="shared" si="9"/>
        <v>3</v>
      </c>
      <c r="D26">
        <f t="shared" si="9"/>
        <v>3</v>
      </c>
      <c r="E26">
        <f t="shared" si="9"/>
        <v>3</v>
      </c>
      <c r="F26">
        <f t="shared" si="9"/>
        <v>3</v>
      </c>
      <c r="G26">
        <f t="shared" si="9"/>
        <v>3</v>
      </c>
      <c r="H26">
        <f t="shared" si="9"/>
        <v>3</v>
      </c>
      <c r="I26">
        <f t="shared" si="9"/>
        <v>3</v>
      </c>
      <c r="J26">
        <f t="shared" si="9"/>
        <v>3</v>
      </c>
      <c r="K26">
        <f t="shared" si="9"/>
        <v>2</v>
      </c>
      <c r="L26">
        <f t="shared" si="9"/>
        <v>3</v>
      </c>
      <c r="M26">
        <f t="shared" si="9"/>
        <v>4</v>
      </c>
      <c r="N26">
        <f t="shared" si="9"/>
        <v>3</v>
      </c>
      <c r="O26">
        <f t="shared" si="9"/>
        <v>3</v>
      </c>
      <c r="P26">
        <f t="shared" si="9"/>
        <v>4</v>
      </c>
      <c r="Q26">
        <f t="shared" si="9"/>
        <v>2</v>
      </c>
      <c r="R26">
        <f t="shared" si="9"/>
        <v>2</v>
      </c>
      <c r="S26">
        <f t="shared" si="9"/>
        <v>3</v>
      </c>
      <c r="T26">
        <f t="shared" si="9"/>
        <v>3</v>
      </c>
      <c r="U26">
        <f t="shared" si="9"/>
        <v>4</v>
      </c>
      <c r="V26">
        <f t="shared" si="9"/>
        <v>3</v>
      </c>
      <c r="W26">
        <f t="shared" si="9"/>
        <v>3</v>
      </c>
      <c r="X26">
        <f>COUNTIF(X4:X21,"*NST7")</f>
        <v>2</v>
      </c>
      <c r="Y26">
        <f t="shared" si="9"/>
        <v>3</v>
      </c>
      <c r="Z26">
        <f t="shared" si="9"/>
        <v>3</v>
      </c>
      <c r="AA26">
        <f t="shared" si="9"/>
        <v>4</v>
      </c>
      <c r="AB26">
        <f t="shared" si="9"/>
        <v>4</v>
      </c>
      <c r="AC26">
        <f t="shared" si="9"/>
        <v>4</v>
      </c>
      <c r="AD26">
        <f t="shared" si="9"/>
        <v>4</v>
      </c>
      <c r="AE26">
        <f t="shared" si="9"/>
        <v>2</v>
      </c>
      <c r="AF26">
        <f t="shared" si="9"/>
        <v>2</v>
      </c>
    </row>
    <row r="27" spans="1:35" x14ac:dyDescent="0.35">
      <c r="A27" s="128" t="s">
        <v>128</v>
      </c>
      <c r="B27">
        <f t="shared" ref="B27:AF27" si="10">COUNTIF(B4:B21,"*GS")</f>
        <v>0</v>
      </c>
      <c r="C27">
        <f t="shared" si="10"/>
        <v>1</v>
      </c>
      <c r="D27">
        <f t="shared" si="10"/>
        <v>0</v>
      </c>
      <c r="E27">
        <f t="shared" si="10"/>
        <v>1</v>
      </c>
      <c r="F27">
        <f t="shared" si="10"/>
        <v>1</v>
      </c>
      <c r="G27">
        <f t="shared" si="10"/>
        <v>1</v>
      </c>
      <c r="H27">
        <f t="shared" si="10"/>
        <v>1</v>
      </c>
      <c r="I27">
        <f t="shared" si="10"/>
        <v>1</v>
      </c>
      <c r="J27">
        <f t="shared" si="10"/>
        <v>1</v>
      </c>
      <c r="K27">
        <f t="shared" si="10"/>
        <v>0</v>
      </c>
      <c r="L27">
        <f t="shared" si="10"/>
        <v>2</v>
      </c>
      <c r="M27">
        <f t="shared" si="10"/>
        <v>1</v>
      </c>
      <c r="N27">
        <f t="shared" si="10"/>
        <v>2</v>
      </c>
      <c r="O27">
        <f t="shared" si="10"/>
        <v>1</v>
      </c>
      <c r="P27">
        <f t="shared" si="10"/>
        <v>1</v>
      </c>
      <c r="Q27">
        <f t="shared" si="10"/>
        <v>1</v>
      </c>
      <c r="R27">
        <f t="shared" si="10"/>
        <v>0</v>
      </c>
      <c r="S27">
        <f t="shared" si="10"/>
        <v>1</v>
      </c>
      <c r="T27">
        <f t="shared" si="10"/>
        <v>2</v>
      </c>
      <c r="U27">
        <f t="shared" si="10"/>
        <v>1</v>
      </c>
      <c r="V27">
        <f t="shared" si="10"/>
        <v>1</v>
      </c>
      <c r="W27">
        <f t="shared" si="10"/>
        <v>0</v>
      </c>
      <c r="X27">
        <f>COUNTIF(X4:X21,"*GS")</f>
        <v>1</v>
      </c>
      <c r="Y27">
        <f t="shared" si="10"/>
        <v>0</v>
      </c>
      <c r="Z27">
        <f t="shared" si="10"/>
        <v>1</v>
      </c>
      <c r="AA27">
        <f t="shared" si="10"/>
        <v>0</v>
      </c>
      <c r="AB27">
        <f t="shared" si="10"/>
        <v>1</v>
      </c>
      <c r="AC27">
        <f t="shared" si="10"/>
        <v>1</v>
      </c>
      <c r="AD27">
        <f t="shared" si="10"/>
        <v>0</v>
      </c>
      <c r="AE27">
        <f t="shared" si="10"/>
        <v>1</v>
      </c>
      <c r="AF27">
        <f t="shared" si="10"/>
        <v>0</v>
      </c>
    </row>
    <row r="28" spans="1:35" x14ac:dyDescent="0.35">
      <c r="A28" s="128" t="s">
        <v>129</v>
      </c>
      <c r="B28">
        <f>COUNTIF(B4:B21,"C")</f>
        <v>4</v>
      </c>
      <c r="C28">
        <f>COUNTIF(C4:C21,"WO")</f>
        <v>8</v>
      </c>
      <c r="D28">
        <f>COUNTIF(D4:D21,"WO")</f>
        <v>9</v>
      </c>
      <c r="E28">
        <f>COUNTIF(E4:E21,"C")</f>
        <v>3</v>
      </c>
      <c r="F28">
        <f>COUNTIF(F4:F21,"C")</f>
        <v>3</v>
      </c>
      <c r="G28">
        <f>COUNTIF(G4:G21,"C")</f>
        <v>3</v>
      </c>
      <c r="H28">
        <f>COUNTIF(H4:H21,"C")</f>
        <v>3</v>
      </c>
      <c r="I28">
        <f>COUNTIF(I4:I21,"C")</f>
        <v>3</v>
      </c>
      <c r="J28">
        <f>COUNTIF(J4:J21,"WO")</f>
        <v>8</v>
      </c>
      <c r="K28">
        <f>COUNTIF(K4:K21,"WO")</f>
        <v>10</v>
      </c>
      <c r="L28">
        <f>COUNTIF(L4:L21,"C")</f>
        <v>4</v>
      </c>
      <c r="M28">
        <f>COUNTIF(M4:M21,"C")</f>
        <v>1</v>
      </c>
      <c r="N28">
        <f>COUNTIF(N4:N21,"C")</f>
        <v>3</v>
      </c>
      <c r="O28">
        <f>COUNTIF(O4:O21,"C")</f>
        <v>3</v>
      </c>
      <c r="P28">
        <f>COUNTIF(P4:P21,"C")</f>
        <v>2</v>
      </c>
      <c r="Q28">
        <f>COUNTIF(Q4:Q21,"WO")</f>
        <v>9</v>
      </c>
      <c r="R28">
        <f>COUNTIF(R4:R21,"WO")</f>
        <v>10</v>
      </c>
      <c r="S28">
        <f>COUNTIF(S4:S21,"C")</f>
        <v>3</v>
      </c>
      <c r="T28">
        <f>COUNTIF(T4:T21,"C")</f>
        <v>3</v>
      </c>
      <c r="U28">
        <f>COUNTIF(U4:U21,"C")</f>
        <v>3</v>
      </c>
      <c r="V28">
        <f>COUNTIF(V4:V21,"C")</f>
        <v>3</v>
      </c>
      <c r="W28">
        <f>COUNTIF(W4:W21,"C")</f>
        <v>3</v>
      </c>
      <c r="X28">
        <f>COUNTIF(X4:X21,"WO")</f>
        <v>8</v>
      </c>
      <c r="Y28">
        <f>COUNTIF(Y4:Y21,"WO")</f>
        <v>8</v>
      </c>
      <c r="Z28">
        <f>COUNTIF(Z4:Z21,"C")</f>
        <v>3</v>
      </c>
      <c r="AA28">
        <f>COUNTIF(AA4:AA21,"C")</f>
        <v>2</v>
      </c>
      <c r="AB28">
        <f>COUNTIF(AB4:AB21,"C")</f>
        <v>2</v>
      </c>
      <c r="AC28">
        <f>COUNTIF(AC4:AC21,"C")</f>
        <v>1</v>
      </c>
      <c r="AD28">
        <f>COUNTIF(AD4:AD21,"C")</f>
        <v>3</v>
      </c>
      <c r="AE28">
        <f>COUNTIF(AE4:AE21,"WO")</f>
        <v>8</v>
      </c>
      <c r="AF28">
        <f>COUNTIF(AF4:AF21,"WO")</f>
        <v>9</v>
      </c>
    </row>
    <row r="29" spans="1:35" x14ac:dyDescent="0.35">
      <c r="A29" s="128" t="s">
        <v>130</v>
      </c>
      <c r="B29">
        <f t="shared" ref="B29:AF29" si="11">COUNTIF(B4:B21,"PL")</f>
        <v>1</v>
      </c>
      <c r="C29">
        <f t="shared" si="11"/>
        <v>0</v>
      </c>
      <c r="D29">
        <f t="shared" si="11"/>
        <v>0</v>
      </c>
      <c r="E29">
        <f t="shared" si="11"/>
        <v>1</v>
      </c>
      <c r="F29">
        <f t="shared" si="11"/>
        <v>1</v>
      </c>
      <c r="G29">
        <f t="shared" si="11"/>
        <v>1</v>
      </c>
      <c r="H29">
        <f t="shared" si="11"/>
        <v>1</v>
      </c>
      <c r="I29">
        <f t="shared" si="11"/>
        <v>1</v>
      </c>
      <c r="J29">
        <f t="shared" si="11"/>
        <v>0</v>
      </c>
      <c r="K29">
        <f t="shared" si="11"/>
        <v>0</v>
      </c>
      <c r="L29">
        <f t="shared" si="11"/>
        <v>1</v>
      </c>
      <c r="M29">
        <f t="shared" si="11"/>
        <v>2</v>
      </c>
      <c r="N29">
        <f t="shared" si="11"/>
        <v>2</v>
      </c>
      <c r="O29">
        <f t="shared" si="11"/>
        <v>2</v>
      </c>
      <c r="P29">
        <f t="shared" si="11"/>
        <v>2</v>
      </c>
      <c r="Q29">
        <f t="shared" si="11"/>
        <v>0</v>
      </c>
      <c r="R29">
        <f t="shared" si="11"/>
        <v>0</v>
      </c>
      <c r="S29">
        <f t="shared" si="11"/>
        <v>2</v>
      </c>
      <c r="T29">
        <f t="shared" si="11"/>
        <v>2</v>
      </c>
      <c r="U29">
        <f t="shared" si="11"/>
        <v>2</v>
      </c>
      <c r="V29">
        <f t="shared" si="11"/>
        <v>2</v>
      </c>
      <c r="W29">
        <f t="shared" si="11"/>
        <v>2</v>
      </c>
      <c r="X29">
        <f>COUNTIF(X4:X21,"PL")</f>
        <v>0</v>
      </c>
      <c r="Y29">
        <f t="shared" si="11"/>
        <v>0</v>
      </c>
      <c r="Z29">
        <f t="shared" si="11"/>
        <v>1</v>
      </c>
      <c r="AA29">
        <f t="shared" si="11"/>
        <v>2</v>
      </c>
      <c r="AB29">
        <f t="shared" si="11"/>
        <v>1</v>
      </c>
      <c r="AC29">
        <f t="shared" si="11"/>
        <v>1</v>
      </c>
      <c r="AD29">
        <f t="shared" si="11"/>
        <v>1</v>
      </c>
      <c r="AE29">
        <f t="shared" si="11"/>
        <v>0</v>
      </c>
      <c r="AF29">
        <f t="shared" si="11"/>
        <v>0</v>
      </c>
    </row>
    <row r="30" spans="1:35" x14ac:dyDescent="0.35">
      <c r="A30" s="128" t="s">
        <v>33</v>
      </c>
      <c r="B30">
        <f t="shared" ref="B30:AF30" si="12">COUNTIF(B4:B21,"UPL")</f>
        <v>0</v>
      </c>
      <c r="C30">
        <f t="shared" si="12"/>
        <v>0</v>
      </c>
      <c r="D30">
        <f t="shared" si="12"/>
        <v>0</v>
      </c>
      <c r="E30">
        <f t="shared" si="12"/>
        <v>0</v>
      </c>
      <c r="F30">
        <f t="shared" si="12"/>
        <v>0</v>
      </c>
      <c r="G30">
        <f t="shared" si="12"/>
        <v>0</v>
      </c>
      <c r="H30">
        <f t="shared" si="12"/>
        <v>0</v>
      </c>
      <c r="I30">
        <f t="shared" si="12"/>
        <v>0</v>
      </c>
      <c r="J30">
        <f t="shared" si="12"/>
        <v>0</v>
      </c>
      <c r="K30">
        <f t="shared" si="12"/>
        <v>0</v>
      </c>
      <c r="L30">
        <f t="shared" si="12"/>
        <v>0</v>
      </c>
      <c r="M30">
        <f t="shared" si="12"/>
        <v>0</v>
      </c>
      <c r="N30">
        <f t="shared" si="12"/>
        <v>0</v>
      </c>
      <c r="O30">
        <f t="shared" si="12"/>
        <v>0</v>
      </c>
      <c r="P30">
        <f t="shared" si="12"/>
        <v>0</v>
      </c>
      <c r="Q30">
        <f t="shared" si="12"/>
        <v>0</v>
      </c>
      <c r="R30">
        <f t="shared" si="12"/>
        <v>0</v>
      </c>
      <c r="S30">
        <f t="shared" si="12"/>
        <v>0</v>
      </c>
      <c r="T30">
        <f t="shared" si="12"/>
        <v>0</v>
      </c>
      <c r="U30">
        <f t="shared" si="12"/>
        <v>0</v>
      </c>
      <c r="V30">
        <f t="shared" si="12"/>
        <v>0</v>
      </c>
      <c r="W30">
        <f t="shared" si="12"/>
        <v>0</v>
      </c>
      <c r="X30">
        <f>COUNTIF(X4:X21,"UPL")</f>
        <v>0</v>
      </c>
      <c r="Y30">
        <f t="shared" si="12"/>
        <v>0</v>
      </c>
      <c r="Z30">
        <f t="shared" si="12"/>
        <v>0</v>
      </c>
      <c r="AA30">
        <f t="shared" si="12"/>
        <v>0</v>
      </c>
      <c r="AB30">
        <f t="shared" si="12"/>
        <v>0</v>
      </c>
      <c r="AC30">
        <f t="shared" si="12"/>
        <v>0</v>
      </c>
      <c r="AD30">
        <f t="shared" si="12"/>
        <v>0</v>
      </c>
      <c r="AE30">
        <f t="shared" si="12"/>
        <v>0</v>
      </c>
      <c r="AF30">
        <f t="shared" si="12"/>
        <v>0</v>
      </c>
    </row>
    <row r="31" spans="1:35" x14ac:dyDescent="0.35">
      <c r="A31" s="128" t="s">
        <v>141</v>
      </c>
      <c r="B31">
        <f t="shared" ref="B31:AF31" si="13">COUNTIF(B4:B21,"H")</f>
        <v>0</v>
      </c>
      <c r="C31">
        <f t="shared" si="13"/>
        <v>0</v>
      </c>
      <c r="D31">
        <f t="shared" si="13"/>
        <v>0</v>
      </c>
      <c r="E31">
        <f t="shared" si="13"/>
        <v>0</v>
      </c>
      <c r="F31">
        <f t="shared" si="13"/>
        <v>0</v>
      </c>
      <c r="G31">
        <f t="shared" si="13"/>
        <v>0</v>
      </c>
      <c r="H31">
        <f t="shared" si="13"/>
        <v>0</v>
      </c>
      <c r="I31">
        <f t="shared" si="13"/>
        <v>0</v>
      </c>
      <c r="J31">
        <f t="shared" si="13"/>
        <v>0</v>
      </c>
      <c r="K31">
        <f t="shared" si="13"/>
        <v>0</v>
      </c>
      <c r="L31">
        <f t="shared" si="13"/>
        <v>0</v>
      </c>
      <c r="M31">
        <f t="shared" si="13"/>
        <v>0</v>
      </c>
      <c r="N31">
        <f t="shared" si="13"/>
        <v>0</v>
      </c>
      <c r="O31">
        <f t="shared" si="13"/>
        <v>0</v>
      </c>
      <c r="P31">
        <f t="shared" si="13"/>
        <v>0</v>
      </c>
      <c r="Q31">
        <f t="shared" si="13"/>
        <v>0</v>
      </c>
      <c r="R31">
        <f t="shared" si="13"/>
        <v>0</v>
      </c>
      <c r="S31">
        <f t="shared" si="13"/>
        <v>0</v>
      </c>
      <c r="T31">
        <f t="shared" si="13"/>
        <v>0</v>
      </c>
      <c r="U31">
        <f t="shared" si="13"/>
        <v>0</v>
      </c>
      <c r="V31">
        <f t="shared" si="13"/>
        <v>0</v>
      </c>
      <c r="W31">
        <f t="shared" si="13"/>
        <v>0</v>
      </c>
      <c r="X31">
        <f>COUNTIF(X4:X21,"H")</f>
        <v>0</v>
      </c>
      <c r="Y31">
        <f t="shared" si="13"/>
        <v>0</v>
      </c>
      <c r="Z31">
        <f t="shared" si="13"/>
        <v>1</v>
      </c>
      <c r="AA31">
        <f t="shared" si="13"/>
        <v>0</v>
      </c>
      <c r="AB31">
        <f t="shared" si="13"/>
        <v>0</v>
      </c>
      <c r="AC31">
        <f t="shared" si="13"/>
        <v>0</v>
      </c>
      <c r="AD31">
        <f t="shared" si="13"/>
        <v>0</v>
      </c>
      <c r="AE31">
        <f t="shared" si="13"/>
        <v>0</v>
      </c>
      <c r="AF31">
        <f t="shared" si="13"/>
        <v>0</v>
      </c>
    </row>
    <row r="32" spans="1:35" x14ac:dyDescent="0.35">
      <c r="A32" s="128" t="s">
        <v>131</v>
      </c>
      <c r="B32" s="129">
        <f t="shared" ref="B32" si="14">SUM(B24:B31)</f>
        <v>16</v>
      </c>
      <c r="C32" s="129">
        <f t="shared" ref="C32:I32" si="15">SUM(C24:C31)</f>
        <v>16</v>
      </c>
      <c r="D32" s="129">
        <f t="shared" si="15"/>
        <v>16</v>
      </c>
      <c r="E32" s="129">
        <f t="shared" si="15"/>
        <v>16</v>
      </c>
      <c r="F32" s="129">
        <f t="shared" si="15"/>
        <v>16</v>
      </c>
      <c r="G32" s="129">
        <f t="shared" si="15"/>
        <v>16</v>
      </c>
      <c r="H32" s="129">
        <f t="shared" si="15"/>
        <v>16</v>
      </c>
      <c r="I32" s="129">
        <f t="shared" si="15"/>
        <v>16</v>
      </c>
      <c r="J32" s="129">
        <f t="shared" ref="J32:Y32" si="16">SUM(J24:J31)</f>
        <v>16</v>
      </c>
      <c r="K32" s="129">
        <f t="shared" si="16"/>
        <v>16</v>
      </c>
      <c r="L32" s="129">
        <f t="shared" si="16"/>
        <v>16</v>
      </c>
      <c r="M32" s="129">
        <f t="shared" si="16"/>
        <v>16</v>
      </c>
      <c r="N32" s="129">
        <f t="shared" si="16"/>
        <v>16</v>
      </c>
      <c r="O32" s="129">
        <f t="shared" si="16"/>
        <v>16</v>
      </c>
      <c r="P32" s="129">
        <f t="shared" si="16"/>
        <v>16</v>
      </c>
      <c r="Q32" s="129">
        <f t="shared" si="16"/>
        <v>16</v>
      </c>
      <c r="R32" s="129">
        <f t="shared" si="16"/>
        <v>16</v>
      </c>
      <c r="S32" s="129">
        <f t="shared" si="16"/>
        <v>16</v>
      </c>
      <c r="T32" s="129">
        <f t="shared" si="16"/>
        <v>16</v>
      </c>
      <c r="U32" s="129">
        <f t="shared" si="16"/>
        <v>16</v>
      </c>
      <c r="V32" s="129">
        <f t="shared" si="16"/>
        <v>15</v>
      </c>
      <c r="W32" s="129">
        <f t="shared" si="16"/>
        <v>15</v>
      </c>
      <c r="X32" s="129">
        <f t="shared" si="16"/>
        <v>15</v>
      </c>
      <c r="Y32" s="129">
        <f t="shared" si="16"/>
        <v>15</v>
      </c>
      <c r="Z32" s="129">
        <f t="shared" ref="Z32:AF32" si="17">SUM(Z24:Z31)</f>
        <v>15</v>
      </c>
      <c r="AA32" s="129">
        <f t="shared" si="17"/>
        <v>15</v>
      </c>
      <c r="AB32" s="129">
        <f t="shared" si="17"/>
        <v>15</v>
      </c>
      <c r="AC32" s="129">
        <f t="shared" si="17"/>
        <v>15</v>
      </c>
      <c r="AD32" s="129">
        <f t="shared" si="17"/>
        <v>15</v>
      </c>
      <c r="AE32" s="129">
        <f t="shared" si="17"/>
        <v>15</v>
      </c>
      <c r="AF32" s="129">
        <f t="shared" si="17"/>
        <v>15</v>
      </c>
    </row>
  </sheetData>
  <conditionalFormatting sqref="B24:AF27">
    <cfRule type="cellIs" dxfId="827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297B-7A33-4F9E-9CF9-22332F7487D7}">
  <sheetPr codeName="Sheet37"/>
  <dimension ref="A1:AL33"/>
  <sheetViews>
    <sheetView zoomScale="60" zoomScaleNormal="60" workbookViewId="0">
      <pane xSplit="1" topLeftCell="E1" activePane="topRight" state="frozen"/>
      <selection pane="topRight" activeCell="A8" sqref="A8:XFD8"/>
    </sheetView>
  </sheetViews>
  <sheetFormatPr defaultRowHeight="14.5" x14ac:dyDescent="0.35"/>
  <cols>
    <col min="1" max="1" width="17.6328125" customWidth="1"/>
    <col min="2" max="4" width="8.7265625" hidden="1" customWidth="1"/>
    <col min="5" max="25" width="8.7265625" customWidth="1"/>
    <col min="35" max="35" width="8.7265625" hidden="1" customWidth="1"/>
  </cols>
  <sheetData>
    <row r="1" spans="1:38" x14ac:dyDescent="0.35">
      <c r="A1" s="1"/>
      <c r="B1" s="2" t="str">
        <f t="shared" ref="B1:AI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  <c r="AG1" s="2" t="str">
        <f t="shared" si="0"/>
        <v>Mon</v>
      </c>
      <c r="AH1" s="2" t="str">
        <f t="shared" si="0"/>
        <v>Tue</v>
      </c>
      <c r="AI1" s="2" t="str">
        <f t="shared" si="0"/>
        <v>Wed</v>
      </c>
      <c r="AK1" s="203" t="s">
        <v>304</v>
      </c>
      <c r="AL1" s="202" t="s">
        <v>305</v>
      </c>
    </row>
    <row r="2" spans="1:38" x14ac:dyDescent="0.35">
      <c r="A2" s="95" t="s">
        <v>0</v>
      </c>
      <c r="B2" s="29">
        <v>45380</v>
      </c>
      <c r="C2" s="29">
        <v>45381</v>
      </c>
      <c r="D2" s="29">
        <v>45382</v>
      </c>
      <c r="E2" s="29">
        <v>45383</v>
      </c>
      <c r="F2" s="29">
        <v>45384</v>
      </c>
      <c r="G2" s="29">
        <v>45385</v>
      </c>
      <c r="H2" s="29">
        <v>45386</v>
      </c>
      <c r="I2" s="29">
        <v>45387</v>
      </c>
      <c r="J2" s="29">
        <v>45388</v>
      </c>
      <c r="K2" s="29">
        <v>45389</v>
      </c>
      <c r="L2" s="29">
        <v>45390</v>
      </c>
      <c r="M2" s="29">
        <v>45391</v>
      </c>
      <c r="N2" s="29">
        <v>45392</v>
      </c>
      <c r="O2" s="29">
        <v>45393</v>
      </c>
      <c r="P2" s="29">
        <v>45394</v>
      </c>
      <c r="Q2" s="29">
        <v>45395</v>
      </c>
      <c r="R2" s="29">
        <v>45396</v>
      </c>
      <c r="S2" s="29">
        <v>45397</v>
      </c>
      <c r="T2" s="29">
        <v>45398</v>
      </c>
      <c r="U2" s="29">
        <v>45399</v>
      </c>
      <c r="V2" s="29">
        <v>45400</v>
      </c>
      <c r="W2" s="29">
        <v>45401</v>
      </c>
      <c r="X2" s="29">
        <v>45402</v>
      </c>
      <c r="Y2" s="29">
        <v>45403</v>
      </c>
      <c r="Z2" s="29">
        <v>45404</v>
      </c>
      <c r="AA2" s="29">
        <v>45405</v>
      </c>
      <c r="AB2" s="29">
        <v>45406</v>
      </c>
      <c r="AC2" s="29">
        <v>45407</v>
      </c>
      <c r="AD2" s="29">
        <v>45408</v>
      </c>
      <c r="AE2" s="29">
        <v>45409</v>
      </c>
      <c r="AF2" s="29">
        <v>45410</v>
      </c>
      <c r="AG2" s="29">
        <v>45411</v>
      </c>
      <c r="AH2" s="29">
        <v>45412</v>
      </c>
      <c r="AI2" s="29">
        <v>45413</v>
      </c>
    </row>
    <row r="3" spans="1:38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1:38" x14ac:dyDescent="0.35">
      <c r="A4" s="165" t="s">
        <v>9</v>
      </c>
      <c r="B4" s="116" t="s">
        <v>2</v>
      </c>
      <c r="C4" s="25" t="s">
        <v>3</v>
      </c>
      <c r="D4" s="25" t="s">
        <v>3</v>
      </c>
      <c r="E4" s="205" t="s">
        <v>16</v>
      </c>
      <c r="F4" s="25" t="s">
        <v>6</v>
      </c>
      <c r="G4" s="116" t="s">
        <v>2</v>
      </c>
      <c r="H4" s="116" t="s">
        <v>2</v>
      </c>
      <c r="I4" s="122" t="s">
        <v>5</v>
      </c>
      <c r="J4" s="25" t="s">
        <v>3</v>
      </c>
      <c r="K4" s="25" t="s">
        <v>3</v>
      </c>
      <c r="L4" s="16" t="s">
        <v>10</v>
      </c>
      <c r="M4" s="115" t="s">
        <v>37</v>
      </c>
      <c r="N4" s="116" t="s">
        <v>2</v>
      </c>
      <c r="O4" s="205" t="s">
        <v>30</v>
      </c>
      <c r="P4" s="16" t="s">
        <v>10</v>
      </c>
      <c r="Q4" s="16" t="s">
        <v>11</v>
      </c>
      <c r="R4" s="16" t="s">
        <v>11</v>
      </c>
      <c r="S4" s="16" t="s">
        <v>10</v>
      </c>
      <c r="T4" s="116" t="s">
        <v>2</v>
      </c>
      <c r="U4" s="16" t="s">
        <v>10</v>
      </c>
      <c r="V4" s="16" t="s">
        <v>10</v>
      </c>
      <c r="W4" s="16" t="s">
        <v>10</v>
      </c>
      <c r="X4" s="16" t="s">
        <v>11</v>
      </c>
      <c r="Y4" s="16" t="s">
        <v>11</v>
      </c>
      <c r="Z4" s="16" t="s">
        <v>10</v>
      </c>
      <c r="AA4" s="16" t="s">
        <v>10</v>
      </c>
      <c r="AB4" s="116" t="s">
        <v>2</v>
      </c>
      <c r="AC4" s="116" t="s">
        <v>2</v>
      </c>
      <c r="AD4" s="122" t="s">
        <v>5</v>
      </c>
      <c r="AE4" s="16" t="s">
        <v>11</v>
      </c>
      <c r="AF4" s="16" t="s">
        <v>11</v>
      </c>
      <c r="AG4" s="16" t="s">
        <v>10</v>
      </c>
      <c r="AH4" s="116" t="s">
        <v>2</v>
      </c>
      <c r="AI4" s="19" t="s">
        <v>42</v>
      </c>
      <c r="AK4">
        <f>COUNTIF(E4:AH4,"C")</f>
        <v>7</v>
      </c>
      <c r="AL4">
        <f>COUNTIF(E4:AH4,"W*S*")</f>
        <v>9</v>
      </c>
    </row>
    <row r="5" spans="1:38" x14ac:dyDescent="0.35">
      <c r="A5" s="165" t="s">
        <v>21</v>
      </c>
      <c r="B5" s="19" t="s">
        <v>41</v>
      </c>
      <c r="C5" s="19" t="s">
        <v>42</v>
      </c>
      <c r="D5" s="114" t="s">
        <v>4</v>
      </c>
      <c r="E5" s="25" t="s">
        <v>6</v>
      </c>
      <c r="F5" s="25" t="s">
        <v>6</v>
      </c>
      <c r="G5" s="25" t="s">
        <v>6</v>
      </c>
      <c r="H5" s="205" t="s">
        <v>16</v>
      </c>
      <c r="I5" s="116" t="s">
        <v>2</v>
      </c>
      <c r="J5" s="16" t="s">
        <v>11</v>
      </c>
      <c r="K5" s="114" t="s">
        <v>4</v>
      </c>
      <c r="L5" s="16" t="s">
        <v>10</v>
      </c>
      <c r="M5" s="16" t="s">
        <v>10</v>
      </c>
      <c r="N5" s="16" t="s">
        <v>10</v>
      </c>
      <c r="O5" s="16" t="s">
        <v>10</v>
      </c>
      <c r="P5" s="16" t="s">
        <v>10</v>
      </c>
      <c r="Q5" s="122" t="s">
        <v>5</v>
      </c>
      <c r="R5" s="16" t="s">
        <v>11</v>
      </c>
      <c r="S5" s="16" t="s">
        <v>10</v>
      </c>
      <c r="T5" s="16" t="s">
        <v>10</v>
      </c>
      <c r="U5" s="16" t="s">
        <v>10</v>
      </c>
      <c r="V5" s="16" t="s">
        <v>10</v>
      </c>
      <c r="W5" s="116" t="s">
        <v>2</v>
      </c>
      <c r="X5" s="114" t="s">
        <v>4</v>
      </c>
      <c r="Y5" s="16" t="s">
        <v>11</v>
      </c>
      <c r="Z5" s="16" t="s">
        <v>10</v>
      </c>
      <c r="AA5" s="16" t="s">
        <v>10</v>
      </c>
      <c r="AB5" s="16" t="s">
        <v>10</v>
      </c>
      <c r="AC5" s="16" t="s">
        <v>10</v>
      </c>
      <c r="AD5" s="116" t="s">
        <v>2</v>
      </c>
      <c r="AE5" s="114" t="s">
        <v>4</v>
      </c>
      <c r="AF5" s="16" t="s">
        <v>11</v>
      </c>
      <c r="AG5" s="16" t="s">
        <v>10</v>
      </c>
      <c r="AH5" s="16" t="s">
        <v>10</v>
      </c>
      <c r="AI5" s="115" t="s">
        <v>37</v>
      </c>
      <c r="AK5">
        <f>COUNTIF(E17:AH17,"C")</f>
        <v>3</v>
      </c>
      <c r="AL5">
        <f>COUNTIF(E17:AH17,"W*S*")</f>
        <v>3</v>
      </c>
    </row>
    <row r="6" spans="1:38" x14ac:dyDescent="0.35">
      <c r="A6" s="141" t="s">
        <v>43</v>
      </c>
      <c r="B6" s="25" t="s">
        <v>6</v>
      </c>
      <c r="C6" s="25" t="s">
        <v>3</v>
      </c>
      <c r="D6" s="114" t="s">
        <v>4</v>
      </c>
      <c r="E6" s="16" t="s">
        <v>10</v>
      </c>
      <c r="F6" s="16" t="s">
        <v>10</v>
      </c>
      <c r="G6" s="116" t="s">
        <v>2</v>
      </c>
      <c r="H6" s="205" t="s">
        <v>16</v>
      </c>
      <c r="I6" s="16" t="s">
        <v>10</v>
      </c>
      <c r="J6" s="16" t="s">
        <v>11</v>
      </c>
      <c r="K6" s="114" t="s">
        <v>4</v>
      </c>
      <c r="L6" s="16" t="s">
        <v>10</v>
      </c>
      <c r="M6" s="116" t="s">
        <v>2</v>
      </c>
      <c r="N6" s="16" t="s">
        <v>10</v>
      </c>
      <c r="O6" s="16" t="s">
        <v>11</v>
      </c>
      <c r="P6" s="16" t="s">
        <v>10</v>
      </c>
      <c r="Q6" s="16" t="s">
        <v>11</v>
      </c>
      <c r="R6" s="114" t="s">
        <v>4</v>
      </c>
      <c r="S6" s="116" t="s">
        <v>2</v>
      </c>
      <c r="T6" s="16" t="s">
        <v>10</v>
      </c>
      <c r="U6" s="16" t="s">
        <v>10</v>
      </c>
      <c r="V6" s="16" t="s">
        <v>10</v>
      </c>
      <c r="W6" s="16" t="s">
        <v>10</v>
      </c>
      <c r="X6" s="16" t="s">
        <v>11</v>
      </c>
      <c r="Y6" s="114" t="s">
        <v>4</v>
      </c>
      <c r="Z6" s="116" t="s">
        <v>2</v>
      </c>
      <c r="AA6" s="116" t="s">
        <v>2</v>
      </c>
      <c r="AB6" s="16" t="s">
        <v>10</v>
      </c>
      <c r="AC6" s="16" t="s">
        <v>10</v>
      </c>
      <c r="AD6" s="16" t="s">
        <v>10</v>
      </c>
      <c r="AE6" s="16" t="s">
        <v>11</v>
      </c>
      <c r="AF6" s="114" t="s">
        <v>4</v>
      </c>
      <c r="AG6" s="116" t="s">
        <v>2</v>
      </c>
      <c r="AH6" s="25" t="s">
        <v>6</v>
      </c>
      <c r="AI6" s="19" t="s">
        <v>42</v>
      </c>
      <c r="AK6">
        <f>COUNTIF(E6:AH6,"C")</f>
        <v>6</v>
      </c>
      <c r="AL6">
        <f>COUNTIF(E6:AH6,"W*S*")</f>
        <v>5</v>
      </c>
    </row>
    <row r="7" spans="1:38" x14ac:dyDescent="0.35">
      <c r="A7" s="141" t="s">
        <v>70</v>
      </c>
      <c r="B7" s="25" t="s">
        <v>6</v>
      </c>
      <c r="C7" s="22" t="s">
        <v>30</v>
      </c>
      <c r="D7" s="114" t="s">
        <v>4</v>
      </c>
      <c r="E7" s="205" t="s">
        <v>16</v>
      </c>
      <c r="F7" s="16" t="s">
        <v>10</v>
      </c>
      <c r="G7" s="16" t="s">
        <v>10</v>
      </c>
      <c r="H7" s="116" t="s">
        <v>2</v>
      </c>
      <c r="I7" s="16" t="s">
        <v>10</v>
      </c>
      <c r="J7" s="16" t="s">
        <v>11</v>
      </c>
      <c r="K7" s="114" t="s">
        <v>4</v>
      </c>
      <c r="L7" s="116" t="s">
        <v>2</v>
      </c>
      <c r="M7" s="16" t="s">
        <v>10</v>
      </c>
      <c r="N7" s="16" t="s">
        <v>10</v>
      </c>
      <c r="O7" s="16" t="s">
        <v>10</v>
      </c>
      <c r="P7" s="16" t="s">
        <v>10</v>
      </c>
      <c r="Q7" s="16" t="s">
        <v>11</v>
      </c>
      <c r="R7" s="114" t="s">
        <v>4</v>
      </c>
      <c r="S7" s="16" t="s">
        <v>10</v>
      </c>
      <c r="T7" s="16" t="s">
        <v>10</v>
      </c>
      <c r="U7" s="116" t="s">
        <v>2</v>
      </c>
      <c r="V7" s="116" t="s">
        <v>2</v>
      </c>
      <c r="W7" s="122" t="s">
        <v>5</v>
      </c>
      <c r="X7" s="114" t="s">
        <v>4</v>
      </c>
      <c r="Y7" s="114" t="s">
        <v>4</v>
      </c>
      <c r="Z7" s="16" t="s">
        <v>10</v>
      </c>
      <c r="AA7" s="16" t="s">
        <v>10</v>
      </c>
      <c r="AB7" s="16" t="s">
        <v>10</v>
      </c>
      <c r="AC7" s="16" t="s">
        <v>10</v>
      </c>
      <c r="AD7" s="16" t="s">
        <v>10</v>
      </c>
      <c r="AE7" s="114" t="s">
        <v>4</v>
      </c>
      <c r="AF7" s="16" t="s">
        <v>11</v>
      </c>
      <c r="AG7" s="16" t="s">
        <v>10</v>
      </c>
      <c r="AH7" s="16" t="s">
        <v>10</v>
      </c>
      <c r="AI7" s="16" t="s">
        <v>11</v>
      </c>
      <c r="AK7">
        <f>COUNTIF(E7:AH7,"C")</f>
        <v>4</v>
      </c>
      <c r="AL7">
        <f>COUNTIF(E7:AH7,"W*S*")</f>
        <v>3</v>
      </c>
    </row>
    <row r="8" spans="1:38" x14ac:dyDescent="0.35">
      <c r="A8" s="141" t="s">
        <v>152</v>
      </c>
      <c r="B8" s="25" t="s">
        <v>6</v>
      </c>
      <c r="C8" s="114" t="s">
        <v>4</v>
      </c>
      <c r="D8" s="16" t="s">
        <v>11</v>
      </c>
      <c r="E8" s="16" t="s">
        <v>10</v>
      </c>
      <c r="F8" s="16" t="s">
        <v>10</v>
      </c>
      <c r="G8" s="16" t="s">
        <v>10</v>
      </c>
      <c r="H8" s="16" t="s">
        <v>10</v>
      </c>
      <c r="I8" s="16" t="s">
        <v>10</v>
      </c>
      <c r="J8" s="114" t="s">
        <v>4</v>
      </c>
      <c r="K8" s="16" t="s">
        <v>11</v>
      </c>
      <c r="L8" s="16" t="s">
        <v>10</v>
      </c>
      <c r="M8" s="16" t="s">
        <v>10</v>
      </c>
      <c r="N8" s="116" t="s">
        <v>2</v>
      </c>
      <c r="O8" s="115" t="s">
        <v>37</v>
      </c>
      <c r="P8" s="122" t="s">
        <v>5</v>
      </c>
      <c r="Q8" s="122" t="s">
        <v>5</v>
      </c>
      <c r="R8" s="114" t="s">
        <v>4</v>
      </c>
      <c r="S8" s="114" t="s">
        <v>4</v>
      </c>
      <c r="T8" s="122" t="s">
        <v>5</v>
      </c>
      <c r="U8" s="122" t="s">
        <v>5</v>
      </c>
      <c r="V8" s="16" t="s">
        <v>10</v>
      </c>
      <c r="W8" s="16" t="s">
        <v>10</v>
      </c>
      <c r="X8" s="16" t="s">
        <v>11</v>
      </c>
      <c r="Y8" s="114" t="s">
        <v>4</v>
      </c>
      <c r="Z8" s="116" t="s">
        <v>2</v>
      </c>
      <c r="AA8" s="16" t="s">
        <v>10</v>
      </c>
      <c r="AB8" s="16" t="s">
        <v>10</v>
      </c>
      <c r="AC8" s="16" t="s">
        <v>10</v>
      </c>
      <c r="AD8" s="16" t="s">
        <v>10</v>
      </c>
      <c r="AE8" s="16" t="s">
        <v>11</v>
      </c>
      <c r="AF8" s="114" t="s">
        <v>4</v>
      </c>
      <c r="AG8" s="116" t="s">
        <v>2</v>
      </c>
      <c r="AH8" s="25" t="s">
        <v>6</v>
      </c>
      <c r="AI8" s="115" t="s">
        <v>37</v>
      </c>
      <c r="AK8">
        <f>COUNTIF(E8:AH8,"C")</f>
        <v>3</v>
      </c>
      <c r="AL8">
        <f>COUNTIF(E8:AH8,"W*S*")</f>
        <v>3</v>
      </c>
    </row>
    <row r="10" spans="1:38" x14ac:dyDescent="0.35">
      <c r="A10" s="165" t="s">
        <v>1</v>
      </c>
      <c r="B10" s="16" t="s">
        <v>10</v>
      </c>
      <c r="C10" s="16" t="s">
        <v>11</v>
      </c>
      <c r="D10" s="16" t="s">
        <v>11</v>
      </c>
      <c r="E10" s="116" t="s">
        <v>2</v>
      </c>
      <c r="F10" s="16" t="s">
        <v>10</v>
      </c>
      <c r="G10" s="16" t="s">
        <v>10</v>
      </c>
      <c r="H10" s="16" t="s">
        <v>10</v>
      </c>
      <c r="I10" s="16" t="s">
        <v>10</v>
      </c>
      <c r="J10" s="114" t="s">
        <v>4</v>
      </c>
      <c r="K10" s="16" t="s">
        <v>11</v>
      </c>
      <c r="L10" s="116" t="s">
        <v>2</v>
      </c>
      <c r="M10" s="16" t="s">
        <v>10</v>
      </c>
      <c r="N10" s="116" t="s">
        <v>2</v>
      </c>
      <c r="O10" s="115" t="s">
        <v>37</v>
      </c>
      <c r="P10" s="116" t="s">
        <v>2</v>
      </c>
      <c r="Q10" s="19" t="s">
        <v>42</v>
      </c>
      <c r="R10" s="19" t="s">
        <v>42</v>
      </c>
      <c r="S10" s="122" t="s">
        <v>5</v>
      </c>
      <c r="T10" s="122" t="s">
        <v>5</v>
      </c>
      <c r="U10" s="122" t="s">
        <v>5</v>
      </c>
      <c r="V10" s="19" t="s">
        <v>41</v>
      </c>
      <c r="W10" s="19" t="s">
        <v>41</v>
      </c>
      <c r="X10" s="114" t="s">
        <v>4</v>
      </c>
      <c r="Y10" s="19" t="s">
        <v>42</v>
      </c>
      <c r="Z10" s="19" t="s">
        <v>41</v>
      </c>
      <c r="AA10" s="19" t="s">
        <v>41</v>
      </c>
      <c r="AB10" s="19" t="s">
        <v>41</v>
      </c>
      <c r="AC10" s="19" t="s">
        <v>41</v>
      </c>
      <c r="AD10" s="116" t="s">
        <v>2</v>
      </c>
      <c r="AE10" s="19" t="s">
        <v>42</v>
      </c>
      <c r="AF10" s="19" t="s">
        <v>42</v>
      </c>
      <c r="AG10" s="19" t="s">
        <v>41</v>
      </c>
      <c r="AH10" s="19" t="s">
        <v>41</v>
      </c>
      <c r="AI10" s="22" t="s">
        <v>30</v>
      </c>
      <c r="AK10">
        <f>COUNTIF(E10:AH10,"C")</f>
        <v>5</v>
      </c>
      <c r="AL10">
        <f>COUNTIF(E10:AH10,"W*S*")</f>
        <v>6</v>
      </c>
    </row>
    <row r="11" spans="1:38" x14ac:dyDescent="0.35">
      <c r="A11" s="141" t="s">
        <v>15</v>
      </c>
      <c r="B11" s="16" t="s">
        <v>10</v>
      </c>
      <c r="C11" s="16" t="s">
        <v>11</v>
      </c>
      <c r="D11" s="114" t="s">
        <v>4</v>
      </c>
      <c r="E11" s="19" t="s">
        <v>41</v>
      </c>
      <c r="F11" s="19" t="s">
        <v>41</v>
      </c>
      <c r="G11" s="19" t="s">
        <v>41</v>
      </c>
      <c r="H11" s="19" t="s">
        <v>41</v>
      </c>
      <c r="I11" s="19" t="s">
        <v>41</v>
      </c>
      <c r="J11" s="19" t="s">
        <v>42</v>
      </c>
      <c r="K11" s="114" t="s">
        <v>4</v>
      </c>
      <c r="L11" s="116" t="s">
        <v>2</v>
      </c>
      <c r="M11" s="19" t="s">
        <v>41</v>
      </c>
      <c r="N11" s="19" t="s">
        <v>41</v>
      </c>
      <c r="O11" s="19" t="s">
        <v>41</v>
      </c>
      <c r="P11" s="19" t="s">
        <v>41</v>
      </c>
      <c r="Q11" s="19" t="s">
        <v>42</v>
      </c>
      <c r="R11" s="114" t="s">
        <v>4</v>
      </c>
      <c r="S11" s="116" t="s">
        <v>2</v>
      </c>
      <c r="T11" s="19" t="s">
        <v>41</v>
      </c>
      <c r="U11" s="19" t="s">
        <v>41</v>
      </c>
      <c r="V11" s="116" t="s">
        <v>2</v>
      </c>
      <c r="W11" s="19" t="s">
        <v>41</v>
      </c>
      <c r="X11" s="19" t="s">
        <v>42</v>
      </c>
      <c r="Y11" s="114" t="s">
        <v>4</v>
      </c>
      <c r="Z11" s="116" t="s">
        <v>2</v>
      </c>
      <c r="AA11" s="25" t="s">
        <v>6</v>
      </c>
      <c r="AB11" s="116" t="s">
        <v>2</v>
      </c>
      <c r="AC11" s="19" t="s">
        <v>41</v>
      </c>
      <c r="AD11" s="19" t="s">
        <v>41</v>
      </c>
      <c r="AE11" s="19" t="s">
        <v>42</v>
      </c>
      <c r="AF11" s="114" t="s">
        <v>4</v>
      </c>
      <c r="AG11" s="19" t="s">
        <v>41</v>
      </c>
      <c r="AH11" s="19" t="s">
        <v>41</v>
      </c>
      <c r="AI11" s="25" t="s">
        <v>3</v>
      </c>
      <c r="AK11">
        <f>COUNTIF(E11:AH11,"C")</f>
        <v>5</v>
      </c>
      <c r="AL11">
        <f>COUNTIF(E11:AH11,"W*S*")</f>
        <v>4</v>
      </c>
    </row>
    <row r="12" spans="1:38" x14ac:dyDescent="0.35">
      <c r="A12" s="165" t="s">
        <v>124</v>
      </c>
      <c r="B12" s="16" t="s">
        <v>10</v>
      </c>
      <c r="C12" s="114" t="s">
        <v>4</v>
      </c>
      <c r="D12" s="114" t="s">
        <v>4</v>
      </c>
      <c r="E12" s="205" t="s">
        <v>16</v>
      </c>
      <c r="F12" s="19" t="s">
        <v>41</v>
      </c>
      <c r="G12" s="19" t="s">
        <v>41</v>
      </c>
      <c r="H12" s="19" t="s">
        <v>41</v>
      </c>
      <c r="I12" s="19" t="s">
        <v>41</v>
      </c>
      <c r="J12" s="114" t="s">
        <v>4</v>
      </c>
      <c r="K12" s="19" t="s">
        <v>42</v>
      </c>
      <c r="L12" s="19" t="s">
        <v>41</v>
      </c>
      <c r="M12" s="19" t="s">
        <v>41</v>
      </c>
      <c r="N12" s="19" t="s">
        <v>41</v>
      </c>
      <c r="O12" s="205" t="s">
        <v>16</v>
      </c>
      <c r="P12" s="19" t="s">
        <v>41</v>
      </c>
      <c r="Q12" s="114" t="s">
        <v>4</v>
      </c>
      <c r="R12" s="114" t="s">
        <v>4</v>
      </c>
      <c r="S12" s="19" t="s">
        <v>41</v>
      </c>
      <c r="T12" s="19" t="s">
        <v>41</v>
      </c>
      <c r="U12" s="19" t="s">
        <v>41</v>
      </c>
      <c r="V12" s="19" t="s">
        <v>41</v>
      </c>
      <c r="W12" s="19" t="s">
        <v>41</v>
      </c>
      <c r="X12" s="114" t="s">
        <v>4</v>
      </c>
      <c r="Y12" s="19" t="s">
        <v>42</v>
      </c>
      <c r="Z12" s="19" t="s">
        <v>41</v>
      </c>
      <c r="AA12" s="116" t="s">
        <v>2</v>
      </c>
      <c r="AB12" s="19" t="s">
        <v>41</v>
      </c>
      <c r="AC12" s="19" t="s">
        <v>41</v>
      </c>
      <c r="AD12" s="122" t="s">
        <v>5</v>
      </c>
      <c r="AE12" s="114" t="s">
        <v>4</v>
      </c>
      <c r="AF12" s="114" t="s">
        <v>4</v>
      </c>
      <c r="AG12" s="205" t="s">
        <v>16</v>
      </c>
      <c r="AH12" s="25" t="s">
        <v>6</v>
      </c>
      <c r="AI12" s="25" t="s">
        <v>3</v>
      </c>
      <c r="AK12">
        <f>COUNTIF(E12:AH12,"C")</f>
        <v>1</v>
      </c>
      <c r="AL12">
        <f>COUNTIF(E12:AH12,"W*S*")</f>
        <v>2</v>
      </c>
    </row>
    <row r="13" spans="1:38" x14ac:dyDescent="0.35">
      <c r="A13" s="141" t="s">
        <v>71</v>
      </c>
      <c r="B13" s="16" t="s">
        <v>10</v>
      </c>
      <c r="C13" s="114" t="s">
        <v>4</v>
      </c>
      <c r="D13" s="114" t="s">
        <v>4</v>
      </c>
      <c r="E13" s="205" t="s">
        <v>16</v>
      </c>
      <c r="F13" s="19" t="s">
        <v>41</v>
      </c>
      <c r="G13" s="19" t="s">
        <v>41</v>
      </c>
      <c r="H13" s="19" t="s">
        <v>41</v>
      </c>
      <c r="I13" s="19" t="s">
        <v>41</v>
      </c>
      <c r="J13" s="114" t="s">
        <v>4</v>
      </c>
      <c r="K13" s="19" t="s">
        <v>42</v>
      </c>
      <c r="L13" s="19" t="s">
        <v>41</v>
      </c>
      <c r="M13" s="116" t="s">
        <v>2</v>
      </c>
      <c r="N13" s="19" t="s">
        <v>41</v>
      </c>
      <c r="O13" s="205" t="s">
        <v>30</v>
      </c>
      <c r="P13" s="19" t="s">
        <v>41</v>
      </c>
      <c r="Q13" s="114" t="s">
        <v>4</v>
      </c>
      <c r="R13" s="19" t="s">
        <v>42</v>
      </c>
      <c r="S13" s="19" t="s">
        <v>41</v>
      </c>
      <c r="T13" s="19" t="s">
        <v>41</v>
      </c>
      <c r="U13" s="116" t="s">
        <v>2</v>
      </c>
      <c r="V13" s="19" t="s">
        <v>41</v>
      </c>
      <c r="W13" s="19" t="s">
        <v>41</v>
      </c>
      <c r="X13" s="19" t="s">
        <v>42</v>
      </c>
      <c r="Y13" s="114" t="s">
        <v>4</v>
      </c>
      <c r="Z13" s="19" t="s">
        <v>41</v>
      </c>
      <c r="AA13" s="19" t="s">
        <v>41</v>
      </c>
      <c r="AB13" s="19" t="s">
        <v>41</v>
      </c>
      <c r="AC13" s="116" t="s">
        <v>2</v>
      </c>
      <c r="AD13" s="19" t="s">
        <v>41</v>
      </c>
      <c r="AE13" s="114" t="s">
        <v>4</v>
      </c>
      <c r="AF13" s="19" t="s">
        <v>42</v>
      </c>
      <c r="AG13" s="19" t="s">
        <v>41</v>
      </c>
      <c r="AH13" s="19" t="s">
        <v>41</v>
      </c>
      <c r="AI13" s="25" t="s">
        <v>3</v>
      </c>
      <c r="AK13">
        <f>COUNTIF(E13:AH13,"C")</f>
        <v>3</v>
      </c>
      <c r="AL13">
        <f>COUNTIF(E13:AH13,"W*S*")</f>
        <v>5</v>
      </c>
    </row>
    <row r="14" spans="1:38" x14ac:dyDescent="0.35">
      <c r="A14" s="141" t="s">
        <v>149</v>
      </c>
      <c r="B14" s="116" t="s">
        <v>2</v>
      </c>
      <c r="C14" s="114" t="s">
        <v>4</v>
      </c>
      <c r="D14" s="114" t="s">
        <v>4</v>
      </c>
      <c r="E14" s="19" t="s">
        <v>41</v>
      </c>
      <c r="F14" s="22" t="s">
        <v>16</v>
      </c>
      <c r="G14" s="22" t="s">
        <v>16</v>
      </c>
      <c r="H14" s="205" t="s">
        <v>16</v>
      </c>
      <c r="I14" s="19" t="s">
        <v>41</v>
      </c>
      <c r="J14" s="19" t="s">
        <v>42</v>
      </c>
      <c r="K14" s="114" t="s">
        <v>4</v>
      </c>
      <c r="L14" s="19" t="s">
        <v>41</v>
      </c>
      <c r="M14" s="19" t="s">
        <v>41</v>
      </c>
      <c r="N14" s="19" t="s">
        <v>41</v>
      </c>
      <c r="O14" s="19" t="s">
        <v>41</v>
      </c>
      <c r="P14" s="19" t="s">
        <v>41</v>
      </c>
      <c r="Q14" s="114" t="s">
        <v>4</v>
      </c>
      <c r="R14" s="114" t="s">
        <v>4</v>
      </c>
      <c r="S14" s="19" t="s">
        <v>41</v>
      </c>
      <c r="T14" s="19" t="s">
        <v>41</v>
      </c>
      <c r="U14" s="19" t="s">
        <v>41</v>
      </c>
      <c r="V14" s="19" t="s">
        <v>41</v>
      </c>
      <c r="W14" s="116" t="s">
        <v>2</v>
      </c>
      <c r="X14" s="114" t="s">
        <v>4</v>
      </c>
      <c r="Y14" s="114" t="s">
        <v>4</v>
      </c>
      <c r="Z14" s="19" t="s">
        <v>41</v>
      </c>
      <c r="AA14" s="19" t="s">
        <v>41</v>
      </c>
      <c r="AB14" s="19" t="s">
        <v>41</v>
      </c>
      <c r="AC14" s="19" t="s">
        <v>41</v>
      </c>
      <c r="AD14" s="19" t="s">
        <v>41</v>
      </c>
      <c r="AE14" s="22" t="s">
        <v>30</v>
      </c>
      <c r="AF14" s="114" t="s">
        <v>4</v>
      </c>
      <c r="AG14" s="19" t="s">
        <v>41</v>
      </c>
      <c r="AH14" s="19" t="s">
        <v>41</v>
      </c>
      <c r="AI14" s="115" t="s">
        <v>37</v>
      </c>
      <c r="AK14">
        <f>COUNTIF(E14:AH14,"C")</f>
        <v>1</v>
      </c>
      <c r="AL14">
        <f>COUNTIF(E14:AH14,"W*S*")</f>
        <v>2</v>
      </c>
    </row>
    <row r="16" spans="1:38" x14ac:dyDescent="0.35">
      <c r="A16" s="165" t="s">
        <v>57</v>
      </c>
      <c r="B16" s="122" t="s">
        <v>5</v>
      </c>
      <c r="C16" s="122" t="s">
        <v>4</v>
      </c>
      <c r="D16" s="122" t="s">
        <v>4</v>
      </c>
      <c r="E16" s="19" t="s">
        <v>41</v>
      </c>
      <c r="F16" s="19" t="s">
        <v>41</v>
      </c>
      <c r="G16" s="19" t="s">
        <v>41</v>
      </c>
      <c r="H16" s="19" t="s">
        <v>41</v>
      </c>
      <c r="I16" s="25" t="s">
        <v>6</v>
      </c>
      <c r="J16" s="114" t="s">
        <v>4</v>
      </c>
      <c r="K16" s="114" t="s">
        <v>4</v>
      </c>
      <c r="L16" s="25" t="s">
        <v>6</v>
      </c>
      <c r="M16" s="25" t="s">
        <v>6</v>
      </c>
      <c r="N16" s="25" t="s">
        <v>6</v>
      </c>
      <c r="O16" s="25" t="s">
        <v>3</v>
      </c>
      <c r="P16" s="116" t="s">
        <v>2</v>
      </c>
      <c r="Q16" s="25" t="s">
        <v>3</v>
      </c>
      <c r="R16" s="25" t="s">
        <v>3</v>
      </c>
      <c r="S16" s="25" t="s">
        <v>6</v>
      </c>
      <c r="T16" s="122" t="s">
        <v>5</v>
      </c>
      <c r="U16" s="122" t="s">
        <v>5</v>
      </c>
      <c r="V16" s="122" t="s">
        <v>5</v>
      </c>
      <c r="W16" s="25" t="s">
        <v>6</v>
      </c>
      <c r="X16" s="25" t="s">
        <v>3</v>
      </c>
      <c r="Y16" s="114" t="s">
        <v>4</v>
      </c>
      <c r="Z16" s="116" t="s">
        <v>2</v>
      </c>
      <c r="AA16" s="25" t="s">
        <v>6</v>
      </c>
      <c r="AB16" s="25" t="s">
        <v>6</v>
      </c>
      <c r="AC16" s="25" t="s">
        <v>6</v>
      </c>
      <c r="AD16" s="25" t="s">
        <v>6</v>
      </c>
      <c r="AE16" s="25" t="s">
        <v>3</v>
      </c>
      <c r="AF16" s="114" t="s">
        <v>4</v>
      </c>
      <c r="AG16" s="116" t="s">
        <v>2</v>
      </c>
      <c r="AH16" s="16" t="s">
        <v>10</v>
      </c>
      <c r="AI16" s="16" t="s">
        <v>11</v>
      </c>
      <c r="AK16">
        <f>COUNTIF(E16:AH16,"C")</f>
        <v>3</v>
      </c>
      <c r="AL16">
        <f>COUNTIF(E16:AH16,"W*S*")</f>
        <v>5</v>
      </c>
    </row>
    <row r="17" spans="1:38" x14ac:dyDescent="0.35">
      <c r="A17" s="165" t="s">
        <v>69</v>
      </c>
      <c r="B17" s="25" t="s">
        <v>6</v>
      </c>
      <c r="C17" s="122" t="s">
        <v>4</v>
      </c>
      <c r="D17" s="25" t="s">
        <v>3</v>
      </c>
      <c r="E17" s="16" t="s">
        <v>10</v>
      </c>
      <c r="F17" s="16" t="s">
        <v>10</v>
      </c>
      <c r="G17" s="16" t="s">
        <v>10</v>
      </c>
      <c r="H17" s="16" t="s">
        <v>10</v>
      </c>
      <c r="I17" s="116" t="s">
        <v>2</v>
      </c>
      <c r="J17" s="22" t="s">
        <v>30</v>
      </c>
      <c r="K17" s="114" t="s">
        <v>4</v>
      </c>
      <c r="L17" s="25" t="s">
        <v>6</v>
      </c>
      <c r="M17" s="25" t="s">
        <v>6</v>
      </c>
      <c r="N17" s="25" t="s">
        <v>6</v>
      </c>
      <c r="O17" s="25" t="s">
        <v>6</v>
      </c>
      <c r="P17" s="25" t="s">
        <v>6</v>
      </c>
      <c r="Q17" s="114" t="s">
        <v>4</v>
      </c>
      <c r="R17" s="114" t="s">
        <v>4</v>
      </c>
      <c r="S17" s="25" t="s">
        <v>6</v>
      </c>
      <c r="T17" s="25" t="s">
        <v>6</v>
      </c>
      <c r="U17" s="25" t="s">
        <v>6</v>
      </c>
      <c r="V17" s="25" t="s">
        <v>6</v>
      </c>
      <c r="W17" s="116" t="s">
        <v>2</v>
      </c>
      <c r="X17" s="114" t="s">
        <v>4</v>
      </c>
      <c r="Y17" s="25" t="s">
        <v>3</v>
      </c>
      <c r="Z17" s="25" t="s">
        <v>6</v>
      </c>
      <c r="AA17" s="19" t="s">
        <v>41</v>
      </c>
      <c r="AB17" s="25" t="s">
        <v>6</v>
      </c>
      <c r="AC17" s="25" t="s">
        <v>6</v>
      </c>
      <c r="AD17" s="116" t="s">
        <v>2</v>
      </c>
      <c r="AE17" s="114" t="s">
        <v>4</v>
      </c>
      <c r="AF17" s="25" t="s">
        <v>3</v>
      </c>
      <c r="AG17" s="25" t="s">
        <v>6</v>
      </c>
      <c r="AH17" s="25" t="s">
        <v>6</v>
      </c>
      <c r="AI17" s="19" t="s">
        <v>42</v>
      </c>
      <c r="AK17">
        <f>COUNTIF(E17:AH17,"C")</f>
        <v>3</v>
      </c>
      <c r="AL17">
        <f>COUNTIF(E17:AH17,"W*S*")</f>
        <v>3</v>
      </c>
    </row>
    <row r="18" spans="1:38" x14ac:dyDescent="0.35">
      <c r="A18" s="141" t="s">
        <v>68</v>
      </c>
      <c r="B18" s="19" t="s">
        <v>41</v>
      </c>
      <c r="C18" s="19" t="s">
        <v>42</v>
      </c>
      <c r="D18" s="114" t="s">
        <v>4</v>
      </c>
      <c r="E18" s="25" t="s">
        <v>6</v>
      </c>
      <c r="F18" s="25" t="s">
        <v>6</v>
      </c>
      <c r="G18" s="25" t="s">
        <v>6</v>
      </c>
      <c r="H18" s="25" t="s">
        <v>6</v>
      </c>
      <c r="I18" s="25" t="s">
        <v>6</v>
      </c>
      <c r="J18" s="114" t="s">
        <v>4</v>
      </c>
      <c r="K18" s="25" t="s">
        <v>3</v>
      </c>
      <c r="L18" s="25" t="s">
        <v>6</v>
      </c>
      <c r="M18" s="25" t="s">
        <v>6</v>
      </c>
      <c r="N18" s="116" t="s">
        <v>2</v>
      </c>
      <c r="O18" s="25" t="s">
        <v>6</v>
      </c>
      <c r="P18" s="25" t="s">
        <v>6</v>
      </c>
      <c r="Q18" s="122" t="s">
        <v>5</v>
      </c>
      <c r="R18" s="25" t="s">
        <v>3</v>
      </c>
      <c r="S18" s="25" t="s">
        <v>6</v>
      </c>
      <c r="T18" s="116" t="s">
        <v>2</v>
      </c>
      <c r="U18" s="25" t="s">
        <v>6</v>
      </c>
      <c r="V18" s="25" t="s">
        <v>6</v>
      </c>
      <c r="W18" s="25" t="s">
        <v>6</v>
      </c>
      <c r="X18" s="25" t="s">
        <v>3</v>
      </c>
      <c r="Y18" s="114" t="s">
        <v>4</v>
      </c>
      <c r="Z18" s="25" t="s">
        <v>6</v>
      </c>
      <c r="AA18" s="116" t="s">
        <v>2</v>
      </c>
      <c r="AB18" s="116" t="s">
        <v>2</v>
      </c>
      <c r="AC18" s="116" t="s">
        <v>2</v>
      </c>
      <c r="AD18" s="25" t="s">
        <v>6</v>
      </c>
      <c r="AE18" s="25" t="s">
        <v>3</v>
      </c>
      <c r="AF18" s="114" t="s">
        <v>4</v>
      </c>
      <c r="AG18" s="25" t="s">
        <v>6</v>
      </c>
      <c r="AH18" s="16" t="s">
        <v>10</v>
      </c>
      <c r="AI18" s="16" t="s">
        <v>11</v>
      </c>
      <c r="AK18">
        <f>COUNTIF(E18:AH18,"C")</f>
        <v>5</v>
      </c>
      <c r="AL18">
        <f>COUNTIF(E18:AH18,"W*S*")</f>
        <v>4</v>
      </c>
    </row>
    <row r="19" spans="1:38" x14ac:dyDescent="0.35">
      <c r="A19" s="141" t="s">
        <v>60</v>
      </c>
      <c r="B19" s="116" t="s">
        <v>2</v>
      </c>
      <c r="C19" s="114" t="s">
        <v>4</v>
      </c>
      <c r="D19" s="19" t="s">
        <v>42</v>
      </c>
      <c r="E19" s="25" t="s">
        <v>6</v>
      </c>
      <c r="F19" s="122" t="s">
        <v>5</v>
      </c>
      <c r="G19" s="122" t="s">
        <v>5</v>
      </c>
      <c r="H19" s="25" t="s">
        <v>6</v>
      </c>
      <c r="I19" s="25" t="s">
        <v>6</v>
      </c>
      <c r="J19" s="122" t="s">
        <v>5</v>
      </c>
      <c r="K19" s="122" t="s">
        <v>5</v>
      </c>
      <c r="L19" s="116" t="s">
        <v>2</v>
      </c>
      <c r="M19" s="25" t="s">
        <v>6</v>
      </c>
      <c r="N19" s="25" t="s">
        <v>6</v>
      </c>
      <c r="O19" s="19" t="s">
        <v>41</v>
      </c>
      <c r="P19" s="25" t="s">
        <v>6</v>
      </c>
      <c r="Q19" s="25" t="s">
        <v>3</v>
      </c>
      <c r="R19" s="122" t="s">
        <v>5</v>
      </c>
      <c r="S19" s="25" t="s">
        <v>6</v>
      </c>
      <c r="T19" s="25" t="s">
        <v>6</v>
      </c>
      <c r="U19" s="122" t="s">
        <v>5</v>
      </c>
      <c r="V19" s="122" t="s">
        <v>5</v>
      </c>
      <c r="W19" s="25" t="s">
        <v>6</v>
      </c>
      <c r="X19" s="114" t="s">
        <v>4</v>
      </c>
      <c r="Y19" s="25" t="s">
        <v>3</v>
      </c>
      <c r="Z19" s="25" t="s">
        <v>6</v>
      </c>
      <c r="AA19" s="116" t="s">
        <v>2</v>
      </c>
      <c r="AB19" s="25" t="s">
        <v>6</v>
      </c>
      <c r="AC19" s="25" t="s">
        <v>6</v>
      </c>
      <c r="AD19" s="25" t="s">
        <v>6</v>
      </c>
      <c r="AE19" s="114" t="s">
        <v>4</v>
      </c>
      <c r="AF19" s="25" t="s">
        <v>3</v>
      </c>
      <c r="AG19" s="25" t="s">
        <v>6</v>
      </c>
      <c r="AH19" s="122" t="s">
        <v>5</v>
      </c>
      <c r="AI19" s="115" t="s">
        <v>37</v>
      </c>
      <c r="AK19">
        <f>COUNTIF(E19:AH19,"C")</f>
        <v>2</v>
      </c>
      <c r="AL19">
        <f>COUNTIF(E19:AH19,"W*S*")</f>
        <v>3</v>
      </c>
    </row>
    <row r="20" spans="1:38" x14ac:dyDescent="0.35">
      <c r="A20" s="141" t="s">
        <v>22</v>
      </c>
      <c r="B20" s="19" t="s">
        <v>41</v>
      </c>
      <c r="C20" s="114" t="s">
        <v>4</v>
      </c>
      <c r="D20" s="19" t="s">
        <v>42</v>
      </c>
      <c r="E20" s="116" t="s">
        <v>2</v>
      </c>
      <c r="F20" s="25" t="s">
        <v>6</v>
      </c>
      <c r="G20" s="25" t="s">
        <v>6</v>
      </c>
      <c r="H20" s="25" t="s">
        <v>6</v>
      </c>
      <c r="I20" s="25" t="s">
        <v>6</v>
      </c>
      <c r="J20" s="25" t="s">
        <v>3</v>
      </c>
      <c r="K20" s="122" t="s">
        <v>5</v>
      </c>
      <c r="L20" s="122" t="s">
        <v>5</v>
      </c>
      <c r="M20" s="19" t="s">
        <v>41</v>
      </c>
      <c r="N20" s="25" t="s">
        <v>6</v>
      </c>
      <c r="O20" s="19" t="s">
        <v>41</v>
      </c>
      <c r="P20" s="25" t="s">
        <v>6</v>
      </c>
      <c r="Q20" s="22" t="s">
        <v>30</v>
      </c>
      <c r="R20" s="122" t="s">
        <v>5</v>
      </c>
      <c r="S20" s="116" t="s">
        <v>2</v>
      </c>
      <c r="T20" s="25" t="s">
        <v>6</v>
      </c>
      <c r="U20" s="25" t="s">
        <v>6</v>
      </c>
      <c r="V20" s="25" t="s">
        <v>6</v>
      </c>
      <c r="W20" s="122" t="s">
        <v>5</v>
      </c>
      <c r="X20" s="22" t="s">
        <v>30</v>
      </c>
      <c r="Y20" s="114" t="s">
        <v>4</v>
      </c>
      <c r="Z20" s="116" t="s">
        <v>2</v>
      </c>
      <c r="AA20" s="25" t="s">
        <v>6</v>
      </c>
      <c r="AB20" s="25" t="s">
        <v>6</v>
      </c>
      <c r="AC20" s="122" t="s">
        <v>5</v>
      </c>
      <c r="AD20" s="122" t="s">
        <v>5</v>
      </c>
      <c r="AE20" s="122" t="s">
        <v>5</v>
      </c>
      <c r="AF20" s="122" t="s">
        <v>5</v>
      </c>
      <c r="AG20" s="122" t="s">
        <v>5</v>
      </c>
      <c r="AH20" s="122" t="s">
        <v>5</v>
      </c>
      <c r="AI20" s="115" t="s">
        <v>37</v>
      </c>
      <c r="AK20">
        <f>COUNTIF(E20:AH20,"C")</f>
        <v>3</v>
      </c>
      <c r="AL20">
        <f>COUNTIF(E20:AH20,"W*S*")</f>
        <v>3</v>
      </c>
    </row>
    <row r="21" spans="1:38" x14ac:dyDescent="0.35">
      <c r="A21" s="141" t="s">
        <v>308</v>
      </c>
      <c r="B21" s="22" t="s">
        <v>16</v>
      </c>
      <c r="C21" s="114" t="s">
        <v>4</v>
      </c>
      <c r="D21" s="114" t="s">
        <v>4</v>
      </c>
      <c r="E21" s="205" t="s">
        <v>16</v>
      </c>
      <c r="F21" s="22" t="s">
        <v>16</v>
      </c>
      <c r="G21" s="22" t="s">
        <v>16</v>
      </c>
      <c r="H21" s="22" t="s">
        <v>16</v>
      </c>
      <c r="I21" s="22" t="s">
        <v>16</v>
      </c>
      <c r="J21" s="114" t="s">
        <v>4</v>
      </c>
      <c r="K21" s="114" t="s">
        <v>4</v>
      </c>
      <c r="L21" s="25" t="s">
        <v>6</v>
      </c>
      <c r="M21" s="22" t="s">
        <v>16</v>
      </c>
      <c r="N21" s="22" t="s">
        <v>16</v>
      </c>
      <c r="O21" s="205" t="s">
        <v>16</v>
      </c>
      <c r="P21" s="22" t="s">
        <v>16</v>
      </c>
      <c r="Q21" s="114" t="s">
        <v>4</v>
      </c>
      <c r="R21" s="114" t="s">
        <v>4</v>
      </c>
      <c r="S21" s="22" t="s">
        <v>16</v>
      </c>
      <c r="T21" s="25" t="s">
        <v>6</v>
      </c>
      <c r="U21" s="25" t="s">
        <v>6</v>
      </c>
      <c r="V21" s="25" t="s">
        <v>6</v>
      </c>
      <c r="W21" s="25" t="s">
        <v>6</v>
      </c>
      <c r="X21" s="114" t="s">
        <v>4</v>
      </c>
      <c r="Y21" s="114" t="s">
        <v>4</v>
      </c>
      <c r="Z21" s="25" t="s">
        <v>6</v>
      </c>
      <c r="AA21" s="25" t="s">
        <v>6</v>
      </c>
      <c r="AB21" s="25" t="s">
        <v>6</v>
      </c>
      <c r="AC21" s="25" t="s">
        <v>6</v>
      </c>
      <c r="AD21" s="25" t="s">
        <v>6</v>
      </c>
      <c r="AE21" s="114" t="s">
        <v>4</v>
      </c>
      <c r="AF21" s="114" t="s">
        <v>4</v>
      </c>
      <c r="AG21" s="205" t="s">
        <v>16</v>
      </c>
      <c r="AH21" s="22" t="s">
        <v>16</v>
      </c>
      <c r="AI21" s="115" t="s">
        <v>37</v>
      </c>
    </row>
    <row r="23" spans="1:38" x14ac:dyDescent="0.35">
      <c r="A23" s="128" t="s">
        <v>125</v>
      </c>
      <c r="B23">
        <f>COUNTIF(B4:B21,"*MS")</f>
        <v>4</v>
      </c>
      <c r="C23">
        <f>COUNTIF(C4:C21,"*MS")</f>
        <v>2</v>
      </c>
      <c r="D23">
        <f>COUNTIF(D4:D21,"*MS")</f>
        <v>2</v>
      </c>
      <c r="E23">
        <f>COUNTIF(E4:E21,"*MS")</f>
        <v>3</v>
      </c>
      <c r="F23">
        <f t="shared" ref="F23:K23" si="1">COUNTIF(F4:F21,"*MS")</f>
        <v>4</v>
      </c>
      <c r="G23">
        <f t="shared" si="1"/>
        <v>3</v>
      </c>
      <c r="H23">
        <f t="shared" si="1"/>
        <v>3</v>
      </c>
      <c r="I23">
        <f t="shared" si="1"/>
        <v>4</v>
      </c>
      <c r="J23">
        <f t="shared" si="1"/>
        <v>2</v>
      </c>
      <c r="K23">
        <f t="shared" si="1"/>
        <v>2</v>
      </c>
      <c r="L23">
        <f t="shared" ref="L23:R23" si="2">COUNTIF(L4:L21,"*MS")</f>
        <v>4</v>
      </c>
      <c r="M23">
        <f t="shared" si="2"/>
        <v>4</v>
      </c>
      <c r="N23">
        <f t="shared" si="2"/>
        <v>4</v>
      </c>
      <c r="O23">
        <f t="shared" si="2"/>
        <v>3</v>
      </c>
      <c r="P23">
        <f t="shared" si="2"/>
        <v>4</v>
      </c>
      <c r="Q23">
        <f t="shared" si="2"/>
        <v>2</v>
      </c>
      <c r="R23">
        <f t="shared" si="2"/>
        <v>2</v>
      </c>
      <c r="S23">
        <f t="shared" ref="S23:Y23" si="3">COUNTIF(S4:S21,"*MS")</f>
        <v>4</v>
      </c>
      <c r="T23">
        <f t="shared" si="3"/>
        <v>4</v>
      </c>
      <c r="U23">
        <f t="shared" si="3"/>
        <v>4</v>
      </c>
      <c r="V23">
        <f t="shared" si="3"/>
        <v>4</v>
      </c>
      <c r="W23">
        <f t="shared" si="3"/>
        <v>4</v>
      </c>
      <c r="X23">
        <f t="shared" si="3"/>
        <v>2</v>
      </c>
      <c r="Y23">
        <f t="shared" si="3"/>
        <v>2</v>
      </c>
      <c r="Z23">
        <f t="shared" ref="Z23:AF23" si="4">COUNTIF(Z4:Z21,"*MS")</f>
        <v>4</v>
      </c>
      <c r="AA23">
        <f t="shared" si="4"/>
        <v>4</v>
      </c>
      <c r="AB23">
        <f t="shared" si="4"/>
        <v>5</v>
      </c>
      <c r="AC23">
        <f t="shared" si="4"/>
        <v>4</v>
      </c>
      <c r="AD23">
        <f t="shared" si="4"/>
        <v>4</v>
      </c>
      <c r="AE23">
        <f t="shared" si="4"/>
        <v>2</v>
      </c>
      <c r="AF23">
        <f t="shared" si="4"/>
        <v>2</v>
      </c>
      <c r="AG23">
        <f t="shared" ref="AG23:AI23" si="5">COUNTIF(AG4:AG21,"*MS")</f>
        <v>3</v>
      </c>
      <c r="AH23">
        <f t="shared" si="5"/>
        <v>4</v>
      </c>
      <c r="AI23">
        <f t="shared" si="5"/>
        <v>3</v>
      </c>
    </row>
    <row r="24" spans="1:38" x14ac:dyDescent="0.35">
      <c r="A24" s="128" t="s">
        <v>126</v>
      </c>
      <c r="B24">
        <f>COUNTIF(B4:B21,"*ASS1")</f>
        <v>3</v>
      </c>
      <c r="C24">
        <f>COUNTIF(C4:C21,"*ASS1")</f>
        <v>2</v>
      </c>
      <c r="D24">
        <f>COUNTIF(D4:D21,"*ASS1")</f>
        <v>2</v>
      </c>
      <c r="E24">
        <f>COUNTIF(E4:E21,"*ASS1")</f>
        <v>3</v>
      </c>
      <c r="F24">
        <f t="shared" ref="F24:K24" si="6">COUNTIF(F4:F21,"*ASS1")</f>
        <v>4</v>
      </c>
      <c r="G24">
        <f t="shared" si="6"/>
        <v>4</v>
      </c>
      <c r="H24">
        <f t="shared" si="6"/>
        <v>4</v>
      </c>
      <c r="I24">
        <f t="shared" si="6"/>
        <v>4</v>
      </c>
      <c r="J24">
        <f t="shared" si="6"/>
        <v>2</v>
      </c>
      <c r="K24">
        <f t="shared" si="6"/>
        <v>2</v>
      </c>
      <c r="L24">
        <f t="shared" ref="L24:R24" si="7">COUNTIF(L4:L21,"*ASS1")</f>
        <v>3</v>
      </c>
      <c r="M24">
        <f t="shared" si="7"/>
        <v>4</v>
      </c>
      <c r="N24">
        <f t="shared" si="7"/>
        <v>4</v>
      </c>
      <c r="O24">
        <f t="shared" si="7"/>
        <v>4</v>
      </c>
      <c r="P24">
        <f t="shared" si="7"/>
        <v>4</v>
      </c>
      <c r="Q24">
        <f t="shared" si="7"/>
        <v>2</v>
      </c>
      <c r="R24">
        <f t="shared" si="7"/>
        <v>2</v>
      </c>
      <c r="S24">
        <f t="shared" ref="S24:Y24" si="8">COUNTIF(S4:S21,"*ASS1")</f>
        <v>3</v>
      </c>
      <c r="T24">
        <f t="shared" si="8"/>
        <v>4</v>
      </c>
      <c r="U24">
        <f t="shared" si="8"/>
        <v>3</v>
      </c>
      <c r="V24">
        <f t="shared" si="8"/>
        <v>4</v>
      </c>
      <c r="W24">
        <f t="shared" si="8"/>
        <v>4</v>
      </c>
      <c r="X24">
        <f t="shared" si="8"/>
        <v>2</v>
      </c>
      <c r="Y24">
        <f t="shared" si="8"/>
        <v>2</v>
      </c>
      <c r="Z24">
        <f t="shared" ref="Z24:AF24" si="9">COUNTIF(Z4:Z21,"*ASS1")</f>
        <v>4</v>
      </c>
      <c r="AA24">
        <f t="shared" si="9"/>
        <v>4</v>
      </c>
      <c r="AB24">
        <f t="shared" si="9"/>
        <v>4</v>
      </c>
      <c r="AC24">
        <f t="shared" si="9"/>
        <v>4</v>
      </c>
      <c r="AD24">
        <f t="shared" si="9"/>
        <v>3</v>
      </c>
      <c r="AE24">
        <f t="shared" si="9"/>
        <v>2</v>
      </c>
      <c r="AF24">
        <f t="shared" si="9"/>
        <v>2</v>
      </c>
      <c r="AG24">
        <f t="shared" ref="AG24:AI24" si="10">COUNTIF(AG4:AG21,"*ASS1")</f>
        <v>4</v>
      </c>
      <c r="AH24">
        <f t="shared" si="10"/>
        <v>4</v>
      </c>
      <c r="AI24">
        <f t="shared" si="10"/>
        <v>3</v>
      </c>
    </row>
    <row r="25" spans="1:38" x14ac:dyDescent="0.35">
      <c r="A25" s="128" t="s">
        <v>127</v>
      </c>
      <c r="B25">
        <f>COUNTIF(B4:B21,"*NST7")</f>
        <v>4</v>
      </c>
      <c r="C25">
        <f>COUNTIF(C4:C21,"*NST7")</f>
        <v>2</v>
      </c>
      <c r="D25">
        <f>COUNTIF(D4:D21,"*NST7")</f>
        <v>2</v>
      </c>
      <c r="E25">
        <f>COUNTIF(E4:E21,"*NST7")</f>
        <v>3</v>
      </c>
      <c r="F25">
        <f t="shared" ref="F25:K25" si="11">COUNTIF(F4:F21,"*NST7")</f>
        <v>5</v>
      </c>
      <c r="G25">
        <f t="shared" si="11"/>
        <v>4</v>
      </c>
      <c r="H25">
        <f t="shared" si="11"/>
        <v>3</v>
      </c>
      <c r="I25">
        <f t="shared" si="11"/>
        <v>4</v>
      </c>
      <c r="J25">
        <f t="shared" si="11"/>
        <v>3</v>
      </c>
      <c r="K25">
        <f t="shared" si="11"/>
        <v>2</v>
      </c>
      <c r="L25">
        <f t="shared" ref="L25:R25" si="12">COUNTIF(L4:L21,"*NST7")</f>
        <v>4</v>
      </c>
      <c r="M25">
        <f t="shared" si="12"/>
        <v>4</v>
      </c>
      <c r="N25">
        <f t="shared" si="12"/>
        <v>3</v>
      </c>
      <c r="O25">
        <f t="shared" si="12"/>
        <v>3</v>
      </c>
      <c r="P25">
        <f t="shared" si="12"/>
        <v>4</v>
      </c>
      <c r="Q25">
        <f t="shared" si="12"/>
        <v>3</v>
      </c>
      <c r="R25">
        <f t="shared" si="12"/>
        <v>2</v>
      </c>
      <c r="S25">
        <f t="shared" ref="S25:Y25" si="13">COUNTIF(S4:S21,"*NST7")</f>
        <v>3</v>
      </c>
      <c r="T25">
        <f t="shared" si="13"/>
        <v>3</v>
      </c>
      <c r="U25">
        <f t="shared" si="13"/>
        <v>3</v>
      </c>
      <c r="V25">
        <f t="shared" si="13"/>
        <v>4</v>
      </c>
      <c r="W25">
        <f t="shared" si="13"/>
        <v>3</v>
      </c>
      <c r="X25">
        <f t="shared" si="13"/>
        <v>3</v>
      </c>
      <c r="Y25">
        <f t="shared" si="13"/>
        <v>2</v>
      </c>
      <c r="Z25">
        <f t="shared" ref="Z25:AF25" si="14">COUNTIF(Z4:Z21,"*NST7")</f>
        <v>3</v>
      </c>
      <c r="AA25">
        <f t="shared" si="14"/>
        <v>4</v>
      </c>
      <c r="AB25">
        <f t="shared" si="14"/>
        <v>4</v>
      </c>
      <c r="AC25">
        <f t="shared" si="14"/>
        <v>4</v>
      </c>
      <c r="AD25">
        <f t="shared" si="14"/>
        <v>3</v>
      </c>
      <c r="AE25">
        <f t="shared" si="14"/>
        <v>3</v>
      </c>
      <c r="AF25">
        <f t="shared" si="14"/>
        <v>3</v>
      </c>
      <c r="AG25">
        <f t="shared" ref="AG25:AI25" si="15">COUNTIF(AG4:AG21,"*NST7")</f>
        <v>3</v>
      </c>
      <c r="AH25">
        <f t="shared" si="15"/>
        <v>4</v>
      </c>
      <c r="AI25">
        <f t="shared" si="15"/>
        <v>3</v>
      </c>
    </row>
    <row r="26" spans="1:38" x14ac:dyDescent="0.35">
      <c r="A26" s="128" t="s">
        <v>128</v>
      </c>
      <c r="B26">
        <f>COUNTIF(B4:B21,"*GS")</f>
        <v>1</v>
      </c>
      <c r="C26">
        <f>COUNTIF(C4:C21,"*GS")</f>
        <v>1</v>
      </c>
      <c r="D26">
        <f>COUNTIF(D4:D21,"*GS")</f>
        <v>0</v>
      </c>
      <c r="E26">
        <f>COUNTIF(E4:E21,"*GS")</f>
        <v>5</v>
      </c>
      <c r="F26">
        <f t="shared" ref="F26:K26" si="16">COUNTIF(F4:F21,"*GS")</f>
        <v>2</v>
      </c>
      <c r="G26">
        <f t="shared" si="16"/>
        <v>2</v>
      </c>
      <c r="H26">
        <f t="shared" si="16"/>
        <v>4</v>
      </c>
      <c r="I26">
        <f t="shared" si="16"/>
        <v>1</v>
      </c>
      <c r="J26">
        <f t="shared" si="16"/>
        <v>1</v>
      </c>
      <c r="K26">
        <f t="shared" si="16"/>
        <v>0</v>
      </c>
      <c r="L26">
        <f t="shared" ref="L26:R26" si="17">COUNTIF(L4:L21,"*GS")</f>
        <v>0</v>
      </c>
      <c r="M26">
        <f t="shared" si="17"/>
        <v>1</v>
      </c>
      <c r="N26">
        <f t="shared" si="17"/>
        <v>1</v>
      </c>
      <c r="O26">
        <f t="shared" si="17"/>
        <v>4</v>
      </c>
      <c r="P26">
        <f t="shared" si="17"/>
        <v>1</v>
      </c>
      <c r="Q26">
        <f t="shared" si="17"/>
        <v>1</v>
      </c>
      <c r="R26">
        <f t="shared" si="17"/>
        <v>0</v>
      </c>
      <c r="S26">
        <f t="shared" ref="S26:Y26" si="18">COUNTIF(S4:S21,"*GS")</f>
        <v>1</v>
      </c>
      <c r="T26">
        <f t="shared" si="18"/>
        <v>0</v>
      </c>
      <c r="U26">
        <f t="shared" si="18"/>
        <v>0</v>
      </c>
      <c r="V26">
        <f t="shared" si="18"/>
        <v>0</v>
      </c>
      <c r="W26">
        <f t="shared" si="18"/>
        <v>0</v>
      </c>
      <c r="X26">
        <f t="shared" si="18"/>
        <v>1</v>
      </c>
      <c r="Y26">
        <f t="shared" si="18"/>
        <v>0</v>
      </c>
      <c r="Z26">
        <f t="shared" ref="Z26:AF26" si="19">COUNTIF(Z4:Z21,"*GS")</f>
        <v>0</v>
      </c>
      <c r="AA26">
        <f t="shared" si="19"/>
        <v>0</v>
      </c>
      <c r="AB26">
        <f t="shared" si="19"/>
        <v>0</v>
      </c>
      <c r="AC26">
        <f t="shared" si="19"/>
        <v>0</v>
      </c>
      <c r="AD26">
        <f t="shared" si="19"/>
        <v>0</v>
      </c>
      <c r="AE26">
        <f t="shared" si="19"/>
        <v>1</v>
      </c>
      <c r="AF26">
        <f t="shared" si="19"/>
        <v>0</v>
      </c>
      <c r="AG26">
        <f t="shared" ref="AG26:AI26" si="20">COUNTIF(AG4:AG21,"*GS")</f>
        <v>2</v>
      </c>
      <c r="AH26">
        <f t="shared" si="20"/>
        <v>1</v>
      </c>
      <c r="AI26">
        <f t="shared" si="20"/>
        <v>1</v>
      </c>
    </row>
    <row r="27" spans="1:38" x14ac:dyDescent="0.35">
      <c r="A27" s="128" t="s">
        <v>129</v>
      </c>
      <c r="B27">
        <f>COUNTIF(B4:B21,"C")</f>
        <v>3</v>
      </c>
      <c r="C27">
        <f>COUNTIF(C4:C21,"WO")</f>
        <v>9</v>
      </c>
      <c r="D27">
        <f>COUNTIF(D4:D21,"WO")</f>
        <v>10</v>
      </c>
      <c r="E27">
        <f>COUNTIF(E4:E21,"C")</f>
        <v>2</v>
      </c>
      <c r="F27">
        <f t="shared" ref="F27:I27" si="21">COUNTIF(F4:F21,"C")</f>
        <v>0</v>
      </c>
      <c r="G27">
        <f t="shared" si="21"/>
        <v>2</v>
      </c>
      <c r="H27">
        <f t="shared" si="21"/>
        <v>2</v>
      </c>
      <c r="I27">
        <f t="shared" si="21"/>
        <v>2</v>
      </c>
      <c r="J27">
        <f t="shared" ref="J27:K27" si="22">COUNTIF(J4:J21,"WO")</f>
        <v>7</v>
      </c>
      <c r="K27">
        <f t="shared" si="22"/>
        <v>8</v>
      </c>
      <c r="L27">
        <f t="shared" ref="L27:P27" si="23">COUNTIF(L4:L21,"C")</f>
        <v>4</v>
      </c>
      <c r="M27">
        <f t="shared" si="23"/>
        <v>2</v>
      </c>
      <c r="N27">
        <f t="shared" si="23"/>
        <v>4</v>
      </c>
      <c r="O27">
        <f t="shared" si="23"/>
        <v>0</v>
      </c>
      <c r="P27">
        <f t="shared" si="23"/>
        <v>2</v>
      </c>
      <c r="Q27">
        <f t="shared" ref="Q27:R27" si="24">COUNTIF(Q4:Q21,"WO")</f>
        <v>5</v>
      </c>
      <c r="R27">
        <f t="shared" si="24"/>
        <v>8</v>
      </c>
      <c r="S27">
        <f t="shared" ref="S27:W27" si="25">COUNTIF(S4:S21,"C")</f>
        <v>3</v>
      </c>
      <c r="T27">
        <f t="shared" si="25"/>
        <v>2</v>
      </c>
      <c r="U27">
        <f t="shared" si="25"/>
        <v>2</v>
      </c>
      <c r="V27">
        <f t="shared" si="25"/>
        <v>2</v>
      </c>
      <c r="W27">
        <f t="shared" si="25"/>
        <v>3</v>
      </c>
      <c r="X27">
        <f t="shared" ref="X27:Y27" si="26">COUNTIF(X4:X21,"WO")</f>
        <v>8</v>
      </c>
      <c r="Y27">
        <f t="shared" si="26"/>
        <v>10</v>
      </c>
      <c r="Z27">
        <f t="shared" ref="Z27:AD27" si="27">COUNTIF(Z4:Z21,"C")</f>
        <v>5</v>
      </c>
      <c r="AA27">
        <f t="shared" si="27"/>
        <v>4</v>
      </c>
      <c r="AB27">
        <f t="shared" si="27"/>
        <v>3</v>
      </c>
      <c r="AC27">
        <f t="shared" si="27"/>
        <v>3</v>
      </c>
      <c r="AD27">
        <f t="shared" si="27"/>
        <v>3</v>
      </c>
      <c r="AE27">
        <f t="shared" ref="AE27:AF27" si="28">COUNTIF(AE4:AE21,"WO")</f>
        <v>7</v>
      </c>
      <c r="AF27">
        <f t="shared" si="28"/>
        <v>8</v>
      </c>
      <c r="AG27">
        <f t="shared" ref="AG27:AI27" si="29">COUNTIF(AG4:AG21,"C")</f>
        <v>3</v>
      </c>
      <c r="AH27">
        <f t="shared" si="29"/>
        <v>1</v>
      </c>
      <c r="AI27">
        <f t="shared" si="29"/>
        <v>0</v>
      </c>
    </row>
    <row r="28" spans="1:38" x14ac:dyDescent="0.35">
      <c r="A28" s="128" t="s">
        <v>130</v>
      </c>
      <c r="B28">
        <f>COUNTIF(B4:B21,"PL")</f>
        <v>1</v>
      </c>
      <c r="C28">
        <f>COUNTIF(C4:C21,"PL")</f>
        <v>0</v>
      </c>
      <c r="D28">
        <f>COUNTIF(D4:D21,"PL")</f>
        <v>0</v>
      </c>
      <c r="E28">
        <f>COUNTIF(E4:E21,"PL")</f>
        <v>0</v>
      </c>
      <c r="F28">
        <f t="shared" ref="F28:K28" si="30">COUNTIF(F4:F21,"PL")</f>
        <v>1</v>
      </c>
      <c r="G28">
        <f t="shared" si="30"/>
        <v>1</v>
      </c>
      <c r="H28">
        <f t="shared" si="30"/>
        <v>0</v>
      </c>
      <c r="I28">
        <f t="shared" si="30"/>
        <v>1</v>
      </c>
      <c r="J28">
        <f t="shared" si="30"/>
        <v>1</v>
      </c>
      <c r="K28">
        <f t="shared" si="30"/>
        <v>2</v>
      </c>
      <c r="L28">
        <f t="shared" ref="L28:R28" si="31">COUNTIF(L4:L21,"PL")</f>
        <v>1</v>
      </c>
      <c r="M28">
        <f t="shared" si="31"/>
        <v>0</v>
      </c>
      <c r="N28">
        <f t="shared" si="31"/>
        <v>0</v>
      </c>
      <c r="O28">
        <f t="shared" si="31"/>
        <v>0</v>
      </c>
      <c r="P28">
        <f t="shared" si="31"/>
        <v>1</v>
      </c>
      <c r="Q28">
        <f t="shared" si="31"/>
        <v>3</v>
      </c>
      <c r="R28">
        <f t="shared" si="31"/>
        <v>2</v>
      </c>
      <c r="S28">
        <f t="shared" ref="S28:Y28" si="32">COUNTIF(S4:S21,"PL")</f>
        <v>1</v>
      </c>
      <c r="T28">
        <f t="shared" si="32"/>
        <v>3</v>
      </c>
      <c r="U28">
        <f t="shared" si="32"/>
        <v>4</v>
      </c>
      <c r="V28">
        <f t="shared" si="32"/>
        <v>2</v>
      </c>
      <c r="W28">
        <f t="shared" si="32"/>
        <v>2</v>
      </c>
      <c r="X28">
        <f t="shared" si="32"/>
        <v>0</v>
      </c>
      <c r="Y28">
        <f t="shared" si="32"/>
        <v>0</v>
      </c>
      <c r="Z28">
        <f t="shared" ref="Z28:AF28" si="33">COUNTIF(Z4:Z21,"PL")</f>
        <v>0</v>
      </c>
      <c r="AA28">
        <f t="shared" si="33"/>
        <v>0</v>
      </c>
      <c r="AB28">
        <f t="shared" si="33"/>
        <v>0</v>
      </c>
      <c r="AC28">
        <f t="shared" si="33"/>
        <v>1</v>
      </c>
      <c r="AD28">
        <f t="shared" si="33"/>
        <v>3</v>
      </c>
      <c r="AE28">
        <f t="shared" si="33"/>
        <v>1</v>
      </c>
      <c r="AF28">
        <f t="shared" si="33"/>
        <v>1</v>
      </c>
      <c r="AG28">
        <f t="shared" ref="AG28:AI28" si="34">COUNTIF(AG4:AG21,"PL")</f>
        <v>1</v>
      </c>
      <c r="AH28">
        <f t="shared" si="34"/>
        <v>2</v>
      </c>
      <c r="AI28">
        <f t="shared" si="34"/>
        <v>0</v>
      </c>
    </row>
    <row r="29" spans="1:38" x14ac:dyDescent="0.35">
      <c r="A29" s="128" t="s">
        <v>33</v>
      </c>
      <c r="B29">
        <f>COUNTIF(B4:B21,"UPL")</f>
        <v>0</v>
      </c>
      <c r="C29">
        <f>COUNTIF(C4:C21,"UPL")</f>
        <v>0</v>
      </c>
      <c r="D29">
        <f>COUNTIF(D4:D21,"UPL")</f>
        <v>0</v>
      </c>
      <c r="E29">
        <f>COUNTIF(E4:E21,"UPL")</f>
        <v>0</v>
      </c>
      <c r="F29">
        <f t="shared" ref="F29:K29" si="35">COUNTIF(F4:F21,"UPL")</f>
        <v>0</v>
      </c>
      <c r="G29">
        <f t="shared" si="35"/>
        <v>0</v>
      </c>
      <c r="H29">
        <f t="shared" si="35"/>
        <v>0</v>
      </c>
      <c r="I29">
        <f t="shared" si="35"/>
        <v>0</v>
      </c>
      <c r="J29">
        <f t="shared" si="35"/>
        <v>0</v>
      </c>
      <c r="K29">
        <f t="shared" si="35"/>
        <v>0</v>
      </c>
      <c r="L29">
        <f t="shared" ref="L29:R29" si="36">COUNTIF(L4:L21,"UPL")</f>
        <v>0</v>
      </c>
      <c r="M29">
        <f t="shared" si="36"/>
        <v>0</v>
      </c>
      <c r="N29">
        <f t="shared" si="36"/>
        <v>0</v>
      </c>
      <c r="O29">
        <f t="shared" si="36"/>
        <v>0</v>
      </c>
      <c r="P29">
        <f t="shared" si="36"/>
        <v>0</v>
      </c>
      <c r="Q29">
        <f t="shared" si="36"/>
        <v>0</v>
      </c>
      <c r="R29">
        <f t="shared" si="36"/>
        <v>0</v>
      </c>
      <c r="S29">
        <f t="shared" ref="S29:Y29" si="37">COUNTIF(S4:S21,"UPL")</f>
        <v>0</v>
      </c>
      <c r="T29">
        <f t="shared" si="37"/>
        <v>0</v>
      </c>
      <c r="U29">
        <f t="shared" si="37"/>
        <v>0</v>
      </c>
      <c r="V29">
        <f t="shared" si="37"/>
        <v>0</v>
      </c>
      <c r="W29">
        <f t="shared" si="37"/>
        <v>0</v>
      </c>
      <c r="X29">
        <f t="shared" si="37"/>
        <v>0</v>
      </c>
      <c r="Y29">
        <f t="shared" si="37"/>
        <v>0</v>
      </c>
      <c r="Z29">
        <f t="shared" ref="Z29:AF29" si="38">COUNTIF(Z4:Z21,"UPL")</f>
        <v>0</v>
      </c>
      <c r="AA29">
        <f t="shared" si="38"/>
        <v>0</v>
      </c>
      <c r="AB29">
        <f t="shared" si="38"/>
        <v>0</v>
      </c>
      <c r="AC29">
        <f t="shared" si="38"/>
        <v>0</v>
      </c>
      <c r="AD29">
        <f t="shared" si="38"/>
        <v>0</v>
      </c>
      <c r="AE29">
        <f t="shared" si="38"/>
        <v>0</v>
      </c>
      <c r="AF29">
        <f t="shared" si="38"/>
        <v>0</v>
      </c>
      <c r="AG29">
        <f t="shared" ref="AG29:AI29" si="39">COUNTIF(AG4:AG21,"UPL")</f>
        <v>0</v>
      </c>
      <c r="AH29">
        <f t="shared" si="39"/>
        <v>0</v>
      </c>
      <c r="AI29">
        <f t="shared" si="39"/>
        <v>0</v>
      </c>
    </row>
    <row r="30" spans="1:38" x14ac:dyDescent="0.35">
      <c r="A30" s="128" t="s">
        <v>141</v>
      </c>
      <c r="B30">
        <f>COUNTIF(B4:B21,"H")</f>
        <v>0</v>
      </c>
      <c r="C30">
        <f>COUNTIF(C4:C21,"H")</f>
        <v>0</v>
      </c>
      <c r="D30">
        <f>COUNTIF(D4:D21,"H")</f>
        <v>0</v>
      </c>
      <c r="E30">
        <f>COUNTIF(E4:E21,"H")</f>
        <v>0</v>
      </c>
      <c r="F30">
        <f t="shared" ref="F30:K30" si="40">COUNTIF(F4:F21,"H")</f>
        <v>0</v>
      </c>
      <c r="G30">
        <f t="shared" si="40"/>
        <v>0</v>
      </c>
      <c r="H30">
        <f t="shared" si="40"/>
        <v>0</v>
      </c>
      <c r="I30">
        <f t="shared" si="40"/>
        <v>0</v>
      </c>
      <c r="J30">
        <f t="shared" si="40"/>
        <v>0</v>
      </c>
      <c r="K30">
        <f t="shared" si="40"/>
        <v>0</v>
      </c>
      <c r="L30">
        <f t="shared" ref="L30:R30" si="41">COUNTIF(L4:L21,"H")</f>
        <v>0</v>
      </c>
      <c r="M30">
        <f t="shared" si="41"/>
        <v>1</v>
      </c>
      <c r="N30">
        <f t="shared" si="41"/>
        <v>0</v>
      </c>
      <c r="O30">
        <f t="shared" si="41"/>
        <v>2</v>
      </c>
      <c r="P30">
        <f t="shared" si="41"/>
        <v>0</v>
      </c>
      <c r="Q30">
        <f t="shared" si="41"/>
        <v>0</v>
      </c>
      <c r="R30">
        <f t="shared" si="41"/>
        <v>0</v>
      </c>
      <c r="S30">
        <f t="shared" ref="S30:Y30" si="42">COUNTIF(S4:S21,"H")</f>
        <v>0</v>
      </c>
      <c r="T30">
        <f t="shared" si="42"/>
        <v>0</v>
      </c>
      <c r="U30">
        <f t="shared" si="42"/>
        <v>0</v>
      </c>
      <c r="V30">
        <f t="shared" si="42"/>
        <v>0</v>
      </c>
      <c r="W30">
        <f t="shared" si="42"/>
        <v>0</v>
      </c>
      <c r="X30">
        <f t="shared" si="42"/>
        <v>0</v>
      </c>
      <c r="Y30">
        <f t="shared" si="42"/>
        <v>0</v>
      </c>
      <c r="Z30">
        <f t="shared" ref="Z30:AF30" si="43">COUNTIF(Z4:Z21,"H")</f>
        <v>0</v>
      </c>
      <c r="AA30">
        <f t="shared" si="43"/>
        <v>0</v>
      </c>
      <c r="AB30">
        <f t="shared" si="43"/>
        <v>0</v>
      </c>
      <c r="AC30">
        <f t="shared" si="43"/>
        <v>0</v>
      </c>
      <c r="AD30">
        <f t="shared" si="43"/>
        <v>0</v>
      </c>
      <c r="AE30">
        <f t="shared" si="43"/>
        <v>0</v>
      </c>
      <c r="AF30">
        <f t="shared" si="43"/>
        <v>0</v>
      </c>
      <c r="AG30">
        <f t="shared" ref="AG30:AI30" si="44">COUNTIF(AG4:AG21,"H")</f>
        <v>0</v>
      </c>
      <c r="AH30">
        <f t="shared" si="44"/>
        <v>0</v>
      </c>
      <c r="AI30">
        <f t="shared" si="44"/>
        <v>6</v>
      </c>
    </row>
    <row r="31" spans="1:38" x14ac:dyDescent="0.35">
      <c r="A31" s="128" t="s">
        <v>131</v>
      </c>
      <c r="B31" s="129">
        <f t="shared" ref="B31:D31" si="45">SUM(B23:B30)</f>
        <v>16</v>
      </c>
      <c r="C31" s="129">
        <f t="shared" si="45"/>
        <v>16</v>
      </c>
      <c r="D31" s="129">
        <f t="shared" si="45"/>
        <v>16</v>
      </c>
      <c r="E31" s="129">
        <f t="shared" ref="E31:K31" si="46">SUM(E23:E30)</f>
        <v>16</v>
      </c>
      <c r="F31" s="129">
        <f t="shared" si="46"/>
        <v>16</v>
      </c>
      <c r="G31" s="129">
        <f t="shared" si="46"/>
        <v>16</v>
      </c>
      <c r="H31" s="129">
        <f t="shared" si="46"/>
        <v>16</v>
      </c>
      <c r="I31" s="129">
        <f t="shared" si="46"/>
        <v>16</v>
      </c>
      <c r="J31" s="129">
        <f t="shared" si="46"/>
        <v>16</v>
      </c>
      <c r="K31" s="129">
        <f t="shared" si="46"/>
        <v>16</v>
      </c>
      <c r="L31" s="129">
        <f t="shared" ref="L31:AI31" si="47">SUM(L23:L30)</f>
        <v>16</v>
      </c>
      <c r="M31" s="129">
        <f t="shared" si="47"/>
        <v>16</v>
      </c>
      <c r="N31" s="129">
        <f t="shared" si="47"/>
        <v>16</v>
      </c>
      <c r="O31" s="129">
        <f t="shared" si="47"/>
        <v>16</v>
      </c>
      <c r="P31" s="129">
        <f t="shared" si="47"/>
        <v>16</v>
      </c>
      <c r="Q31" s="129">
        <f t="shared" si="47"/>
        <v>16</v>
      </c>
      <c r="R31" s="129">
        <f t="shared" si="47"/>
        <v>16</v>
      </c>
      <c r="S31" s="129">
        <f t="shared" si="47"/>
        <v>15</v>
      </c>
      <c r="T31" s="129">
        <f t="shared" si="47"/>
        <v>16</v>
      </c>
      <c r="U31" s="129">
        <f t="shared" si="47"/>
        <v>16</v>
      </c>
      <c r="V31" s="129">
        <f t="shared" si="47"/>
        <v>16</v>
      </c>
      <c r="W31" s="129">
        <f t="shared" si="47"/>
        <v>16</v>
      </c>
      <c r="X31" s="129">
        <f t="shared" si="47"/>
        <v>16</v>
      </c>
      <c r="Y31" s="129">
        <f t="shared" si="47"/>
        <v>16</v>
      </c>
      <c r="Z31" s="129">
        <f t="shared" si="47"/>
        <v>16</v>
      </c>
      <c r="AA31" s="129">
        <f t="shared" si="47"/>
        <v>16</v>
      </c>
      <c r="AB31" s="129">
        <f t="shared" si="47"/>
        <v>16</v>
      </c>
      <c r="AC31" s="129">
        <f t="shared" si="47"/>
        <v>16</v>
      </c>
      <c r="AD31" s="129">
        <f t="shared" si="47"/>
        <v>16</v>
      </c>
      <c r="AE31" s="129">
        <f t="shared" si="47"/>
        <v>16</v>
      </c>
      <c r="AF31" s="129">
        <f t="shared" si="47"/>
        <v>16</v>
      </c>
      <c r="AG31" s="129">
        <f t="shared" si="47"/>
        <v>16</v>
      </c>
      <c r="AH31" s="129">
        <f t="shared" si="47"/>
        <v>16</v>
      </c>
      <c r="AI31" s="129">
        <f t="shared" si="47"/>
        <v>16</v>
      </c>
    </row>
    <row r="33" spans="37:38" x14ac:dyDescent="0.35">
      <c r="AK33">
        <f>COUNTIF(E5:AH5,"C")</f>
        <v>3</v>
      </c>
      <c r="AL33">
        <f>COUNTIF(E5:AH5,"W*S*")</f>
        <v>4</v>
      </c>
    </row>
  </sheetData>
  <conditionalFormatting sqref="B23:AI26">
    <cfRule type="cellIs" dxfId="826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50C6-E23C-4865-B8D4-01A917D55456}">
  <sheetPr codeName="Sheet46"/>
  <dimension ref="A1:AN32"/>
  <sheetViews>
    <sheetView zoomScale="60" zoomScaleNormal="60" workbookViewId="0">
      <pane xSplit="1" topLeftCell="J1" activePane="topRight" state="frozen"/>
      <selection pane="topRight" activeCell="AD29" sqref="AD29"/>
    </sheetView>
  </sheetViews>
  <sheetFormatPr defaultRowHeight="14.5" x14ac:dyDescent="0.35"/>
  <cols>
    <col min="1" max="1" width="23.08984375" bestFit="1" customWidth="1"/>
    <col min="2" max="5" width="8.7265625" hidden="1" customWidth="1"/>
    <col min="6" max="6" width="8.7265625" customWidth="1"/>
    <col min="7" max="7" width="6.90625" customWidth="1"/>
    <col min="8" max="24" width="8.7265625" customWidth="1"/>
  </cols>
  <sheetData>
    <row r="1" spans="1:40" x14ac:dyDescent="0.35">
      <c r="A1" s="1"/>
      <c r="B1" s="2" t="str">
        <f t="shared" ref="B1:AJ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  <c r="AH1" s="2" t="str">
        <f t="shared" si="0"/>
        <v>Wed</v>
      </c>
      <c r="AI1" s="2" t="str">
        <f t="shared" si="0"/>
        <v>Thu</v>
      </c>
      <c r="AJ1" s="2" t="str">
        <f t="shared" si="0"/>
        <v>Fri</v>
      </c>
      <c r="AM1" s="203" t="s">
        <v>304</v>
      </c>
      <c r="AN1" s="202" t="s">
        <v>305</v>
      </c>
    </row>
    <row r="2" spans="1:40" x14ac:dyDescent="0.35">
      <c r="A2" s="95" t="s">
        <v>0</v>
      </c>
      <c r="B2" s="29">
        <v>45409</v>
      </c>
      <c r="C2" s="29">
        <v>45410</v>
      </c>
      <c r="D2" s="29">
        <v>45411</v>
      </c>
      <c r="E2" s="29">
        <v>45412</v>
      </c>
      <c r="F2" s="29">
        <v>45413</v>
      </c>
      <c r="G2" s="29">
        <v>45414</v>
      </c>
      <c r="H2" s="29">
        <v>45415</v>
      </c>
      <c r="I2" s="29">
        <v>45416</v>
      </c>
      <c r="J2" s="29">
        <v>45417</v>
      </c>
      <c r="K2" s="29">
        <v>45418</v>
      </c>
      <c r="L2" s="29">
        <v>45419</v>
      </c>
      <c r="M2" s="29">
        <v>45420</v>
      </c>
      <c r="N2" s="29">
        <v>45421</v>
      </c>
      <c r="O2" s="29">
        <v>45422</v>
      </c>
      <c r="P2" s="29">
        <v>45423</v>
      </c>
      <c r="Q2" s="29">
        <v>45424</v>
      </c>
      <c r="R2" s="29">
        <v>45425</v>
      </c>
      <c r="S2" s="29">
        <v>45426</v>
      </c>
      <c r="T2" s="29">
        <v>45427</v>
      </c>
      <c r="U2" s="29">
        <v>45428</v>
      </c>
      <c r="V2" s="29">
        <v>45429</v>
      </c>
      <c r="W2" s="29">
        <v>45430</v>
      </c>
      <c r="X2" s="29">
        <v>45431</v>
      </c>
      <c r="Y2" s="29">
        <v>45432</v>
      </c>
      <c r="Z2" s="29">
        <v>45433</v>
      </c>
      <c r="AA2" s="29">
        <v>45434</v>
      </c>
      <c r="AB2" s="29">
        <v>45435</v>
      </c>
      <c r="AC2" s="29">
        <v>45436</v>
      </c>
      <c r="AD2" s="29">
        <v>45437</v>
      </c>
      <c r="AE2" s="29">
        <v>45438</v>
      </c>
      <c r="AF2" s="29">
        <v>45439</v>
      </c>
      <c r="AG2" s="29">
        <v>45440</v>
      </c>
      <c r="AH2" s="29">
        <v>45441</v>
      </c>
      <c r="AI2" s="29">
        <v>45442</v>
      </c>
      <c r="AJ2" s="29">
        <v>45443</v>
      </c>
    </row>
    <row r="3" spans="1:40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40" x14ac:dyDescent="0.35">
      <c r="A4" s="165" t="s">
        <v>1</v>
      </c>
      <c r="B4" s="19" t="s">
        <v>42</v>
      </c>
      <c r="C4" s="122" t="s">
        <v>4</v>
      </c>
      <c r="D4" s="205" t="s">
        <v>16</v>
      </c>
      <c r="E4" s="19" t="s">
        <v>41</v>
      </c>
      <c r="F4" s="19" t="s">
        <v>42</v>
      </c>
      <c r="G4" s="19" t="s">
        <v>41</v>
      </c>
      <c r="H4" s="116" t="s">
        <v>2</v>
      </c>
      <c r="I4" s="19" t="s">
        <v>42</v>
      </c>
      <c r="J4" s="19" t="s">
        <v>42</v>
      </c>
      <c r="K4" s="116" t="s">
        <v>2</v>
      </c>
      <c r="L4" s="19" t="s">
        <v>41</v>
      </c>
      <c r="M4" s="19" t="s">
        <v>41</v>
      </c>
      <c r="N4" s="19" t="s">
        <v>41</v>
      </c>
      <c r="O4" s="116" t="s">
        <v>2</v>
      </c>
      <c r="P4" s="19" t="s">
        <v>42</v>
      </c>
      <c r="Q4" s="19" t="s">
        <v>42</v>
      </c>
      <c r="R4" s="115" t="s">
        <v>37</v>
      </c>
      <c r="S4" s="19" t="s">
        <v>41</v>
      </c>
      <c r="T4" s="19" t="s">
        <v>41</v>
      </c>
      <c r="U4" s="19" t="s">
        <v>41</v>
      </c>
      <c r="V4" s="116" t="s">
        <v>2</v>
      </c>
      <c r="W4" s="114" t="s">
        <v>4</v>
      </c>
      <c r="X4" s="19" t="s">
        <v>42</v>
      </c>
      <c r="Y4" s="122" t="s">
        <v>5</v>
      </c>
      <c r="Z4" s="19" t="s">
        <v>41</v>
      </c>
      <c r="AA4" s="19" t="s">
        <v>41</v>
      </c>
      <c r="AB4" s="19" t="s">
        <v>41</v>
      </c>
      <c r="AC4" s="116" t="s">
        <v>2</v>
      </c>
      <c r="AD4" s="19" t="s">
        <v>42</v>
      </c>
      <c r="AE4" s="19" t="s">
        <v>42</v>
      </c>
      <c r="AF4" s="116" t="s">
        <v>2</v>
      </c>
      <c r="AG4" s="19" t="s">
        <v>41</v>
      </c>
      <c r="AH4" s="19" t="s">
        <v>41</v>
      </c>
      <c r="AI4" s="19" t="s">
        <v>41</v>
      </c>
      <c r="AJ4" s="116" t="s">
        <v>2</v>
      </c>
      <c r="AM4">
        <f>COUNTIF(F4:AJ4,"C")</f>
        <v>7</v>
      </c>
      <c r="AN4">
        <f>COUNTIF(F4:AJ4,"W*S*")</f>
        <v>8</v>
      </c>
    </row>
    <row r="5" spans="1:40" x14ac:dyDescent="0.35">
      <c r="A5" s="165" t="s">
        <v>21</v>
      </c>
      <c r="B5" s="114" t="s">
        <v>4</v>
      </c>
      <c r="C5" s="16" t="s">
        <v>11</v>
      </c>
      <c r="D5" s="16" t="s">
        <v>10</v>
      </c>
      <c r="E5" s="16" t="s">
        <v>10</v>
      </c>
      <c r="F5" s="115" t="s">
        <v>37</v>
      </c>
      <c r="G5" s="122" t="s">
        <v>5</v>
      </c>
      <c r="H5" s="122" t="s">
        <v>5</v>
      </c>
      <c r="I5" s="122" t="s">
        <v>5</v>
      </c>
      <c r="J5" s="122" t="s">
        <v>5</v>
      </c>
      <c r="K5" s="122" t="s">
        <v>5</v>
      </c>
      <c r="L5" s="122" t="s">
        <v>5</v>
      </c>
      <c r="M5" s="122" t="s">
        <v>5</v>
      </c>
      <c r="N5" s="122" t="s">
        <v>5</v>
      </c>
      <c r="O5" s="122" t="s">
        <v>5</v>
      </c>
      <c r="P5" s="122" t="s">
        <v>5</v>
      </c>
      <c r="Q5" s="19" t="s">
        <v>42</v>
      </c>
      <c r="R5" s="19" t="s">
        <v>41</v>
      </c>
      <c r="S5" s="116" t="s">
        <v>2</v>
      </c>
      <c r="T5" s="19" t="s">
        <v>41</v>
      </c>
      <c r="U5" s="19" t="s">
        <v>41</v>
      </c>
      <c r="V5" s="19" t="s">
        <v>41</v>
      </c>
      <c r="W5" s="19" t="s">
        <v>42</v>
      </c>
      <c r="X5" s="19" t="s">
        <v>42</v>
      </c>
      <c r="Y5" s="116" t="s">
        <v>2</v>
      </c>
      <c r="Z5" s="116" t="s">
        <v>2</v>
      </c>
      <c r="AA5" s="19" t="s">
        <v>41</v>
      </c>
      <c r="AB5" s="19" t="s">
        <v>41</v>
      </c>
      <c r="AC5" s="19" t="s">
        <v>41</v>
      </c>
      <c r="AD5" s="22" t="s">
        <v>30</v>
      </c>
      <c r="AE5" s="19" t="s">
        <v>42</v>
      </c>
      <c r="AF5" s="19" t="s">
        <v>41</v>
      </c>
      <c r="AG5" s="116" t="s">
        <v>2</v>
      </c>
      <c r="AH5" s="19" t="s">
        <v>41</v>
      </c>
      <c r="AI5" s="19" t="s">
        <v>41</v>
      </c>
      <c r="AJ5" s="19" t="s">
        <v>41</v>
      </c>
      <c r="AM5">
        <f>COUNTIF(F5:AJ5,"C")</f>
        <v>4</v>
      </c>
      <c r="AN5">
        <f>COUNTIF(F5:AJ5,"W*S*")</f>
        <v>5</v>
      </c>
    </row>
    <row r="6" spans="1:40" x14ac:dyDescent="0.35">
      <c r="A6" s="141" t="s">
        <v>69</v>
      </c>
      <c r="B6" s="114" t="s">
        <v>4</v>
      </c>
      <c r="C6" s="25" t="s">
        <v>3</v>
      </c>
      <c r="D6" s="25" t="s">
        <v>6</v>
      </c>
      <c r="E6" s="25" t="s">
        <v>6</v>
      </c>
      <c r="F6" s="19" t="s">
        <v>42</v>
      </c>
      <c r="G6" s="19" t="s">
        <v>41</v>
      </c>
      <c r="H6" s="19" t="s">
        <v>41</v>
      </c>
      <c r="I6" s="19" t="s">
        <v>42</v>
      </c>
      <c r="J6" s="114" t="s">
        <v>4</v>
      </c>
      <c r="K6" s="19" t="s">
        <v>41</v>
      </c>
      <c r="L6" s="19" t="s">
        <v>41</v>
      </c>
      <c r="M6" s="116" t="s">
        <v>2</v>
      </c>
      <c r="N6" s="19" t="s">
        <v>41</v>
      </c>
      <c r="O6" s="19" t="s">
        <v>41</v>
      </c>
      <c r="P6" s="19" t="s">
        <v>42</v>
      </c>
      <c r="Q6" s="114" t="s">
        <v>4</v>
      </c>
      <c r="R6" s="25" t="s">
        <v>6</v>
      </c>
      <c r="S6" s="19" t="s">
        <v>41</v>
      </c>
      <c r="T6" s="116" t="s">
        <v>2</v>
      </c>
      <c r="U6" s="116" t="s">
        <v>2</v>
      </c>
      <c r="V6" s="19" t="s">
        <v>41</v>
      </c>
      <c r="W6" s="19" t="s">
        <v>42</v>
      </c>
      <c r="X6" s="114" t="s">
        <v>4</v>
      </c>
      <c r="Y6" s="19" t="s">
        <v>41</v>
      </c>
      <c r="Z6" s="19" t="s">
        <v>41</v>
      </c>
      <c r="AA6" s="116" t="s">
        <v>2</v>
      </c>
      <c r="AB6" s="19" t="s">
        <v>41</v>
      </c>
      <c r="AC6" s="19" t="s">
        <v>41</v>
      </c>
      <c r="AD6" s="19" t="s">
        <v>42</v>
      </c>
      <c r="AE6" s="114" t="s">
        <v>4</v>
      </c>
      <c r="AF6" s="19" t="s">
        <v>41</v>
      </c>
      <c r="AG6" s="19" t="s">
        <v>41</v>
      </c>
      <c r="AH6" s="116" t="s">
        <v>2</v>
      </c>
      <c r="AI6" s="19" t="s">
        <v>41</v>
      </c>
      <c r="AJ6" s="19" t="s">
        <v>41</v>
      </c>
      <c r="AM6">
        <f>COUNTIF(F6:AJ6,"C")</f>
        <v>5</v>
      </c>
      <c r="AN6">
        <f>COUNTIF(F6:AJ6,"W*S*")</f>
        <v>5</v>
      </c>
    </row>
    <row r="7" spans="1:40" x14ac:dyDescent="0.35">
      <c r="A7" s="141" t="s">
        <v>70</v>
      </c>
      <c r="B7" s="114" t="s">
        <v>4</v>
      </c>
      <c r="C7" s="16" t="s">
        <v>11</v>
      </c>
      <c r="D7" s="16" t="s">
        <v>10</v>
      </c>
      <c r="E7" s="16" t="s">
        <v>10</v>
      </c>
      <c r="F7" s="16" t="s">
        <v>11</v>
      </c>
      <c r="G7" s="116" t="s">
        <v>2</v>
      </c>
      <c r="H7" s="19" t="s">
        <v>41</v>
      </c>
      <c r="I7" s="114" t="s">
        <v>4</v>
      </c>
      <c r="J7" s="19" t="s">
        <v>42</v>
      </c>
      <c r="K7" s="19" t="s">
        <v>41</v>
      </c>
      <c r="L7" s="19" t="s">
        <v>41</v>
      </c>
      <c r="M7" s="19" t="s">
        <v>41</v>
      </c>
      <c r="N7" s="19" t="s">
        <v>41</v>
      </c>
      <c r="O7" s="19" t="s">
        <v>41</v>
      </c>
      <c r="P7" s="114" t="s">
        <v>4</v>
      </c>
      <c r="Q7" s="114" t="s">
        <v>4</v>
      </c>
      <c r="R7" s="19" t="s">
        <v>41</v>
      </c>
      <c r="S7" s="19" t="s">
        <v>41</v>
      </c>
      <c r="T7" s="172" t="s">
        <v>34</v>
      </c>
      <c r="U7" s="19" t="s">
        <v>41</v>
      </c>
      <c r="V7" s="19" t="s">
        <v>41</v>
      </c>
      <c r="W7" s="114" t="s">
        <v>4</v>
      </c>
      <c r="X7" s="114" t="s">
        <v>4</v>
      </c>
      <c r="Y7" s="19" t="s">
        <v>41</v>
      </c>
      <c r="Z7" s="19" t="s">
        <v>41</v>
      </c>
      <c r="AA7" s="19" t="s">
        <v>41</v>
      </c>
      <c r="AB7" s="19" t="s">
        <v>41</v>
      </c>
      <c r="AC7" s="19" t="s">
        <v>41</v>
      </c>
      <c r="AD7" s="114" t="s">
        <v>4</v>
      </c>
      <c r="AE7" s="114" t="s">
        <v>4</v>
      </c>
      <c r="AF7" s="19" t="s">
        <v>41</v>
      </c>
      <c r="AG7" s="19" t="s">
        <v>41</v>
      </c>
      <c r="AH7" s="19" t="s">
        <v>41</v>
      </c>
      <c r="AI7" s="19" t="s">
        <v>41</v>
      </c>
      <c r="AJ7" s="19" t="s">
        <v>41</v>
      </c>
      <c r="AM7">
        <f>COUNTIF(F7:AJ7,"C")</f>
        <v>1</v>
      </c>
      <c r="AN7">
        <f>COUNTIF(F7:AJ7,"W*S*")</f>
        <v>2</v>
      </c>
    </row>
    <row r="8" spans="1:40" x14ac:dyDescent="0.35">
      <c r="A8" s="141" t="s">
        <v>152</v>
      </c>
      <c r="B8" s="16" t="s">
        <v>11</v>
      </c>
      <c r="C8" s="114" t="s">
        <v>4</v>
      </c>
      <c r="D8" s="116" t="s">
        <v>2</v>
      </c>
      <c r="E8" s="25" t="s">
        <v>6</v>
      </c>
      <c r="F8" s="115" t="s">
        <v>37</v>
      </c>
      <c r="G8" s="19" t="s">
        <v>41</v>
      </c>
      <c r="H8" s="19" t="s">
        <v>41</v>
      </c>
      <c r="I8" s="114" t="s">
        <v>4</v>
      </c>
      <c r="J8" s="114" t="s">
        <v>4</v>
      </c>
      <c r="K8" s="19" t="s">
        <v>41</v>
      </c>
      <c r="L8" s="19" t="s">
        <v>41</v>
      </c>
      <c r="M8" s="19" t="s">
        <v>41</v>
      </c>
      <c r="N8" s="22" t="s">
        <v>16</v>
      </c>
      <c r="O8" s="19" t="s">
        <v>41</v>
      </c>
      <c r="P8" s="22" t="s">
        <v>30</v>
      </c>
      <c r="Q8" s="114" t="s">
        <v>4</v>
      </c>
      <c r="R8" s="19" t="s">
        <v>41</v>
      </c>
      <c r="S8" s="19" t="s">
        <v>41</v>
      </c>
      <c r="T8" s="19" t="s">
        <v>41</v>
      </c>
      <c r="U8" s="19" t="s">
        <v>41</v>
      </c>
      <c r="V8" s="19" t="s">
        <v>41</v>
      </c>
      <c r="W8" s="22" t="s">
        <v>30</v>
      </c>
      <c r="X8" s="114" t="s">
        <v>4</v>
      </c>
      <c r="Y8" s="19" t="s">
        <v>41</v>
      </c>
      <c r="Z8" s="19" t="s">
        <v>41</v>
      </c>
      <c r="AA8" s="19" t="s">
        <v>41</v>
      </c>
      <c r="AB8" s="116" t="s">
        <v>2</v>
      </c>
      <c r="AC8" s="19" t="s">
        <v>41</v>
      </c>
      <c r="AD8" s="114" t="s">
        <v>4</v>
      </c>
      <c r="AE8" s="114" t="s">
        <v>4</v>
      </c>
      <c r="AF8" s="19" t="s">
        <v>41</v>
      </c>
      <c r="AG8" s="19" t="s">
        <v>41</v>
      </c>
      <c r="AH8" s="19" t="s">
        <v>41</v>
      </c>
      <c r="AI8" s="19" t="s">
        <v>41</v>
      </c>
      <c r="AJ8" s="19" t="s">
        <v>41</v>
      </c>
      <c r="AM8">
        <f>COUNTIF(F8:AJ8,"C")</f>
        <v>1</v>
      </c>
      <c r="AN8">
        <f>COUNTIF(F8:AJ8,"W*S*")</f>
        <v>2</v>
      </c>
    </row>
    <row r="10" spans="1:40" x14ac:dyDescent="0.35">
      <c r="A10" s="165" t="s">
        <v>9</v>
      </c>
      <c r="B10" s="16" t="s">
        <v>11</v>
      </c>
      <c r="C10" s="16" t="s">
        <v>11</v>
      </c>
      <c r="D10" s="16" t="s">
        <v>10</v>
      </c>
      <c r="E10" s="116" t="s">
        <v>2</v>
      </c>
      <c r="F10" s="115" t="s">
        <v>37</v>
      </c>
      <c r="G10" s="116" t="s">
        <v>2</v>
      </c>
      <c r="H10" s="116" t="s">
        <v>2</v>
      </c>
      <c r="I10" s="25" t="s">
        <v>3</v>
      </c>
      <c r="J10" s="25" t="s">
        <v>3</v>
      </c>
      <c r="K10" s="25" t="s">
        <v>6</v>
      </c>
      <c r="L10" s="25" t="s">
        <v>6</v>
      </c>
      <c r="M10" s="25" t="s">
        <v>6</v>
      </c>
      <c r="N10" s="116" t="s">
        <v>2</v>
      </c>
      <c r="O10" s="116" t="s">
        <v>2</v>
      </c>
      <c r="P10" s="25" t="s">
        <v>3</v>
      </c>
      <c r="Q10" s="25" t="s">
        <v>3</v>
      </c>
      <c r="R10" s="115" t="s">
        <v>37</v>
      </c>
      <c r="S10" s="25" t="s">
        <v>6</v>
      </c>
      <c r="T10" s="116" t="s">
        <v>2</v>
      </c>
      <c r="U10" s="116" t="s">
        <v>2</v>
      </c>
      <c r="V10" s="25" t="s">
        <v>6</v>
      </c>
      <c r="W10" s="122" t="s">
        <v>5</v>
      </c>
      <c r="X10" s="25" t="s">
        <v>3</v>
      </c>
      <c r="Y10" s="25" t="s">
        <v>6</v>
      </c>
      <c r="Z10" s="25" t="s">
        <v>6</v>
      </c>
      <c r="AA10" s="116" t="s">
        <v>2</v>
      </c>
      <c r="AB10" s="25" t="s">
        <v>6</v>
      </c>
      <c r="AC10" s="25" t="s">
        <v>6</v>
      </c>
      <c r="AD10" s="25" t="s">
        <v>3</v>
      </c>
      <c r="AE10" s="25" t="s">
        <v>3</v>
      </c>
      <c r="AF10" s="25" t="s">
        <v>6</v>
      </c>
      <c r="AG10" s="25" t="s">
        <v>6</v>
      </c>
      <c r="AH10" s="25" t="s">
        <v>6</v>
      </c>
      <c r="AI10" s="116" t="s">
        <v>2</v>
      </c>
      <c r="AJ10" s="16" t="s">
        <v>10</v>
      </c>
      <c r="AM10">
        <f>COUNTIF(F10:AI10,"C")</f>
        <v>8</v>
      </c>
      <c r="AN10">
        <f>COUNTIF(F10:AI10,"W*S*")</f>
        <v>7</v>
      </c>
    </row>
    <row r="11" spans="1:40" x14ac:dyDescent="0.35">
      <c r="A11" s="165" t="s">
        <v>124</v>
      </c>
      <c r="B11" s="114" t="s">
        <v>4</v>
      </c>
      <c r="C11" s="19" t="s">
        <v>42</v>
      </c>
      <c r="D11" s="205" t="s">
        <v>16</v>
      </c>
      <c r="E11" s="25" t="s">
        <v>6</v>
      </c>
      <c r="F11" s="115" t="s">
        <v>37</v>
      </c>
      <c r="G11" s="25" t="s">
        <v>6</v>
      </c>
      <c r="H11" s="25" t="s">
        <v>6</v>
      </c>
      <c r="I11" s="114" t="s">
        <v>4</v>
      </c>
      <c r="J11" s="114" t="s">
        <v>4</v>
      </c>
      <c r="K11" s="116" t="s">
        <v>2</v>
      </c>
      <c r="L11" s="25" t="s">
        <v>6</v>
      </c>
      <c r="M11" s="25" t="s">
        <v>6</v>
      </c>
      <c r="N11" s="25" t="s">
        <v>6</v>
      </c>
      <c r="O11" s="25" t="s">
        <v>6</v>
      </c>
      <c r="P11" s="114" t="s">
        <v>4</v>
      </c>
      <c r="Q11" s="25" t="s">
        <v>3</v>
      </c>
      <c r="R11" s="25" t="s">
        <v>6</v>
      </c>
      <c r="S11" s="25" t="s">
        <v>6</v>
      </c>
      <c r="T11" s="116" t="s">
        <v>2</v>
      </c>
      <c r="U11" s="25" t="s">
        <v>6</v>
      </c>
      <c r="V11" s="25" t="s">
        <v>6</v>
      </c>
      <c r="W11" s="25" t="s">
        <v>3</v>
      </c>
      <c r="X11" s="114" t="s">
        <v>4</v>
      </c>
      <c r="Y11" s="116" t="s">
        <v>2</v>
      </c>
      <c r="Z11" s="25" t="s">
        <v>6</v>
      </c>
      <c r="AA11" s="25" t="s">
        <v>6</v>
      </c>
      <c r="AB11" s="25" t="s">
        <v>6</v>
      </c>
      <c r="AC11" s="25" t="s">
        <v>6</v>
      </c>
      <c r="AD11" s="114" t="s">
        <v>4</v>
      </c>
      <c r="AE11" s="114" t="s">
        <v>4</v>
      </c>
      <c r="AF11" s="116" t="s">
        <v>2</v>
      </c>
      <c r="AG11" s="25" t="s">
        <v>6</v>
      </c>
      <c r="AH11" s="25" t="s">
        <v>6</v>
      </c>
      <c r="AI11" s="25" t="s">
        <v>6</v>
      </c>
      <c r="AJ11" s="25" t="s">
        <v>6</v>
      </c>
      <c r="AM11">
        <f>COUNTIF(F12:AJ12,"C")</f>
        <v>6</v>
      </c>
      <c r="AN11">
        <f>COUNTIF(F12:AJ12,"W*S*")</f>
        <v>5</v>
      </c>
    </row>
    <row r="12" spans="1:40" x14ac:dyDescent="0.35">
      <c r="A12" s="141" t="s">
        <v>15</v>
      </c>
      <c r="B12" s="19" t="s">
        <v>42</v>
      </c>
      <c r="C12" s="114" t="s">
        <v>4</v>
      </c>
      <c r="D12" s="19" t="s">
        <v>41</v>
      </c>
      <c r="E12" s="19" t="s">
        <v>41</v>
      </c>
      <c r="F12" s="25" t="s">
        <v>3</v>
      </c>
      <c r="G12" s="116" t="s">
        <v>2</v>
      </c>
      <c r="H12" s="25" t="s">
        <v>6</v>
      </c>
      <c r="I12" s="25" t="s">
        <v>3</v>
      </c>
      <c r="J12" s="25" t="s">
        <v>3</v>
      </c>
      <c r="K12" s="116" t="s">
        <v>2</v>
      </c>
      <c r="L12" s="116" t="s">
        <v>2</v>
      </c>
      <c r="M12" s="25" t="s">
        <v>6</v>
      </c>
      <c r="N12" s="116" t="s">
        <v>2</v>
      </c>
      <c r="O12" s="25" t="s">
        <v>6</v>
      </c>
      <c r="P12" s="114" t="s">
        <v>4</v>
      </c>
      <c r="Q12" s="114" t="s">
        <v>4</v>
      </c>
      <c r="R12" s="115" t="s">
        <v>37</v>
      </c>
      <c r="S12" s="25" t="s">
        <v>6</v>
      </c>
      <c r="T12" s="25" t="s">
        <v>6</v>
      </c>
      <c r="U12" s="25" t="s">
        <v>6</v>
      </c>
      <c r="V12" s="116" t="s">
        <v>2</v>
      </c>
      <c r="W12" s="114" t="s">
        <v>4</v>
      </c>
      <c r="X12" s="122" t="s">
        <v>5</v>
      </c>
      <c r="Y12" s="122" t="s">
        <v>5</v>
      </c>
      <c r="Z12" s="122" t="s">
        <v>5</v>
      </c>
      <c r="AA12" s="122" t="s">
        <v>5</v>
      </c>
      <c r="AB12" s="122" t="s">
        <v>5</v>
      </c>
      <c r="AC12" s="25" t="s">
        <v>6</v>
      </c>
      <c r="AD12" s="25" t="s">
        <v>3</v>
      </c>
      <c r="AE12" s="25" t="s">
        <v>3</v>
      </c>
      <c r="AF12" s="22" t="s">
        <v>16</v>
      </c>
      <c r="AG12" s="116" t="s">
        <v>2</v>
      </c>
      <c r="AH12" s="22" t="s">
        <v>16</v>
      </c>
      <c r="AI12" s="22" t="s">
        <v>16</v>
      </c>
      <c r="AJ12" s="22" t="s">
        <v>16</v>
      </c>
    </row>
    <row r="13" spans="1:40" x14ac:dyDescent="0.35">
      <c r="A13" s="141" t="s">
        <v>71</v>
      </c>
      <c r="B13" s="114" t="s">
        <v>4</v>
      </c>
      <c r="C13" s="19" t="s">
        <v>42</v>
      </c>
      <c r="D13" s="19" t="s">
        <v>41</v>
      </c>
      <c r="E13" s="19" t="s">
        <v>41</v>
      </c>
      <c r="F13" s="25" t="s">
        <v>3</v>
      </c>
      <c r="G13" s="25" t="s">
        <v>6</v>
      </c>
      <c r="H13" s="25" t="s">
        <v>6</v>
      </c>
      <c r="I13" s="22" t="s">
        <v>30</v>
      </c>
      <c r="J13" s="114" t="s">
        <v>4</v>
      </c>
      <c r="K13" s="22" t="s">
        <v>16</v>
      </c>
      <c r="L13" s="116" t="s">
        <v>2</v>
      </c>
      <c r="M13" s="116" t="s">
        <v>2</v>
      </c>
      <c r="N13" s="25" t="s">
        <v>6</v>
      </c>
      <c r="O13" s="25" t="s">
        <v>6</v>
      </c>
      <c r="P13" s="25" t="s">
        <v>3</v>
      </c>
      <c r="Q13" s="114" t="s">
        <v>4</v>
      </c>
      <c r="R13" s="115" t="s">
        <v>37</v>
      </c>
      <c r="S13" s="116" t="s">
        <v>2</v>
      </c>
      <c r="T13" s="25" t="s">
        <v>6</v>
      </c>
      <c r="U13" s="116" t="s">
        <v>2</v>
      </c>
      <c r="V13" s="116" t="s">
        <v>2</v>
      </c>
      <c r="W13" s="25" t="s">
        <v>3</v>
      </c>
      <c r="X13" s="114" t="s">
        <v>4</v>
      </c>
      <c r="Y13" s="25" t="s">
        <v>6</v>
      </c>
      <c r="Z13" s="116" t="s">
        <v>2</v>
      </c>
      <c r="AA13" s="25" t="s">
        <v>6</v>
      </c>
      <c r="AB13" s="25" t="s">
        <v>6</v>
      </c>
      <c r="AC13" s="116" t="s">
        <v>2</v>
      </c>
      <c r="AD13" s="114" t="s">
        <v>4</v>
      </c>
      <c r="AE13" s="114" t="s">
        <v>4</v>
      </c>
      <c r="AF13" s="25" t="s">
        <v>6</v>
      </c>
      <c r="AG13" s="116" t="s">
        <v>2</v>
      </c>
      <c r="AH13" s="25" t="s">
        <v>6</v>
      </c>
      <c r="AI13" s="25" t="s">
        <v>6</v>
      </c>
      <c r="AJ13" s="25" t="s">
        <v>6</v>
      </c>
      <c r="AM13">
        <f>COUNTIF(F13:AJ13,"C")</f>
        <v>8</v>
      </c>
      <c r="AN13">
        <f>COUNTIF(F13:AJ13,"W*S*")</f>
        <v>4</v>
      </c>
    </row>
    <row r="14" spans="1:40" x14ac:dyDescent="0.35">
      <c r="A14" s="141" t="s">
        <v>22</v>
      </c>
      <c r="B14" s="122" t="s">
        <v>5</v>
      </c>
      <c r="C14" s="122" t="s">
        <v>5</v>
      </c>
      <c r="D14" s="122" t="s">
        <v>5</v>
      </c>
      <c r="E14" s="122" t="s">
        <v>5</v>
      </c>
      <c r="F14" s="115" t="s">
        <v>37</v>
      </c>
      <c r="G14" s="122" t="s">
        <v>5</v>
      </c>
      <c r="H14" s="122" t="s">
        <v>5</v>
      </c>
      <c r="I14" s="114" t="s">
        <v>4</v>
      </c>
      <c r="J14" s="114" t="s">
        <v>4</v>
      </c>
      <c r="K14" s="122" t="s">
        <v>5</v>
      </c>
      <c r="L14" s="25" t="s">
        <v>6</v>
      </c>
      <c r="M14" s="25" t="s">
        <v>6</v>
      </c>
      <c r="N14" s="25" t="s">
        <v>6</v>
      </c>
      <c r="O14" s="122" t="s">
        <v>5</v>
      </c>
      <c r="P14" s="122" t="s">
        <v>5</v>
      </c>
      <c r="Q14" s="122" t="s">
        <v>5</v>
      </c>
      <c r="R14" s="122" t="s">
        <v>5</v>
      </c>
      <c r="S14" s="122" t="s">
        <v>5</v>
      </c>
      <c r="T14" s="25" t="s">
        <v>6</v>
      </c>
      <c r="U14" s="25" t="s">
        <v>6</v>
      </c>
      <c r="V14" s="25" t="s">
        <v>6</v>
      </c>
      <c r="W14" s="114" t="s">
        <v>4</v>
      </c>
      <c r="X14" s="25" t="s">
        <v>3</v>
      </c>
      <c r="Y14" s="25" t="s">
        <v>6</v>
      </c>
      <c r="Z14" s="25" t="s">
        <v>6</v>
      </c>
      <c r="AA14" s="25" t="s">
        <v>6</v>
      </c>
      <c r="AB14" s="116" t="s">
        <v>2</v>
      </c>
      <c r="AC14" s="25" t="s">
        <v>6</v>
      </c>
      <c r="AD14" s="114" t="s">
        <v>4</v>
      </c>
      <c r="AE14" s="114" t="s">
        <v>4</v>
      </c>
      <c r="AF14" s="25" t="s">
        <v>6</v>
      </c>
      <c r="AG14" s="25" t="s">
        <v>6</v>
      </c>
      <c r="AH14" s="116" t="s">
        <v>2</v>
      </c>
      <c r="AI14" s="25" t="s">
        <v>6</v>
      </c>
      <c r="AJ14" s="19" t="s">
        <v>41</v>
      </c>
      <c r="AM14">
        <f>COUNTIF(F14:AJ14,"C")</f>
        <v>2</v>
      </c>
      <c r="AN14">
        <f>COUNTIF(F14:AJ14,"W*S*")</f>
        <v>1</v>
      </c>
    </row>
    <row r="15" spans="1:40" x14ac:dyDescent="0.35">
      <c r="A15" s="141" t="s">
        <v>149</v>
      </c>
      <c r="B15" s="22" t="s">
        <v>30</v>
      </c>
      <c r="C15" s="114" t="s">
        <v>4</v>
      </c>
      <c r="D15" s="19" t="s">
        <v>41</v>
      </c>
      <c r="E15" s="19" t="s">
        <v>41</v>
      </c>
      <c r="F15" s="25" t="s">
        <v>3</v>
      </c>
      <c r="G15" s="25" t="s">
        <v>6</v>
      </c>
      <c r="H15" s="19" t="s">
        <v>41</v>
      </c>
      <c r="I15" s="114" t="s">
        <v>4</v>
      </c>
      <c r="J15" s="114" t="s">
        <v>4</v>
      </c>
      <c r="K15" s="25" t="s">
        <v>6</v>
      </c>
      <c r="L15" s="25" t="s">
        <v>6</v>
      </c>
      <c r="M15" s="122" t="s">
        <v>34</v>
      </c>
      <c r="N15" s="25" t="s">
        <v>6</v>
      </c>
      <c r="O15" s="19" t="s">
        <v>41</v>
      </c>
      <c r="P15" s="114" t="s">
        <v>4</v>
      </c>
      <c r="Q15" s="114" t="s">
        <v>4</v>
      </c>
      <c r="R15" s="25" t="s">
        <v>6</v>
      </c>
      <c r="S15" s="25" t="s">
        <v>6</v>
      </c>
      <c r="T15" s="25" t="s">
        <v>6</v>
      </c>
      <c r="U15" s="25" t="s">
        <v>6</v>
      </c>
      <c r="V15" s="25" t="s">
        <v>6</v>
      </c>
      <c r="W15" s="114" t="s">
        <v>4</v>
      </c>
      <c r="X15" s="114" t="s">
        <v>4</v>
      </c>
      <c r="Y15" s="25" t="s">
        <v>6</v>
      </c>
      <c r="Z15" s="25" t="s">
        <v>6</v>
      </c>
      <c r="AA15" s="25" t="s">
        <v>6</v>
      </c>
      <c r="AB15" s="25" t="s">
        <v>6</v>
      </c>
      <c r="AC15" s="25" t="s">
        <v>6</v>
      </c>
      <c r="AD15" s="114" t="s">
        <v>4</v>
      </c>
      <c r="AE15" s="114" t="s">
        <v>4</v>
      </c>
      <c r="AF15" s="25" t="s">
        <v>6</v>
      </c>
      <c r="AG15" s="25" t="s">
        <v>6</v>
      </c>
      <c r="AH15" s="25" t="s">
        <v>6</v>
      </c>
      <c r="AI15" s="25" t="s">
        <v>6</v>
      </c>
      <c r="AJ15" s="25" t="s">
        <v>6</v>
      </c>
      <c r="AM15">
        <f>COUNTIF(F15:AJ15,"C")</f>
        <v>0</v>
      </c>
      <c r="AN15">
        <f>COUNTIF(F15:AJ15,"W*S*")</f>
        <v>1</v>
      </c>
    </row>
    <row r="16" spans="1:40" x14ac:dyDescent="0.35">
      <c r="AM16">
        <f>COUNTIF(F11:AJ11,"C")</f>
        <v>4</v>
      </c>
      <c r="AN16">
        <f>COUNTIF(F11:AJ11,"W*S*")</f>
        <v>2</v>
      </c>
    </row>
    <row r="17" spans="1:40" x14ac:dyDescent="0.35">
      <c r="A17" s="165" t="s">
        <v>57</v>
      </c>
      <c r="B17" s="25" t="s">
        <v>3</v>
      </c>
      <c r="C17" s="114" t="s">
        <v>4</v>
      </c>
      <c r="D17" s="116" t="s">
        <v>2</v>
      </c>
      <c r="E17" s="16" t="s">
        <v>10</v>
      </c>
      <c r="F17" s="16" t="s">
        <v>11</v>
      </c>
      <c r="G17" s="16" t="s">
        <v>10</v>
      </c>
      <c r="H17" s="16" t="s">
        <v>10</v>
      </c>
      <c r="I17" s="16" t="s">
        <v>11</v>
      </c>
      <c r="J17" s="114" t="s">
        <v>4</v>
      </c>
      <c r="K17" s="116" t="s">
        <v>2</v>
      </c>
      <c r="L17" s="16" t="s">
        <v>10</v>
      </c>
      <c r="M17" s="16" t="s">
        <v>10</v>
      </c>
      <c r="N17" s="16" t="s">
        <v>10</v>
      </c>
      <c r="O17" s="16" t="s">
        <v>10</v>
      </c>
      <c r="P17" s="16" t="s">
        <v>11</v>
      </c>
      <c r="Q17" s="114" t="s">
        <v>4</v>
      </c>
      <c r="R17" s="116" t="s">
        <v>2</v>
      </c>
      <c r="S17" s="122" t="s">
        <v>5</v>
      </c>
      <c r="T17" s="122" t="s">
        <v>5</v>
      </c>
      <c r="U17" s="16" t="s">
        <v>10</v>
      </c>
      <c r="V17" s="16" t="s">
        <v>10</v>
      </c>
      <c r="W17" s="16" t="s">
        <v>11</v>
      </c>
      <c r="X17" s="114" t="s">
        <v>4</v>
      </c>
      <c r="Y17" s="116" t="s">
        <v>2</v>
      </c>
      <c r="Z17" s="16" t="s">
        <v>10</v>
      </c>
      <c r="AA17" s="16" t="s">
        <v>10</v>
      </c>
      <c r="AB17" s="16" t="s">
        <v>10</v>
      </c>
      <c r="AC17" s="16" t="s">
        <v>10</v>
      </c>
      <c r="AD17" s="16" t="s">
        <v>11</v>
      </c>
      <c r="AE17" s="114" t="s">
        <v>4</v>
      </c>
      <c r="AF17" s="116" t="s">
        <v>2</v>
      </c>
      <c r="AG17" s="16" t="s">
        <v>10</v>
      </c>
      <c r="AH17" s="16" t="s">
        <v>10</v>
      </c>
      <c r="AI17" s="122" t="s">
        <v>5</v>
      </c>
      <c r="AJ17" s="122" t="s">
        <v>5</v>
      </c>
      <c r="AM17">
        <f>COUNTIF(F17:AJ17,"C")</f>
        <v>4</v>
      </c>
      <c r="AN17">
        <f>COUNTIF(F17:AJ17,"W*S*")</f>
        <v>5</v>
      </c>
    </row>
    <row r="18" spans="1:40" x14ac:dyDescent="0.35">
      <c r="A18" s="165" t="s">
        <v>43</v>
      </c>
      <c r="B18" s="16" t="s">
        <v>11</v>
      </c>
      <c r="C18" s="114" t="s">
        <v>4</v>
      </c>
      <c r="D18" s="116" t="s">
        <v>2</v>
      </c>
      <c r="E18" s="25" t="s">
        <v>6</v>
      </c>
      <c r="F18" s="19" t="s">
        <v>42</v>
      </c>
      <c r="G18" s="16" t="s">
        <v>10</v>
      </c>
      <c r="H18" s="116" t="s">
        <v>2</v>
      </c>
      <c r="I18" s="114" t="s">
        <v>4</v>
      </c>
      <c r="J18" s="16" t="s">
        <v>11</v>
      </c>
      <c r="K18" s="16" t="s">
        <v>10</v>
      </c>
      <c r="L18" s="16" t="s">
        <v>10</v>
      </c>
      <c r="M18" s="116" t="s">
        <v>2</v>
      </c>
      <c r="N18" s="16" t="s">
        <v>10</v>
      </c>
      <c r="O18" s="116" t="s">
        <v>2</v>
      </c>
      <c r="P18" s="114" t="s">
        <v>4</v>
      </c>
      <c r="Q18" s="16" t="s">
        <v>11</v>
      </c>
      <c r="R18" s="16" t="s">
        <v>10</v>
      </c>
      <c r="S18" s="16" t="s">
        <v>10</v>
      </c>
      <c r="T18" s="16" t="s">
        <v>10</v>
      </c>
      <c r="U18" s="16" t="s">
        <v>10</v>
      </c>
      <c r="V18" s="116" t="s">
        <v>2</v>
      </c>
      <c r="W18" s="114" t="s">
        <v>4</v>
      </c>
      <c r="X18" s="16" t="s">
        <v>11</v>
      </c>
      <c r="Y18" s="16" t="s">
        <v>10</v>
      </c>
      <c r="Z18" s="16" t="s">
        <v>10</v>
      </c>
      <c r="AA18" s="16" t="s">
        <v>10</v>
      </c>
      <c r="AB18" s="16" t="s">
        <v>10</v>
      </c>
      <c r="AC18" s="116" t="s">
        <v>2</v>
      </c>
      <c r="AD18" s="114" t="s">
        <v>4</v>
      </c>
      <c r="AE18" s="16" t="s">
        <v>11</v>
      </c>
      <c r="AF18" s="16" t="s">
        <v>10</v>
      </c>
      <c r="AG18" s="16" t="s">
        <v>10</v>
      </c>
      <c r="AH18" s="16" t="s">
        <v>10</v>
      </c>
      <c r="AI18" s="16" t="s">
        <v>10</v>
      </c>
      <c r="AJ18" s="116" t="s">
        <v>2</v>
      </c>
      <c r="AM18">
        <f>COUNTIF(F18:AJ18,"C")</f>
        <v>6</v>
      </c>
      <c r="AN18">
        <f>COUNTIF(F18:AJ18,"W*S*")</f>
        <v>5</v>
      </c>
    </row>
    <row r="19" spans="1:40" x14ac:dyDescent="0.35">
      <c r="A19" s="141" t="s">
        <v>68</v>
      </c>
      <c r="B19" s="25" t="s">
        <v>3</v>
      </c>
      <c r="C19" s="114" t="s">
        <v>4</v>
      </c>
      <c r="D19" s="25" t="s">
        <v>6</v>
      </c>
      <c r="E19" s="16" t="s">
        <v>10</v>
      </c>
      <c r="F19" s="16" t="s">
        <v>11</v>
      </c>
      <c r="G19" s="116" t="s">
        <v>2</v>
      </c>
      <c r="H19" s="16" t="s">
        <v>10</v>
      </c>
      <c r="I19" s="114" t="s">
        <v>4</v>
      </c>
      <c r="J19" s="16" t="s">
        <v>11</v>
      </c>
      <c r="K19" s="16" t="s">
        <v>10</v>
      </c>
      <c r="L19" s="116" t="s">
        <v>2</v>
      </c>
      <c r="M19" s="16" t="s">
        <v>10</v>
      </c>
      <c r="N19" s="16" t="s">
        <v>10</v>
      </c>
      <c r="O19" s="16" t="s">
        <v>10</v>
      </c>
      <c r="P19" s="114" t="s">
        <v>4</v>
      </c>
      <c r="Q19" s="16" t="s">
        <v>11</v>
      </c>
      <c r="R19" s="16" t="s">
        <v>10</v>
      </c>
      <c r="S19" s="116" t="s">
        <v>2</v>
      </c>
      <c r="T19" s="16" t="s">
        <v>10</v>
      </c>
      <c r="U19" s="16" t="s">
        <v>10</v>
      </c>
      <c r="V19" s="16" t="s">
        <v>10</v>
      </c>
      <c r="W19" s="114" t="s">
        <v>4</v>
      </c>
      <c r="X19" s="16" t="s">
        <v>11</v>
      </c>
      <c r="Y19" s="16" t="s">
        <v>10</v>
      </c>
      <c r="Z19" s="116" t="s">
        <v>2</v>
      </c>
      <c r="AA19" s="16" t="s">
        <v>10</v>
      </c>
      <c r="AB19" s="16" t="s">
        <v>10</v>
      </c>
      <c r="AC19" s="16" t="s">
        <v>10</v>
      </c>
      <c r="AD19" s="114" t="s">
        <v>4</v>
      </c>
      <c r="AE19" s="16" t="s">
        <v>11</v>
      </c>
      <c r="AF19" s="16" t="s">
        <v>10</v>
      </c>
      <c r="AG19" s="116" t="s">
        <v>2</v>
      </c>
      <c r="AH19" s="16" t="s">
        <v>10</v>
      </c>
      <c r="AI19" s="16" t="s">
        <v>10</v>
      </c>
      <c r="AJ19" s="16" t="s">
        <v>10</v>
      </c>
      <c r="AM19">
        <f>COUNTIF(F19:AJ19,"C")</f>
        <v>5</v>
      </c>
      <c r="AN19">
        <f>COUNTIF(F19:AJ19,"W*S*")</f>
        <v>5</v>
      </c>
    </row>
    <row r="20" spans="1:40" x14ac:dyDescent="0.35">
      <c r="A20" s="141" t="s">
        <v>60</v>
      </c>
      <c r="B20" s="114" t="s">
        <v>4</v>
      </c>
      <c r="C20" s="25" t="s">
        <v>3</v>
      </c>
      <c r="D20" s="25" t="s">
        <v>6</v>
      </c>
      <c r="E20" s="122" t="s">
        <v>5</v>
      </c>
      <c r="F20" s="122" t="s">
        <v>5</v>
      </c>
      <c r="G20" s="122" t="s">
        <v>5</v>
      </c>
      <c r="H20" s="16" t="s">
        <v>10</v>
      </c>
      <c r="I20" s="16" t="s">
        <v>11</v>
      </c>
      <c r="J20" s="114" t="s">
        <v>4</v>
      </c>
      <c r="K20" s="16" t="s">
        <v>10</v>
      </c>
      <c r="L20" s="16" t="s">
        <v>10</v>
      </c>
      <c r="M20" s="16" t="s">
        <v>10</v>
      </c>
      <c r="N20" s="16" t="s">
        <v>10</v>
      </c>
      <c r="O20" s="16" t="s">
        <v>10</v>
      </c>
      <c r="P20" s="16" t="s">
        <v>11</v>
      </c>
      <c r="Q20" s="114" t="s">
        <v>4</v>
      </c>
      <c r="R20" s="16" t="s">
        <v>10</v>
      </c>
      <c r="S20" s="16" t="s">
        <v>10</v>
      </c>
      <c r="T20" s="116" t="s">
        <v>2</v>
      </c>
      <c r="U20" s="16" t="s">
        <v>10</v>
      </c>
      <c r="V20" s="16" t="s">
        <v>10</v>
      </c>
      <c r="W20" s="16" t="s">
        <v>11</v>
      </c>
      <c r="X20" s="114" t="s">
        <v>4</v>
      </c>
      <c r="Y20" s="16" t="s">
        <v>10</v>
      </c>
      <c r="Z20" s="16" t="s">
        <v>10</v>
      </c>
      <c r="AA20" s="116" t="s">
        <v>2</v>
      </c>
      <c r="AB20" s="16" t="s">
        <v>10</v>
      </c>
      <c r="AC20" s="16" t="s">
        <v>10</v>
      </c>
      <c r="AD20" s="16" t="s">
        <v>11</v>
      </c>
      <c r="AE20" s="114" t="s">
        <v>4</v>
      </c>
      <c r="AF20" s="16" t="s">
        <v>10</v>
      </c>
      <c r="AG20" s="16" t="s">
        <v>10</v>
      </c>
      <c r="AH20" s="116" t="s">
        <v>2</v>
      </c>
      <c r="AI20" s="16" t="s">
        <v>10</v>
      </c>
      <c r="AJ20" s="16" t="s">
        <v>10</v>
      </c>
      <c r="AM20">
        <f>COUNTIF(F20:AJ20,"C")</f>
        <v>3</v>
      </c>
      <c r="AN20">
        <f>COUNTIF(F20:AJ20,"W*S*")</f>
        <v>4</v>
      </c>
    </row>
    <row r="21" spans="1:40" x14ac:dyDescent="0.35">
      <c r="A21" s="141" t="s">
        <v>308</v>
      </c>
      <c r="B21" s="114" t="s">
        <v>4</v>
      </c>
      <c r="C21" s="114" t="s">
        <v>4</v>
      </c>
      <c r="D21" s="205" t="s">
        <v>16</v>
      </c>
      <c r="E21" s="205" t="s">
        <v>16</v>
      </c>
      <c r="F21" s="115" t="s">
        <v>37</v>
      </c>
      <c r="G21" s="16" t="s">
        <v>10</v>
      </c>
      <c r="H21" s="16" t="s">
        <v>10</v>
      </c>
      <c r="I21" s="16" t="s">
        <v>11</v>
      </c>
      <c r="J21" s="114" t="s">
        <v>4</v>
      </c>
      <c r="K21" s="16" t="s">
        <v>10</v>
      </c>
      <c r="L21" s="16" t="s">
        <v>10</v>
      </c>
      <c r="M21" s="16" t="s">
        <v>10</v>
      </c>
      <c r="N21" s="116" t="s">
        <v>2</v>
      </c>
      <c r="O21" s="16" t="s">
        <v>10</v>
      </c>
      <c r="P21" s="16" t="s">
        <v>11</v>
      </c>
      <c r="Q21" s="114" t="s">
        <v>4</v>
      </c>
      <c r="R21" s="16" t="s">
        <v>10</v>
      </c>
      <c r="S21" s="16" t="s">
        <v>10</v>
      </c>
      <c r="T21" s="16" t="s">
        <v>10</v>
      </c>
      <c r="U21" s="116" t="s">
        <v>2</v>
      </c>
      <c r="V21" s="16" t="s">
        <v>10</v>
      </c>
      <c r="W21" s="16" t="s">
        <v>11</v>
      </c>
      <c r="X21" s="114" t="s">
        <v>4</v>
      </c>
      <c r="Y21" s="16" t="s">
        <v>10</v>
      </c>
      <c r="Z21" s="16" t="s">
        <v>10</v>
      </c>
      <c r="AA21" s="16" t="s">
        <v>10</v>
      </c>
      <c r="AB21" s="116" t="s">
        <v>2</v>
      </c>
      <c r="AC21" s="16" t="s">
        <v>10</v>
      </c>
      <c r="AD21" s="16" t="s">
        <v>11</v>
      </c>
      <c r="AE21" s="114" t="s">
        <v>4</v>
      </c>
      <c r="AF21" s="16" t="s">
        <v>10</v>
      </c>
      <c r="AG21" s="16" t="s">
        <v>10</v>
      </c>
      <c r="AH21" s="16" t="s">
        <v>10</v>
      </c>
      <c r="AI21" s="116" t="s">
        <v>2</v>
      </c>
      <c r="AJ21" s="16" t="s">
        <v>10</v>
      </c>
      <c r="AM21">
        <f>COUNTIF(F21:AJ21,"C")</f>
        <v>4</v>
      </c>
      <c r="AN21">
        <f>COUNTIF(F21:AJ21,"W*S*")</f>
        <v>4</v>
      </c>
    </row>
    <row r="22" spans="1:40" x14ac:dyDescent="0.35">
      <c r="I22" s="114" t="s">
        <v>4</v>
      </c>
      <c r="J22" s="114" t="s">
        <v>4</v>
      </c>
    </row>
    <row r="24" spans="1:40" x14ac:dyDescent="0.35">
      <c r="A24" s="128" t="s">
        <v>125</v>
      </c>
      <c r="B24">
        <f>COUNTIF(B4:B21,"*MS")</f>
        <v>2</v>
      </c>
      <c r="C24">
        <f>COUNTIF(C4:C21,"*MS")</f>
        <v>2</v>
      </c>
      <c r="D24">
        <f>COUNTIF(D4:D21,"*MS")</f>
        <v>3</v>
      </c>
      <c r="E24">
        <f t="shared" ref="E24:H24" si="1">COUNTIF(E4:E21,"*MS")</f>
        <v>4</v>
      </c>
      <c r="F24">
        <f t="shared" si="1"/>
        <v>3</v>
      </c>
      <c r="G24">
        <f t="shared" si="1"/>
        <v>3</v>
      </c>
      <c r="H24">
        <f t="shared" si="1"/>
        <v>3</v>
      </c>
      <c r="I24">
        <f>COUNTIF(I4:I21,"*MS")</f>
        <v>2</v>
      </c>
      <c r="J24">
        <f>COUNTIF(J4:J21,"*MS")</f>
        <v>2</v>
      </c>
      <c r="K24">
        <f>COUNTIF(K4:K21,"*MS")</f>
        <v>2</v>
      </c>
      <c r="L24">
        <f t="shared" ref="L24:O24" si="2">COUNTIF(L4:L21,"*MS")</f>
        <v>4</v>
      </c>
      <c r="M24">
        <f t="shared" si="2"/>
        <v>4</v>
      </c>
      <c r="N24">
        <f t="shared" si="2"/>
        <v>4</v>
      </c>
      <c r="O24">
        <f t="shared" si="2"/>
        <v>3</v>
      </c>
      <c r="P24">
        <f>COUNTIF(P4:P21,"*MS")</f>
        <v>2</v>
      </c>
      <c r="Q24">
        <f>COUNTIF(Q4:Q21,"*MS")</f>
        <v>2</v>
      </c>
      <c r="R24">
        <f>COUNTIF(R4:R21,"*MS")</f>
        <v>3</v>
      </c>
      <c r="S24">
        <f t="shared" ref="S24:V24" si="3">COUNTIF(S4:S21,"*MS")</f>
        <v>4</v>
      </c>
      <c r="T24">
        <f t="shared" si="3"/>
        <v>4</v>
      </c>
      <c r="U24">
        <f t="shared" si="3"/>
        <v>4</v>
      </c>
      <c r="V24">
        <f t="shared" si="3"/>
        <v>4</v>
      </c>
      <c r="W24">
        <f>COUNTIF(W4:W21,"*MS")</f>
        <v>2</v>
      </c>
      <c r="X24">
        <f>COUNTIF(X4:X21,"*MS")</f>
        <v>2</v>
      </c>
      <c r="Y24">
        <f>COUNTIF(Y4:Y21,"*MS")</f>
        <v>4</v>
      </c>
      <c r="Z24">
        <f t="shared" ref="Z24:AC24" si="4">COUNTIF(Z4:Z21,"*MS")</f>
        <v>4</v>
      </c>
      <c r="AA24">
        <f t="shared" si="4"/>
        <v>4</v>
      </c>
      <c r="AB24">
        <f t="shared" si="4"/>
        <v>4</v>
      </c>
      <c r="AC24">
        <f t="shared" si="4"/>
        <v>5</v>
      </c>
      <c r="AD24">
        <f>COUNTIF(AD4:AD21,"*MS")</f>
        <v>2</v>
      </c>
      <c r="AE24">
        <f>COUNTIF(AE4:AE21,"*MS")</f>
        <v>2</v>
      </c>
      <c r="AF24">
        <f>COUNTIF(AF4:AF21,"*MS")</f>
        <v>4</v>
      </c>
      <c r="AG24">
        <f t="shared" ref="AG24:AJ24" si="5">COUNTIF(AG4:AG21,"*MS")</f>
        <v>4</v>
      </c>
      <c r="AH24">
        <f t="shared" si="5"/>
        <v>4</v>
      </c>
      <c r="AI24">
        <f t="shared" si="5"/>
        <v>4</v>
      </c>
      <c r="AJ24">
        <f t="shared" si="5"/>
        <v>3</v>
      </c>
    </row>
    <row r="25" spans="1:40" x14ac:dyDescent="0.35">
      <c r="A25" s="128" t="s">
        <v>126</v>
      </c>
      <c r="B25">
        <f>COUNTIF(B4:B21,"*ASS1")</f>
        <v>2</v>
      </c>
      <c r="C25">
        <f>COUNTIF(C4:C21,"*ASS1")</f>
        <v>2</v>
      </c>
      <c r="D25">
        <f>COUNTIF(D4:D21,"*ASS1")</f>
        <v>3</v>
      </c>
      <c r="E25">
        <f t="shared" ref="E25:H25" si="6">COUNTIF(E4:E21,"*ASS1")</f>
        <v>4</v>
      </c>
      <c r="F25">
        <f t="shared" si="6"/>
        <v>3</v>
      </c>
      <c r="G25">
        <f t="shared" si="6"/>
        <v>3</v>
      </c>
      <c r="H25">
        <f t="shared" si="6"/>
        <v>4</v>
      </c>
      <c r="I25">
        <f>COUNTIF(I4:I21,"*ASS1")</f>
        <v>2</v>
      </c>
      <c r="J25">
        <f>COUNTIF(J4:J21,"*ASS1")</f>
        <v>2</v>
      </c>
      <c r="K25">
        <f>COUNTIF(K4:K21,"*ASS1")</f>
        <v>3</v>
      </c>
      <c r="L25">
        <f t="shared" ref="L25:O25" si="7">COUNTIF(L4:L21,"*ASS1")</f>
        <v>4</v>
      </c>
      <c r="M25">
        <f t="shared" si="7"/>
        <v>3</v>
      </c>
      <c r="N25">
        <f t="shared" si="7"/>
        <v>3</v>
      </c>
      <c r="O25">
        <f t="shared" si="7"/>
        <v>4</v>
      </c>
      <c r="P25">
        <f>COUNTIF(P4:P21,"*ASS1")</f>
        <v>2</v>
      </c>
      <c r="Q25">
        <f>COUNTIF(Q4:Q21,"*ASS1")</f>
        <v>2</v>
      </c>
      <c r="R25">
        <f>COUNTIF(R4:R21,"*ASS1")</f>
        <v>3</v>
      </c>
      <c r="S25">
        <f t="shared" ref="S25:V25" si="8">COUNTIF(S4:S21,"*ASS1")</f>
        <v>4</v>
      </c>
      <c r="T25">
        <f t="shared" si="8"/>
        <v>3</v>
      </c>
      <c r="U25">
        <f t="shared" si="8"/>
        <v>4</v>
      </c>
      <c r="V25">
        <f t="shared" si="8"/>
        <v>4</v>
      </c>
      <c r="W25">
        <f>COUNTIF(W4:W21,"*ASS1")</f>
        <v>2</v>
      </c>
      <c r="X25">
        <f>COUNTIF(X4:X21,"*ASS1")</f>
        <v>2</v>
      </c>
      <c r="Y25">
        <f>COUNTIF(Y4:Y21,"*ASS1")</f>
        <v>3</v>
      </c>
      <c r="Z25">
        <f t="shared" ref="Z25:AC25" si="9">COUNTIF(Z4:Z21,"*ASS1")</f>
        <v>4</v>
      </c>
      <c r="AA25">
        <f t="shared" si="9"/>
        <v>4</v>
      </c>
      <c r="AB25">
        <f t="shared" si="9"/>
        <v>4</v>
      </c>
      <c r="AC25">
        <f t="shared" si="9"/>
        <v>4</v>
      </c>
      <c r="AD25">
        <f>COUNTIF(AD4:AD21,"*ASS1")</f>
        <v>2</v>
      </c>
      <c r="AE25">
        <f>COUNTIF(AE4:AE21,"*ASS1")</f>
        <v>2</v>
      </c>
      <c r="AF25">
        <f>COUNTIF(AF4:AF21,"*ASS1")</f>
        <v>4</v>
      </c>
      <c r="AG25">
        <f t="shared" ref="AG25:AJ25" si="10">COUNTIF(AG4:AG21,"*ASS1")</f>
        <v>4</v>
      </c>
      <c r="AH25">
        <f t="shared" si="10"/>
        <v>4</v>
      </c>
      <c r="AI25">
        <f t="shared" si="10"/>
        <v>5</v>
      </c>
      <c r="AJ25">
        <f t="shared" si="10"/>
        <v>5</v>
      </c>
    </row>
    <row r="26" spans="1:40" x14ac:dyDescent="0.35">
      <c r="A26" s="128" t="s">
        <v>127</v>
      </c>
      <c r="B26">
        <f>COUNTIF(B4:B21,"*NST7")</f>
        <v>3</v>
      </c>
      <c r="C26">
        <f>COUNTIF(C4:C21,"*NST7")</f>
        <v>3</v>
      </c>
      <c r="D26">
        <f>COUNTIF(D4:D21,"*NST7")</f>
        <v>3</v>
      </c>
      <c r="E26">
        <f t="shared" ref="E26:H26" si="11">COUNTIF(E4:E21,"*NST7")</f>
        <v>4</v>
      </c>
      <c r="F26">
        <f t="shared" si="11"/>
        <v>3</v>
      </c>
      <c r="G26">
        <f t="shared" si="11"/>
        <v>3</v>
      </c>
      <c r="H26">
        <f t="shared" si="11"/>
        <v>4</v>
      </c>
      <c r="I26">
        <f>COUNTIF(I4:I21,"*NST7")</f>
        <v>3</v>
      </c>
      <c r="J26">
        <f>COUNTIF(J4:J21,"*NST7")</f>
        <v>2</v>
      </c>
      <c r="K26">
        <f>COUNTIF(K4:K21,"*NST7")</f>
        <v>4</v>
      </c>
      <c r="L26">
        <f t="shared" ref="L26:O26" si="12">COUNTIF(L4:L21,"*NST7")</f>
        <v>4</v>
      </c>
      <c r="M26">
        <f t="shared" si="12"/>
        <v>4</v>
      </c>
      <c r="N26">
        <f t="shared" si="12"/>
        <v>4</v>
      </c>
      <c r="O26">
        <f t="shared" si="12"/>
        <v>4</v>
      </c>
      <c r="P26">
        <f>COUNTIF(P4:P21,"*NST7")</f>
        <v>3</v>
      </c>
      <c r="Q26">
        <f>COUNTIF(Q4:Q21,"*NST7")</f>
        <v>2</v>
      </c>
      <c r="R26">
        <f>COUNTIF(R4:R21,"*NST7")</f>
        <v>4</v>
      </c>
      <c r="S26">
        <f t="shared" ref="S26:V26" si="13">COUNTIF(S4:S21,"*NST7")</f>
        <v>3</v>
      </c>
      <c r="T26">
        <f t="shared" si="13"/>
        <v>3</v>
      </c>
      <c r="U26">
        <f t="shared" si="13"/>
        <v>4</v>
      </c>
      <c r="V26">
        <f t="shared" si="13"/>
        <v>4</v>
      </c>
      <c r="W26">
        <f>COUNTIF(W4:W21,"*NST7")</f>
        <v>3</v>
      </c>
      <c r="X26">
        <f>COUNTIF(X4:X21,"*NST7")</f>
        <v>2</v>
      </c>
      <c r="Y26">
        <f>COUNTIF(Y4:Y21,"*NST7")</f>
        <v>4</v>
      </c>
      <c r="Z26">
        <f t="shared" ref="Z26:AC26" si="14">COUNTIF(Z4:Z21,"*NST7")</f>
        <v>4</v>
      </c>
      <c r="AA26">
        <f t="shared" si="14"/>
        <v>4</v>
      </c>
      <c r="AB26">
        <f t="shared" si="14"/>
        <v>4</v>
      </c>
      <c r="AC26">
        <f t="shared" si="14"/>
        <v>4</v>
      </c>
      <c r="AD26">
        <f>COUNTIF(AD4:AD21,"*NST7")</f>
        <v>3</v>
      </c>
      <c r="AE26">
        <f>COUNTIF(AE4:AE21,"*NST7")</f>
        <v>2</v>
      </c>
      <c r="AF26">
        <f>COUNTIF(AF4:AF21,"*NST7")</f>
        <v>4</v>
      </c>
      <c r="AG26">
        <f t="shared" ref="AG26:AJ26" si="15">COUNTIF(AG4:AG21,"*NST7")</f>
        <v>4</v>
      </c>
      <c r="AH26">
        <f t="shared" si="15"/>
        <v>4</v>
      </c>
      <c r="AI26">
        <f t="shared" si="15"/>
        <v>3</v>
      </c>
      <c r="AJ26">
        <f t="shared" si="15"/>
        <v>4</v>
      </c>
    </row>
    <row r="27" spans="1:40" x14ac:dyDescent="0.35">
      <c r="A27" s="128" t="s">
        <v>128</v>
      </c>
      <c r="B27">
        <f>COUNTIF(B4:B21,"*GS")</f>
        <v>1</v>
      </c>
      <c r="C27">
        <f>COUNTIF(C4:C21,"*GS")</f>
        <v>0</v>
      </c>
      <c r="D27">
        <f>COUNTIF(D4:D21,"*GS")</f>
        <v>3</v>
      </c>
      <c r="E27">
        <f t="shared" ref="E27:H27" si="16">COUNTIF(E4:E21,"*GS")</f>
        <v>1</v>
      </c>
      <c r="F27">
        <f t="shared" si="16"/>
        <v>0</v>
      </c>
      <c r="G27">
        <f t="shared" si="16"/>
        <v>0</v>
      </c>
      <c r="H27">
        <f t="shared" si="16"/>
        <v>0</v>
      </c>
      <c r="I27">
        <f>COUNTIF(I4:I21,"*GS")</f>
        <v>1</v>
      </c>
      <c r="J27">
        <f>COUNTIF(J4:J21,"*GS")</f>
        <v>0</v>
      </c>
      <c r="K27">
        <f>COUNTIF(K4:K21,"*GS")</f>
        <v>1</v>
      </c>
      <c r="L27">
        <f t="shared" ref="L27:O27" si="17">COUNTIF(L4:L21,"*GS")</f>
        <v>0</v>
      </c>
      <c r="M27">
        <f t="shared" si="17"/>
        <v>0</v>
      </c>
      <c r="N27">
        <f t="shared" si="17"/>
        <v>1</v>
      </c>
      <c r="O27">
        <f t="shared" si="17"/>
        <v>0</v>
      </c>
      <c r="P27">
        <f>COUNTIF(P4:P21,"*GS")</f>
        <v>1</v>
      </c>
      <c r="Q27">
        <f>COUNTIF(Q4:Q21,"*GS")</f>
        <v>0</v>
      </c>
      <c r="R27">
        <f>COUNTIF(R4:R21,"*GS")</f>
        <v>0</v>
      </c>
      <c r="S27">
        <f t="shared" ref="S27:V27" si="18">COUNTIF(S4:S21,"*GS")</f>
        <v>0</v>
      </c>
      <c r="T27">
        <f t="shared" si="18"/>
        <v>0</v>
      </c>
      <c r="U27">
        <f t="shared" si="18"/>
        <v>0</v>
      </c>
      <c r="V27">
        <f t="shared" si="18"/>
        <v>0</v>
      </c>
      <c r="W27">
        <f>COUNTIF(W4:W21,"*GS")</f>
        <v>1</v>
      </c>
      <c r="X27">
        <f>COUNTIF(X4:X21,"*GS")</f>
        <v>0</v>
      </c>
      <c r="Y27">
        <f>COUNTIF(Y4:Y21,"*GS")</f>
        <v>0</v>
      </c>
      <c r="Z27">
        <f t="shared" ref="Z27:AC27" si="19">COUNTIF(Z4:Z21,"*GS")</f>
        <v>0</v>
      </c>
      <c r="AA27">
        <f t="shared" si="19"/>
        <v>0</v>
      </c>
      <c r="AB27">
        <f t="shared" si="19"/>
        <v>0</v>
      </c>
      <c r="AC27">
        <f t="shared" si="19"/>
        <v>0</v>
      </c>
      <c r="AD27">
        <f>COUNTIF(AD4:AD21,"*GS")</f>
        <v>1</v>
      </c>
      <c r="AE27">
        <f>COUNTIF(AE4:AE21,"*GS")</f>
        <v>0</v>
      </c>
      <c r="AF27">
        <f>COUNTIF(AF4:AF21,"*GS")</f>
        <v>1</v>
      </c>
      <c r="AG27">
        <f t="shared" ref="AG27:AJ27" si="20">COUNTIF(AG4:AG21,"*GS")</f>
        <v>0</v>
      </c>
      <c r="AH27">
        <f t="shared" si="20"/>
        <v>1</v>
      </c>
      <c r="AI27">
        <f t="shared" si="20"/>
        <v>1</v>
      </c>
      <c r="AJ27">
        <f t="shared" si="20"/>
        <v>1</v>
      </c>
    </row>
    <row r="28" spans="1:40" x14ac:dyDescent="0.35">
      <c r="A28" s="128" t="s">
        <v>129</v>
      </c>
      <c r="B28">
        <f>COUNTIF(B4:B21,"WO")</f>
        <v>7</v>
      </c>
      <c r="C28">
        <f>COUNTIF(C4:C21,"WO")</f>
        <v>8</v>
      </c>
      <c r="D28">
        <f>COUNTIF(D4:D21,"C")</f>
        <v>3</v>
      </c>
      <c r="E28">
        <f t="shared" ref="E28:H28" si="21">COUNTIF(E4:E21,"C")</f>
        <v>1</v>
      </c>
      <c r="F28">
        <f t="shared" si="21"/>
        <v>0</v>
      </c>
      <c r="G28">
        <f t="shared" si="21"/>
        <v>4</v>
      </c>
      <c r="H28">
        <f t="shared" si="21"/>
        <v>3</v>
      </c>
      <c r="I28">
        <f>COUNTIF(I4:I21,"WO")</f>
        <v>7</v>
      </c>
      <c r="J28">
        <f>COUNTIF(J4:J21,"WO")</f>
        <v>9</v>
      </c>
      <c r="K28">
        <f>COUNTIF(K4:K21,"C")</f>
        <v>4</v>
      </c>
      <c r="L28">
        <f t="shared" ref="L28:O28" si="22">COUNTIF(L4:L21,"C")</f>
        <v>3</v>
      </c>
      <c r="M28">
        <f t="shared" si="22"/>
        <v>3</v>
      </c>
      <c r="N28">
        <f t="shared" si="22"/>
        <v>3</v>
      </c>
      <c r="O28">
        <f t="shared" si="22"/>
        <v>3</v>
      </c>
      <c r="P28">
        <f>COUNTIF(P4:P21,"WO")</f>
        <v>6</v>
      </c>
      <c r="Q28">
        <f>COUNTIF(Q4:Q21,"WO")</f>
        <v>9</v>
      </c>
      <c r="R28">
        <f>COUNTIF(R4:R21,"C")</f>
        <v>1</v>
      </c>
      <c r="S28">
        <f t="shared" ref="S28:V28" si="23">COUNTIF(S4:S21,"C")</f>
        <v>3</v>
      </c>
      <c r="T28">
        <f t="shared" si="23"/>
        <v>4</v>
      </c>
      <c r="U28">
        <f t="shared" si="23"/>
        <v>4</v>
      </c>
      <c r="V28">
        <f t="shared" si="23"/>
        <v>4</v>
      </c>
      <c r="W28">
        <f>COUNTIF(W4:W21,"WO")</f>
        <v>7</v>
      </c>
      <c r="X28">
        <f>COUNTIF(X4:X21,"WO")</f>
        <v>9</v>
      </c>
      <c r="Y28">
        <f>COUNTIF(Y4:Y21,"C")</f>
        <v>3</v>
      </c>
      <c r="Z28">
        <f t="shared" ref="Z28:AC28" si="24">COUNTIF(Z4:Z21,"C")</f>
        <v>3</v>
      </c>
      <c r="AA28">
        <f t="shared" si="24"/>
        <v>3</v>
      </c>
      <c r="AB28">
        <f t="shared" si="24"/>
        <v>3</v>
      </c>
      <c r="AC28">
        <f t="shared" si="24"/>
        <v>3</v>
      </c>
      <c r="AD28">
        <f>COUNTIF(AD4:AD21,"WO")</f>
        <v>8</v>
      </c>
      <c r="AE28">
        <f>COUNTIF(AE4:AE21,"WO")</f>
        <v>10</v>
      </c>
      <c r="AF28">
        <f>COUNTIF(AF4:AF21,"C")</f>
        <v>3</v>
      </c>
      <c r="AG28">
        <f t="shared" ref="AG28:AJ28" si="25">COUNTIF(AG4:AG21,"C")</f>
        <v>4</v>
      </c>
      <c r="AH28">
        <f t="shared" si="25"/>
        <v>3</v>
      </c>
      <c r="AI28">
        <f t="shared" si="25"/>
        <v>2</v>
      </c>
      <c r="AJ28">
        <f t="shared" si="25"/>
        <v>2</v>
      </c>
    </row>
    <row r="29" spans="1:40" x14ac:dyDescent="0.35">
      <c r="A29" s="128" t="s">
        <v>130</v>
      </c>
      <c r="B29">
        <f>COUNTIF(B4:B21,"PL")</f>
        <v>1</v>
      </c>
      <c r="C29">
        <f>COUNTIF(C4:C21,"PL")</f>
        <v>1</v>
      </c>
      <c r="D29">
        <f>COUNTIF(D4:D21,"PL")</f>
        <v>1</v>
      </c>
      <c r="E29">
        <f t="shared" ref="E29:H29" si="26">COUNTIF(E4:E21,"PL")</f>
        <v>2</v>
      </c>
      <c r="F29">
        <f t="shared" si="26"/>
        <v>1</v>
      </c>
      <c r="G29">
        <f t="shared" si="26"/>
        <v>3</v>
      </c>
      <c r="H29">
        <f t="shared" si="26"/>
        <v>2</v>
      </c>
      <c r="I29">
        <f>COUNTIF(I4:I21,"PL")</f>
        <v>1</v>
      </c>
      <c r="J29">
        <f>COUNTIF(J4:J21,"PL")</f>
        <v>1</v>
      </c>
      <c r="K29">
        <f>COUNTIF(K4:K21,"PL")</f>
        <v>2</v>
      </c>
      <c r="L29">
        <f t="shared" ref="L29:O29" si="27">COUNTIF(L4:L21,"PL")</f>
        <v>1</v>
      </c>
      <c r="M29">
        <f t="shared" si="27"/>
        <v>1</v>
      </c>
      <c r="N29">
        <f t="shared" si="27"/>
        <v>1</v>
      </c>
      <c r="O29">
        <f t="shared" si="27"/>
        <v>2</v>
      </c>
      <c r="P29">
        <f>COUNTIF(P4:P21,"PL")</f>
        <v>2</v>
      </c>
      <c r="Q29">
        <f>COUNTIF(Q4:Q21,"PL")</f>
        <v>1</v>
      </c>
      <c r="R29">
        <f>COUNTIF(R4:R21,"PL")</f>
        <v>1</v>
      </c>
      <c r="S29">
        <f t="shared" ref="S29:V29" si="28">COUNTIF(S4:S21,"PL")</f>
        <v>2</v>
      </c>
      <c r="T29">
        <f t="shared" si="28"/>
        <v>1</v>
      </c>
      <c r="U29">
        <f t="shared" si="28"/>
        <v>0</v>
      </c>
      <c r="V29">
        <f t="shared" si="28"/>
        <v>0</v>
      </c>
      <c r="W29">
        <f>COUNTIF(W4:W21,"PL")</f>
        <v>1</v>
      </c>
      <c r="X29">
        <f>COUNTIF(X4:X21,"PL")</f>
        <v>1</v>
      </c>
      <c r="Y29">
        <f>COUNTIF(Y4:Y21,"PL")</f>
        <v>2</v>
      </c>
      <c r="Z29">
        <f t="shared" ref="Z29:AC29" si="29">COUNTIF(Z4:Z21,"PL")</f>
        <v>1</v>
      </c>
      <c r="AA29">
        <f t="shared" si="29"/>
        <v>1</v>
      </c>
      <c r="AB29">
        <f t="shared" si="29"/>
        <v>1</v>
      </c>
      <c r="AC29">
        <f t="shared" si="29"/>
        <v>0</v>
      </c>
      <c r="AD29">
        <f>COUNTIF(AD4:AD21,"PL")</f>
        <v>0</v>
      </c>
      <c r="AE29">
        <f>COUNTIF(AE4:AE21,"PL")</f>
        <v>0</v>
      </c>
      <c r="AF29">
        <f>COUNTIF(AF4:AF21,"PL")</f>
        <v>0</v>
      </c>
      <c r="AG29">
        <f t="shared" ref="AG29:AJ29" si="30">COUNTIF(AG4:AG21,"PL")</f>
        <v>0</v>
      </c>
      <c r="AH29">
        <f t="shared" si="30"/>
        <v>0</v>
      </c>
      <c r="AI29">
        <f t="shared" si="30"/>
        <v>1</v>
      </c>
      <c r="AJ29">
        <f t="shared" si="30"/>
        <v>1</v>
      </c>
    </row>
    <row r="30" spans="1:40" x14ac:dyDescent="0.35">
      <c r="A30" s="128" t="s">
        <v>33</v>
      </c>
      <c r="B30">
        <f>COUNTIF(B4:B21,"UPL")</f>
        <v>0</v>
      </c>
      <c r="C30">
        <f>COUNTIF(C4:C21,"UPL")</f>
        <v>0</v>
      </c>
      <c r="D30">
        <f>COUNTIF(D4:D21,"UPL")</f>
        <v>0</v>
      </c>
      <c r="E30">
        <f t="shared" ref="E30:H30" si="31">COUNTIF(E4:E21,"UPL")</f>
        <v>0</v>
      </c>
      <c r="F30">
        <f t="shared" si="31"/>
        <v>0</v>
      </c>
      <c r="G30">
        <f t="shared" si="31"/>
        <v>0</v>
      </c>
      <c r="H30">
        <f t="shared" si="31"/>
        <v>0</v>
      </c>
      <c r="I30">
        <f>COUNTIF(I4:I21,"UPL")</f>
        <v>0</v>
      </c>
      <c r="J30">
        <f>COUNTIF(J4:J21,"UPL")</f>
        <v>0</v>
      </c>
      <c r="K30">
        <f>COUNTIF(K4:K21,"UPL")</f>
        <v>0</v>
      </c>
      <c r="L30">
        <f t="shared" ref="L30:O30" si="32">COUNTIF(L4:L21,"UPL")</f>
        <v>0</v>
      </c>
      <c r="M30">
        <f t="shared" si="32"/>
        <v>1</v>
      </c>
      <c r="N30">
        <f t="shared" si="32"/>
        <v>0</v>
      </c>
      <c r="O30">
        <f t="shared" si="32"/>
        <v>0</v>
      </c>
      <c r="P30">
        <f>COUNTIF(P4:P21,"UPL")</f>
        <v>0</v>
      </c>
      <c r="Q30">
        <f>COUNTIF(Q4:Q21,"UPL")</f>
        <v>0</v>
      </c>
      <c r="R30">
        <f>COUNTIF(R4:R21,"UPL")</f>
        <v>0</v>
      </c>
      <c r="S30">
        <f t="shared" ref="S30:V30" si="33">COUNTIF(S4:S21,"UPL")</f>
        <v>0</v>
      </c>
      <c r="T30">
        <f t="shared" si="33"/>
        <v>1</v>
      </c>
      <c r="U30">
        <f t="shared" si="33"/>
        <v>0</v>
      </c>
      <c r="V30">
        <f t="shared" si="33"/>
        <v>0</v>
      </c>
      <c r="W30">
        <f>COUNTIF(W4:W21,"UPL")</f>
        <v>0</v>
      </c>
      <c r="X30">
        <f>COUNTIF(X4:X21,"UPL")</f>
        <v>0</v>
      </c>
      <c r="Y30">
        <f>COUNTIF(Y4:Y21,"UPL")</f>
        <v>0</v>
      </c>
      <c r="Z30">
        <f t="shared" ref="Z30:AC30" si="34">COUNTIF(Z4:Z21,"UPL")</f>
        <v>0</v>
      </c>
      <c r="AA30">
        <f t="shared" si="34"/>
        <v>0</v>
      </c>
      <c r="AB30">
        <f t="shared" si="34"/>
        <v>0</v>
      </c>
      <c r="AC30">
        <f t="shared" si="34"/>
        <v>0</v>
      </c>
      <c r="AD30">
        <f>COUNTIF(AD4:AD21,"UPL")</f>
        <v>0</v>
      </c>
      <c r="AE30">
        <f>COUNTIF(AE4:AE21,"UPL")</f>
        <v>0</v>
      </c>
      <c r="AF30">
        <f>COUNTIF(AF4:AF21,"UPL")</f>
        <v>0</v>
      </c>
      <c r="AG30">
        <f t="shared" ref="AG30:AJ30" si="35">COUNTIF(AG4:AG21,"UPL")</f>
        <v>0</v>
      </c>
      <c r="AH30">
        <f t="shared" si="35"/>
        <v>0</v>
      </c>
      <c r="AI30">
        <f t="shared" si="35"/>
        <v>0</v>
      </c>
      <c r="AJ30">
        <f t="shared" si="35"/>
        <v>0</v>
      </c>
    </row>
    <row r="31" spans="1:40" x14ac:dyDescent="0.35">
      <c r="A31" s="128" t="s">
        <v>141</v>
      </c>
      <c r="B31">
        <f>COUNTIF(B4:B21,"H")</f>
        <v>0</v>
      </c>
      <c r="C31">
        <f>COUNTIF(C4:C21,"H")</f>
        <v>0</v>
      </c>
      <c r="D31">
        <f>COUNTIF(D4:D21,"H")</f>
        <v>0</v>
      </c>
      <c r="E31">
        <f t="shared" ref="E31:H31" si="36">COUNTIF(E4:E21,"H")</f>
        <v>0</v>
      </c>
      <c r="F31">
        <f t="shared" si="36"/>
        <v>6</v>
      </c>
      <c r="G31">
        <f t="shared" si="36"/>
        <v>0</v>
      </c>
      <c r="H31">
        <f t="shared" si="36"/>
        <v>0</v>
      </c>
      <c r="I31">
        <f>COUNTIF(I4:I21,"H")</f>
        <v>0</v>
      </c>
      <c r="J31">
        <f>COUNTIF(J4:J21,"H")</f>
        <v>0</v>
      </c>
      <c r="K31">
        <f>COUNTIF(K4:K21,"H")</f>
        <v>0</v>
      </c>
      <c r="L31">
        <f t="shared" ref="L31:O31" si="37">COUNTIF(L4:L21,"H")</f>
        <v>0</v>
      </c>
      <c r="M31">
        <f t="shared" si="37"/>
        <v>0</v>
      </c>
      <c r="N31">
        <f t="shared" si="37"/>
        <v>0</v>
      </c>
      <c r="O31">
        <f t="shared" si="37"/>
        <v>0</v>
      </c>
      <c r="P31">
        <f>COUNTIF(P4:P21,"H")</f>
        <v>0</v>
      </c>
      <c r="Q31">
        <f>COUNTIF(Q4:Q21,"H")</f>
        <v>0</v>
      </c>
      <c r="R31">
        <f>COUNTIF(R4:R21,"H")</f>
        <v>4</v>
      </c>
      <c r="S31">
        <f t="shared" ref="S31:V31" si="38">COUNTIF(S4:S21,"H")</f>
        <v>0</v>
      </c>
      <c r="T31">
        <f t="shared" si="38"/>
        <v>0</v>
      </c>
      <c r="U31">
        <f t="shared" si="38"/>
        <v>0</v>
      </c>
      <c r="V31">
        <f t="shared" si="38"/>
        <v>0</v>
      </c>
      <c r="W31">
        <f>COUNTIF(W4:W21,"H")</f>
        <v>0</v>
      </c>
      <c r="X31">
        <f>COUNTIF(X4:X21,"H")</f>
        <v>0</v>
      </c>
      <c r="Y31">
        <f>COUNTIF(Y4:Y21,"H")</f>
        <v>0</v>
      </c>
      <c r="Z31">
        <f t="shared" ref="Z31:AC31" si="39">COUNTIF(Z4:Z21,"H")</f>
        <v>0</v>
      </c>
      <c r="AA31">
        <f t="shared" si="39"/>
        <v>0</v>
      </c>
      <c r="AB31">
        <f t="shared" si="39"/>
        <v>0</v>
      </c>
      <c r="AC31">
        <f t="shared" si="39"/>
        <v>0</v>
      </c>
      <c r="AD31">
        <f>COUNTIF(AD4:AD21,"H")</f>
        <v>0</v>
      </c>
      <c r="AE31">
        <f>COUNTIF(AE4:AE21,"H")</f>
        <v>0</v>
      </c>
      <c r="AF31">
        <f>COUNTIF(AF4:AF21,"H")</f>
        <v>0</v>
      </c>
      <c r="AG31">
        <f t="shared" ref="AG31:AJ31" si="40">COUNTIF(AG4:AG21,"H")</f>
        <v>0</v>
      </c>
      <c r="AH31">
        <f t="shared" si="40"/>
        <v>0</v>
      </c>
      <c r="AI31">
        <f t="shared" si="40"/>
        <v>0</v>
      </c>
      <c r="AJ31">
        <f t="shared" si="40"/>
        <v>0</v>
      </c>
    </row>
    <row r="32" spans="1:40" x14ac:dyDescent="0.35">
      <c r="A32" s="128" t="s">
        <v>131</v>
      </c>
      <c r="B32" s="129">
        <f t="shared" ref="B32:J32" si="41">SUM(B24:B31)</f>
        <v>16</v>
      </c>
      <c r="C32" s="129">
        <f t="shared" si="41"/>
        <v>16</v>
      </c>
      <c r="D32" s="129">
        <f t="shared" si="41"/>
        <v>16</v>
      </c>
      <c r="E32" s="129">
        <f t="shared" si="41"/>
        <v>16</v>
      </c>
      <c r="F32" s="129">
        <f t="shared" si="41"/>
        <v>16</v>
      </c>
      <c r="G32" s="129">
        <f t="shared" si="41"/>
        <v>16</v>
      </c>
      <c r="H32" s="129">
        <f t="shared" si="41"/>
        <v>16</v>
      </c>
      <c r="I32" s="129">
        <f t="shared" si="41"/>
        <v>16</v>
      </c>
      <c r="J32" s="129">
        <f t="shared" si="41"/>
        <v>16</v>
      </c>
      <c r="K32" s="129">
        <f t="shared" ref="K32:AJ32" si="42">SUM(K24:K31)</f>
        <v>16</v>
      </c>
      <c r="L32" s="129">
        <f t="shared" si="42"/>
        <v>16</v>
      </c>
      <c r="M32" s="129">
        <f t="shared" si="42"/>
        <v>16</v>
      </c>
      <c r="N32" s="129">
        <f t="shared" si="42"/>
        <v>16</v>
      </c>
      <c r="O32" s="129">
        <f t="shared" si="42"/>
        <v>16</v>
      </c>
      <c r="P32" s="129">
        <f t="shared" si="42"/>
        <v>16</v>
      </c>
      <c r="Q32" s="129">
        <f t="shared" si="42"/>
        <v>16</v>
      </c>
      <c r="R32" s="129">
        <f t="shared" si="42"/>
        <v>16</v>
      </c>
      <c r="S32" s="129">
        <f t="shared" si="42"/>
        <v>16</v>
      </c>
      <c r="T32" s="129">
        <f t="shared" si="42"/>
        <v>16</v>
      </c>
      <c r="U32" s="129">
        <f t="shared" si="42"/>
        <v>16</v>
      </c>
      <c r="V32" s="129">
        <f t="shared" si="42"/>
        <v>16</v>
      </c>
      <c r="W32" s="129">
        <f t="shared" si="42"/>
        <v>16</v>
      </c>
      <c r="X32" s="129">
        <f t="shared" si="42"/>
        <v>16</v>
      </c>
      <c r="Y32" s="129">
        <f t="shared" si="42"/>
        <v>16</v>
      </c>
      <c r="Z32" s="129">
        <f t="shared" si="42"/>
        <v>16</v>
      </c>
      <c r="AA32" s="129">
        <f t="shared" si="42"/>
        <v>16</v>
      </c>
      <c r="AB32" s="129">
        <f t="shared" si="42"/>
        <v>16</v>
      </c>
      <c r="AC32" s="129">
        <f t="shared" si="42"/>
        <v>16</v>
      </c>
      <c r="AD32" s="129">
        <f t="shared" si="42"/>
        <v>16</v>
      </c>
      <c r="AE32" s="129">
        <f t="shared" si="42"/>
        <v>16</v>
      </c>
      <c r="AF32" s="129">
        <f t="shared" si="42"/>
        <v>16</v>
      </c>
      <c r="AG32" s="129">
        <f t="shared" si="42"/>
        <v>16</v>
      </c>
      <c r="AH32" s="129">
        <f t="shared" si="42"/>
        <v>16</v>
      </c>
      <c r="AI32" s="129">
        <f t="shared" si="42"/>
        <v>16</v>
      </c>
      <c r="AJ32" s="129">
        <f t="shared" si="42"/>
        <v>16</v>
      </c>
    </row>
  </sheetData>
  <conditionalFormatting sqref="B24:AJ27">
    <cfRule type="cellIs" dxfId="825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4BE3-34EA-419C-963D-9A32A3F7AC26}">
  <dimension ref="A1:AP31"/>
  <sheetViews>
    <sheetView zoomScale="60" zoomScaleNormal="60" workbookViewId="0">
      <pane xSplit="1" topLeftCell="M1" activePane="topRight" state="frozen"/>
      <selection pane="topRight" activeCell="AL10" sqref="AL10"/>
    </sheetView>
  </sheetViews>
  <sheetFormatPr defaultRowHeight="14.5" x14ac:dyDescent="0.35"/>
  <cols>
    <col min="1" max="1" width="23.08984375" bestFit="1" customWidth="1"/>
    <col min="2" max="2" width="8" hidden="1" customWidth="1"/>
    <col min="3" max="3" width="8.453125" hidden="1" customWidth="1"/>
    <col min="4" max="6" width="8.7265625" hidden="1" customWidth="1"/>
    <col min="7" max="36" width="8.7265625" customWidth="1"/>
  </cols>
  <sheetData>
    <row r="1" spans="1:42" x14ac:dyDescent="0.35">
      <c r="A1" s="1"/>
      <c r="B1" s="2" t="str">
        <f t="shared" ref="B1:C1" si="0">TEXT(B2,"ddd")</f>
        <v>Mon</v>
      </c>
      <c r="C1" s="2" t="str">
        <f t="shared" si="0"/>
        <v>Tue</v>
      </c>
      <c r="D1" s="2" t="str">
        <f t="shared" ref="D1:AJ1" si="1">TEXT(D2,"ddd")</f>
        <v>Wed</v>
      </c>
      <c r="E1" s="2" t="str">
        <f t="shared" si="1"/>
        <v>Thu</v>
      </c>
      <c r="F1" s="2" t="str">
        <f t="shared" si="1"/>
        <v>Fri</v>
      </c>
      <c r="G1" s="2" t="str">
        <f t="shared" si="1"/>
        <v>Sat</v>
      </c>
      <c r="H1" s="2" t="str">
        <f t="shared" si="1"/>
        <v>Sun</v>
      </c>
      <c r="I1" s="2" t="str">
        <f t="shared" si="1"/>
        <v>Mon</v>
      </c>
      <c r="J1" s="2" t="str">
        <f t="shared" si="1"/>
        <v>Tue</v>
      </c>
      <c r="K1" s="2" t="str">
        <f t="shared" si="1"/>
        <v>Wed</v>
      </c>
      <c r="L1" s="2" t="str">
        <f t="shared" si="1"/>
        <v>Thu</v>
      </c>
      <c r="M1" s="2" t="str">
        <f t="shared" si="1"/>
        <v>Fri</v>
      </c>
      <c r="N1" s="2" t="str">
        <f t="shared" si="1"/>
        <v>Sat</v>
      </c>
      <c r="O1" s="2" t="str">
        <f t="shared" si="1"/>
        <v>Sun</v>
      </c>
      <c r="P1" s="2" t="str">
        <f t="shared" si="1"/>
        <v>Mon</v>
      </c>
      <c r="Q1" s="2" t="str">
        <f t="shared" si="1"/>
        <v>Tue</v>
      </c>
      <c r="R1" s="2" t="str">
        <f t="shared" si="1"/>
        <v>Wed</v>
      </c>
      <c r="S1" s="2" t="str">
        <f t="shared" si="1"/>
        <v>Thu</v>
      </c>
      <c r="T1" s="2" t="str">
        <f t="shared" si="1"/>
        <v>Fri</v>
      </c>
      <c r="U1" s="2" t="str">
        <f t="shared" si="1"/>
        <v>Sat</v>
      </c>
      <c r="V1" s="2" t="str">
        <f t="shared" si="1"/>
        <v>Sun</v>
      </c>
      <c r="W1" s="2" t="str">
        <f t="shared" si="1"/>
        <v>Mon</v>
      </c>
      <c r="X1" s="2" t="str">
        <f t="shared" si="1"/>
        <v>Tue</v>
      </c>
      <c r="Y1" s="2" t="str">
        <f t="shared" si="1"/>
        <v>Wed</v>
      </c>
      <c r="Z1" s="2" t="str">
        <f t="shared" si="1"/>
        <v>Thu</v>
      </c>
      <c r="AA1" s="2" t="str">
        <f t="shared" si="1"/>
        <v>Fri</v>
      </c>
      <c r="AB1" s="2" t="str">
        <f t="shared" si="1"/>
        <v>Sat</v>
      </c>
      <c r="AC1" s="2" t="str">
        <f t="shared" si="1"/>
        <v>Sun</v>
      </c>
      <c r="AD1" s="2" t="str">
        <f t="shared" si="1"/>
        <v>Mon</v>
      </c>
      <c r="AE1" s="2" t="str">
        <f t="shared" si="1"/>
        <v>Tue</v>
      </c>
      <c r="AF1" s="2" t="str">
        <f t="shared" si="1"/>
        <v>Wed</v>
      </c>
      <c r="AG1" s="2" t="str">
        <f t="shared" si="1"/>
        <v>Thu</v>
      </c>
      <c r="AH1" s="2" t="str">
        <f t="shared" si="1"/>
        <v>Fri</v>
      </c>
      <c r="AI1" s="2" t="str">
        <f t="shared" si="1"/>
        <v>Sat</v>
      </c>
      <c r="AJ1" s="2" t="str">
        <f t="shared" si="1"/>
        <v>Sun</v>
      </c>
    </row>
    <row r="2" spans="1:42" x14ac:dyDescent="0.35">
      <c r="A2" s="95" t="s">
        <v>0</v>
      </c>
      <c r="B2" s="29">
        <v>45439</v>
      </c>
      <c r="C2" s="29">
        <v>45440</v>
      </c>
      <c r="D2" s="29">
        <v>45441</v>
      </c>
      <c r="E2" s="29">
        <v>45442</v>
      </c>
      <c r="F2" s="29">
        <v>45443</v>
      </c>
      <c r="G2" s="29">
        <v>45444</v>
      </c>
      <c r="H2" s="29">
        <v>45445</v>
      </c>
      <c r="I2" s="29">
        <v>45446</v>
      </c>
      <c r="J2" s="29">
        <v>45447</v>
      </c>
      <c r="K2" s="29">
        <v>45448</v>
      </c>
      <c r="L2" s="29">
        <v>45449</v>
      </c>
      <c r="M2" s="29">
        <v>45450</v>
      </c>
      <c r="N2" s="29">
        <v>45451</v>
      </c>
      <c r="O2" s="29">
        <v>45452</v>
      </c>
      <c r="P2" s="29">
        <v>45453</v>
      </c>
      <c r="Q2" s="29">
        <v>45454</v>
      </c>
      <c r="R2" s="29">
        <v>45455</v>
      </c>
      <c r="S2" s="29">
        <v>45456</v>
      </c>
      <c r="T2" s="29">
        <v>45457</v>
      </c>
      <c r="U2" s="29">
        <v>45458</v>
      </c>
      <c r="V2" s="29">
        <v>45459</v>
      </c>
      <c r="W2" s="29">
        <v>45460</v>
      </c>
      <c r="X2" s="29">
        <v>45461</v>
      </c>
      <c r="Y2" s="29">
        <v>45462</v>
      </c>
      <c r="Z2" s="29">
        <v>45463</v>
      </c>
      <c r="AA2" s="29">
        <v>45464</v>
      </c>
      <c r="AB2" s="29">
        <v>45465</v>
      </c>
      <c r="AC2" s="29">
        <v>45466</v>
      </c>
      <c r="AD2" s="29">
        <v>45467</v>
      </c>
      <c r="AE2" s="29">
        <v>45468</v>
      </c>
      <c r="AF2" s="29">
        <v>45469</v>
      </c>
      <c r="AG2" s="29">
        <v>45470</v>
      </c>
      <c r="AH2" s="29">
        <v>45471</v>
      </c>
      <c r="AI2" s="29">
        <v>45472</v>
      </c>
      <c r="AJ2" s="29">
        <v>45473</v>
      </c>
    </row>
    <row r="3" spans="1:42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42" x14ac:dyDescent="0.35">
      <c r="A4" s="165" t="s">
        <v>57</v>
      </c>
      <c r="B4" s="116" t="s">
        <v>2</v>
      </c>
      <c r="C4" s="16" t="s">
        <v>10</v>
      </c>
      <c r="D4" s="16" t="s">
        <v>10</v>
      </c>
      <c r="E4" s="122" t="s">
        <v>5</v>
      </c>
      <c r="F4" s="122" t="s">
        <v>5</v>
      </c>
      <c r="G4" s="122" t="s">
        <v>5</v>
      </c>
      <c r="H4" s="122" t="s">
        <v>5</v>
      </c>
      <c r="I4" s="122" t="s">
        <v>5</v>
      </c>
      <c r="J4" s="122" t="s">
        <v>5</v>
      </c>
      <c r="K4" s="122" t="s">
        <v>5</v>
      </c>
      <c r="L4" s="25" t="s">
        <v>6</v>
      </c>
      <c r="M4" s="25" t="s">
        <v>6</v>
      </c>
      <c r="N4" s="25" t="s">
        <v>3</v>
      </c>
      <c r="O4" s="114" t="s">
        <v>4</v>
      </c>
      <c r="P4" s="25" t="s">
        <v>6</v>
      </c>
      <c r="Q4" s="25" t="s">
        <v>6</v>
      </c>
      <c r="R4" s="25" t="s">
        <v>6</v>
      </c>
      <c r="S4" s="25" t="s">
        <v>6</v>
      </c>
      <c r="T4" s="116" t="s">
        <v>2</v>
      </c>
      <c r="U4" s="25" t="s">
        <v>3</v>
      </c>
      <c r="V4" s="114" t="s">
        <v>4</v>
      </c>
      <c r="W4" s="19" t="s">
        <v>41</v>
      </c>
      <c r="X4" s="25" t="s">
        <v>6</v>
      </c>
      <c r="Y4" s="25" t="s">
        <v>6</v>
      </c>
      <c r="Z4" s="116" t="s">
        <v>2</v>
      </c>
      <c r="AA4" s="25" t="s">
        <v>6</v>
      </c>
      <c r="AB4" s="25" t="s">
        <v>3</v>
      </c>
      <c r="AC4" s="25" t="s">
        <v>3</v>
      </c>
      <c r="AD4" s="116" t="s">
        <v>2</v>
      </c>
      <c r="AE4" s="25" t="s">
        <v>6</v>
      </c>
      <c r="AF4" s="25" t="s">
        <v>6</v>
      </c>
      <c r="AG4" s="25" t="s">
        <v>6</v>
      </c>
      <c r="AH4" s="25" t="s">
        <v>6</v>
      </c>
      <c r="AI4" s="25" t="s">
        <v>3</v>
      </c>
      <c r="AJ4" s="25" t="s">
        <v>3</v>
      </c>
    </row>
    <row r="5" spans="1:42" x14ac:dyDescent="0.35">
      <c r="A5" s="165" t="s">
        <v>21</v>
      </c>
      <c r="B5" s="19" t="s">
        <v>41</v>
      </c>
      <c r="C5" s="116" t="s">
        <v>2</v>
      </c>
      <c r="D5" s="19" t="s">
        <v>41</v>
      </c>
      <c r="E5" s="19" t="s">
        <v>41</v>
      </c>
      <c r="F5" s="116" t="s">
        <v>2</v>
      </c>
      <c r="G5" s="25" t="s">
        <v>3</v>
      </c>
      <c r="H5" s="25" t="s">
        <v>3</v>
      </c>
      <c r="I5" s="25" t="s">
        <v>6</v>
      </c>
      <c r="J5" s="25" t="s">
        <v>6</v>
      </c>
      <c r="K5" s="25" t="s">
        <v>6</v>
      </c>
      <c r="L5" s="116" t="s">
        <v>2</v>
      </c>
      <c r="M5" s="116" t="s">
        <v>2</v>
      </c>
      <c r="N5" s="114" t="s">
        <v>4</v>
      </c>
      <c r="O5" s="25" t="s">
        <v>3</v>
      </c>
      <c r="P5" s="116" t="s">
        <v>2</v>
      </c>
      <c r="Q5" s="25" t="s">
        <v>6</v>
      </c>
      <c r="R5" s="25" t="s">
        <v>6</v>
      </c>
      <c r="S5" s="122" t="s">
        <v>5</v>
      </c>
      <c r="T5" s="25" t="s">
        <v>6</v>
      </c>
      <c r="U5" s="114" t="s">
        <v>4</v>
      </c>
      <c r="V5" s="25" t="s">
        <v>3</v>
      </c>
      <c r="W5" s="25" t="s">
        <v>6</v>
      </c>
      <c r="X5" s="25" t="s">
        <v>6</v>
      </c>
      <c r="Y5" s="25" t="s">
        <v>6</v>
      </c>
      <c r="Z5" s="25" t="s">
        <v>6</v>
      </c>
      <c r="AA5" s="116" t="s">
        <v>2</v>
      </c>
      <c r="AB5" s="114" t="s">
        <v>4</v>
      </c>
      <c r="AC5" s="25" t="s">
        <v>3</v>
      </c>
      <c r="AD5" s="25" t="s">
        <v>6</v>
      </c>
      <c r="AE5" s="116" t="s">
        <v>2</v>
      </c>
      <c r="AF5" s="25" t="s">
        <v>6</v>
      </c>
      <c r="AG5" s="25" t="s">
        <v>6</v>
      </c>
      <c r="AH5" s="19" t="s">
        <v>41</v>
      </c>
      <c r="AI5" s="25" t="s">
        <v>3</v>
      </c>
      <c r="AJ5" s="114" t="s">
        <v>4</v>
      </c>
    </row>
    <row r="6" spans="1:42" x14ac:dyDescent="0.35">
      <c r="A6" s="141" t="s">
        <v>22</v>
      </c>
      <c r="B6" s="25" t="s">
        <v>6</v>
      </c>
      <c r="C6" s="25" t="s">
        <v>6</v>
      </c>
      <c r="D6" s="116" t="s">
        <v>2</v>
      </c>
      <c r="E6" s="25" t="s">
        <v>6</v>
      </c>
      <c r="F6" s="19" t="s">
        <v>41</v>
      </c>
      <c r="G6" s="25" t="s">
        <v>3</v>
      </c>
      <c r="H6" s="114" t="s">
        <v>4</v>
      </c>
      <c r="I6" s="116" t="s">
        <v>2</v>
      </c>
      <c r="J6" s="25" t="s">
        <v>6</v>
      </c>
      <c r="K6" s="25" t="s">
        <v>6</v>
      </c>
      <c r="L6" s="25" t="s">
        <v>6</v>
      </c>
      <c r="M6" s="25" t="s">
        <v>6</v>
      </c>
      <c r="N6" s="114" t="s">
        <v>4</v>
      </c>
      <c r="O6" s="25" t="s">
        <v>3</v>
      </c>
      <c r="P6" s="25" t="s">
        <v>6</v>
      </c>
      <c r="Q6" s="122" t="s">
        <v>5</v>
      </c>
      <c r="R6" s="25" t="s">
        <v>6</v>
      </c>
      <c r="S6" s="25" t="s">
        <v>6</v>
      </c>
      <c r="T6" s="25" t="s">
        <v>6</v>
      </c>
      <c r="U6" s="25" t="s">
        <v>3</v>
      </c>
      <c r="V6" s="122" t="s">
        <v>5</v>
      </c>
      <c r="W6" s="122" t="s">
        <v>5</v>
      </c>
      <c r="X6" s="116" t="s">
        <v>2</v>
      </c>
      <c r="Y6" s="25" t="s">
        <v>6</v>
      </c>
      <c r="Z6" s="25" t="s">
        <v>6</v>
      </c>
      <c r="AA6" s="25" t="s">
        <v>6</v>
      </c>
      <c r="AB6" s="114" t="s">
        <v>4</v>
      </c>
      <c r="AC6" s="22" t="s">
        <v>30</v>
      </c>
      <c r="AD6" s="25" t="s">
        <v>6</v>
      </c>
      <c r="AE6" s="25" t="s">
        <v>6</v>
      </c>
      <c r="AF6" s="122" t="s">
        <v>5</v>
      </c>
      <c r="AG6" s="122" t="s">
        <v>5</v>
      </c>
      <c r="AH6" s="122" t="s">
        <v>5</v>
      </c>
      <c r="AI6" s="122" t="s">
        <v>5</v>
      </c>
      <c r="AJ6" s="122" t="s">
        <v>5</v>
      </c>
    </row>
    <row r="7" spans="1:42" x14ac:dyDescent="0.35">
      <c r="A7" s="141" t="s">
        <v>70</v>
      </c>
      <c r="B7" s="19" t="s">
        <v>41</v>
      </c>
      <c r="C7" s="19" t="s">
        <v>41</v>
      </c>
      <c r="D7" s="19" t="s">
        <v>41</v>
      </c>
      <c r="E7" s="19" t="s">
        <v>41</v>
      </c>
      <c r="F7" s="19" t="s">
        <v>41</v>
      </c>
      <c r="G7" s="114" t="s">
        <v>4</v>
      </c>
      <c r="H7" s="25" t="s">
        <v>3</v>
      </c>
      <c r="I7" s="25" t="s">
        <v>6</v>
      </c>
      <c r="J7" s="25" t="s">
        <v>6</v>
      </c>
      <c r="K7" s="116" t="s">
        <v>2</v>
      </c>
      <c r="L7" s="25" t="s">
        <v>6</v>
      </c>
      <c r="M7" s="25" t="s">
        <v>6</v>
      </c>
      <c r="N7" s="25" t="s">
        <v>3</v>
      </c>
      <c r="O7" s="114" t="s">
        <v>4</v>
      </c>
      <c r="P7" s="25" t="s">
        <v>6</v>
      </c>
      <c r="Q7" s="25" t="s">
        <v>6</v>
      </c>
      <c r="R7" s="116" t="s">
        <v>2</v>
      </c>
      <c r="S7" s="25" t="s">
        <v>6</v>
      </c>
      <c r="T7" s="25" t="s">
        <v>6</v>
      </c>
      <c r="U7" s="114" t="s">
        <v>4</v>
      </c>
      <c r="V7" s="25" t="s">
        <v>3</v>
      </c>
      <c r="W7" s="25" t="s">
        <v>6</v>
      </c>
      <c r="X7" s="25" t="s">
        <v>6</v>
      </c>
      <c r="Y7" s="116" t="s">
        <v>2</v>
      </c>
      <c r="Z7" s="25" t="s">
        <v>6</v>
      </c>
      <c r="AA7" s="25" t="s">
        <v>6</v>
      </c>
      <c r="AB7" s="25" t="s">
        <v>3</v>
      </c>
      <c r="AC7" s="114" t="s">
        <v>4</v>
      </c>
      <c r="AD7" s="25" t="s">
        <v>6</v>
      </c>
      <c r="AE7" s="25" t="s">
        <v>6</v>
      </c>
      <c r="AF7" s="116" t="s">
        <v>2</v>
      </c>
      <c r="AG7" s="25" t="s">
        <v>6</v>
      </c>
      <c r="AH7" s="25" t="s">
        <v>6</v>
      </c>
      <c r="AI7" s="122" t="s">
        <v>5</v>
      </c>
      <c r="AJ7" s="122" t="s">
        <v>5</v>
      </c>
    </row>
    <row r="8" spans="1:42" x14ac:dyDescent="0.35">
      <c r="A8" s="141" t="s">
        <v>152</v>
      </c>
      <c r="B8" s="19" t="s">
        <v>41</v>
      </c>
      <c r="C8" s="19" t="s">
        <v>41</v>
      </c>
      <c r="D8" s="19" t="s">
        <v>41</v>
      </c>
      <c r="E8" s="19" t="s">
        <v>41</v>
      </c>
      <c r="F8" s="19" t="s">
        <v>41</v>
      </c>
      <c r="G8" s="19" t="s">
        <v>42</v>
      </c>
      <c r="H8" s="114" t="s">
        <v>4</v>
      </c>
      <c r="I8" s="25" t="s">
        <v>6</v>
      </c>
      <c r="J8" s="25" t="s">
        <v>6</v>
      </c>
      <c r="K8" s="25" t="s">
        <v>6</v>
      </c>
      <c r="L8" s="25" t="s">
        <v>6</v>
      </c>
      <c r="M8" s="25" t="s">
        <v>6</v>
      </c>
      <c r="N8" s="122" t="s">
        <v>5</v>
      </c>
      <c r="O8" s="122" t="s">
        <v>5</v>
      </c>
      <c r="P8" s="25" t="s">
        <v>6</v>
      </c>
      <c r="Q8" s="25" t="s">
        <v>6</v>
      </c>
      <c r="R8" s="25" t="s">
        <v>6</v>
      </c>
      <c r="S8" s="25" t="s">
        <v>6</v>
      </c>
      <c r="T8" s="122" t="s">
        <v>5</v>
      </c>
      <c r="U8" s="122" t="s">
        <v>5</v>
      </c>
      <c r="V8" s="122" t="s">
        <v>5</v>
      </c>
      <c r="W8" s="122" t="s">
        <v>5</v>
      </c>
      <c r="X8" s="25" t="s">
        <v>6</v>
      </c>
      <c r="Y8" s="22" t="s">
        <v>16</v>
      </c>
      <c r="Z8" s="25" t="s">
        <v>6</v>
      </c>
      <c r="AA8" s="22" t="s">
        <v>16</v>
      </c>
      <c r="AB8" s="114" t="s">
        <v>4</v>
      </c>
      <c r="AC8" s="122" t="s">
        <v>5</v>
      </c>
      <c r="AD8" s="22" t="s">
        <v>16</v>
      </c>
      <c r="AE8" s="25" t="s">
        <v>6</v>
      </c>
      <c r="AF8" s="25" t="s">
        <v>6</v>
      </c>
      <c r="AG8" s="25" t="s">
        <v>6</v>
      </c>
      <c r="AH8" s="25" t="s">
        <v>6</v>
      </c>
      <c r="AI8" s="114" t="s">
        <v>4</v>
      </c>
      <c r="AJ8" s="25" t="s">
        <v>3</v>
      </c>
    </row>
    <row r="9" spans="1:42" x14ac:dyDescent="0.35">
      <c r="AL9" t="s">
        <v>346</v>
      </c>
      <c r="AM9" t="s">
        <v>5</v>
      </c>
      <c r="AN9" t="s">
        <v>2</v>
      </c>
      <c r="AO9" t="s">
        <v>4</v>
      </c>
    </row>
    <row r="10" spans="1:42" x14ac:dyDescent="0.35">
      <c r="A10" s="165" t="s">
        <v>9</v>
      </c>
      <c r="B10" s="25" t="s">
        <v>6</v>
      </c>
      <c r="C10" s="25" t="s">
        <v>6</v>
      </c>
      <c r="D10" s="25" t="s">
        <v>6</v>
      </c>
      <c r="E10" s="116" t="s">
        <v>2</v>
      </c>
      <c r="F10" s="16" t="s">
        <v>10</v>
      </c>
      <c r="G10" s="16" t="s">
        <v>11</v>
      </c>
      <c r="H10" s="16" t="s">
        <v>11</v>
      </c>
      <c r="I10" s="16" t="s">
        <v>10</v>
      </c>
      <c r="J10" s="16" t="s">
        <v>10</v>
      </c>
      <c r="K10" s="16" t="s">
        <v>10</v>
      </c>
      <c r="L10" s="116" t="s">
        <v>2</v>
      </c>
      <c r="M10" s="16" t="s">
        <v>10</v>
      </c>
      <c r="N10" s="16" t="s">
        <v>11</v>
      </c>
      <c r="O10" s="16" t="s">
        <v>11</v>
      </c>
      <c r="P10" s="16" t="s">
        <v>10</v>
      </c>
      <c r="Q10" s="16" t="s">
        <v>10</v>
      </c>
      <c r="R10" s="116" t="s">
        <v>2</v>
      </c>
      <c r="S10" s="16" t="s">
        <v>10</v>
      </c>
      <c r="T10" s="16" t="s">
        <v>10</v>
      </c>
      <c r="U10" s="16" t="s">
        <v>11</v>
      </c>
      <c r="V10" s="16" t="s">
        <v>11</v>
      </c>
      <c r="W10" s="16" t="s">
        <v>10</v>
      </c>
      <c r="X10" s="116" t="s">
        <v>2</v>
      </c>
      <c r="Y10" s="16" t="s">
        <v>10</v>
      </c>
      <c r="Z10" s="16" t="s">
        <v>10</v>
      </c>
      <c r="AA10" s="16" t="s">
        <v>10</v>
      </c>
      <c r="AB10" s="114" t="s">
        <v>4</v>
      </c>
      <c r="AC10" s="114" t="s">
        <v>4</v>
      </c>
      <c r="AD10" s="16" t="s">
        <v>10</v>
      </c>
      <c r="AE10" s="16" t="s">
        <v>10</v>
      </c>
      <c r="AF10" s="16" t="s">
        <v>10</v>
      </c>
      <c r="AG10" s="16" t="s">
        <v>10</v>
      </c>
      <c r="AH10" s="16" t="s">
        <v>10</v>
      </c>
      <c r="AI10" s="114" t="s">
        <v>4</v>
      </c>
      <c r="AJ10" s="114" t="s">
        <v>4</v>
      </c>
      <c r="AL10">
        <f>COUNTIF(G10:AJ10,"*NS*")</f>
        <v>23</v>
      </c>
      <c r="AM10">
        <f>COUNTIF(G10:AJ10,"PL")</f>
        <v>0</v>
      </c>
      <c r="AN10">
        <f>COUNTIF(G10:AJ10,"C")</f>
        <v>3</v>
      </c>
      <c r="AO10">
        <f>COUNTIF(G10:AJ10,"WO")</f>
        <v>4</v>
      </c>
      <c r="AP10">
        <f>AN10+AO10</f>
        <v>7</v>
      </c>
    </row>
    <row r="11" spans="1:42" x14ac:dyDescent="0.35">
      <c r="A11" s="165" t="s">
        <v>124</v>
      </c>
      <c r="B11" s="116" t="s">
        <v>2</v>
      </c>
      <c r="C11" s="25" t="s">
        <v>6</v>
      </c>
      <c r="D11" s="25" t="s">
        <v>6</v>
      </c>
      <c r="E11" s="25" t="s">
        <v>6</v>
      </c>
      <c r="F11" s="25" t="s">
        <v>6</v>
      </c>
      <c r="G11" s="114" t="s">
        <v>4</v>
      </c>
      <c r="H11" s="114" t="s">
        <v>4</v>
      </c>
      <c r="I11" s="16" t="s">
        <v>10</v>
      </c>
      <c r="J11" s="16" t="s">
        <v>10</v>
      </c>
      <c r="K11" s="16" t="s">
        <v>10</v>
      </c>
      <c r="L11" s="16" t="s">
        <v>10</v>
      </c>
      <c r="M11" s="16" t="s">
        <v>10</v>
      </c>
      <c r="N11" s="114" t="s">
        <v>4</v>
      </c>
      <c r="O11" s="114" t="s">
        <v>4</v>
      </c>
      <c r="P11" s="16" t="s">
        <v>10</v>
      </c>
      <c r="Q11" s="16" t="s">
        <v>10</v>
      </c>
      <c r="R11" s="16" t="s">
        <v>10</v>
      </c>
      <c r="S11" s="16" t="s">
        <v>10</v>
      </c>
      <c r="T11" s="16" t="s">
        <v>10</v>
      </c>
      <c r="U11" s="114" t="s">
        <v>4</v>
      </c>
      <c r="V11" s="114" t="s">
        <v>4</v>
      </c>
      <c r="W11" s="16" t="s">
        <v>10</v>
      </c>
      <c r="X11" s="16" t="s">
        <v>10</v>
      </c>
      <c r="Y11" s="16" t="s">
        <v>10</v>
      </c>
      <c r="Z11" s="116" t="s">
        <v>2</v>
      </c>
      <c r="AA11" s="16" t="s">
        <v>10</v>
      </c>
      <c r="AB11" s="16" t="s">
        <v>11</v>
      </c>
      <c r="AC11" s="114" t="s">
        <v>4</v>
      </c>
      <c r="AD11" s="16" t="s">
        <v>10</v>
      </c>
      <c r="AE11" s="16" t="s">
        <v>10</v>
      </c>
      <c r="AF11" s="116" t="s">
        <v>2</v>
      </c>
      <c r="AG11" s="16" t="s">
        <v>10</v>
      </c>
      <c r="AH11" s="16" t="s">
        <v>10</v>
      </c>
      <c r="AI11" s="16" t="s">
        <v>11</v>
      </c>
      <c r="AJ11" s="16" t="s">
        <v>11</v>
      </c>
      <c r="AL11">
        <f t="shared" ref="AL11:AL14" si="2">COUNTIF(G11:AJ11,"*NS*")</f>
        <v>21</v>
      </c>
      <c r="AM11">
        <f t="shared" ref="AM11:AM14" si="3">COUNTIF(G11:AJ11,"PL")</f>
        <v>0</v>
      </c>
      <c r="AN11">
        <f t="shared" ref="AN11:AN14" si="4">COUNTIF(G11:AJ11,"C")</f>
        <v>2</v>
      </c>
      <c r="AO11">
        <f t="shared" ref="AO11:AO14" si="5">COUNTIF(G11:AJ11,"WO")</f>
        <v>7</v>
      </c>
      <c r="AP11">
        <f t="shared" ref="AP11:AP14" si="6">AN11+AO11</f>
        <v>9</v>
      </c>
    </row>
    <row r="12" spans="1:42" x14ac:dyDescent="0.35">
      <c r="A12" s="141" t="s">
        <v>71</v>
      </c>
      <c r="B12" s="25" t="s">
        <v>6</v>
      </c>
      <c r="C12" s="116" t="s">
        <v>2</v>
      </c>
      <c r="D12" s="25" t="s">
        <v>6</v>
      </c>
      <c r="E12" s="25" t="s">
        <v>6</v>
      </c>
      <c r="F12" s="25" t="s">
        <v>6</v>
      </c>
      <c r="G12" s="16" t="s">
        <v>11</v>
      </c>
      <c r="H12" s="16" t="s">
        <v>11</v>
      </c>
      <c r="I12" s="116" t="s">
        <v>2</v>
      </c>
      <c r="J12" s="116" t="s">
        <v>2</v>
      </c>
      <c r="K12" s="16" t="s">
        <v>10</v>
      </c>
      <c r="L12" s="16" t="s">
        <v>10</v>
      </c>
      <c r="M12" s="16" t="s">
        <v>10</v>
      </c>
      <c r="N12" s="16" t="s">
        <v>11</v>
      </c>
      <c r="O12" s="16" t="s">
        <v>11</v>
      </c>
      <c r="P12" s="116" t="s">
        <v>2</v>
      </c>
      <c r="Q12" s="116" t="s">
        <v>2</v>
      </c>
      <c r="R12" s="16" t="s">
        <v>10</v>
      </c>
      <c r="S12" s="16" t="s">
        <v>10</v>
      </c>
      <c r="T12" s="16" t="s">
        <v>10</v>
      </c>
      <c r="U12" s="16" t="s">
        <v>11</v>
      </c>
      <c r="V12" s="16" t="s">
        <v>11</v>
      </c>
      <c r="W12" s="116" t="s">
        <v>2</v>
      </c>
      <c r="X12" s="16" t="s">
        <v>10</v>
      </c>
      <c r="Y12" s="16" t="s">
        <v>10</v>
      </c>
      <c r="Z12" s="16" t="s">
        <v>10</v>
      </c>
      <c r="AA12" s="116" t="s">
        <v>2</v>
      </c>
      <c r="AB12" s="16" t="s">
        <v>11</v>
      </c>
      <c r="AC12" s="16" t="s">
        <v>11</v>
      </c>
      <c r="AD12" s="116" t="s">
        <v>2</v>
      </c>
      <c r="AE12" s="116" t="s">
        <v>2</v>
      </c>
      <c r="AF12" s="16" t="s">
        <v>10</v>
      </c>
      <c r="AG12" s="16" t="s">
        <v>10</v>
      </c>
      <c r="AH12" s="16" t="s">
        <v>10</v>
      </c>
      <c r="AI12" s="16" t="s">
        <v>11</v>
      </c>
      <c r="AJ12" s="16" t="s">
        <v>11</v>
      </c>
      <c r="AL12">
        <f t="shared" si="2"/>
        <v>22</v>
      </c>
      <c r="AM12">
        <f t="shared" si="3"/>
        <v>0</v>
      </c>
      <c r="AN12">
        <f t="shared" si="4"/>
        <v>8</v>
      </c>
      <c r="AO12">
        <f t="shared" si="5"/>
        <v>0</v>
      </c>
      <c r="AP12">
        <f t="shared" si="6"/>
        <v>8</v>
      </c>
    </row>
    <row r="13" spans="1:42" x14ac:dyDescent="0.35">
      <c r="A13" s="141" t="s">
        <v>69</v>
      </c>
      <c r="B13" s="19" t="s">
        <v>41</v>
      </c>
      <c r="C13" s="19" t="s">
        <v>41</v>
      </c>
      <c r="D13" s="116" t="s">
        <v>2</v>
      </c>
      <c r="E13" s="19" t="s">
        <v>41</v>
      </c>
      <c r="F13" s="19" t="s">
        <v>41</v>
      </c>
      <c r="G13" s="114" t="s">
        <v>4</v>
      </c>
      <c r="H13" s="16" t="s">
        <v>11</v>
      </c>
      <c r="I13" s="16" t="s">
        <v>10</v>
      </c>
      <c r="J13" s="16" t="s">
        <v>10</v>
      </c>
      <c r="K13" s="16" t="s">
        <v>10</v>
      </c>
      <c r="L13" s="16" t="s">
        <v>10</v>
      </c>
      <c r="M13" s="116" t="s">
        <v>2</v>
      </c>
      <c r="N13" s="114" t="s">
        <v>4</v>
      </c>
      <c r="O13" s="16" t="s">
        <v>11</v>
      </c>
      <c r="P13" s="16" t="s">
        <v>10</v>
      </c>
      <c r="Q13" s="16" t="s">
        <v>10</v>
      </c>
      <c r="R13" s="16" t="s">
        <v>10</v>
      </c>
      <c r="S13" s="16" t="s">
        <v>10</v>
      </c>
      <c r="T13" s="122" t="s">
        <v>5</v>
      </c>
      <c r="U13" s="114" t="s">
        <v>4</v>
      </c>
      <c r="V13" s="114" t="s">
        <v>4</v>
      </c>
      <c r="W13" s="122" t="s">
        <v>5</v>
      </c>
      <c r="X13" s="122" t="s">
        <v>5</v>
      </c>
      <c r="Y13" s="122" t="s">
        <v>5</v>
      </c>
      <c r="Z13" s="122" t="s">
        <v>5</v>
      </c>
      <c r="AA13" s="122" t="s">
        <v>5</v>
      </c>
      <c r="AB13" s="114" t="s">
        <v>4</v>
      </c>
      <c r="AC13" s="16" t="s">
        <v>11</v>
      </c>
      <c r="AD13" s="16" t="s">
        <v>10</v>
      </c>
      <c r="AE13" s="16" t="s">
        <v>10</v>
      </c>
      <c r="AF13" s="16" t="s">
        <v>10</v>
      </c>
      <c r="AG13" s="16" t="s">
        <v>10</v>
      </c>
      <c r="AH13" s="16" t="s">
        <v>10</v>
      </c>
      <c r="AI13" s="16" t="s">
        <v>11</v>
      </c>
      <c r="AJ13" s="114" t="s">
        <v>4</v>
      </c>
      <c r="AL13">
        <f t="shared" si="2"/>
        <v>17</v>
      </c>
      <c r="AM13">
        <f t="shared" si="3"/>
        <v>6</v>
      </c>
      <c r="AN13">
        <f t="shared" si="4"/>
        <v>1</v>
      </c>
      <c r="AO13">
        <f t="shared" si="5"/>
        <v>6</v>
      </c>
      <c r="AP13">
        <f t="shared" si="6"/>
        <v>7</v>
      </c>
    </row>
    <row r="14" spans="1:42" x14ac:dyDescent="0.35">
      <c r="A14" s="141" t="s">
        <v>149</v>
      </c>
      <c r="B14" s="25" t="s">
        <v>6</v>
      </c>
      <c r="C14" s="25" t="s">
        <v>6</v>
      </c>
      <c r="D14" s="25" t="s">
        <v>6</v>
      </c>
      <c r="E14" s="25" t="s">
        <v>6</v>
      </c>
      <c r="F14" s="25" t="s">
        <v>6</v>
      </c>
      <c r="G14" s="16" t="s">
        <v>11</v>
      </c>
      <c r="H14" s="114" t="s">
        <v>4</v>
      </c>
      <c r="I14" s="16" t="s">
        <v>10</v>
      </c>
      <c r="J14" s="16" t="s">
        <v>10</v>
      </c>
      <c r="K14" s="116" t="s">
        <v>2</v>
      </c>
      <c r="L14" s="16" t="s">
        <v>10</v>
      </c>
      <c r="M14" s="16" t="s">
        <v>10</v>
      </c>
      <c r="N14" s="16" t="s">
        <v>11</v>
      </c>
      <c r="O14" s="114" t="s">
        <v>4</v>
      </c>
      <c r="P14" s="16" t="s">
        <v>10</v>
      </c>
      <c r="Q14" s="16" t="s">
        <v>10</v>
      </c>
      <c r="R14" s="16" t="s">
        <v>10</v>
      </c>
      <c r="S14" s="116" t="s">
        <v>2</v>
      </c>
      <c r="T14" s="16" t="s">
        <v>10</v>
      </c>
      <c r="U14" s="16" t="s">
        <v>11</v>
      </c>
      <c r="V14" s="114" t="s">
        <v>4</v>
      </c>
      <c r="W14" s="16" t="s">
        <v>10</v>
      </c>
      <c r="X14" s="16" t="s">
        <v>10</v>
      </c>
      <c r="Y14" s="116" t="s">
        <v>2</v>
      </c>
      <c r="Z14" s="16" t="s">
        <v>10</v>
      </c>
      <c r="AA14" s="16" t="s">
        <v>10</v>
      </c>
      <c r="AB14" s="16" t="s">
        <v>11</v>
      </c>
      <c r="AC14" s="114" t="s">
        <v>4</v>
      </c>
      <c r="AD14" s="16" t="s">
        <v>10</v>
      </c>
      <c r="AE14" s="16" t="s">
        <v>10</v>
      </c>
      <c r="AF14" s="116" t="s">
        <v>2</v>
      </c>
      <c r="AG14" s="19" t="s">
        <v>41</v>
      </c>
      <c r="AH14" s="22" t="s">
        <v>16</v>
      </c>
      <c r="AI14" s="114" t="s">
        <v>4</v>
      </c>
      <c r="AJ14" s="19" t="s">
        <v>42</v>
      </c>
      <c r="AL14">
        <f t="shared" si="2"/>
        <v>18</v>
      </c>
      <c r="AM14">
        <f t="shared" si="3"/>
        <v>0</v>
      </c>
      <c r="AN14">
        <f t="shared" si="4"/>
        <v>4</v>
      </c>
      <c r="AO14">
        <f t="shared" si="5"/>
        <v>5</v>
      </c>
      <c r="AP14">
        <f t="shared" si="6"/>
        <v>9</v>
      </c>
    </row>
    <row r="16" spans="1:42" x14ac:dyDescent="0.35">
      <c r="A16" s="165" t="s">
        <v>1</v>
      </c>
      <c r="B16" s="116" t="s">
        <v>2</v>
      </c>
      <c r="C16" s="19" t="s">
        <v>41</v>
      </c>
      <c r="D16" s="19" t="s">
        <v>41</v>
      </c>
      <c r="E16" s="19" t="s">
        <v>41</v>
      </c>
      <c r="F16" s="116" t="s">
        <v>2</v>
      </c>
      <c r="G16" s="22" t="s">
        <v>30</v>
      </c>
      <c r="H16" s="19" t="s">
        <v>42</v>
      </c>
      <c r="I16" s="116" t="s">
        <v>2</v>
      </c>
      <c r="J16" s="19" t="s">
        <v>41</v>
      </c>
      <c r="K16" s="19" t="s">
        <v>41</v>
      </c>
      <c r="L16" s="19" t="s">
        <v>41</v>
      </c>
      <c r="M16" s="116" t="s">
        <v>2</v>
      </c>
      <c r="N16" s="19" t="s">
        <v>42</v>
      </c>
      <c r="O16" s="19" t="s">
        <v>42</v>
      </c>
      <c r="P16" s="116" t="s">
        <v>2</v>
      </c>
      <c r="Q16" s="19" t="s">
        <v>41</v>
      </c>
      <c r="R16" s="19" t="s">
        <v>41</v>
      </c>
      <c r="S16" s="19" t="s">
        <v>41</v>
      </c>
      <c r="T16" s="116" t="s">
        <v>2</v>
      </c>
      <c r="U16" s="19" t="s">
        <v>42</v>
      </c>
      <c r="V16" s="122" t="s">
        <v>4</v>
      </c>
      <c r="W16" s="115" t="s">
        <v>37</v>
      </c>
      <c r="X16" s="122" t="s">
        <v>5</v>
      </c>
      <c r="Y16" s="122" t="s">
        <v>5</v>
      </c>
      <c r="Z16" s="122" t="s">
        <v>5</v>
      </c>
      <c r="AA16" s="122" t="s">
        <v>5</v>
      </c>
      <c r="AB16" s="122" t="s">
        <v>5</v>
      </c>
      <c r="AC16" s="122" t="s">
        <v>5</v>
      </c>
      <c r="AD16" s="122" t="s">
        <v>5</v>
      </c>
      <c r="AE16" s="19" t="s">
        <v>41</v>
      </c>
      <c r="AF16" s="19" t="s">
        <v>41</v>
      </c>
      <c r="AG16" s="19" t="s">
        <v>41</v>
      </c>
      <c r="AH16" s="116" t="s">
        <v>2</v>
      </c>
      <c r="AI16" s="19" t="s">
        <v>42</v>
      </c>
      <c r="AJ16" s="19" t="s">
        <v>42</v>
      </c>
    </row>
    <row r="17" spans="1:36" x14ac:dyDescent="0.35">
      <c r="A17" s="165" t="s">
        <v>43</v>
      </c>
      <c r="B17" s="16" t="s">
        <v>10</v>
      </c>
      <c r="C17" s="16" t="s">
        <v>10</v>
      </c>
      <c r="D17" s="16" t="s">
        <v>10</v>
      </c>
      <c r="E17" s="16" t="s">
        <v>10</v>
      </c>
      <c r="F17" s="116" t="s">
        <v>2</v>
      </c>
      <c r="G17" s="19" t="s">
        <v>42</v>
      </c>
      <c r="H17" s="114" t="s">
        <v>4</v>
      </c>
      <c r="I17" s="19" t="s">
        <v>41</v>
      </c>
      <c r="J17" s="122" t="s">
        <v>5</v>
      </c>
      <c r="K17" s="19" t="s">
        <v>41</v>
      </c>
      <c r="L17" s="19" t="s">
        <v>41</v>
      </c>
      <c r="M17" s="19" t="s">
        <v>41</v>
      </c>
      <c r="N17" s="122" t="s">
        <v>5</v>
      </c>
      <c r="O17" s="122" t="s">
        <v>5</v>
      </c>
      <c r="P17" s="19" t="s">
        <v>41</v>
      </c>
      <c r="Q17" s="19" t="s">
        <v>41</v>
      </c>
      <c r="R17" s="19" t="s">
        <v>41</v>
      </c>
      <c r="S17" s="19" t="s">
        <v>41</v>
      </c>
      <c r="T17" s="19" t="s">
        <v>41</v>
      </c>
      <c r="U17" s="114" t="s">
        <v>4</v>
      </c>
      <c r="V17" s="19" t="s">
        <v>42</v>
      </c>
      <c r="W17" s="25" t="s">
        <v>6</v>
      </c>
      <c r="X17" s="19" t="s">
        <v>41</v>
      </c>
      <c r="Y17" s="19" t="s">
        <v>41</v>
      </c>
      <c r="Z17" s="19" t="s">
        <v>41</v>
      </c>
      <c r="AA17" s="19" t="s">
        <v>41</v>
      </c>
      <c r="AB17" s="19" t="s">
        <v>42</v>
      </c>
      <c r="AC17" s="114" t="s">
        <v>4</v>
      </c>
      <c r="AD17" s="19" t="s">
        <v>41</v>
      </c>
      <c r="AE17" s="19" t="s">
        <v>41</v>
      </c>
      <c r="AF17" s="122" t="s">
        <v>5</v>
      </c>
      <c r="AG17" s="122" t="s">
        <v>5</v>
      </c>
      <c r="AH17" s="122" t="s">
        <v>5</v>
      </c>
      <c r="AI17" s="122" t="s">
        <v>5</v>
      </c>
      <c r="AJ17" s="122" t="s">
        <v>5</v>
      </c>
    </row>
    <row r="18" spans="1:36" x14ac:dyDescent="0.35">
      <c r="A18" s="141" t="s">
        <v>68</v>
      </c>
      <c r="B18" s="16" t="s">
        <v>10</v>
      </c>
      <c r="C18" s="116" t="s">
        <v>2</v>
      </c>
      <c r="D18" s="16" t="s">
        <v>10</v>
      </c>
      <c r="E18" s="16" t="s">
        <v>10</v>
      </c>
      <c r="F18" s="16" t="s">
        <v>10</v>
      </c>
      <c r="G18" s="114" t="s">
        <v>4</v>
      </c>
      <c r="H18" s="19" t="s">
        <v>42</v>
      </c>
      <c r="I18" s="19" t="s">
        <v>41</v>
      </c>
      <c r="J18" s="19" t="s">
        <v>41</v>
      </c>
      <c r="K18" s="19" t="s">
        <v>41</v>
      </c>
      <c r="L18" s="116" t="s">
        <v>2</v>
      </c>
      <c r="M18" s="19" t="s">
        <v>41</v>
      </c>
      <c r="N18" s="114" t="s">
        <v>4</v>
      </c>
      <c r="O18" s="19" t="s">
        <v>42</v>
      </c>
      <c r="P18" s="19" t="s">
        <v>41</v>
      </c>
      <c r="Q18" s="19" t="s">
        <v>41</v>
      </c>
      <c r="R18" s="116" t="s">
        <v>2</v>
      </c>
      <c r="S18" s="19" t="s">
        <v>41</v>
      </c>
      <c r="T18" s="19" t="s">
        <v>41</v>
      </c>
      <c r="U18" s="19" t="s">
        <v>42</v>
      </c>
      <c r="V18" s="114" t="s">
        <v>4</v>
      </c>
      <c r="W18" s="19" t="s">
        <v>41</v>
      </c>
      <c r="X18" s="19" t="s">
        <v>41</v>
      </c>
      <c r="Y18" s="19" t="s">
        <v>41</v>
      </c>
      <c r="Z18" s="19" t="s">
        <v>41</v>
      </c>
      <c r="AA18" s="116" t="s">
        <v>2</v>
      </c>
      <c r="AB18" s="22" t="s">
        <v>30</v>
      </c>
      <c r="AC18" s="19" t="s">
        <v>42</v>
      </c>
      <c r="AD18" s="116" t="s">
        <v>2</v>
      </c>
      <c r="AE18" s="19" t="s">
        <v>41</v>
      </c>
      <c r="AF18" s="19" t="s">
        <v>41</v>
      </c>
      <c r="AG18" s="19" t="s">
        <v>41</v>
      </c>
      <c r="AH18" s="19" t="s">
        <v>41</v>
      </c>
      <c r="AI18" s="19" t="s">
        <v>42</v>
      </c>
      <c r="AJ18" s="114" t="s">
        <v>4</v>
      </c>
    </row>
    <row r="19" spans="1:36" x14ac:dyDescent="0.35">
      <c r="A19" s="141" t="s">
        <v>60</v>
      </c>
      <c r="B19" s="16" t="s">
        <v>10</v>
      </c>
      <c r="C19" s="16" t="s">
        <v>10</v>
      </c>
      <c r="D19" s="116" t="s">
        <v>2</v>
      </c>
      <c r="E19" s="16" t="s">
        <v>10</v>
      </c>
      <c r="F19" s="16" t="s">
        <v>10</v>
      </c>
      <c r="G19" s="122" t="s">
        <v>5</v>
      </c>
      <c r="H19" s="122" t="s">
        <v>5</v>
      </c>
      <c r="I19" s="19" t="s">
        <v>41</v>
      </c>
      <c r="J19" s="19" t="s">
        <v>41</v>
      </c>
      <c r="K19" s="19" t="s">
        <v>41</v>
      </c>
      <c r="L19" s="19" t="s">
        <v>41</v>
      </c>
      <c r="M19" s="19" t="s">
        <v>41</v>
      </c>
      <c r="N19" s="19" t="s">
        <v>42</v>
      </c>
      <c r="O19" s="114" t="s">
        <v>4</v>
      </c>
      <c r="P19" s="116" t="s">
        <v>2</v>
      </c>
      <c r="Q19" s="19" t="s">
        <v>41</v>
      </c>
      <c r="R19" s="19" t="s">
        <v>41</v>
      </c>
      <c r="S19" s="19" t="s">
        <v>41</v>
      </c>
      <c r="T19" s="19" t="s">
        <v>41</v>
      </c>
      <c r="U19" s="122" t="s">
        <v>5</v>
      </c>
      <c r="V19" s="19" t="s">
        <v>42</v>
      </c>
      <c r="W19" s="19" t="s">
        <v>41</v>
      </c>
      <c r="X19" s="19" t="s">
        <v>41</v>
      </c>
      <c r="Y19" s="116" t="s">
        <v>2</v>
      </c>
      <c r="Z19" s="19" t="s">
        <v>41</v>
      </c>
      <c r="AA19" s="19" t="s">
        <v>41</v>
      </c>
      <c r="AB19" s="19" t="s">
        <v>42</v>
      </c>
      <c r="AC19" s="19" t="s">
        <v>42</v>
      </c>
      <c r="AD19" s="19" t="s">
        <v>41</v>
      </c>
      <c r="AE19" s="122" t="s">
        <v>5</v>
      </c>
      <c r="AF19" s="122" t="s">
        <v>5</v>
      </c>
      <c r="AG19" s="122" t="s">
        <v>5</v>
      </c>
      <c r="AH19" s="122" t="s">
        <v>5</v>
      </c>
      <c r="AI19" s="122" t="s">
        <v>5</v>
      </c>
      <c r="AJ19" s="122" t="s">
        <v>5</v>
      </c>
    </row>
    <row r="20" spans="1:36" x14ac:dyDescent="0.35">
      <c r="A20" s="141" t="s">
        <v>308</v>
      </c>
      <c r="B20" s="16" t="s">
        <v>10</v>
      </c>
      <c r="C20" s="16" t="s">
        <v>10</v>
      </c>
      <c r="D20" s="16" t="s">
        <v>10</v>
      </c>
      <c r="E20" s="116" t="s">
        <v>2</v>
      </c>
      <c r="F20" s="16" t="s">
        <v>10</v>
      </c>
      <c r="G20" s="114" t="s">
        <v>4</v>
      </c>
      <c r="H20" s="114" t="s">
        <v>4</v>
      </c>
      <c r="I20" s="19" t="s">
        <v>41</v>
      </c>
      <c r="J20" s="19" t="s">
        <v>41</v>
      </c>
      <c r="K20" s="122" t="s">
        <v>5</v>
      </c>
      <c r="L20" s="19" t="s">
        <v>41</v>
      </c>
      <c r="N20" s="22" t="s">
        <v>30</v>
      </c>
      <c r="O20" s="114" t="s">
        <v>4</v>
      </c>
      <c r="P20" s="19" t="s">
        <v>41</v>
      </c>
      <c r="Q20" s="22" t="s">
        <v>16</v>
      </c>
      <c r="R20" s="19" t="s">
        <v>41</v>
      </c>
      <c r="S20" s="22" t="s">
        <v>16</v>
      </c>
      <c r="T20" s="22" t="s">
        <v>16</v>
      </c>
      <c r="U20" s="22" t="s">
        <v>30</v>
      </c>
      <c r="V20" s="114" t="s">
        <v>4</v>
      </c>
      <c r="W20" s="19" t="s">
        <v>41</v>
      </c>
      <c r="X20" s="19" t="s">
        <v>41</v>
      </c>
      <c r="Y20" s="19" t="s">
        <v>41</v>
      </c>
      <c r="Z20" s="19" t="s">
        <v>41</v>
      </c>
      <c r="AA20" s="19" t="s">
        <v>41</v>
      </c>
      <c r="AB20" s="114" t="s">
        <v>4</v>
      </c>
      <c r="AC20" s="114" t="s">
        <v>4</v>
      </c>
      <c r="AD20" s="19" t="s">
        <v>41</v>
      </c>
      <c r="AE20" s="19" t="s">
        <v>41</v>
      </c>
      <c r="AF20" s="19" t="s">
        <v>41</v>
      </c>
      <c r="AG20" s="19" t="s">
        <v>41</v>
      </c>
      <c r="AH20" s="19" t="s">
        <v>41</v>
      </c>
      <c r="AI20" s="22" t="s">
        <v>30</v>
      </c>
      <c r="AJ20" s="114" t="s">
        <v>4</v>
      </c>
    </row>
    <row r="23" spans="1:36" x14ac:dyDescent="0.35">
      <c r="A23" s="128" t="s">
        <v>125</v>
      </c>
      <c r="B23">
        <f t="shared" ref="B23:C23" si="7">COUNTIF(B4:B20,"*MS")</f>
        <v>4</v>
      </c>
      <c r="C23">
        <f t="shared" si="7"/>
        <v>4</v>
      </c>
      <c r="D23">
        <f>COUNTIF(D4:D20,"*MS")</f>
        <v>4</v>
      </c>
      <c r="E23">
        <f t="shared" ref="E23:F23" si="8">COUNTIF(E4:E20,"*MS")</f>
        <v>4</v>
      </c>
      <c r="F23">
        <f t="shared" si="8"/>
        <v>3</v>
      </c>
      <c r="G23">
        <f>COUNTIF(G4:G20,"*MS")</f>
        <v>2</v>
      </c>
      <c r="H23">
        <f>COUNTIF(H4:H20,"*MS")</f>
        <v>2</v>
      </c>
      <c r="I23">
        <f t="shared" ref="I23:M23" si="9">COUNTIF(I4:I20,"*MS")</f>
        <v>3</v>
      </c>
      <c r="J23">
        <f t="shared" si="9"/>
        <v>4</v>
      </c>
      <c r="K23">
        <f t="shared" si="9"/>
        <v>3</v>
      </c>
      <c r="L23">
        <f t="shared" si="9"/>
        <v>4</v>
      </c>
      <c r="M23">
        <f t="shared" si="9"/>
        <v>4</v>
      </c>
      <c r="N23">
        <f>COUNTIF(N4:N20,"*MS")</f>
        <v>2</v>
      </c>
      <c r="O23">
        <f>COUNTIF(O4:O20,"*MS")</f>
        <v>2</v>
      </c>
      <c r="P23">
        <f t="shared" ref="P23:T23" si="10">COUNTIF(P4:P20,"*MS")</f>
        <v>4</v>
      </c>
      <c r="Q23">
        <f t="shared" si="10"/>
        <v>4</v>
      </c>
      <c r="R23">
        <f t="shared" si="10"/>
        <v>4</v>
      </c>
      <c r="S23">
        <f t="shared" si="10"/>
        <v>4</v>
      </c>
      <c r="T23">
        <f t="shared" si="10"/>
        <v>3</v>
      </c>
      <c r="U23">
        <f>COUNTIF(U4:U20,"*MS")</f>
        <v>2</v>
      </c>
      <c r="V23">
        <f>COUNTIF(V4:V20,"*MS")</f>
        <v>2</v>
      </c>
      <c r="W23">
        <f t="shared" ref="W23:AA23" si="11">COUNTIF(W4:W20,"*MS")</f>
        <v>3</v>
      </c>
      <c r="X23">
        <f t="shared" si="11"/>
        <v>4</v>
      </c>
      <c r="Y23">
        <f t="shared" si="11"/>
        <v>3</v>
      </c>
      <c r="Z23">
        <f t="shared" si="11"/>
        <v>4</v>
      </c>
      <c r="AA23">
        <f t="shared" si="11"/>
        <v>3</v>
      </c>
      <c r="AB23">
        <f>COUNTIF(AB4:AB20,"*MS")</f>
        <v>2</v>
      </c>
      <c r="AC23">
        <f>COUNTIF(AC4:AC20,"*MS")</f>
        <v>2</v>
      </c>
      <c r="AD23">
        <f t="shared" ref="AD23:AH23" si="12">COUNTIF(AD4:AD20,"*MS")</f>
        <v>3</v>
      </c>
      <c r="AE23">
        <f t="shared" si="12"/>
        <v>4</v>
      </c>
      <c r="AF23">
        <f t="shared" si="12"/>
        <v>3</v>
      </c>
      <c r="AG23">
        <f t="shared" si="12"/>
        <v>4</v>
      </c>
      <c r="AH23">
        <f t="shared" si="12"/>
        <v>3</v>
      </c>
      <c r="AI23">
        <f>COUNTIF(AI4:AI20,"*MS")</f>
        <v>2</v>
      </c>
      <c r="AJ23">
        <f>COUNTIF(AJ4:AJ20,"*MS")</f>
        <v>2</v>
      </c>
    </row>
    <row r="24" spans="1:36" x14ac:dyDescent="0.35">
      <c r="A24" s="128" t="s">
        <v>126</v>
      </c>
      <c r="B24">
        <f t="shared" ref="B24:C24" si="13">COUNTIF(B4:B20,"*ASS1")</f>
        <v>4</v>
      </c>
      <c r="C24">
        <f t="shared" si="13"/>
        <v>4</v>
      </c>
      <c r="D24">
        <f>COUNTIF(D4:D20,"*ASS1")</f>
        <v>4</v>
      </c>
      <c r="E24">
        <f t="shared" ref="E24:F24" si="14">COUNTIF(E4:E20,"*ASS1")</f>
        <v>5</v>
      </c>
      <c r="F24">
        <f t="shared" si="14"/>
        <v>4</v>
      </c>
      <c r="G24">
        <f>COUNTIF(G4:G20,"*ASS1")</f>
        <v>2</v>
      </c>
      <c r="H24">
        <f>COUNTIF(H4:H20,"*ASS1")</f>
        <v>2</v>
      </c>
      <c r="I24">
        <f t="shared" ref="I24:M24" si="15">COUNTIF(I4:I20,"*ASS1")</f>
        <v>4</v>
      </c>
      <c r="J24">
        <f t="shared" si="15"/>
        <v>4</v>
      </c>
      <c r="K24">
        <f t="shared" si="15"/>
        <v>4</v>
      </c>
      <c r="L24">
        <f t="shared" si="15"/>
        <v>4</v>
      </c>
      <c r="M24">
        <f t="shared" si="15"/>
        <v>3</v>
      </c>
      <c r="N24">
        <f>COUNTIF(N4:N20,"*ASS1")</f>
        <v>2</v>
      </c>
      <c r="O24">
        <f>COUNTIF(O4:O20,"*ASS1")</f>
        <v>2</v>
      </c>
      <c r="P24">
        <f t="shared" ref="P24:T24" si="16">COUNTIF(P4:P20,"*ASS1")</f>
        <v>3</v>
      </c>
      <c r="Q24">
        <f t="shared" si="16"/>
        <v>4</v>
      </c>
      <c r="R24">
        <f t="shared" si="16"/>
        <v>4</v>
      </c>
      <c r="S24">
        <f t="shared" si="16"/>
        <v>4</v>
      </c>
      <c r="T24">
        <f t="shared" si="16"/>
        <v>3</v>
      </c>
      <c r="U24">
        <f>COUNTIF(U4:U20,"*ASS1")</f>
        <v>2</v>
      </c>
      <c r="V24">
        <f>COUNTIF(V4:V20,"*ASS1")</f>
        <v>2</v>
      </c>
      <c r="W24">
        <f t="shared" ref="W24:AA24" si="17">COUNTIF(W4:W20,"*ASS1")</f>
        <v>4</v>
      </c>
      <c r="X24">
        <f t="shared" si="17"/>
        <v>4</v>
      </c>
      <c r="Y24">
        <f t="shared" si="17"/>
        <v>3</v>
      </c>
      <c r="Z24">
        <f t="shared" si="17"/>
        <v>4</v>
      </c>
      <c r="AA24">
        <f t="shared" si="17"/>
        <v>3</v>
      </c>
      <c r="AB24">
        <f>COUNTIF(AB4:AB20,"*ASS1")</f>
        <v>2</v>
      </c>
      <c r="AC24">
        <f>COUNTIF(AC4:AC20,"*ASS1")</f>
        <v>2</v>
      </c>
      <c r="AD24">
        <f t="shared" ref="AD24:AH24" si="18">COUNTIF(AD4:AD20,"*ASS1")</f>
        <v>3</v>
      </c>
      <c r="AE24">
        <f t="shared" si="18"/>
        <v>4</v>
      </c>
      <c r="AF24">
        <f t="shared" si="18"/>
        <v>3</v>
      </c>
      <c r="AG24">
        <f t="shared" si="18"/>
        <v>4</v>
      </c>
      <c r="AH24">
        <f t="shared" si="18"/>
        <v>3</v>
      </c>
      <c r="AI24">
        <f>COUNTIF(AI4:AI20,"*ASS1")</f>
        <v>2</v>
      </c>
      <c r="AJ24">
        <f>COUNTIF(AJ4:AJ20,"*ASS1")</f>
        <v>2</v>
      </c>
    </row>
    <row r="25" spans="1:36" x14ac:dyDescent="0.35">
      <c r="A25" s="128" t="s">
        <v>127</v>
      </c>
      <c r="B25">
        <f t="shared" ref="B25:C25" si="19">COUNTIF(B4:B20,"*NST7")</f>
        <v>4</v>
      </c>
      <c r="C25">
        <f t="shared" si="19"/>
        <v>4</v>
      </c>
      <c r="D25">
        <f>COUNTIF(D4:D20,"*NST7")</f>
        <v>4</v>
      </c>
      <c r="E25">
        <f t="shared" ref="E25:F25" si="20">COUNTIF(E4:E20,"*NST7")</f>
        <v>3</v>
      </c>
      <c r="F25">
        <f t="shared" si="20"/>
        <v>4</v>
      </c>
      <c r="G25">
        <f>COUNTIF(G4:G20,"*NST7")</f>
        <v>3</v>
      </c>
      <c r="H25">
        <f>COUNTIF(H4:H20,"*NST7")</f>
        <v>3</v>
      </c>
      <c r="I25">
        <f t="shared" ref="I25:M25" si="21">COUNTIF(I4:I20,"*NST7")</f>
        <v>4</v>
      </c>
      <c r="J25">
        <f t="shared" si="21"/>
        <v>4</v>
      </c>
      <c r="K25">
        <f t="shared" si="21"/>
        <v>4</v>
      </c>
      <c r="L25">
        <f t="shared" si="21"/>
        <v>4</v>
      </c>
      <c r="M25">
        <f t="shared" si="21"/>
        <v>4</v>
      </c>
      <c r="N25">
        <f>COUNTIF(N4:N20,"*NST7")</f>
        <v>3</v>
      </c>
      <c r="O25">
        <f>COUNTIF(O4:O20,"*NST7")</f>
        <v>3</v>
      </c>
      <c r="P25">
        <f t="shared" ref="P25:T25" si="22">COUNTIF(P4:P20,"*NST7")</f>
        <v>4</v>
      </c>
      <c r="Q25">
        <f t="shared" si="22"/>
        <v>4</v>
      </c>
      <c r="R25">
        <f t="shared" si="22"/>
        <v>4</v>
      </c>
      <c r="S25">
        <f t="shared" si="22"/>
        <v>4</v>
      </c>
      <c r="T25">
        <f t="shared" si="22"/>
        <v>4</v>
      </c>
      <c r="U25">
        <f>COUNTIF(U4:U20,"*NST7")</f>
        <v>3</v>
      </c>
      <c r="V25">
        <f>COUNTIF(V4:V20,"*NST7")</f>
        <v>2</v>
      </c>
      <c r="W25">
        <f t="shared" ref="W25:AA25" si="23">COUNTIF(W4:W20,"*NST7")</f>
        <v>3</v>
      </c>
      <c r="X25">
        <f t="shared" si="23"/>
        <v>3</v>
      </c>
      <c r="Y25">
        <f t="shared" si="23"/>
        <v>3</v>
      </c>
      <c r="Z25">
        <f t="shared" si="23"/>
        <v>3</v>
      </c>
      <c r="AA25">
        <f t="shared" si="23"/>
        <v>3</v>
      </c>
      <c r="AB25">
        <f>COUNTIF(AB4:AB20,"*NST7")</f>
        <v>3</v>
      </c>
      <c r="AC25">
        <f>COUNTIF(AC4:AC20,"*NST7")</f>
        <v>2</v>
      </c>
      <c r="AD25">
        <f t="shared" ref="AD25:AH25" si="24">COUNTIF(AD4:AD20,"*NST7")</f>
        <v>4</v>
      </c>
      <c r="AE25">
        <f t="shared" si="24"/>
        <v>4</v>
      </c>
      <c r="AF25">
        <f t="shared" si="24"/>
        <v>3</v>
      </c>
      <c r="AG25">
        <f t="shared" si="24"/>
        <v>4</v>
      </c>
      <c r="AH25">
        <f t="shared" si="24"/>
        <v>4</v>
      </c>
      <c r="AI25">
        <f>COUNTIF(AI4:AI20,"*NST7")</f>
        <v>3</v>
      </c>
      <c r="AJ25">
        <f>COUNTIF(AJ4:AJ20,"*NST7")</f>
        <v>2</v>
      </c>
    </row>
    <row r="26" spans="1:36" x14ac:dyDescent="0.35">
      <c r="A26" s="128" t="s">
        <v>128</v>
      </c>
      <c r="B26">
        <f t="shared" ref="B26:C26" si="25">COUNTIF(B4:B20,"*GS")</f>
        <v>0</v>
      </c>
      <c r="C26">
        <f t="shared" si="25"/>
        <v>0</v>
      </c>
      <c r="D26">
        <f>COUNTIF(D4:D20,"*GS")</f>
        <v>0</v>
      </c>
      <c r="E26">
        <f t="shared" ref="E26:F26" si="26">COUNTIF(E4:E20,"*GS")</f>
        <v>0</v>
      </c>
      <c r="F26">
        <f t="shared" si="26"/>
        <v>0</v>
      </c>
      <c r="G26">
        <f>COUNTIF(G4:G20,"*GS")</f>
        <v>1</v>
      </c>
      <c r="H26">
        <f>COUNTIF(H4:H20,"*GS")</f>
        <v>0</v>
      </c>
      <c r="I26">
        <f t="shared" ref="I26:M26" si="27">COUNTIF(I4:I20,"*GS")</f>
        <v>0</v>
      </c>
      <c r="J26">
        <f t="shared" si="27"/>
        <v>0</v>
      </c>
      <c r="K26">
        <f t="shared" si="27"/>
        <v>0</v>
      </c>
      <c r="L26">
        <f t="shared" si="27"/>
        <v>0</v>
      </c>
      <c r="M26">
        <f t="shared" si="27"/>
        <v>0</v>
      </c>
      <c r="N26">
        <f>COUNTIF(N4:N20,"*GS")</f>
        <v>1</v>
      </c>
      <c r="O26">
        <f>COUNTIF(O4:O20,"*GS")</f>
        <v>0</v>
      </c>
      <c r="P26">
        <f t="shared" ref="P26:T26" si="28">COUNTIF(P4:P20,"*GS")</f>
        <v>0</v>
      </c>
      <c r="Q26">
        <f t="shared" si="28"/>
        <v>1</v>
      </c>
      <c r="R26">
        <f t="shared" si="28"/>
        <v>0</v>
      </c>
      <c r="S26">
        <f t="shared" si="28"/>
        <v>1</v>
      </c>
      <c r="T26">
        <f t="shared" si="28"/>
        <v>1</v>
      </c>
      <c r="U26">
        <f>COUNTIF(U4:U20,"*GS")</f>
        <v>1</v>
      </c>
      <c r="V26">
        <f>COUNTIF(V4:V20,"*GS")</f>
        <v>0</v>
      </c>
      <c r="W26">
        <f t="shared" ref="W26:AA26" si="29">COUNTIF(W4:W20,"*GS")</f>
        <v>0</v>
      </c>
      <c r="X26">
        <f t="shared" si="29"/>
        <v>0</v>
      </c>
      <c r="Y26">
        <f t="shared" si="29"/>
        <v>1</v>
      </c>
      <c r="Z26">
        <f t="shared" si="29"/>
        <v>0</v>
      </c>
      <c r="AA26">
        <f t="shared" si="29"/>
        <v>1</v>
      </c>
      <c r="AB26">
        <f>COUNTIF(AB4:AB20,"*GS")</f>
        <v>1</v>
      </c>
      <c r="AC26">
        <f>COUNTIF(AC4:AC20,"*GS")</f>
        <v>1</v>
      </c>
      <c r="AD26">
        <f t="shared" ref="AD26:AH26" si="30">COUNTIF(AD4:AD20,"*GS")</f>
        <v>1</v>
      </c>
      <c r="AE26">
        <f t="shared" si="30"/>
        <v>0</v>
      </c>
      <c r="AF26">
        <f t="shared" si="30"/>
        <v>0</v>
      </c>
      <c r="AG26">
        <f t="shared" si="30"/>
        <v>0</v>
      </c>
      <c r="AH26">
        <f t="shared" si="30"/>
        <v>1</v>
      </c>
      <c r="AI26">
        <f>COUNTIF(AI4:AI20,"*GS")</f>
        <v>1</v>
      </c>
      <c r="AJ26">
        <f>COUNTIF(AJ4:AJ20,"*GS")</f>
        <v>0</v>
      </c>
    </row>
    <row r="27" spans="1:36" x14ac:dyDescent="0.35">
      <c r="A27" s="128" t="s">
        <v>129</v>
      </c>
      <c r="B27">
        <f t="shared" ref="B27:C27" si="31">COUNTIF(B4:B20,"C")</f>
        <v>3</v>
      </c>
      <c r="C27">
        <f t="shared" si="31"/>
        <v>3</v>
      </c>
      <c r="D27">
        <f>COUNTIF(D4:D20,"C")</f>
        <v>3</v>
      </c>
      <c r="E27">
        <f t="shared" ref="E27:F27" si="32">COUNTIF(E4:E20,"C")</f>
        <v>2</v>
      </c>
      <c r="F27">
        <f t="shared" si="32"/>
        <v>3</v>
      </c>
      <c r="G27">
        <f>COUNTIF(G4:G20,"WO")</f>
        <v>5</v>
      </c>
      <c r="H27">
        <f>COUNTIF(H4:H20,"WO")</f>
        <v>6</v>
      </c>
      <c r="I27">
        <f t="shared" ref="I27:M27" si="33">COUNTIF(I4:I20,"C")</f>
        <v>3</v>
      </c>
      <c r="J27">
        <f t="shared" si="33"/>
        <v>1</v>
      </c>
      <c r="K27">
        <f t="shared" si="33"/>
        <v>2</v>
      </c>
      <c r="L27">
        <f t="shared" si="33"/>
        <v>3</v>
      </c>
      <c r="M27">
        <f t="shared" si="33"/>
        <v>3</v>
      </c>
      <c r="N27">
        <f>COUNTIF(N4:N20,"WO")</f>
        <v>5</v>
      </c>
      <c r="O27">
        <f>COUNTIF(O4:O20,"WO")</f>
        <v>6</v>
      </c>
      <c r="P27">
        <f t="shared" ref="P27:T27" si="34">COUNTIF(P4:P20,"C")</f>
        <v>4</v>
      </c>
      <c r="Q27">
        <f t="shared" si="34"/>
        <v>1</v>
      </c>
      <c r="R27">
        <f t="shared" si="34"/>
        <v>3</v>
      </c>
      <c r="S27">
        <f t="shared" si="34"/>
        <v>1</v>
      </c>
      <c r="T27">
        <f t="shared" si="34"/>
        <v>2</v>
      </c>
      <c r="U27">
        <f>COUNTIF(U4:U20,"WO")</f>
        <v>5</v>
      </c>
      <c r="V27">
        <f>COUNTIF(V4:V20,"WO")</f>
        <v>7</v>
      </c>
      <c r="W27">
        <f t="shared" ref="W27:AA27" si="35">COUNTIF(W4:W20,"C")</f>
        <v>1</v>
      </c>
      <c r="X27">
        <f t="shared" si="35"/>
        <v>2</v>
      </c>
      <c r="Y27">
        <f t="shared" si="35"/>
        <v>3</v>
      </c>
      <c r="Z27">
        <f t="shared" si="35"/>
        <v>2</v>
      </c>
      <c r="AA27">
        <f t="shared" si="35"/>
        <v>3</v>
      </c>
      <c r="AB27">
        <f>COUNTIF(AB4:AB20,"WO")</f>
        <v>6</v>
      </c>
      <c r="AC27">
        <f>COUNTIF(AC4:AC20,"WO")</f>
        <v>6</v>
      </c>
      <c r="AD27">
        <f t="shared" ref="AD27:AH27" si="36">COUNTIF(AD4:AD20,"C")</f>
        <v>3</v>
      </c>
      <c r="AE27">
        <f t="shared" si="36"/>
        <v>2</v>
      </c>
      <c r="AF27">
        <f t="shared" si="36"/>
        <v>3</v>
      </c>
      <c r="AG27">
        <f t="shared" si="36"/>
        <v>0</v>
      </c>
      <c r="AH27">
        <f t="shared" si="36"/>
        <v>1</v>
      </c>
      <c r="AI27">
        <f>COUNTIF(AI4:AI20,"WO")</f>
        <v>3</v>
      </c>
      <c r="AJ27">
        <f>COUNTIF(AJ4:AJ20,"WO")</f>
        <v>5</v>
      </c>
    </row>
    <row r="28" spans="1:36" x14ac:dyDescent="0.35">
      <c r="A28" s="128" t="s">
        <v>130</v>
      </c>
      <c r="B28">
        <f t="shared" ref="B28:C28" si="37">COUNTIF(B4:B20,"PL")</f>
        <v>0</v>
      </c>
      <c r="C28">
        <f t="shared" si="37"/>
        <v>0</v>
      </c>
      <c r="D28">
        <f>COUNTIF(D4:D20,"PL")</f>
        <v>0</v>
      </c>
      <c r="E28">
        <f t="shared" ref="E28:F28" si="38">COUNTIF(E4:E20,"PL")</f>
        <v>1</v>
      </c>
      <c r="F28">
        <f t="shared" si="38"/>
        <v>1</v>
      </c>
      <c r="G28">
        <f>COUNTIF(G4:G20,"PL")</f>
        <v>2</v>
      </c>
      <c r="H28">
        <f>COUNTIF(H4:H20,"PL")</f>
        <v>2</v>
      </c>
      <c r="I28">
        <f t="shared" ref="I28:M28" si="39">COUNTIF(I4:I20,"PL")</f>
        <v>1</v>
      </c>
      <c r="J28">
        <f t="shared" si="39"/>
        <v>2</v>
      </c>
      <c r="K28">
        <f t="shared" si="39"/>
        <v>2</v>
      </c>
      <c r="L28">
        <f t="shared" si="39"/>
        <v>0</v>
      </c>
      <c r="M28">
        <f t="shared" si="39"/>
        <v>0</v>
      </c>
      <c r="N28">
        <f>COUNTIF(N4:N20,"PL")</f>
        <v>2</v>
      </c>
      <c r="O28">
        <f>COUNTIF(O4:O20,"PL")</f>
        <v>2</v>
      </c>
      <c r="P28">
        <f t="shared" ref="P28:T28" si="40">COUNTIF(P4:P20,"PL")</f>
        <v>0</v>
      </c>
      <c r="Q28">
        <f t="shared" si="40"/>
        <v>1</v>
      </c>
      <c r="R28">
        <f t="shared" si="40"/>
        <v>0</v>
      </c>
      <c r="S28">
        <f t="shared" si="40"/>
        <v>1</v>
      </c>
      <c r="T28">
        <f t="shared" si="40"/>
        <v>2</v>
      </c>
      <c r="U28">
        <f>COUNTIF(U4:U20,"PL")</f>
        <v>2</v>
      </c>
      <c r="V28">
        <f>COUNTIF(V4:V20,"PL")</f>
        <v>2</v>
      </c>
      <c r="W28">
        <f t="shared" ref="W28:AA28" si="41">COUNTIF(W4:W20,"PL")</f>
        <v>3</v>
      </c>
      <c r="X28">
        <f t="shared" si="41"/>
        <v>2</v>
      </c>
      <c r="Y28">
        <f t="shared" si="41"/>
        <v>2</v>
      </c>
      <c r="Z28">
        <f t="shared" si="41"/>
        <v>2</v>
      </c>
      <c r="AA28">
        <f t="shared" si="41"/>
        <v>2</v>
      </c>
      <c r="AB28">
        <f>COUNTIF(AB4:AB20,"PL")</f>
        <v>1</v>
      </c>
      <c r="AC28">
        <f>COUNTIF(AC4:AC20,"PL")</f>
        <v>2</v>
      </c>
      <c r="AD28">
        <f t="shared" ref="AD28:AH28" si="42">COUNTIF(AD4:AD20,"PL")</f>
        <v>1</v>
      </c>
      <c r="AE28">
        <f t="shared" si="42"/>
        <v>1</v>
      </c>
      <c r="AF28">
        <f t="shared" si="42"/>
        <v>3</v>
      </c>
      <c r="AG28">
        <f t="shared" si="42"/>
        <v>3</v>
      </c>
      <c r="AH28">
        <f t="shared" si="42"/>
        <v>3</v>
      </c>
      <c r="AI28">
        <f>COUNTIF(AI4:AI20,"PL")</f>
        <v>4</v>
      </c>
      <c r="AJ28">
        <f>COUNTIF(AJ4:AJ20,"PL")</f>
        <v>4</v>
      </c>
    </row>
    <row r="29" spans="1:36" x14ac:dyDescent="0.35">
      <c r="A29" s="128" t="s">
        <v>33</v>
      </c>
      <c r="B29">
        <f t="shared" ref="B29:C29" si="43">COUNTIF(B4:B20,"UPL")</f>
        <v>0</v>
      </c>
      <c r="C29">
        <f t="shared" si="43"/>
        <v>0</v>
      </c>
      <c r="D29">
        <f>COUNTIF(D4:D20,"UPL")</f>
        <v>0</v>
      </c>
      <c r="E29">
        <f t="shared" ref="E29:F29" si="44">COUNTIF(E4:E20,"UPL")</f>
        <v>0</v>
      </c>
      <c r="F29">
        <f t="shared" si="44"/>
        <v>0</v>
      </c>
      <c r="G29">
        <f>COUNTIF(G4:G20,"UPL")</f>
        <v>0</v>
      </c>
      <c r="H29">
        <f>COUNTIF(H4:H20,"UPL")</f>
        <v>0</v>
      </c>
      <c r="I29">
        <f t="shared" ref="I29:M29" si="45">COUNTIF(I4:I20,"UPL")</f>
        <v>0</v>
      </c>
      <c r="J29">
        <f t="shared" si="45"/>
        <v>0</v>
      </c>
      <c r="K29">
        <f t="shared" si="45"/>
        <v>0</v>
      </c>
      <c r="L29">
        <f t="shared" si="45"/>
        <v>0</v>
      </c>
      <c r="M29">
        <f t="shared" si="45"/>
        <v>0</v>
      </c>
      <c r="N29">
        <f>COUNTIF(N4:N20,"UPL")</f>
        <v>0</v>
      </c>
      <c r="O29">
        <f>COUNTIF(O4:O20,"UPL")</f>
        <v>0</v>
      </c>
      <c r="P29">
        <f t="shared" ref="P29:T29" si="46">COUNTIF(P4:P20,"UPL")</f>
        <v>0</v>
      </c>
      <c r="Q29">
        <f t="shared" si="46"/>
        <v>0</v>
      </c>
      <c r="R29">
        <f t="shared" si="46"/>
        <v>0</v>
      </c>
      <c r="S29">
        <f t="shared" si="46"/>
        <v>0</v>
      </c>
      <c r="T29">
        <f t="shared" si="46"/>
        <v>0</v>
      </c>
      <c r="U29">
        <f>COUNTIF(U4:U20,"UPL")</f>
        <v>0</v>
      </c>
      <c r="V29">
        <f>COUNTIF(V4:V20,"UPL")</f>
        <v>0</v>
      </c>
      <c r="W29">
        <f t="shared" ref="W29:AA29" si="47">COUNTIF(W4:W20,"UPL")</f>
        <v>0</v>
      </c>
      <c r="X29">
        <f t="shared" si="47"/>
        <v>0</v>
      </c>
      <c r="Y29">
        <f t="shared" si="47"/>
        <v>0</v>
      </c>
      <c r="Z29">
        <f t="shared" si="47"/>
        <v>0</v>
      </c>
      <c r="AA29">
        <f t="shared" si="47"/>
        <v>0</v>
      </c>
      <c r="AB29">
        <f>COUNTIF(AB4:AB20,"UPL")</f>
        <v>0</v>
      </c>
      <c r="AC29">
        <f>COUNTIF(AC4:AC20,"UPL")</f>
        <v>0</v>
      </c>
      <c r="AD29">
        <f t="shared" ref="AD29:AH29" si="48">COUNTIF(AD4:AD20,"UPL")</f>
        <v>0</v>
      </c>
      <c r="AE29">
        <f t="shared" si="48"/>
        <v>0</v>
      </c>
      <c r="AF29">
        <f t="shared" si="48"/>
        <v>0</v>
      </c>
      <c r="AG29">
        <f t="shared" si="48"/>
        <v>0</v>
      </c>
      <c r="AH29">
        <f t="shared" si="48"/>
        <v>0</v>
      </c>
      <c r="AI29">
        <f>COUNTIF(AI4:AI20,"UPL")</f>
        <v>0</v>
      </c>
      <c r="AJ29">
        <f>COUNTIF(AJ4:AJ20,"UPL")</f>
        <v>0</v>
      </c>
    </row>
    <row r="30" spans="1:36" x14ac:dyDescent="0.35">
      <c r="A30" s="128" t="s">
        <v>141</v>
      </c>
      <c r="B30">
        <f t="shared" ref="B30:C30" si="49">COUNTIF(B4:B20,"H")</f>
        <v>0</v>
      </c>
      <c r="C30">
        <f t="shared" si="49"/>
        <v>0</v>
      </c>
      <c r="D30">
        <f>COUNTIF(D4:D20,"H")</f>
        <v>0</v>
      </c>
      <c r="E30">
        <f t="shared" ref="E30:F30" si="50">COUNTIF(E4:E20,"H")</f>
        <v>0</v>
      </c>
      <c r="F30">
        <f t="shared" si="50"/>
        <v>0</v>
      </c>
      <c r="G30">
        <f>COUNTIF(G4:G20,"H")</f>
        <v>0</v>
      </c>
      <c r="H30">
        <f>COUNTIF(H4:H20,"H")</f>
        <v>0</v>
      </c>
      <c r="I30">
        <f t="shared" ref="I30:M30" si="51">COUNTIF(I4:I20,"H")</f>
        <v>0</v>
      </c>
      <c r="J30">
        <f t="shared" si="51"/>
        <v>0</v>
      </c>
      <c r="K30">
        <f t="shared" si="51"/>
        <v>0</v>
      </c>
      <c r="L30">
        <f t="shared" si="51"/>
        <v>0</v>
      </c>
      <c r="M30">
        <f t="shared" si="51"/>
        <v>0</v>
      </c>
      <c r="N30">
        <f>COUNTIF(N4:N20,"H")</f>
        <v>0</v>
      </c>
      <c r="O30">
        <f>COUNTIF(O4:O20,"H")</f>
        <v>0</v>
      </c>
      <c r="P30">
        <f t="shared" ref="P30:T30" si="52">COUNTIF(P4:P20,"H")</f>
        <v>0</v>
      </c>
      <c r="Q30">
        <f t="shared" si="52"/>
        <v>0</v>
      </c>
      <c r="R30">
        <f t="shared" si="52"/>
        <v>0</v>
      </c>
      <c r="S30">
        <f t="shared" si="52"/>
        <v>0</v>
      </c>
      <c r="T30">
        <f t="shared" si="52"/>
        <v>0</v>
      </c>
      <c r="U30">
        <f>COUNTIF(U4:U20,"H")</f>
        <v>0</v>
      </c>
      <c r="V30">
        <f>COUNTIF(V4:V20,"H")</f>
        <v>0</v>
      </c>
      <c r="W30">
        <f t="shared" ref="W30:AA30" si="53">COUNTIF(W4:W20,"H")</f>
        <v>1</v>
      </c>
      <c r="X30">
        <f t="shared" si="53"/>
        <v>0</v>
      </c>
      <c r="Y30">
        <f t="shared" si="53"/>
        <v>0</v>
      </c>
      <c r="Z30">
        <f t="shared" si="53"/>
        <v>0</v>
      </c>
      <c r="AA30">
        <f t="shared" si="53"/>
        <v>0</v>
      </c>
      <c r="AB30">
        <f>COUNTIF(AB4:AB20,"H")</f>
        <v>0</v>
      </c>
      <c r="AC30">
        <f>COUNTIF(AC4:AC20,"H")</f>
        <v>0</v>
      </c>
      <c r="AD30">
        <f t="shared" ref="AD30:AH30" si="54">COUNTIF(AD4:AD20,"H")</f>
        <v>0</v>
      </c>
      <c r="AE30">
        <f t="shared" si="54"/>
        <v>0</v>
      </c>
      <c r="AF30">
        <f t="shared" si="54"/>
        <v>0</v>
      </c>
      <c r="AG30">
        <f t="shared" si="54"/>
        <v>0</v>
      </c>
      <c r="AH30">
        <f t="shared" si="54"/>
        <v>0</v>
      </c>
      <c r="AI30">
        <f>COUNTIF(AI4:AI20,"H")</f>
        <v>0</v>
      </c>
      <c r="AJ30">
        <f>COUNTIF(AJ4:AJ20,"H")</f>
        <v>0</v>
      </c>
    </row>
    <row r="31" spans="1:36" x14ac:dyDescent="0.35">
      <c r="A31" s="128" t="s">
        <v>131</v>
      </c>
      <c r="B31" s="129">
        <f t="shared" ref="B31:C31" si="55">SUM(B23:B30)</f>
        <v>15</v>
      </c>
      <c r="C31" s="129">
        <f t="shared" si="55"/>
        <v>15</v>
      </c>
      <c r="D31" s="129">
        <f t="shared" ref="D31:H31" si="56">SUM(D23:D30)</f>
        <v>15</v>
      </c>
      <c r="E31" s="129">
        <f t="shared" si="56"/>
        <v>15</v>
      </c>
      <c r="F31" s="129">
        <f t="shared" si="56"/>
        <v>15</v>
      </c>
      <c r="G31" s="129">
        <f t="shared" si="56"/>
        <v>15</v>
      </c>
      <c r="H31" s="129">
        <f t="shared" si="56"/>
        <v>15</v>
      </c>
      <c r="I31" s="129">
        <f t="shared" ref="I31:O31" si="57">SUM(I23:I30)</f>
        <v>15</v>
      </c>
      <c r="J31" s="129">
        <f t="shared" si="57"/>
        <v>15</v>
      </c>
      <c r="K31" s="129">
        <f t="shared" si="57"/>
        <v>15</v>
      </c>
      <c r="L31" s="129">
        <f t="shared" si="57"/>
        <v>15</v>
      </c>
      <c r="M31" s="129">
        <f t="shared" si="57"/>
        <v>14</v>
      </c>
      <c r="N31" s="129">
        <f t="shared" si="57"/>
        <v>15</v>
      </c>
      <c r="O31" s="129">
        <f t="shared" si="57"/>
        <v>15</v>
      </c>
      <c r="P31" s="129">
        <f t="shared" ref="P31:AJ31" si="58">SUM(P23:P30)</f>
        <v>15</v>
      </c>
      <c r="Q31" s="129">
        <f t="shared" si="58"/>
        <v>15</v>
      </c>
      <c r="R31" s="129">
        <f t="shared" si="58"/>
        <v>15</v>
      </c>
      <c r="S31" s="129">
        <f t="shared" si="58"/>
        <v>15</v>
      </c>
      <c r="T31" s="129">
        <f t="shared" si="58"/>
        <v>15</v>
      </c>
      <c r="U31" s="129">
        <f t="shared" si="58"/>
        <v>15</v>
      </c>
      <c r="V31" s="129">
        <f t="shared" si="58"/>
        <v>15</v>
      </c>
      <c r="W31" s="129">
        <f t="shared" si="58"/>
        <v>15</v>
      </c>
      <c r="X31" s="129">
        <f t="shared" si="58"/>
        <v>15</v>
      </c>
      <c r="Y31" s="129">
        <f t="shared" si="58"/>
        <v>15</v>
      </c>
      <c r="Z31" s="129">
        <f t="shared" si="58"/>
        <v>15</v>
      </c>
      <c r="AA31" s="129">
        <f t="shared" si="58"/>
        <v>15</v>
      </c>
      <c r="AB31" s="129">
        <f t="shared" si="58"/>
        <v>15</v>
      </c>
      <c r="AC31" s="129">
        <f t="shared" si="58"/>
        <v>15</v>
      </c>
      <c r="AD31" s="129">
        <f t="shared" si="58"/>
        <v>15</v>
      </c>
      <c r="AE31" s="129">
        <f t="shared" si="58"/>
        <v>15</v>
      </c>
      <c r="AF31" s="129">
        <f t="shared" si="58"/>
        <v>15</v>
      </c>
      <c r="AG31" s="129">
        <f t="shared" si="58"/>
        <v>15</v>
      </c>
      <c r="AH31" s="129">
        <f t="shared" si="58"/>
        <v>15</v>
      </c>
      <c r="AI31" s="129">
        <f t="shared" si="58"/>
        <v>15</v>
      </c>
      <c r="AJ31" s="129">
        <f t="shared" si="58"/>
        <v>15</v>
      </c>
    </row>
  </sheetData>
  <conditionalFormatting sqref="B23:AJ26">
    <cfRule type="cellIs" dxfId="824" priority="1" operator="lessThan">
      <formula>3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E12E-19F1-4F7D-96C1-D77FE5733E91}">
  <dimension ref="A1:AQ31"/>
  <sheetViews>
    <sheetView zoomScale="53" zoomScaleNormal="53" workbookViewId="0">
      <pane xSplit="1" topLeftCell="G1" activePane="topRight" state="frozen"/>
      <selection pane="topRight" activeCell="A20" sqref="A20:XFD20"/>
    </sheetView>
  </sheetViews>
  <sheetFormatPr defaultRowHeight="14.5" x14ac:dyDescent="0.35"/>
  <cols>
    <col min="1" max="1" width="23.08984375" bestFit="1" customWidth="1"/>
    <col min="2" max="6" width="8.7265625" hidden="1" customWidth="1"/>
    <col min="7" max="37" width="8.7265625" customWidth="1"/>
  </cols>
  <sheetData>
    <row r="1" spans="1:43" x14ac:dyDescent="0.35">
      <c r="A1" s="1"/>
      <c r="B1" s="2" t="str">
        <f t="shared" ref="B1:AK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  <c r="AI1" s="2" t="str">
        <f t="shared" si="0"/>
        <v>Mon</v>
      </c>
      <c r="AJ1" s="2" t="str">
        <f t="shared" si="0"/>
        <v>Tue</v>
      </c>
      <c r="AK1" s="2" t="str">
        <f t="shared" si="0"/>
        <v>Wed</v>
      </c>
    </row>
    <row r="2" spans="1:43" x14ac:dyDescent="0.35">
      <c r="A2" s="95" t="s">
        <v>0</v>
      </c>
      <c r="B2" s="29">
        <v>45469</v>
      </c>
      <c r="C2" s="29">
        <v>45470</v>
      </c>
      <c r="D2" s="29">
        <v>45471</v>
      </c>
      <c r="E2" s="29">
        <v>45472</v>
      </c>
      <c r="F2" s="29">
        <v>45473</v>
      </c>
      <c r="G2" s="29">
        <v>45474</v>
      </c>
      <c r="H2" s="29">
        <v>45475</v>
      </c>
      <c r="I2" s="29">
        <v>45476</v>
      </c>
      <c r="J2" s="29">
        <v>45477</v>
      </c>
      <c r="K2" s="29">
        <v>45478</v>
      </c>
      <c r="L2" s="29">
        <v>45479</v>
      </c>
      <c r="M2" s="29">
        <v>45480</v>
      </c>
      <c r="N2" s="29">
        <v>45481</v>
      </c>
      <c r="O2" s="29">
        <v>45482</v>
      </c>
      <c r="P2" s="29">
        <v>45483</v>
      </c>
      <c r="Q2" s="29">
        <v>45484</v>
      </c>
      <c r="R2" s="29">
        <v>45485</v>
      </c>
      <c r="S2" s="29">
        <v>45486</v>
      </c>
      <c r="T2" s="29">
        <v>45487</v>
      </c>
      <c r="U2" s="29">
        <v>45488</v>
      </c>
      <c r="V2" s="29">
        <v>45489</v>
      </c>
      <c r="W2" s="29">
        <v>45490</v>
      </c>
      <c r="X2" s="29">
        <v>45491</v>
      </c>
      <c r="Y2" s="29">
        <v>45492</v>
      </c>
      <c r="Z2" s="29">
        <v>45493</v>
      </c>
      <c r="AA2" s="29">
        <v>45494</v>
      </c>
      <c r="AB2" s="29">
        <v>45495</v>
      </c>
      <c r="AC2" s="29">
        <v>45496</v>
      </c>
      <c r="AD2" s="29">
        <v>45497</v>
      </c>
      <c r="AE2" s="29">
        <v>45498</v>
      </c>
      <c r="AF2" s="29">
        <v>45499</v>
      </c>
      <c r="AG2" s="29">
        <v>45500</v>
      </c>
      <c r="AH2" s="29">
        <v>45501</v>
      </c>
      <c r="AI2" s="29">
        <v>45502</v>
      </c>
      <c r="AJ2" s="29">
        <v>45503</v>
      </c>
      <c r="AK2" s="29">
        <v>45504</v>
      </c>
    </row>
    <row r="3" spans="1:43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M3" t="s">
        <v>346</v>
      </c>
      <c r="AN3" t="s">
        <v>5</v>
      </c>
      <c r="AO3" t="s">
        <v>2</v>
      </c>
      <c r="AP3" t="s">
        <v>4</v>
      </c>
    </row>
    <row r="4" spans="1:43" x14ac:dyDescent="0.35">
      <c r="A4" s="165" t="s">
        <v>1</v>
      </c>
      <c r="B4" s="19" t="s">
        <v>41</v>
      </c>
      <c r="C4" s="19" t="s">
        <v>41</v>
      </c>
      <c r="D4" s="116" t="s">
        <v>2</v>
      </c>
      <c r="E4" s="19" t="s">
        <v>42</v>
      </c>
      <c r="F4" s="25" t="s">
        <v>3</v>
      </c>
      <c r="G4" s="16" t="s">
        <v>10</v>
      </c>
      <c r="H4" s="16" t="s">
        <v>10</v>
      </c>
      <c r="I4" s="16" t="s">
        <v>10</v>
      </c>
      <c r="J4" s="116" t="s">
        <v>2</v>
      </c>
      <c r="K4" s="16" t="s">
        <v>10</v>
      </c>
      <c r="L4" s="16" t="s">
        <v>11</v>
      </c>
      <c r="M4" s="16" t="s">
        <v>11</v>
      </c>
      <c r="N4" s="116" t="s">
        <v>2</v>
      </c>
      <c r="O4" s="16" t="s">
        <v>10</v>
      </c>
      <c r="P4" s="16" t="s">
        <v>10</v>
      </c>
      <c r="Q4" s="116" t="s">
        <v>2</v>
      </c>
      <c r="R4" s="16" t="s">
        <v>10</v>
      </c>
      <c r="S4" s="16" t="s">
        <v>11</v>
      </c>
      <c r="T4" s="114" t="s">
        <v>4</v>
      </c>
      <c r="U4" s="16" t="s">
        <v>10</v>
      </c>
      <c r="V4" s="116" t="s">
        <v>2</v>
      </c>
      <c r="W4" s="16" t="s">
        <v>10</v>
      </c>
      <c r="X4" s="116" t="s">
        <v>2</v>
      </c>
      <c r="Y4" s="16" t="s">
        <v>10</v>
      </c>
      <c r="Z4" s="16" t="s">
        <v>11</v>
      </c>
      <c r="AA4" s="114" t="s">
        <v>4</v>
      </c>
      <c r="AB4" s="16" t="s">
        <v>10</v>
      </c>
      <c r="AC4" s="16" t="s">
        <v>10</v>
      </c>
      <c r="AD4" s="16" t="s">
        <v>10</v>
      </c>
      <c r="AE4" s="116" t="s">
        <v>2</v>
      </c>
      <c r="AF4" s="16" t="s">
        <v>10</v>
      </c>
      <c r="AG4" s="114" t="s">
        <v>4</v>
      </c>
      <c r="AH4" s="16" t="s">
        <v>11</v>
      </c>
      <c r="AI4" s="16" t="s">
        <v>10</v>
      </c>
      <c r="AJ4" s="16" t="s">
        <v>10</v>
      </c>
      <c r="AK4" s="16" t="s">
        <v>10</v>
      </c>
      <c r="AM4">
        <f>COUNTIF(G4:AK4,"*NS*")</f>
        <v>22</v>
      </c>
      <c r="AN4">
        <f>COUNTIF(G4:AK4,"PL")</f>
        <v>0</v>
      </c>
      <c r="AO4">
        <f>COUNTIF(G4:AK4,"C")</f>
        <v>6</v>
      </c>
      <c r="AP4">
        <f>COUNTIF(G4:AK4,"WO")</f>
        <v>3</v>
      </c>
      <c r="AQ4">
        <f>AO4+AP4</f>
        <v>9</v>
      </c>
    </row>
    <row r="5" spans="1:43" x14ac:dyDescent="0.35">
      <c r="A5" s="165" t="s">
        <v>21</v>
      </c>
      <c r="B5" s="25" t="s">
        <v>6</v>
      </c>
      <c r="C5" s="25" t="s">
        <v>6</v>
      </c>
      <c r="D5" s="19" t="s">
        <v>41</v>
      </c>
      <c r="E5" s="25" t="s">
        <v>3</v>
      </c>
      <c r="F5" s="114" t="s">
        <v>4</v>
      </c>
      <c r="G5" s="16" t="s">
        <v>10</v>
      </c>
      <c r="H5" s="16" t="s">
        <v>10</v>
      </c>
      <c r="I5" s="116" t="s">
        <v>2</v>
      </c>
      <c r="J5" s="16" t="s">
        <v>10</v>
      </c>
      <c r="K5" s="16" t="s">
        <v>10</v>
      </c>
      <c r="L5" s="114" t="s">
        <v>4</v>
      </c>
      <c r="M5" s="114" t="s">
        <v>4</v>
      </c>
      <c r="N5" s="16" t="s">
        <v>10</v>
      </c>
      <c r="O5" s="116" t="s">
        <v>2</v>
      </c>
      <c r="P5" s="116" t="s">
        <v>2</v>
      </c>
      <c r="Q5" s="16" t="s">
        <v>10</v>
      </c>
      <c r="R5" s="16" t="s">
        <v>10</v>
      </c>
      <c r="S5" s="114" t="s">
        <v>4</v>
      </c>
      <c r="T5" s="16" t="s">
        <v>11</v>
      </c>
      <c r="U5" s="16" t="s">
        <v>10</v>
      </c>
      <c r="V5" s="16" t="s">
        <v>10</v>
      </c>
      <c r="W5" s="16" t="s">
        <v>10</v>
      </c>
      <c r="X5" s="16" t="s">
        <v>10</v>
      </c>
      <c r="Y5" s="116" t="s">
        <v>2</v>
      </c>
      <c r="Z5" s="16" t="s">
        <v>11</v>
      </c>
      <c r="AA5" s="16" t="s">
        <v>11</v>
      </c>
      <c r="AB5" s="16" t="s">
        <v>10</v>
      </c>
      <c r="AC5" s="16" t="s">
        <v>10</v>
      </c>
      <c r="AD5" s="16" t="s">
        <v>10</v>
      </c>
      <c r="AE5" s="16" t="s">
        <v>10</v>
      </c>
      <c r="AF5" s="116" t="s">
        <v>2</v>
      </c>
      <c r="AG5" s="16" t="s">
        <v>11</v>
      </c>
      <c r="AH5" s="114" t="s">
        <v>4</v>
      </c>
      <c r="AI5" s="16" t="s">
        <v>10</v>
      </c>
      <c r="AJ5" s="16" t="s">
        <v>10</v>
      </c>
      <c r="AK5" s="116" t="s">
        <v>2</v>
      </c>
      <c r="AM5">
        <f t="shared" ref="AM5:AM8" si="1">COUNTIF(G5:AK5,"*NS*")</f>
        <v>21</v>
      </c>
      <c r="AN5">
        <f t="shared" ref="AN5:AN8" si="2">COUNTIF(G5:AK5,"PL")</f>
        <v>0</v>
      </c>
      <c r="AO5">
        <f t="shared" ref="AO5:AO7" si="3">COUNTIF(G5:AK5,"C")</f>
        <v>6</v>
      </c>
      <c r="AP5">
        <f t="shared" ref="AP5:AP8" si="4">COUNTIF(G5:AK5,"WO")</f>
        <v>4</v>
      </c>
      <c r="AQ5">
        <f t="shared" ref="AQ5:AQ8" si="5">AO5+AP5</f>
        <v>10</v>
      </c>
    </row>
    <row r="6" spans="1:43" x14ac:dyDescent="0.35">
      <c r="A6" s="141" t="s">
        <v>22</v>
      </c>
      <c r="B6" s="122" t="s">
        <v>5</v>
      </c>
      <c r="C6" s="122" t="s">
        <v>5</v>
      </c>
      <c r="D6" s="122" t="s">
        <v>5</v>
      </c>
      <c r="E6" s="122" t="s">
        <v>5</v>
      </c>
      <c r="F6" s="122" t="s">
        <v>5</v>
      </c>
      <c r="G6" s="122" t="s">
        <v>5</v>
      </c>
      <c r="H6" s="16" t="s">
        <v>10</v>
      </c>
      <c r="I6" s="16" t="s">
        <v>10</v>
      </c>
      <c r="J6" s="16" t="s">
        <v>10</v>
      </c>
      <c r="K6" s="122" t="s">
        <v>5</v>
      </c>
      <c r="L6" s="114" t="s">
        <v>4</v>
      </c>
      <c r="M6" s="114" t="s">
        <v>4</v>
      </c>
      <c r="N6" s="16" t="s">
        <v>10</v>
      </c>
      <c r="O6" s="16" t="s">
        <v>10</v>
      </c>
      <c r="P6" s="16" t="s">
        <v>10</v>
      </c>
      <c r="Q6" s="16" t="s">
        <v>10</v>
      </c>
      <c r="R6" s="16" t="s">
        <v>10</v>
      </c>
      <c r="S6" s="114" t="s">
        <v>4</v>
      </c>
      <c r="T6" s="16" t="s">
        <v>11</v>
      </c>
      <c r="U6" s="16" t="s">
        <v>10</v>
      </c>
      <c r="V6" s="16" t="s">
        <v>10</v>
      </c>
      <c r="W6" s="116" t="s">
        <v>2</v>
      </c>
      <c r="X6" s="16" t="s">
        <v>10</v>
      </c>
      <c r="Y6" s="16" t="s">
        <v>10</v>
      </c>
      <c r="Z6" s="114" t="s">
        <v>4</v>
      </c>
      <c r="AA6" s="16" t="s">
        <v>11</v>
      </c>
      <c r="AB6" s="116" t="s">
        <v>2</v>
      </c>
      <c r="AC6" s="16" t="s">
        <v>10</v>
      </c>
      <c r="AD6" s="116" t="s">
        <v>2</v>
      </c>
      <c r="AE6" s="16" t="s">
        <v>10</v>
      </c>
      <c r="AF6" s="16" t="s">
        <v>10</v>
      </c>
      <c r="AG6" s="114" t="s">
        <v>4</v>
      </c>
      <c r="AH6" s="16" t="s">
        <v>11</v>
      </c>
      <c r="AI6" s="16" t="s">
        <v>10</v>
      </c>
      <c r="AJ6" s="16" t="s">
        <v>10</v>
      </c>
      <c r="AK6" s="116" t="s">
        <v>2</v>
      </c>
      <c r="AM6">
        <f t="shared" si="1"/>
        <v>20</v>
      </c>
      <c r="AN6">
        <f t="shared" si="2"/>
        <v>2</v>
      </c>
      <c r="AO6">
        <f t="shared" si="3"/>
        <v>4</v>
      </c>
      <c r="AP6">
        <f t="shared" si="4"/>
        <v>5</v>
      </c>
      <c r="AQ6">
        <f t="shared" si="5"/>
        <v>9</v>
      </c>
    </row>
    <row r="7" spans="1:43" x14ac:dyDescent="0.35">
      <c r="A7" s="141" t="s">
        <v>70</v>
      </c>
      <c r="B7" s="116" t="s">
        <v>2</v>
      </c>
      <c r="C7" s="25" t="s">
        <v>6</v>
      </c>
      <c r="D7" s="25" t="s">
        <v>6</v>
      </c>
      <c r="E7" s="122" t="s">
        <v>5</v>
      </c>
      <c r="F7" s="122" t="s">
        <v>5</v>
      </c>
      <c r="G7" s="122" t="s">
        <v>5</v>
      </c>
      <c r="H7" s="16" t="s">
        <v>10</v>
      </c>
      <c r="I7" s="16" t="s">
        <v>10</v>
      </c>
      <c r="J7" s="16" t="s">
        <v>10</v>
      </c>
      <c r="K7" s="16" t="s">
        <v>10</v>
      </c>
      <c r="L7" s="114" t="s">
        <v>4</v>
      </c>
      <c r="M7" s="114" t="s">
        <v>4</v>
      </c>
      <c r="N7" s="116" t="s">
        <v>2</v>
      </c>
      <c r="O7" s="16" t="s">
        <v>10</v>
      </c>
      <c r="P7" s="16" t="s">
        <v>10</v>
      </c>
      <c r="Q7" s="16" t="s">
        <v>10</v>
      </c>
      <c r="R7" s="16" t="s">
        <v>10</v>
      </c>
      <c r="S7" s="16" t="s">
        <v>11</v>
      </c>
      <c r="T7" s="114" t="s">
        <v>4</v>
      </c>
      <c r="U7" s="116" t="s">
        <v>2</v>
      </c>
      <c r="V7" s="16" t="s">
        <v>10</v>
      </c>
      <c r="W7" s="16" t="s">
        <v>10</v>
      </c>
      <c r="X7" s="16" t="s">
        <v>10</v>
      </c>
      <c r="Y7" s="16" t="s">
        <v>10</v>
      </c>
      <c r="Z7" s="16" t="s">
        <v>11</v>
      </c>
      <c r="AA7" s="114" t="s">
        <v>4</v>
      </c>
      <c r="AB7" s="16" t="s">
        <v>10</v>
      </c>
      <c r="AC7" s="16" t="s">
        <v>10</v>
      </c>
      <c r="AD7" s="16" t="s">
        <v>10</v>
      </c>
      <c r="AE7" s="16" t="s">
        <v>10</v>
      </c>
      <c r="AF7" s="16" t="s">
        <v>10</v>
      </c>
      <c r="AG7" s="16" t="s">
        <v>11</v>
      </c>
      <c r="AH7" s="114" t="s">
        <v>4</v>
      </c>
      <c r="AI7" s="116" t="s">
        <v>2</v>
      </c>
      <c r="AJ7" s="16" t="s">
        <v>10</v>
      </c>
      <c r="AK7" s="16" t="s">
        <v>10</v>
      </c>
      <c r="AM7">
        <f t="shared" si="1"/>
        <v>22</v>
      </c>
      <c r="AN7">
        <f t="shared" si="2"/>
        <v>1</v>
      </c>
      <c r="AO7">
        <f t="shared" si="3"/>
        <v>3</v>
      </c>
      <c r="AP7">
        <f t="shared" si="4"/>
        <v>5</v>
      </c>
      <c r="AQ7">
        <f t="shared" si="5"/>
        <v>8</v>
      </c>
    </row>
    <row r="8" spans="1:43" x14ac:dyDescent="0.35">
      <c r="A8" s="141" t="s">
        <v>152</v>
      </c>
      <c r="B8" s="25" t="s">
        <v>6</v>
      </c>
      <c r="C8" s="25" t="s">
        <v>6</v>
      </c>
      <c r="D8" s="25" t="s">
        <v>6</v>
      </c>
      <c r="E8" s="114" t="s">
        <v>4</v>
      </c>
      <c r="F8" s="25" t="s">
        <v>3</v>
      </c>
      <c r="G8" s="16" t="s">
        <v>10</v>
      </c>
      <c r="H8" s="116" t="s">
        <v>2</v>
      </c>
      <c r="I8" s="16" t="s">
        <v>10</v>
      </c>
      <c r="J8" s="16" t="s">
        <v>10</v>
      </c>
      <c r="K8" s="16" t="s">
        <v>10</v>
      </c>
      <c r="L8" s="16" t="s">
        <v>11</v>
      </c>
      <c r="M8" s="16" t="s">
        <v>11</v>
      </c>
      <c r="N8" s="16" t="s">
        <v>10</v>
      </c>
      <c r="O8" s="16" t="s">
        <v>10</v>
      </c>
      <c r="P8" s="16" t="s">
        <v>10</v>
      </c>
      <c r="Q8" s="116" t="s">
        <v>2</v>
      </c>
      <c r="R8" s="116" t="s">
        <v>2</v>
      </c>
      <c r="S8" s="114" t="s">
        <v>4</v>
      </c>
      <c r="T8" s="114" t="s">
        <v>4</v>
      </c>
      <c r="U8" s="19" t="s">
        <v>41</v>
      </c>
      <c r="V8" s="16" t="s">
        <v>10</v>
      </c>
      <c r="W8" s="16" t="s">
        <v>10</v>
      </c>
      <c r="X8" s="16" t="s">
        <v>10</v>
      </c>
      <c r="Y8" s="16" t="s">
        <v>10</v>
      </c>
      <c r="Z8" s="114" t="s">
        <v>4</v>
      </c>
      <c r="AA8" s="114" t="s">
        <v>4</v>
      </c>
      <c r="AB8" s="16" t="s">
        <v>10</v>
      </c>
      <c r="AC8" s="116" t="s">
        <v>2</v>
      </c>
      <c r="AD8" s="16" t="s">
        <v>10</v>
      </c>
      <c r="AE8" s="16" t="s">
        <v>10</v>
      </c>
      <c r="AF8" s="16" t="s">
        <v>10</v>
      </c>
      <c r="AG8" s="114" t="s">
        <v>4</v>
      </c>
      <c r="AH8" s="114" t="s">
        <v>4</v>
      </c>
      <c r="AI8" s="16" t="s">
        <v>10</v>
      </c>
      <c r="AJ8" s="116" t="s">
        <v>2</v>
      </c>
      <c r="AK8" s="16" t="s">
        <v>10</v>
      </c>
      <c r="AM8">
        <f t="shared" si="1"/>
        <v>19</v>
      </c>
      <c r="AN8">
        <f t="shared" si="2"/>
        <v>0</v>
      </c>
      <c r="AO8">
        <f>COUNTIF(G8:AK8,"C")</f>
        <v>5</v>
      </c>
      <c r="AP8">
        <f t="shared" si="4"/>
        <v>6</v>
      </c>
      <c r="AQ8">
        <f t="shared" si="5"/>
        <v>11</v>
      </c>
    </row>
    <row r="10" spans="1:43" x14ac:dyDescent="0.35">
      <c r="A10" s="165" t="s">
        <v>57</v>
      </c>
      <c r="B10" s="25" t="s">
        <v>6</v>
      </c>
      <c r="C10" s="25" t="s">
        <v>6</v>
      </c>
      <c r="D10" s="25" t="s">
        <v>6</v>
      </c>
      <c r="E10" s="25" t="s">
        <v>3</v>
      </c>
      <c r="F10" s="19" t="s">
        <v>42</v>
      </c>
      <c r="G10" s="25" t="s">
        <v>6</v>
      </c>
      <c r="H10" s="25" t="s">
        <v>6</v>
      </c>
      <c r="I10" s="25" t="s">
        <v>6</v>
      </c>
      <c r="J10" s="116" t="s">
        <v>2</v>
      </c>
      <c r="K10" s="116" t="s">
        <v>2</v>
      </c>
      <c r="L10" s="19" t="s">
        <v>42</v>
      </c>
      <c r="M10" s="114" t="s">
        <v>4</v>
      </c>
      <c r="N10" s="19" t="s">
        <v>41</v>
      </c>
      <c r="O10" s="19" t="s">
        <v>41</v>
      </c>
      <c r="P10" s="116" t="s">
        <v>2</v>
      </c>
      <c r="Q10" s="19" t="s">
        <v>41</v>
      </c>
      <c r="R10" s="116" t="s">
        <v>2</v>
      </c>
      <c r="S10" s="114" t="s">
        <v>4</v>
      </c>
      <c r="T10" s="114" t="s">
        <v>4</v>
      </c>
      <c r="U10" s="122" t="s">
        <v>5</v>
      </c>
      <c r="V10" s="19" t="s">
        <v>41</v>
      </c>
      <c r="W10" s="19" t="s">
        <v>41</v>
      </c>
      <c r="X10" s="122" t="s">
        <v>5</v>
      </c>
      <c r="Y10" s="122" t="s">
        <v>5</v>
      </c>
      <c r="Z10" s="122" t="s">
        <v>5</v>
      </c>
      <c r="AA10" s="122" t="s">
        <v>5</v>
      </c>
      <c r="AB10" s="122" t="s">
        <v>5</v>
      </c>
      <c r="AC10" s="19" t="s">
        <v>41</v>
      </c>
      <c r="AD10" s="19" t="s">
        <v>41</v>
      </c>
      <c r="AE10" s="19" t="s">
        <v>41</v>
      </c>
      <c r="AF10" s="19" t="s">
        <v>41</v>
      </c>
      <c r="AG10" s="19" t="s">
        <v>42</v>
      </c>
      <c r="AH10" s="114" t="s">
        <v>4</v>
      </c>
      <c r="AI10" s="19" t="s">
        <v>41</v>
      </c>
      <c r="AJ10" s="19" t="s">
        <v>41</v>
      </c>
      <c r="AK10" s="19" t="s">
        <v>41</v>
      </c>
    </row>
    <row r="11" spans="1:43" x14ac:dyDescent="0.35">
      <c r="A11" s="165" t="s">
        <v>124</v>
      </c>
      <c r="B11" s="116" t="s">
        <v>2</v>
      </c>
      <c r="C11" s="16" t="s">
        <v>10</v>
      </c>
      <c r="D11" s="16" t="s">
        <v>10</v>
      </c>
      <c r="E11" s="16" t="s">
        <v>11</v>
      </c>
      <c r="F11" s="16" t="s">
        <v>11</v>
      </c>
      <c r="G11" s="116" t="s">
        <v>2</v>
      </c>
      <c r="H11" s="116" t="s">
        <v>2</v>
      </c>
      <c r="I11" s="19" t="s">
        <v>41</v>
      </c>
      <c r="J11" s="19" t="s">
        <v>41</v>
      </c>
      <c r="K11" s="19" t="s">
        <v>41</v>
      </c>
      <c r="L11" s="19" t="s">
        <v>42</v>
      </c>
      <c r="M11" s="114" t="s">
        <v>4</v>
      </c>
      <c r="N11" s="19" t="s">
        <v>41</v>
      </c>
      <c r="O11" s="19" t="s">
        <v>41</v>
      </c>
      <c r="P11" s="19" t="s">
        <v>41</v>
      </c>
      <c r="Q11" s="19" t="s">
        <v>41</v>
      </c>
      <c r="R11" s="19" t="s">
        <v>41</v>
      </c>
      <c r="S11" s="19" t="s">
        <v>42</v>
      </c>
      <c r="T11" s="25" t="s">
        <v>3</v>
      </c>
      <c r="U11" s="122" t="s">
        <v>5</v>
      </c>
      <c r="V11" s="122" t="s">
        <v>5</v>
      </c>
      <c r="W11" s="19" t="s">
        <v>41</v>
      </c>
      <c r="X11" s="19" t="s">
        <v>41</v>
      </c>
      <c r="Y11" s="19" t="s">
        <v>41</v>
      </c>
      <c r="Z11" s="114" t="s">
        <v>4</v>
      </c>
      <c r="AA11" s="114" t="s">
        <v>4</v>
      </c>
      <c r="AB11" s="19" t="s">
        <v>41</v>
      </c>
      <c r="AC11" s="122" t="s">
        <v>5</v>
      </c>
      <c r="AD11" s="122" t="s">
        <v>5</v>
      </c>
      <c r="AE11" s="122" t="s">
        <v>5</v>
      </c>
      <c r="AF11" s="122" t="s">
        <v>5</v>
      </c>
      <c r="AG11" s="122" t="s">
        <v>5</v>
      </c>
      <c r="AH11" s="122" t="s">
        <v>5</v>
      </c>
      <c r="AI11" s="122" t="s">
        <v>5</v>
      </c>
      <c r="AJ11" s="122" t="s">
        <v>5</v>
      </c>
      <c r="AK11" s="122" t="s">
        <v>5</v>
      </c>
    </row>
    <row r="12" spans="1:43" x14ac:dyDescent="0.35">
      <c r="A12" s="141" t="s">
        <v>71</v>
      </c>
      <c r="B12" s="16" t="s">
        <v>10</v>
      </c>
      <c r="C12" s="16" t="s">
        <v>10</v>
      </c>
      <c r="D12" s="16" t="s">
        <v>10</v>
      </c>
      <c r="E12" s="16" t="s">
        <v>11</v>
      </c>
      <c r="F12" s="16" t="s">
        <v>11</v>
      </c>
      <c r="G12" s="116" t="s">
        <v>2</v>
      </c>
      <c r="H12" s="19" t="s">
        <v>41</v>
      </c>
      <c r="I12" s="19" t="s">
        <v>41</v>
      </c>
      <c r="J12" s="19" t="s">
        <v>41</v>
      </c>
      <c r="K12" s="19" t="s">
        <v>41</v>
      </c>
      <c r="L12" s="114" t="s">
        <v>4</v>
      </c>
      <c r="M12" s="19" t="s">
        <v>42</v>
      </c>
      <c r="N12" s="19" t="s">
        <v>41</v>
      </c>
      <c r="O12" s="116" t="s">
        <v>2</v>
      </c>
      <c r="P12" s="19" t="s">
        <v>41</v>
      </c>
      <c r="Q12" s="19" t="s">
        <v>41</v>
      </c>
      <c r="R12" s="122" t="s">
        <v>5</v>
      </c>
      <c r="S12" s="122" t="s">
        <v>5</v>
      </c>
      <c r="T12" s="122" t="s">
        <v>5</v>
      </c>
      <c r="U12" s="122" t="s">
        <v>5</v>
      </c>
      <c r="V12" s="122" t="s">
        <v>5</v>
      </c>
      <c r="W12" s="19" t="s">
        <v>41</v>
      </c>
      <c r="X12" s="19" t="s">
        <v>41</v>
      </c>
      <c r="Y12" s="22" t="s">
        <v>16</v>
      </c>
      <c r="Z12" s="19" t="s">
        <v>42</v>
      </c>
      <c r="AA12" s="19" t="s">
        <v>42</v>
      </c>
      <c r="AB12" s="19" t="s">
        <v>41</v>
      </c>
      <c r="AC12" s="19" t="s">
        <v>41</v>
      </c>
      <c r="AD12" s="116" t="s">
        <v>2</v>
      </c>
      <c r="AE12" s="116" t="s">
        <v>2</v>
      </c>
      <c r="AF12" s="19" t="s">
        <v>41</v>
      </c>
      <c r="AG12" s="19" t="s">
        <v>42</v>
      </c>
      <c r="AH12" s="114" t="s">
        <v>4</v>
      </c>
      <c r="AI12" s="116" t="s">
        <v>2</v>
      </c>
      <c r="AJ12" s="19" t="s">
        <v>41</v>
      </c>
      <c r="AK12" s="243" t="s">
        <v>34</v>
      </c>
    </row>
    <row r="13" spans="1:43" x14ac:dyDescent="0.35">
      <c r="A13" s="141" t="s">
        <v>69</v>
      </c>
      <c r="B13" s="16" t="s">
        <v>10</v>
      </c>
      <c r="C13" s="16" t="s">
        <v>10</v>
      </c>
      <c r="D13" s="16" t="s">
        <v>10</v>
      </c>
      <c r="E13" s="16" t="s">
        <v>11</v>
      </c>
      <c r="F13" s="114" t="s">
        <v>4</v>
      </c>
      <c r="G13" s="19" t="s">
        <v>41</v>
      </c>
      <c r="H13" s="19" t="s">
        <v>41</v>
      </c>
      <c r="I13" s="116" t="s">
        <v>2</v>
      </c>
      <c r="J13" s="19" t="s">
        <v>41</v>
      </c>
      <c r="K13" s="19" t="s">
        <v>41</v>
      </c>
      <c r="L13" s="22" t="s">
        <v>30</v>
      </c>
      <c r="M13" s="19" t="s">
        <v>42</v>
      </c>
      <c r="N13" s="116" t="s">
        <v>2</v>
      </c>
      <c r="O13" s="19" t="s">
        <v>41</v>
      </c>
      <c r="P13" s="19" t="s">
        <v>41</v>
      </c>
      <c r="Q13" s="116" t="s">
        <v>2</v>
      </c>
      <c r="R13" s="122" t="s">
        <v>5</v>
      </c>
      <c r="S13" s="122" t="s">
        <v>5</v>
      </c>
      <c r="T13" s="19" t="s">
        <v>42</v>
      </c>
      <c r="U13" s="19" t="s">
        <v>41</v>
      </c>
      <c r="V13" s="19" t="s">
        <v>41</v>
      </c>
      <c r="W13" s="19" t="s">
        <v>41</v>
      </c>
      <c r="X13" s="19" t="s">
        <v>41</v>
      </c>
      <c r="Y13" s="19" t="s">
        <v>41</v>
      </c>
      <c r="Z13" s="19" t="s">
        <v>42</v>
      </c>
      <c r="AA13" s="114" t="s">
        <v>4</v>
      </c>
      <c r="AB13" s="19" t="s">
        <v>41</v>
      </c>
      <c r="AC13" s="19" t="s">
        <v>41</v>
      </c>
      <c r="AD13" s="19" t="s">
        <v>41</v>
      </c>
      <c r="AE13" s="19" t="s">
        <v>41</v>
      </c>
      <c r="AF13" s="19" t="s">
        <v>41</v>
      </c>
      <c r="AG13" s="114" t="s">
        <v>4</v>
      </c>
      <c r="AH13" s="19" t="s">
        <v>42</v>
      </c>
      <c r="AI13" s="19" t="s">
        <v>41</v>
      </c>
      <c r="AJ13" s="19" t="s">
        <v>41</v>
      </c>
      <c r="AK13" s="19" t="s">
        <v>41</v>
      </c>
    </row>
    <row r="14" spans="1:43" x14ac:dyDescent="0.35">
      <c r="A14" s="141" t="s">
        <v>149</v>
      </c>
      <c r="B14" s="116" t="s">
        <v>2</v>
      </c>
      <c r="C14" s="19" t="s">
        <v>41</v>
      </c>
      <c r="D14" s="22" t="s">
        <v>16</v>
      </c>
      <c r="E14" s="114" t="s">
        <v>4</v>
      </c>
      <c r="F14" s="19" t="s">
        <v>42</v>
      </c>
      <c r="G14" s="19" t="s">
        <v>41</v>
      </c>
      <c r="H14" s="22" t="s">
        <v>16</v>
      </c>
      <c r="I14" s="116" t="s">
        <v>2</v>
      </c>
      <c r="J14" s="19" t="s">
        <v>41</v>
      </c>
      <c r="K14" s="22" t="s">
        <v>16</v>
      </c>
      <c r="L14" s="122" t="s">
        <v>5</v>
      </c>
      <c r="M14" s="114" t="s">
        <v>4</v>
      </c>
      <c r="N14" s="19" t="s">
        <v>41</v>
      </c>
      <c r="O14" s="19" t="s">
        <v>41</v>
      </c>
      <c r="P14" s="116" t="s">
        <v>2</v>
      </c>
      <c r="Q14" s="19" t="s">
        <v>41</v>
      </c>
      <c r="R14" s="19" t="s">
        <v>41</v>
      </c>
      <c r="S14" s="25" t="s">
        <v>3</v>
      </c>
      <c r="T14" s="19" t="s">
        <v>42</v>
      </c>
      <c r="U14" s="19" t="s">
        <v>41</v>
      </c>
      <c r="V14" s="116" t="s">
        <v>2</v>
      </c>
      <c r="W14" s="19" t="s">
        <v>41</v>
      </c>
      <c r="X14" s="22" t="s">
        <v>16</v>
      </c>
      <c r="Y14" s="19" t="s">
        <v>41</v>
      </c>
      <c r="Z14" s="114" t="s">
        <v>4</v>
      </c>
      <c r="AA14" s="19" t="s">
        <v>42</v>
      </c>
      <c r="AB14" s="116" t="s">
        <v>2</v>
      </c>
      <c r="AC14" s="22" t="s">
        <v>16</v>
      </c>
      <c r="AD14" s="19" t="s">
        <v>41</v>
      </c>
      <c r="AE14" s="19" t="s">
        <v>41</v>
      </c>
      <c r="AF14" s="19" t="s">
        <v>41</v>
      </c>
      <c r="AG14" s="114" t="s">
        <v>4</v>
      </c>
      <c r="AH14" s="19" t="s">
        <v>42</v>
      </c>
      <c r="AI14" s="19" t="s">
        <v>41</v>
      </c>
      <c r="AJ14" s="116" t="s">
        <v>2</v>
      </c>
      <c r="AK14" s="19" t="s">
        <v>41</v>
      </c>
    </row>
    <row r="16" spans="1:43" x14ac:dyDescent="0.35">
      <c r="A16" s="165" t="s">
        <v>9</v>
      </c>
      <c r="B16" s="16" t="s">
        <v>10</v>
      </c>
      <c r="C16" s="16" t="s">
        <v>10</v>
      </c>
      <c r="D16" s="16" t="s">
        <v>10</v>
      </c>
      <c r="E16" s="122" t="s">
        <v>5</v>
      </c>
      <c r="F16" s="122" t="s">
        <v>5</v>
      </c>
      <c r="G16" s="122" t="s">
        <v>5</v>
      </c>
      <c r="H16" s="122" t="s">
        <v>5</v>
      </c>
      <c r="I16" s="122" t="s">
        <v>5</v>
      </c>
      <c r="J16" s="122" t="s">
        <v>5</v>
      </c>
      <c r="K16" s="122" t="s">
        <v>5</v>
      </c>
      <c r="L16" s="122" t="s">
        <v>5</v>
      </c>
      <c r="M16" s="122" t="s">
        <v>5</v>
      </c>
      <c r="N16" s="122" t="s">
        <v>5</v>
      </c>
      <c r="O16" s="122" t="s">
        <v>5</v>
      </c>
      <c r="P16" s="122" t="s">
        <v>5</v>
      </c>
      <c r="Q16" s="122" t="s">
        <v>5</v>
      </c>
      <c r="R16" s="25" t="s">
        <v>6</v>
      </c>
      <c r="S16" s="25" t="s">
        <v>3</v>
      </c>
      <c r="T16" s="122" t="s">
        <v>5</v>
      </c>
      <c r="U16" s="25" t="s">
        <v>6</v>
      </c>
      <c r="V16" s="25" t="s">
        <v>6</v>
      </c>
      <c r="W16" s="122" t="s">
        <v>5</v>
      </c>
      <c r="X16" s="25" t="s">
        <v>6</v>
      </c>
      <c r="Y16" s="25" t="s">
        <v>6</v>
      </c>
      <c r="Z16" s="25" t="s">
        <v>3</v>
      </c>
      <c r="AA16" s="25" t="s">
        <v>3</v>
      </c>
      <c r="AB16" s="25" t="s">
        <v>6</v>
      </c>
      <c r="AC16" s="116" t="s">
        <v>2</v>
      </c>
      <c r="AD16" s="116" t="s">
        <v>2</v>
      </c>
      <c r="AE16" s="25" t="s">
        <v>6</v>
      </c>
      <c r="AF16" s="25" t="s">
        <v>6</v>
      </c>
      <c r="AG16" s="25" t="s">
        <v>3</v>
      </c>
      <c r="AH16" s="25" t="s">
        <v>3</v>
      </c>
      <c r="AI16" s="25" t="s">
        <v>6</v>
      </c>
      <c r="AJ16" s="25" t="s">
        <v>6</v>
      </c>
      <c r="AK16" s="116" t="s">
        <v>2</v>
      </c>
    </row>
    <row r="17" spans="1:37" x14ac:dyDescent="0.35">
      <c r="A17" s="165" t="s">
        <v>43</v>
      </c>
      <c r="B17" s="122" t="s">
        <v>5</v>
      </c>
      <c r="C17" s="122" t="s">
        <v>5</v>
      </c>
      <c r="D17" s="122" t="s">
        <v>5</v>
      </c>
      <c r="E17" s="122" t="s">
        <v>5</v>
      </c>
      <c r="F17" s="122" t="s">
        <v>5</v>
      </c>
      <c r="G17" s="19" t="s">
        <v>41</v>
      </c>
      <c r="H17" s="19" t="s">
        <v>41</v>
      </c>
      <c r="I17" s="19" t="s">
        <v>41</v>
      </c>
      <c r="J17" s="25" t="s">
        <v>6</v>
      </c>
      <c r="K17" s="116" t="s">
        <v>2</v>
      </c>
      <c r="L17" s="25" t="s">
        <v>3</v>
      </c>
      <c r="M17" s="25" t="s">
        <v>3</v>
      </c>
      <c r="N17" s="25" t="s">
        <v>6</v>
      </c>
      <c r="O17" s="25" t="s">
        <v>6</v>
      </c>
      <c r="P17" s="116" t="s">
        <v>2</v>
      </c>
      <c r="Q17" s="25" t="s">
        <v>6</v>
      </c>
      <c r="R17" s="243" t="s">
        <v>34</v>
      </c>
      <c r="S17" s="19" t="s">
        <v>42</v>
      </c>
      <c r="T17" s="114" t="s">
        <v>4</v>
      </c>
      <c r="U17" s="25" t="s">
        <v>6</v>
      </c>
      <c r="V17" s="25" t="s">
        <v>6</v>
      </c>
      <c r="W17" s="25" t="s">
        <v>6</v>
      </c>
      <c r="X17" s="25" t="s">
        <v>6</v>
      </c>
      <c r="Y17" s="116" t="s">
        <v>2</v>
      </c>
      <c r="Z17" s="114" t="s">
        <v>4</v>
      </c>
      <c r="AA17" s="25" t="s">
        <v>3</v>
      </c>
      <c r="AB17" s="122" t="s">
        <v>5</v>
      </c>
      <c r="AC17" s="122" t="s">
        <v>5</v>
      </c>
      <c r="AD17" s="122" t="s">
        <v>5</v>
      </c>
      <c r="AE17" s="122" t="s">
        <v>5</v>
      </c>
      <c r="AF17" s="122" t="s">
        <v>5</v>
      </c>
      <c r="AG17" s="114" t="s">
        <v>4</v>
      </c>
      <c r="AH17" s="25" t="s">
        <v>3</v>
      </c>
      <c r="AI17" s="25" t="s">
        <v>6</v>
      </c>
      <c r="AJ17" s="25" t="s">
        <v>6</v>
      </c>
      <c r="AK17" s="25" t="s">
        <v>6</v>
      </c>
    </row>
    <row r="18" spans="1:37" x14ac:dyDescent="0.35">
      <c r="A18" s="141" t="s">
        <v>68</v>
      </c>
      <c r="B18" s="19" t="s">
        <v>41</v>
      </c>
      <c r="C18" s="19" t="s">
        <v>41</v>
      </c>
      <c r="D18" s="19" t="s">
        <v>41</v>
      </c>
      <c r="E18" s="19" t="s">
        <v>42</v>
      </c>
      <c r="F18" s="114" t="s">
        <v>4</v>
      </c>
      <c r="G18" s="25" t="s">
        <v>6</v>
      </c>
      <c r="H18" s="25" t="s">
        <v>6</v>
      </c>
      <c r="I18" s="122" t="s">
        <v>5</v>
      </c>
      <c r="J18" s="25" t="s">
        <v>6</v>
      </c>
      <c r="K18" s="25" t="s">
        <v>6</v>
      </c>
      <c r="L18" s="25" t="s">
        <v>3</v>
      </c>
      <c r="M18" s="122" t="s">
        <v>5</v>
      </c>
      <c r="N18" s="25" t="s">
        <v>6</v>
      </c>
      <c r="O18" s="25" t="s">
        <v>6</v>
      </c>
      <c r="P18" s="25" t="s">
        <v>6</v>
      </c>
      <c r="Q18" s="25" t="s">
        <v>6</v>
      </c>
      <c r="R18" s="25" t="s">
        <v>6</v>
      </c>
      <c r="S18" s="122" t="s">
        <v>5</v>
      </c>
      <c r="T18" s="122" t="s">
        <v>5</v>
      </c>
      <c r="U18" s="122" t="s">
        <v>5</v>
      </c>
      <c r="V18" s="25" t="s">
        <v>6</v>
      </c>
      <c r="W18" s="25" t="s">
        <v>6</v>
      </c>
      <c r="X18" s="25" t="s">
        <v>6</v>
      </c>
      <c r="Y18" s="25" t="s">
        <v>6</v>
      </c>
      <c r="Z18" s="122" t="s">
        <v>5</v>
      </c>
      <c r="AA18" s="122" t="s">
        <v>5</v>
      </c>
      <c r="AB18" s="25" t="s">
        <v>6</v>
      </c>
      <c r="AC18" s="25" t="s">
        <v>6</v>
      </c>
      <c r="AD18" s="25" t="s">
        <v>6</v>
      </c>
      <c r="AE18" s="25" t="s">
        <v>6</v>
      </c>
      <c r="AF18" s="25" t="s">
        <v>6</v>
      </c>
      <c r="AG18" s="22" t="s">
        <v>30</v>
      </c>
      <c r="AH18" s="122" t="s">
        <v>5</v>
      </c>
      <c r="AI18" s="25" t="s">
        <v>6</v>
      </c>
      <c r="AJ18" s="25" t="s">
        <v>6</v>
      </c>
      <c r="AK18" s="122" t="s">
        <v>5</v>
      </c>
    </row>
    <row r="19" spans="1:37" x14ac:dyDescent="0.35">
      <c r="A19" s="141" t="s">
        <v>60</v>
      </c>
      <c r="B19" s="122" t="s">
        <v>5</v>
      </c>
      <c r="C19" s="122" t="s">
        <v>5</v>
      </c>
      <c r="D19" s="122" t="s">
        <v>5</v>
      </c>
      <c r="E19" s="122" t="s">
        <v>5</v>
      </c>
      <c r="F19" s="122" t="s">
        <v>5</v>
      </c>
      <c r="G19" s="122" t="s">
        <v>5</v>
      </c>
      <c r="H19" s="122" t="s">
        <v>5</v>
      </c>
      <c r="I19" s="25" t="s">
        <v>6</v>
      </c>
      <c r="J19" s="25" t="s">
        <v>6</v>
      </c>
      <c r="K19" s="25" t="s">
        <v>6</v>
      </c>
      <c r="L19" s="114" t="s">
        <v>4</v>
      </c>
      <c r="M19" s="25" t="s">
        <v>3</v>
      </c>
      <c r="N19" s="25" t="s">
        <v>6</v>
      </c>
      <c r="O19" s="25" t="s">
        <v>6</v>
      </c>
      <c r="P19" s="25" t="s">
        <v>6</v>
      </c>
      <c r="Q19" s="25" t="s">
        <v>6</v>
      </c>
      <c r="R19" s="116" t="s">
        <v>2</v>
      </c>
      <c r="S19" s="114" t="s">
        <v>4</v>
      </c>
      <c r="T19" s="25" t="s">
        <v>3</v>
      </c>
      <c r="U19" s="25" t="s">
        <v>6</v>
      </c>
      <c r="V19" s="19" t="s">
        <v>41</v>
      </c>
      <c r="W19" s="25" t="s">
        <v>6</v>
      </c>
      <c r="X19" s="116" t="s">
        <v>2</v>
      </c>
      <c r="Y19" s="25" t="s">
        <v>6</v>
      </c>
      <c r="Z19" s="25" t="s">
        <v>3</v>
      </c>
      <c r="AA19" s="114" t="s">
        <v>4</v>
      </c>
      <c r="AB19" s="116" t="s">
        <v>2</v>
      </c>
      <c r="AC19" s="25" t="s">
        <v>6</v>
      </c>
      <c r="AD19" s="25" t="s">
        <v>6</v>
      </c>
      <c r="AE19" s="25" t="s">
        <v>6</v>
      </c>
      <c r="AF19" s="25" t="s">
        <v>6</v>
      </c>
      <c r="AG19" s="25" t="s">
        <v>3</v>
      </c>
      <c r="AH19" s="114" t="s">
        <v>4</v>
      </c>
      <c r="AI19" s="243" t="s">
        <v>34</v>
      </c>
      <c r="AJ19" s="25" t="s">
        <v>6</v>
      </c>
      <c r="AK19" s="25" t="s">
        <v>6</v>
      </c>
    </row>
    <row r="20" spans="1:37" x14ac:dyDescent="0.35">
      <c r="A20" s="141" t="s">
        <v>308</v>
      </c>
      <c r="B20" s="19" t="s">
        <v>41</v>
      </c>
      <c r="C20" s="19" t="s">
        <v>41</v>
      </c>
      <c r="D20" s="19" t="s">
        <v>41</v>
      </c>
      <c r="E20" s="22" t="s">
        <v>30</v>
      </c>
      <c r="F20" s="114" t="s">
        <v>4</v>
      </c>
      <c r="G20" s="25" t="s">
        <v>6</v>
      </c>
      <c r="H20" s="25" t="s">
        <v>6</v>
      </c>
      <c r="I20" s="25" t="s">
        <v>6</v>
      </c>
      <c r="J20" s="25" t="s">
        <v>6</v>
      </c>
      <c r="K20" s="25" t="s">
        <v>6</v>
      </c>
      <c r="L20" s="122" t="s">
        <v>5</v>
      </c>
      <c r="M20" s="122" t="s">
        <v>5</v>
      </c>
      <c r="N20" s="25" t="s">
        <v>6</v>
      </c>
      <c r="O20" s="25" t="s">
        <v>6</v>
      </c>
      <c r="P20" s="25" t="s">
        <v>6</v>
      </c>
      <c r="Q20" s="25" t="s">
        <v>6</v>
      </c>
      <c r="R20" s="25" t="s">
        <v>6</v>
      </c>
      <c r="S20" s="22" t="s">
        <v>30</v>
      </c>
      <c r="T20" s="114" t="s">
        <v>4</v>
      </c>
      <c r="U20" s="122" t="s">
        <v>5</v>
      </c>
      <c r="V20" s="122" t="s">
        <v>5</v>
      </c>
      <c r="W20" s="122" t="s">
        <v>5</v>
      </c>
      <c r="X20" s="122" t="s">
        <v>5</v>
      </c>
      <c r="Y20" s="122" t="s">
        <v>5</v>
      </c>
      <c r="Z20" s="122" t="s">
        <v>5</v>
      </c>
      <c r="AA20" s="122" t="s">
        <v>5</v>
      </c>
      <c r="AB20" s="25" t="s">
        <v>6</v>
      </c>
      <c r="AC20" s="25" t="s">
        <v>6</v>
      </c>
      <c r="AD20" s="25" t="s">
        <v>6</v>
      </c>
      <c r="AE20" s="22" t="s">
        <v>16</v>
      </c>
      <c r="AF20" s="25" t="s">
        <v>6</v>
      </c>
      <c r="AG20" s="114" t="s">
        <v>4</v>
      </c>
      <c r="AH20" s="114" t="s">
        <v>4</v>
      </c>
      <c r="AI20" s="116" t="s">
        <v>2</v>
      </c>
      <c r="AJ20" s="22" t="s">
        <v>16</v>
      </c>
      <c r="AK20" s="25" t="s">
        <v>6</v>
      </c>
    </row>
    <row r="23" spans="1:37" x14ac:dyDescent="0.35">
      <c r="A23" s="128" t="s">
        <v>125</v>
      </c>
      <c r="B23">
        <f t="shared" ref="B23:AK23" si="6">COUNTIF(B4:B20,"*MS")</f>
        <v>3</v>
      </c>
      <c r="C23">
        <f t="shared" si="6"/>
        <v>4</v>
      </c>
      <c r="D23">
        <f t="shared" si="6"/>
        <v>3</v>
      </c>
      <c r="E23">
        <f t="shared" si="6"/>
        <v>2</v>
      </c>
      <c r="F23">
        <f t="shared" si="6"/>
        <v>2</v>
      </c>
      <c r="G23">
        <f t="shared" si="6"/>
        <v>3</v>
      </c>
      <c r="H23">
        <f t="shared" si="6"/>
        <v>3</v>
      </c>
      <c r="I23">
        <f t="shared" si="6"/>
        <v>3</v>
      </c>
      <c r="J23">
        <f t="shared" si="6"/>
        <v>4</v>
      </c>
      <c r="K23">
        <f t="shared" si="6"/>
        <v>3</v>
      </c>
      <c r="L23">
        <f t="shared" si="6"/>
        <v>2</v>
      </c>
      <c r="M23">
        <f t="shared" si="6"/>
        <v>2</v>
      </c>
      <c r="N23">
        <f t="shared" si="6"/>
        <v>4</v>
      </c>
      <c r="O23">
        <f t="shared" si="6"/>
        <v>4</v>
      </c>
      <c r="P23">
        <f t="shared" si="6"/>
        <v>3</v>
      </c>
      <c r="Q23">
        <f t="shared" si="6"/>
        <v>4</v>
      </c>
      <c r="R23">
        <f t="shared" si="6"/>
        <v>3</v>
      </c>
      <c r="S23">
        <f t="shared" si="6"/>
        <v>2</v>
      </c>
      <c r="T23">
        <f t="shared" si="6"/>
        <v>2</v>
      </c>
      <c r="U23">
        <f t="shared" si="6"/>
        <v>3</v>
      </c>
      <c r="V23">
        <f t="shared" si="6"/>
        <v>3</v>
      </c>
      <c r="W23">
        <f t="shared" si="6"/>
        <v>3</v>
      </c>
      <c r="X23">
        <f t="shared" si="6"/>
        <v>3</v>
      </c>
      <c r="Y23">
        <f t="shared" si="6"/>
        <v>3</v>
      </c>
      <c r="Z23">
        <f t="shared" si="6"/>
        <v>2</v>
      </c>
      <c r="AA23">
        <f t="shared" si="6"/>
        <v>2</v>
      </c>
      <c r="AB23">
        <f t="shared" si="6"/>
        <v>3</v>
      </c>
      <c r="AC23">
        <f t="shared" si="6"/>
        <v>3</v>
      </c>
      <c r="AD23">
        <f t="shared" si="6"/>
        <v>3</v>
      </c>
      <c r="AE23">
        <f t="shared" si="6"/>
        <v>3</v>
      </c>
      <c r="AF23">
        <f t="shared" si="6"/>
        <v>4</v>
      </c>
      <c r="AG23">
        <f>COUNTIF(AG4:AG19,"*MS")</f>
        <v>2</v>
      </c>
      <c r="AH23">
        <f t="shared" si="6"/>
        <v>2</v>
      </c>
      <c r="AI23">
        <f t="shared" si="6"/>
        <v>3</v>
      </c>
      <c r="AJ23">
        <f t="shared" si="6"/>
        <v>4</v>
      </c>
      <c r="AK23">
        <f t="shared" si="6"/>
        <v>3</v>
      </c>
    </row>
    <row r="24" spans="1:37" x14ac:dyDescent="0.35">
      <c r="A24" s="128" t="s">
        <v>126</v>
      </c>
      <c r="B24">
        <f t="shared" ref="B24:AK24" si="7">COUNTIF(B4:B20,"*ASS1")</f>
        <v>3</v>
      </c>
      <c r="C24">
        <f t="shared" si="7"/>
        <v>4</v>
      </c>
      <c r="D24">
        <f t="shared" si="7"/>
        <v>3</v>
      </c>
      <c r="E24">
        <f t="shared" si="7"/>
        <v>2</v>
      </c>
      <c r="F24">
        <f t="shared" si="7"/>
        <v>2</v>
      </c>
      <c r="G24">
        <f t="shared" si="7"/>
        <v>3</v>
      </c>
      <c r="H24">
        <f t="shared" si="7"/>
        <v>3</v>
      </c>
      <c r="I24">
        <f t="shared" si="7"/>
        <v>3</v>
      </c>
      <c r="J24">
        <f t="shared" si="7"/>
        <v>4</v>
      </c>
      <c r="K24">
        <f t="shared" si="7"/>
        <v>3</v>
      </c>
      <c r="L24">
        <f t="shared" si="7"/>
        <v>2</v>
      </c>
      <c r="M24">
        <f t="shared" si="7"/>
        <v>2</v>
      </c>
      <c r="N24">
        <f t="shared" si="7"/>
        <v>4</v>
      </c>
      <c r="O24">
        <f t="shared" si="7"/>
        <v>4</v>
      </c>
      <c r="P24">
        <f t="shared" si="7"/>
        <v>3</v>
      </c>
      <c r="Q24">
        <f t="shared" si="7"/>
        <v>4</v>
      </c>
      <c r="R24">
        <f t="shared" si="7"/>
        <v>2</v>
      </c>
      <c r="S24">
        <f t="shared" si="7"/>
        <v>2</v>
      </c>
      <c r="T24">
        <f t="shared" si="7"/>
        <v>2</v>
      </c>
      <c r="U24">
        <f t="shared" si="7"/>
        <v>3</v>
      </c>
      <c r="V24">
        <f t="shared" si="7"/>
        <v>3</v>
      </c>
      <c r="W24">
        <f t="shared" si="7"/>
        <v>5</v>
      </c>
      <c r="X24">
        <f t="shared" si="7"/>
        <v>3</v>
      </c>
      <c r="Y24">
        <f t="shared" si="7"/>
        <v>3</v>
      </c>
      <c r="Z24">
        <f t="shared" si="7"/>
        <v>2</v>
      </c>
      <c r="AA24">
        <f t="shared" si="7"/>
        <v>2</v>
      </c>
      <c r="AB24">
        <f t="shared" si="7"/>
        <v>3</v>
      </c>
      <c r="AC24">
        <f t="shared" si="7"/>
        <v>3</v>
      </c>
      <c r="AD24">
        <f t="shared" si="7"/>
        <v>3</v>
      </c>
      <c r="AE24">
        <f t="shared" si="7"/>
        <v>3</v>
      </c>
      <c r="AF24">
        <f t="shared" si="7"/>
        <v>4</v>
      </c>
      <c r="AG24">
        <f>COUNTIF(AG4:AG19,"*ASS1")</f>
        <v>2</v>
      </c>
      <c r="AH24">
        <f t="shared" si="7"/>
        <v>2</v>
      </c>
      <c r="AI24">
        <f t="shared" si="7"/>
        <v>3</v>
      </c>
      <c r="AJ24">
        <f t="shared" si="7"/>
        <v>3</v>
      </c>
      <c r="AK24">
        <f t="shared" si="7"/>
        <v>3</v>
      </c>
    </row>
    <row r="25" spans="1:37" x14ac:dyDescent="0.35">
      <c r="A25" s="128" t="s">
        <v>127</v>
      </c>
      <c r="B25">
        <f t="shared" ref="B25:AK25" si="8">COUNTIF(B4:B20,"*NST7")</f>
        <v>3</v>
      </c>
      <c r="C25">
        <f t="shared" si="8"/>
        <v>4</v>
      </c>
      <c r="D25">
        <f t="shared" si="8"/>
        <v>4</v>
      </c>
      <c r="E25">
        <f t="shared" si="8"/>
        <v>3</v>
      </c>
      <c r="F25">
        <f t="shared" si="8"/>
        <v>2</v>
      </c>
      <c r="G25">
        <f t="shared" si="8"/>
        <v>3</v>
      </c>
      <c r="H25">
        <f t="shared" si="8"/>
        <v>4</v>
      </c>
      <c r="I25">
        <f t="shared" si="8"/>
        <v>4</v>
      </c>
      <c r="J25">
        <f t="shared" si="8"/>
        <v>4</v>
      </c>
      <c r="K25">
        <f t="shared" si="8"/>
        <v>4</v>
      </c>
      <c r="L25">
        <f t="shared" si="8"/>
        <v>2</v>
      </c>
      <c r="M25">
        <f t="shared" si="8"/>
        <v>2</v>
      </c>
      <c r="N25">
        <f t="shared" si="8"/>
        <v>3</v>
      </c>
      <c r="O25">
        <f t="shared" si="8"/>
        <v>4</v>
      </c>
      <c r="P25">
        <f t="shared" si="8"/>
        <v>4</v>
      </c>
      <c r="Q25">
        <f t="shared" si="8"/>
        <v>3</v>
      </c>
      <c r="R25">
        <f t="shared" si="8"/>
        <v>4</v>
      </c>
      <c r="S25">
        <f t="shared" si="8"/>
        <v>2</v>
      </c>
      <c r="T25">
        <f t="shared" si="8"/>
        <v>2</v>
      </c>
      <c r="U25">
        <f t="shared" si="8"/>
        <v>3</v>
      </c>
      <c r="V25">
        <f t="shared" si="8"/>
        <v>4</v>
      </c>
      <c r="W25">
        <f t="shared" si="8"/>
        <v>4</v>
      </c>
      <c r="X25">
        <f t="shared" si="8"/>
        <v>4</v>
      </c>
      <c r="Y25">
        <f t="shared" si="8"/>
        <v>4</v>
      </c>
      <c r="Z25">
        <f t="shared" si="8"/>
        <v>3</v>
      </c>
      <c r="AA25">
        <f t="shared" si="8"/>
        <v>2</v>
      </c>
      <c r="AB25">
        <f t="shared" si="8"/>
        <v>4</v>
      </c>
      <c r="AC25">
        <f t="shared" si="8"/>
        <v>4</v>
      </c>
      <c r="AD25">
        <f t="shared" si="8"/>
        <v>4</v>
      </c>
      <c r="AE25">
        <f t="shared" si="8"/>
        <v>4</v>
      </c>
      <c r="AF25">
        <f t="shared" si="8"/>
        <v>4</v>
      </c>
      <c r="AG25">
        <f>COUNTIF(AG4:AG19,"*NST7")</f>
        <v>2</v>
      </c>
      <c r="AH25">
        <f t="shared" si="8"/>
        <v>2</v>
      </c>
      <c r="AI25">
        <f t="shared" si="8"/>
        <v>4</v>
      </c>
      <c r="AJ25">
        <f t="shared" si="8"/>
        <v>4</v>
      </c>
      <c r="AK25">
        <f t="shared" si="8"/>
        <v>3</v>
      </c>
    </row>
    <row r="26" spans="1:37" x14ac:dyDescent="0.35">
      <c r="A26" s="128" t="s">
        <v>128</v>
      </c>
      <c r="B26">
        <f t="shared" ref="B26:AK26" si="9">COUNTIF(B4:B20,"*GS")</f>
        <v>0</v>
      </c>
      <c r="C26">
        <f t="shared" si="9"/>
        <v>0</v>
      </c>
      <c r="D26">
        <f t="shared" si="9"/>
        <v>1</v>
      </c>
      <c r="E26">
        <f t="shared" si="9"/>
        <v>1</v>
      </c>
      <c r="F26">
        <f t="shared" si="9"/>
        <v>0</v>
      </c>
      <c r="G26">
        <f t="shared" si="9"/>
        <v>0</v>
      </c>
      <c r="H26">
        <f t="shared" si="9"/>
        <v>1</v>
      </c>
      <c r="I26">
        <f t="shared" si="9"/>
        <v>0</v>
      </c>
      <c r="J26">
        <f t="shared" si="9"/>
        <v>0</v>
      </c>
      <c r="K26">
        <f t="shared" si="9"/>
        <v>1</v>
      </c>
      <c r="L26">
        <f t="shared" si="9"/>
        <v>1</v>
      </c>
      <c r="M26">
        <f t="shared" si="9"/>
        <v>0</v>
      </c>
      <c r="N26">
        <f t="shared" si="9"/>
        <v>0</v>
      </c>
      <c r="O26">
        <f t="shared" si="9"/>
        <v>0</v>
      </c>
      <c r="P26">
        <f t="shared" si="9"/>
        <v>0</v>
      </c>
      <c r="Q26">
        <f t="shared" si="9"/>
        <v>0</v>
      </c>
      <c r="R26">
        <f t="shared" si="9"/>
        <v>0</v>
      </c>
      <c r="S26">
        <f t="shared" si="9"/>
        <v>1</v>
      </c>
      <c r="T26">
        <f t="shared" si="9"/>
        <v>0</v>
      </c>
      <c r="U26">
        <f t="shared" si="9"/>
        <v>0</v>
      </c>
      <c r="V26">
        <f t="shared" si="9"/>
        <v>0</v>
      </c>
      <c r="W26">
        <f t="shared" si="9"/>
        <v>0</v>
      </c>
      <c r="X26">
        <f t="shared" si="9"/>
        <v>1</v>
      </c>
      <c r="Y26">
        <f t="shared" si="9"/>
        <v>1</v>
      </c>
      <c r="Z26">
        <f t="shared" si="9"/>
        <v>0</v>
      </c>
      <c r="AA26">
        <f t="shared" si="9"/>
        <v>0</v>
      </c>
      <c r="AB26">
        <f t="shared" si="9"/>
        <v>0</v>
      </c>
      <c r="AC26">
        <f t="shared" si="9"/>
        <v>1</v>
      </c>
      <c r="AD26">
        <f t="shared" si="9"/>
        <v>0</v>
      </c>
      <c r="AE26">
        <f t="shared" si="9"/>
        <v>1</v>
      </c>
      <c r="AF26">
        <f t="shared" si="9"/>
        <v>0</v>
      </c>
      <c r="AG26">
        <f>COUNTIF(AG4:AG19,"*GS")</f>
        <v>1</v>
      </c>
      <c r="AH26">
        <f t="shared" si="9"/>
        <v>0</v>
      </c>
      <c r="AI26">
        <f t="shared" si="9"/>
        <v>0</v>
      </c>
      <c r="AJ26">
        <f t="shared" si="9"/>
        <v>1</v>
      </c>
      <c r="AK26">
        <f t="shared" si="9"/>
        <v>0</v>
      </c>
    </row>
    <row r="27" spans="1:37" x14ac:dyDescent="0.35">
      <c r="A27" s="128" t="s">
        <v>129</v>
      </c>
      <c r="B27">
        <f>COUNTIF(B4:B20,"C")</f>
        <v>3</v>
      </c>
      <c r="C27">
        <f>COUNTIF(C4:C20,"C")</f>
        <v>0</v>
      </c>
      <c r="D27">
        <f>COUNTIF(D4:D20,"C")</f>
        <v>1</v>
      </c>
      <c r="E27">
        <f>COUNTIF(E4:E20,"WO")</f>
        <v>2</v>
      </c>
      <c r="F27">
        <f>COUNTIF(F4:F20,"WO")</f>
        <v>4</v>
      </c>
      <c r="G27">
        <f>COUNTIF(G4:G20,"C")</f>
        <v>2</v>
      </c>
      <c r="H27">
        <f>COUNTIF(H4:H20,"C")</f>
        <v>2</v>
      </c>
      <c r="I27">
        <f>COUNTIF(I4:I20,"C")</f>
        <v>3</v>
      </c>
      <c r="J27">
        <f>COUNTIF(J4:J20,"C")</f>
        <v>2</v>
      </c>
      <c r="K27">
        <f>COUNTIF(K4:K20,"C")</f>
        <v>2</v>
      </c>
      <c r="L27">
        <f>COUNTIF(L4:L20,"WO")</f>
        <v>5</v>
      </c>
      <c r="M27">
        <f>COUNTIF(M4:M20,"WO")</f>
        <v>6</v>
      </c>
      <c r="N27">
        <f>COUNTIF(N4:N20,"C")</f>
        <v>3</v>
      </c>
      <c r="O27">
        <f>COUNTIF(O4:O20,"C")</f>
        <v>2</v>
      </c>
      <c r="P27">
        <f>COUNTIF(P4:P20,"C")</f>
        <v>4</v>
      </c>
      <c r="Q27">
        <f>COUNTIF(Q4:Q20,"C")</f>
        <v>3</v>
      </c>
      <c r="R27">
        <f>COUNTIF(R4:R20,"C")</f>
        <v>3</v>
      </c>
      <c r="S27">
        <f>COUNTIF(S4:S20,"WO")</f>
        <v>5</v>
      </c>
      <c r="T27">
        <f>COUNTIF(T4:T20,"WO")</f>
        <v>6</v>
      </c>
      <c r="U27">
        <f>COUNTIF(U4:U20,"C")</f>
        <v>1</v>
      </c>
      <c r="V27">
        <f>COUNTIF(V4:V20,"C")</f>
        <v>2</v>
      </c>
      <c r="W27">
        <f>COUNTIF(W4:W20,"C")</f>
        <v>1</v>
      </c>
      <c r="X27">
        <f>COUNTIF(X4:X20,"C")</f>
        <v>2</v>
      </c>
      <c r="Y27">
        <f>COUNTIF(Y4:Y20,"C")</f>
        <v>2</v>
      </c>
      <c r="Z27">
        <f>COUNTIF(Z4:Z20,"WO")</f>
        <v>5</v>
      </c>
      <c r="AA27">
        <f>COUNTIF(AA4:AA20,"WO")</f>
        <v>6</v>
      </c>
      <c r="AB27">
        <f>COUNTIF(AB4:AB20,"C")</f>
        <v>3</v>
      </c>
      <c r="AC27">
        <f>COUNTIF(AC4:AC20,"C")</f>
        <v>2</v>
      </c>
      <c r="AD27">
        <f>COUNTIF(AD4:AD20,"C")</f>
        <v>3</v>
      </c>
      <c r="AE27">
        <f>COUNTIF(AE4:AE20,"C")</f>
        <v>2</v>
      </c>
      <c r="AF27">
        <f>COUNTIF(AF4:AF20,"C")</f>
        <v>1</v>
      </c>
      <c r="AG27">
        <f>COUNTIF(AG4:AG19,"WO")</f>
        <v>6</v>
      </c>
      <c r="AH27">
        <f>COUNTIF(AH4:AH20,"WO")</f>
        <v>7</v>
      </c>
      <c r="AI27">
        <f>COUNTIF(AI4:AI20,"C")</f>
        <v>3</v>
      </c>
      <c r="AJ27">
        <f>COUNTIF(AJ4:AJ20,"C")</f>
        <v>2</v>
      </c>
      <c r="AK27">
        <f>COUNTIF(AK4:AK20,"C")</f>
        <v>3</v>
      </c>
    </row>
    <row r="28" spans="1:37" x14ac:dyDescent="0.35">
      <c r="A28" s="128" t="s">
        <v>130</v>
      </c>
      <c r="B28">
        <f t="shared" ref="B28:AK28" si="10">COUNTIF(B4:B20,"PL")</f>
        <v>3</v>
      </c>
      <c r="C28">
        <f t="shared" si="10"/>
        <v>3</v>
      </c>
      <c r="D28">
        <f t="shared" si="10"/>
        <v>3</v>
      </c>
      <c r="E28">
        <f t="shared" si="10"/>
        <v>5</v>
      </c>
      <c r="F28">
        <f t="shared" si="10"/>
        <v>5</v>
      </c>
      <c r="G28">
        <f t="shared" si="10"/>
        <v>4</v>
      </c>
      <c r="H28">
        <f t="shared" si="10"/>
        <v>2</v>
      </c>
      <c r="I28">
        <f t="shared" si="10"/>
        <v>2</v>
      </c>
      <c r="J28">
        <f t="shared" si="10"/>
        <v>1</v>
      </c>
      <c r="K28">
        <f t="shared" si="10"/>
        <v>2</v>
      </c>
      <c r="L28">
        <f t="shared" si="10"/>
        <v>3</v>
      </c>
      <c r="M28">
        <f t="shared" si="10"/>
        <v>3</v>
      </c>
      <c r="N28">
        <f t="shared" si="10"/>
        <v>1</v>
      </c>
      <c r="O28">
        <f t="shared" si="10"/>
        <v>1</v>
      </c>
      <c r="P28">
        <f t="shared" si="10"/>
        <v>1</v>
      </c>
      <c r="Q28">
        <f t="shared" si="10"/>
        <v>1</v>
      </c>
      <c r="R28">
        <f t="shared" si="10"/>
        <v>2</v>
      </c>
      <c r="S28">
        <f t="shared" si="10"/>
        <v>3</v>
      </c>
      <c r="T28">
        <f t="shared" si="10"/>
        <v>3</v>
      </c>
      <c r="U28">
        <f t="shared" si="10"/>
        <v>5</v>
      </c>
      <c r="V28">
        <f t="shared" si="10"/>
        <v>3</v>
      </c>
      <c r="W28">
        <f t="shared" si="10"/>
        <v>2</v>
      </c>
      <c r="X28">
        <f t="shared" si="10"/>
        <v>2</v>
      </c>
      <c r="Y28">
        <f t="shared" si="10"/>
        <v>2</v>
      </c>
      <c r="Z28">
        <f t="shared" si="10"/>
        <v>3</v>
      </c>
      <c r="AA28">
        <f t="shared" si="10"/>
        <v>3</v>
      </c>
      <c r="AB28">
        <f t="shared" si="10"/>
        <v>2</v>
      </c>
      <c r="AC28">
        <f t="shared" si="10"/>
        <v>2</v>
      </c>
      <c r="AD28">
        <f t="shared" si="10"/>
        <v>2</v>
      </c>
      <c r="AE28">
        <f t="shared" si="10"/>
        <v>2</v>
      </c>
      <c r="AF28">
        <f t="shared" si="10"/>
        <v>2</v>
      </c>
      <c r="AG28">
        <f>COUNTIF(AG4:AG19,"PL")</f>
        <v>1</v>
      </c>
      <c r="AH28">
        <f t="shared" si="10"/>
        <v>2</v>
      </c>
      <c r="AI28">
        <f t="shared" si="10"/>
        <v>1</v>
      </c>
      <c r="AJ28">
        <f t="shared" si="10"/>
        <v>1</v>
      </c>
      <c r="AK28">
        <f t="shared" si="10"/>
        <v>2</v>
      </c>
    </row>
    <row r="29" spans="1:37" x14ac:dyDescent="0.35">
      <c r="A29" s="128" t="s">
        <v>33</v>
      </c>
      <c r="B29">
        <f t="shared" ref="B29:AK29" si="11">COUNTIF(B4:B20,"UPL")</f>
        <v>0</v>
      </c>
      <c r="C29">
        <f t="shared" si="11"/>
        <v>0</v>
      </c>
      <c r="D29">
        <f t="shared" si="11"/>
        <v>0</v>
      </c>
      <c r="E29">
        <f t="shared" si="11"/>
        <v>0</v>
      </c>
      <c r="F29">
        <f t="shared" si="11"/>
        <v>0</v>
      </c>
      <c r="G29">
        <f t="shared" si="11"/>
        <v>0</v>
      </c>
      <c r="H29">
        <f t="shared" si="11"/>
        <v>0</v>
      </c>
      <c r="I29">
        <f t="shared" si="11"/>
        <v>0</v>
      </c>
      <c r="J29">
        <f t="shared" si="11"/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1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>COUNTIF(AG4:AG19,"UPL")</f>
        <v>0</v>
      </c>
      <c r="AH29">
        <f t="shared" si="11"/>
        <v>0</v>
      </c>
      <c r="AI29">
        <f t="shared" si="11"/>
        <v>1</v>
      </c>
      <c r="AJ29">
        <f t="shared" si="11"/>
        <v>0</v>
      </c>
      <c r="AK29">
        <f t="shared" si="11"/>
        <v>1</v>
      </c>
    </row>
    <row r="30" spans="1:37" x14ac:dyDescent="0.35">
      <c r="A30" s="128" t="s">
        <v>141</v>
      </c>
      <c r="B30">
        <f t="shared" ref="B30:AK30" si="12">COUNTIF(B4:B20,"H")</f>
        <v>0</v>
      </c>
      <c r="C30">
        <f t="shared" si="12"/>
        <v>0</v>
      </c>
      <c r="D30">
        <f t="shared" si="12"/>
        <v>0</v>
      </c>
      <c r="E30">
        <f t="shared" si="12"/>
        <v>0</v>
      </c>
      <c r="F30">
        <f t="shared" si="12"/>
        <v>0</v>
      </c>
      <c r="G30">
        <f t="shared" si="12"/>
        <v>0</v>
      </c>
      <c r="H30">
        <f t="shared" si="12"/>
        <v>0</v>
      </c>
      <c r="I30">
        <f t="shared" si="12"/>
        <v>0</v>
      </c>
      <c r="J30">
        <f t="shared" si="12"/>
        <v>0</v>
      </c>
      <c r="K30">
        <f t="shared" si="12"/>
        <v>0</v>
      </c>
      <c r="L30">
        <f t="shared" si="12"/>
        <v>0</v>
      </c>
      <c r="M30">
        <f t="shared" si="12"/>
        <v>0</v>
      </c>
      <c r="N30">
        <f t="shared" si="12"/>
        <v>0</v>
      </c>
      <c r="O30">
        <f t="shared" si="12"/>
        <v>0</v>
      </c>
      <c r="P30">
        <f t="shared" si="12"/>
        <v>0</v>
      </c>
      <c r="Q30">
        <f t="shared" si="12"/>
        <v>0</v>
      </c>
      <c r="R30">
        <f t="shared" si="12"/>
        <v>0</v>
      </c>
      <c r="S30">
        <f t="shared" si="12"/>
        <v>0</v>
      </c>
      <c r="T30">
        <f t="shared" si="12"/>
        <v>0</v>
      </c>
      <c r="U30">
        <f t="shared" si="12"/>
        <v>0</v>
      </c>
      <c r="V30">
        <f t="shared" si="12"/>
        <v>0</v>
      </c>
      <c r="W30">
        <f t="shared" si="12"/>
        <v>0</v>
      </c>
      <c r="X30">
        <f t="shared" si="12"/>
        <v>0</v>
      </c>
      <c r="Y30">
        <f t="shared" si="12"/>
        <v>0</v>
      </c>
      <c r="Z30">
        <f t="shared" si="12"/>
        <v>0</v>
      </c>
      <c r="AA30">
        <f t="shared" si="12"/>
        <v>0</v>
      </c>
      <c r="AB30">
        <f t="shared" si="12"/>
        <v>0</v>
      </c>
      <c r="AC30">
        <f t="shared" si="12"/>
        <v>0</v>
      </c>
      <c r="AD30">
        <f t="shared" si="12"/>
        <v>0</v>
      </c>
      <c r="AE30">
        <f t="shared" si="12"/>
        <v>0</v>
      </c>
      <c r="AF30">
        <f t="shared" si="12"/>
        <v>0</v>
      </c>
      <c r="AG30">
        <f>COUNTIF(AG4:AG19,"H")</f>
        <v>0</v>
      </c>
      <c r="AH30">
        <f t="shared" si="12"/>
        <v>0</v>
      </c>
      <c r="AI30">
        <f t="shared" si="12"/>
        <v>0</v>
      </c>
      <c r="AJ30">
        <f t="shared" si="12"/>
        <v>0</v>
      </c>
      <c r="AK30">
        <f t="shared" si="12"/>
        <v>0</v>
      </c>
    </row>
    <row r="31" spans="1:37" x14ac:dyDescent="0.35">
      <c r="A31" s="128" t="s">
        <v>131</v>
      </c>
      <c r="B31" s="129">
        <f t="shared" ref="B31:F31" si="13">SUM(B23:B30)</f>
        <v>15</v>
      </c>
      <c r="C31" s="129">
        <f t="shared" si="13"/>
        <v>15</v>
      </c>
      <c r="D31" s="129">
        <f t="shared" si="13"/>
        <v>15</v>
      </c>
      <c r="E31" s="129">
        <f t="shared" si="13"/>
        <v>15</v>
      </c>
      <c r="F31" s="129">
        <f t="shared" si="13"/>
        <v>15</v>
      </c>
      <c r="G31" s="129">
        <f t="shared" ref="G31:M31" si="14">SUM(G23:G30)</f>
        <v>15</v>
      </c>
      <c r="H31" s="129">
        <f t="shared" si="14"/>
        <v>15</v>
      </c>
      <c r="I31" s="129">
        <f t="shared" si="14"/>
        <v>15</v>
      </c>
      <c r="J31" s="129">
        <f t="shared" si="14"/>
        <v>15</v>
      </c>
      <c r="K31" s="129">
        <f t="shared" si="14"/>
        <v>15</v>
      </c>
      <c r="L31" s="129">
        <f t="shared" si="14"/>
        <v>15</v>
      </c>
      <c r="M31" s="129">
        <f t="shared" si="14"/>
        <v>15</v>
      </c>
      <c r="N31" s="129">
        <f t="shared" ref="N31:AK31" si="15">SUM(N23:N30)</f>
        <v>15</v>
      </c>
      <c r="O31" s="129">
        <f t="shared" si="15"/>
        <v>15</v>
      </c>
      <c r="P31" s="129">
        <f t="shared" si="15"/>
        <v>15</v>
      </c>
      <c r="Q31" s="129">
        <f t="shared" si="15"/>
        <v>15</v>
      </c>
      <c r="R31" s="129">
        <f t="shared" si="15"/>
        <v>15</v>
      </c>
      <c r="S31" s="129">
        <f t="shared" si="15"/>
        <v>15</v>
      </c>
      <c r="T31" s="129">
        <f t="shared" si="15"/>
        <v>15</v>
      </c>
      <c r="U31" s="129">
        <f t="shared" si="15"/>
        <v>15</v>
      </c>
      <c r="V31" s="129">
        <f t="shared" si="15"/>
        <v>15</v>
      </c>
      <c r="W31" s="129">
        <f t="shared" si="15"/>
        <v>15</v>
      </c>
      <c r="X31" s="129">
        <f t="shared" si="15"/>
        <v>15</v>
      </c>
      <c r="Y31" s="129">
        <f t="shared" si="15"/>
        <v>15</v>
      </c>
      <c r="Z31" s="129">
        <f t="shared" si="15"/>
        <v>15</v>
      </c>
      <c r="AA31" s="129">
        <f t="shared" si="15"/>
        <v>15</v>
      </c>
      <c r="AB31" s="129">
        <f t="shared" si="15"/>
        <v>15</v>
      </c>
      <c r="AC31" s="129">
        <f t="shared" si="15"/>
        <v>15</v>
      </c>
      <c r="AD31" s="129">
        <f t="shared" si="15"/>
        <v>15</v>
      </c>
      <c r="AE31" s="129">
        <f t="shared" si="15"/>
        <v>15</v>
      </c>
      <c r="AF31" s="129">
        <f t="shared" si="15"/>
        <v>15</v>
      </c>
      <c r="AG31" s="129">
        <f t="shared" si="15"/>
        <v>14</v>
      </c>
      <c r="AH31" s="129">
        <f t="shared" si="15"/>
        <v>15</v>
      </c>
      <c r="AI31" s="129">
        <f t="shared" si="15"/>
        <v>15</v>
      </c>
      <c r="AJ31" s="129">
        <f t="shared" si="15"/>
        <v>15</v>
      </c>
      <c r="AK31" s="129">
        <f t="shared" si="15"/>
        <v>15</v>
      </c>
    </row>
  </sheetData>
  <conditionalFormatting sqref="B23:AK26">
    <cfRule type="cellIs" dxfId="823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1993-8DF4-4E87-ADFD-026DFFFE7E58}">
  <dimension ref="A1:AG32"/>
  <sheetViews>
    <sheetView zoomScale="55" zoomScaleNormal="55" workbookViewId="0">
      <pane xSplit="1" topLeftCell="B1" activePane="topRight" state="frozen"/>
      <selection pane="topRight" activeCell="P8" sqref="P8"/>
    </sheetView>
  </sheetViews>
  <sheetFormatPr defaultRowHeight="14.5" x14ac:dyDescent="0.35"/>
  <cols>
    <col min="1" max="1" width="23.08984375" bestFit="1" customWidth="1"/>
    <col min="2" max="26" width="8.7265625" customWidth="1"/>
    <col min="33" max="33" width="8.7265625" customWidth="1"/>
  </cols>
  <sheetData>
    <row r="1" spans="1:33" x14ac:dyDescent="0.35">
      <c r="A1" s="1"/>
      <c r="B1" s="2" t="str">
        <f t="shared" ref="B1:AG1" si="0">TEXT(B2,"ddd")</f>
        <v>Thu</v>
      </c>
      <c r="C1" s="3" t="str">
        <f t="shared" si="0"/>
        <v>Fri</v>
      </c>
      <c r="D1" s="4" t="str">
        <f t="shared" si="0"/>
        <v>Sat</v>
      </c>
      <c r="E1" s="5" t="str">
        <f t="shared" si="0"/>
        <v>Sun</v>
      </c>
      <c r="F1" s="6" t="str">
        <f t="shared" si="0"/>
        <v>Mon</v>
      </c>
      <c r="G1" s="2" t="str">
        <f t="shared" si="0"/>
        <v>Tue</v>
      </c>
      <c r="H1" s="2" t="str">
        <f t="shared" si="0"/>
        <v>Wed</v>
      </c>
      <c r="I1" s="2" t="str">
        <f t="shared" si="0"/>
        <v>Thu</v>
      </c>
      <c r="J1" s="3" t="str">
        <f t="shared" si="0"/>
        <v>Fri</v>
      </c>
      <c r="K1" s="4" t="str">
        <f t="shared" si="0"/>
        <v>Sat</v>
      </c>
      <c r="L1" s="5" t="str">
        <f t="shared" si="0"/>
        <v>Sun</v>
      </c>
      <c r="M1" s="6" t="str">
        <f t="shared" si="0"/>
        <v>Mon</v>
      </c>
      <c r="N1" s="2" t="str">
        <f t="shared" si="0"/>
        <v>Tue</v>
      </c>
      <c r="O1" s="3" t="str">
        <f t="shared" si="0"/>
        <v>Wed</v>
      </c>
      <c r="P1" s="224" t="str">
        <f t="shared" si="0"/>
        <v>Thu</v>
      </c>
      <c r="Q1" s="234" t="str">
        <f t="shared" si="0"/>
        <v>Fri</v>
      </c>
      <c r="R1" s="4" t="str">
        <f t="shared" si="0"/>
        <v>Sat</v>
      </c>
      <c r="S1" s="5" t="str">
        <f t="shared" si="0"/>
        <v>Sun</v>
      </c>
      <c r="T1" s="6" t="str">
        <f t="shared" si="0"/>
        <v>Mon</v>
      </c>
      <c r="U1" s="2" t="str">
        <f t="shared" si="0"/>
        <v>Tue</v>
      </c>
      <c r="V1" s="2" t="str">
        <f t="shared" si="0"/>
        <v>Wed</v>
      </c>
      <c r="W1" s="2" t="str">
        <f t="shared" si="0"/>
        <v>Thu</v>
      </c>
      <c r="X1" s="3" t="str">
        <f t="shared" si="0"/>
        <v>Fri</v>
      </c>
      <c r="Y1" s="4" t="str">
        <f t="shared" si="0"/>
        <v>Sat</v>
      </c>
      <c r="Z1" s="5" t="str">
        <f t="shared" si="0"/>
        <v>Sun</v>
      </c>
      <c r="AA1" s="6" t="str">
        <f t="shared" si="0"/>
        <v>Mon</v>
      </c>
      <c r="AB1" s="2" t="str">
        <f t="shared" si="0"/>
        <v>Tue</v>
      </c>
      <c r="AC1" s="2" t="str">
        <f t="shared" si="0"/>
        <v>Wed</v>
      </c>
      <c r="AD1" s="2" t="str">
        <f t="shared" si="0"/>
        <v>Thu</v>
      </c>
      <c r="AE1" s="2" t="str">
        <f t="shared" si="0"/>
        <v>Fri</v>
      </c>
      <c r="AF1" s="2" t="str">
        <f t="shared" si="0"/>
        <v>Sat</v>
      </c>
      <c r="AG1" s="2" t="str">
        <f t="shared" si="0"/>
        <v>Sun</v>
      </c>
    </row>
    <row r="2" spans="1:33" x14ac:dyDescent="0.35">
      <c r="A2" s="95" t="s">
        <v>0</v>
      </c>
      <c r="B2" s="29">
        <v>45505</v>
      </c>
      <c r="C2" s="47">
        <v>45506</v>
      </c>
      <c r="D2" s="55">
        <v>45507</v>
      </c>
      <c r="E2" s="56">
        <v>45508</v>
      </c>
      <c r="F2" s="50">
        <v>45509</v>
      </c>
      <c r="G2" s="29">
        <v>45510</v>
      </c>
      <c r="H2" s="29">
        <v>45511</v>
      </c>
      <c r="I2" s="29">
        <v>45512</v>
      </c>
      <c r="J2" s="47">
        <v>45513</v>
      </c>
      <c r="K2" s="55">
        <v>45514</v>
      </c>
      <c r="L2" s="56">
        <v>45515</v>
      </c>
      <c r="M2" s="50">
        <v>45516</v>
      </c>
      <c r="N2" s="29">
        <v>45517</v>
      </c>
      <c r="O2" s="47">
        <v>45518</v>
      </c>
      <c r="P2" s="225">
        <v>45519</v>
      </c>
      <c r="Q2" s="235">
        <v>45520</v>
      </c>
      <c r="R2" s="55">
        <v>45521</v>
      </c>
      <c r="S2" s="56">
        <v>45522</v>
      </c>
      <c r="T2" s="50">
        <v>45523</v>
      </c>
      <c r="U2" s="29">
        <v>45524</v>
      </c>
      <c r="V2" s="29">
        <v>45525</v>
      </c>
      <c r="W2" s="29">
        <v>45526</v>
      </c>
      <c r="X2" s="47">
        <v>45527</v>
      </c>
      <c r="Y2" s="55">
        <v>45528</v>
      </c>
      <c r="Z2" s="56">
        <v>45529</v>
      </c>
      <c r="AA2" s="50">
        <v>45530</v>
      </c>
      <c r="AB2" s="29">
        <v>45531</v>
      </c>
      <c r="AC2" s="29">
        <v>45532</v>
      </c>
      <c r="AD2" s="29">
        <v>45533</v>
      </c>
      <c r="AE2" s="29">
        <v>45534</v>
      </c>
      <c r="AF2" s="29">
        <v>45535</v>
      </c>
      <c r="AG2" s="29">
        <v>45536</v>
      </c>
    </row>
    <row r="3" spans="1:33" x14ac:dyDescent="0.35">
      <c r="A3" s="8"/>
      <c r="B3" s="8"/>
      <c r="C3" s="206"/>
      <c r="D3" s="214"/>
      <c r="E3" s="215"/>
      <c r="F3" s="210"/>
      <c r="G3" s="8"/>
      <c r="H3" s="8"/>
      <c r="I3" s="8"/>
      <c r="J3" s="206"/>
      <c r="K3" s="214"/>
      <c r="L3" s="215"/>
      <c r="M3" s="210"/>
      <c r="N3" s="8"/>
      <c r="O3" s="206"/>
      <c r="P3" s="226"/>
      <c r="Q3" s="236"/>
      <c r="R3" s="214"/>
      <c r="S3" s="215"/>
      <c r="T3" s="210"/>
      <c r="U3" s="8"/>
      <c r="V3" s="8"/>
      <c r="W3" s="8"/>
      <c r="X3" s="206"/>
      <c r="Y3" s="214"/>
      <c r="Z3" s="215"/>
      <c r="AA3" s="210"/>
      <c r="AB3" s="8"/>
      <c r="AC3" s="8"/>
      <c r="AD3" s="8"/>
      <c r="AE3" s="8"/>
      <c r="AF3" s="8"/>
      <c r="AG3" s="8"/>
    </row>
    <row r="4" spans="1:33" x14ac:dyDescent="0.35">
      <c r="A4" s="165" t="s">
        <v>1</v>
      </c>
      <c r="B4" s="116" t="s">
        <v>2</v>
      </c>
      <c r="C4" s="158" t="s">
        <v>2</v>
      </c>
      <c r="D4" s="20" t="s">
        <v>42</v>
      </c>
      <c r="E4" s="21" t="s">
        <v>42</v>
      </c>
      <c r="F4" s="211" t="s">
        <v>2</v>
      </c>
      <c r="G4" s="19" t="s">
        <v>41</v>
      </c>
      <c r="H4" s="19" t="s">
        <v>41</v>
      </c>
      <c r="I4" s="158" t="s">
        <v>2</v>
      </c>
      <c r="J4" s="158" t="s">
        <v>2</v>
      </c>
      <c r="K4" s="20" t="s">
        <v>42</v>
      </c>
      <c r="L4" s="21" t="s">
        <v>42</v>
      </c>
      <c r="M4" s="158" t="s">
        <v>2</v>
      </c>
      <c r="N4" s="19" t="s">
        <v>41</v>
      </c>
      <c r="O4" s="45" t="s">
        <v>41</v>
      </c>
      <c r="P4" s="227" t="s">
        <v>42</v>
      </c>
      <c r="Q4" s="237" t="s">
        <v>2</v>
      </c>
      <c r="R4" s="20" t="s">
        <v>42</v>
      </c>
      <c r="S4" s="21" t="s">
        <v>42</v>
      </c>
      <c r="T4" s="19" t="s">
        <v>41</v>
      </c>
      <c r="U4" s="116" t="s">
        <v>2</v>
      </c>
      <c r="V4" s="19" t="s">
        <v>41</v>
      </c>
      <c r="W4" s="19" t="s">
        <v>41</v>
      </c>
      <c r="X4" s="158" t="s">
        <v>2</v>
      </c>
      <c r="Y4" s="20" t="s">
        <v>42</v>
      </c>
      <c r="Z4" s="122" t="s">
        <v>4</v>
      </c>
      <c r="AA4" s="211" t="s">
        <v>2</v>
      </c>
      <c r="AB4" s="19" t="s">
        <v>41</v>
      </c>
      <c r="AC4" s="19" t="s">
        <v>41</v>
      </c>
      <c r="AD4" s="19" t="s">
        <v>41</v>
      </c>
      <c r="AE4" s="116" t="s">
        <v>2</v>
      </c>
      <c r="AF4" s="19" t="s">
        <v>42</v>
      </c>
      <c r="AG4" s="16" t="s">
        <v>11</v>
      </c>
    </row>
    <row r="5" spans="1:33" x14ac:dyDescent="0.35">
      <c r="A5" s="165" t="s">
        <v>21</v>
      </c>
      <c r="B5" s="19" t="s">
        <v>41</v>
      </c>
      <c r="C5" s="45" t="s">
        <v>41</v>
      </c>
      <c r="D5" s="216" t="s">
        <v>4</v>
      </c>
      <c r="E5" s="21" t="s">
        <v>42</v>
      </c>
      <c r="F5" s="54" t="s">
        <v>41</v>
      </c>
      <c r="G5" s="19" t="s">
        <v>41</v>
      </c>
      <c r="H5" s="19" t="s">
        <v>41</v>
      </c>
      <c r="I5" s="45" t="s">
        <v>41</v>
      </c>
      <c r="J5" s="45" t="s">
        <v>41</v>
      </c>
      <c r="K5" s="216" t="s">
        <v>4</v>
      </c>
      <c r="L5" s="216" t="s">
        <v>4</v>
      </c>
      <c r="M5" s="54" t="s">
        <v>41</v>
      </c>
      <c r="N5" s="19" t="s">
        <v>41</v>
      </c>
      <c r="O5" s="158" t="s">
        <v>2</v>
      </c>
      <c r="P5" s="227" t="s">
        <v>42</v>
      </c>
      <c r="Q5" s="238" t="s">
        <v>41</v>
      </c>
      <c r="R5" s="216" t="s">
        <v>4</v>
      </c>
      <c r="S5" s="216" t="s">
        <v>4</v>
      </c>
      <c r="T5" s="54" t="s">
        <v>41</v>
      </c>
      <c r="U5" s="54" t="s">
        <v>41</v>
      </c>
      <c r="V5" s="122" t="s">
        <v>5</v>
      </c>
      <c r="W5" s="122" t="s">
        <v>5</v>
      </c>
      <c r="X5" s="45" t="s">
        <v>41</v>
      </c>
      <c r="Y5" s="20" t="s">
        <v>42</v>
      </c>
      <c r="Z5" s="21" t="s">
        <v>42</v>
      </c>
      <c r="AA5" s="54" t="s">
        <v>41</v>
      </c>
      <c r="AB5" s="122" t="s">
        <v>5</v>
      </c>
      <c r="AC5" s="122" t="s">
        <v>5</v>
      </c>
      <c r="AD5" s="122" t="s">
        <v>5</v>
      </c>
      <c r="AE5" s="122" t="s">
        <v>5</v>
      </c>
      <c r="AF5" s="114" t="s">
        <v>4</v>
      </c>
      <c r="AG5" s="114" t="s">
        <v>4</v>
      </c>
    </row>
    <row r="6" spans="1:33" x14ac:dyDescent="0.35">
      <c r="A6" s="141" t="s">
        <v>22</v>
      </c>
      <c r="B6" s="209" t="s">
        <v>16</v>
      </c>
      <c r="C6" s="207" t="s">
        <v>5</v>
      </c>
      <c r="D6" s="122" t="s">
        <v>4</v>
      </c>
      <c r="E6" s="122" t="s">
        <v>4</v>
      </c>
      <c r="F6" s="212" t="s">
        <v>5</v>
      </c>
      <c r="G6" s="22" t="s">
        <v>16</v>
      </c>
      <c r="H6" s="22" t="s">
        <v>16</v>
      </c>
      <c r="I6" s="22" t="s">
        <v>16</v>
      </c>
      <c r="J6" s="207" t="s">
        <v>5</v>
      </c>
      <c r="K6" s="217" t="s">
        <v>3</v>
      </c>
      <c r="L6" s="21" t="s">
        <v>42</v>
      </c>
      <c r="M6" s="54" t="s">
        <v>41</v>
      </c>
      <c r="N6" s="19" t="s">
        <v>41</v>
      </c>
      <c r="O6" s="209" t="s">
        <v>16</v>
      </c>
      <c r="P6" s="228" t="s">
        <v>5</v>
      </c>
      <c r="Q6" s="228" t="s">
        <v>5</v>
      </c>
      <c r="R6" s="122" t="s">
        <v>4</v>
      </c>
      <c r="S6" s="122" t="s">
        <v>4</v>
      </c>
      <c r="T6" s="228" t="s">
        <v>5</v>
      </c>
      <c r="U6" s="19" t="s">
        <v>41</v>
      </c>
      <c r="V6" s="19" t="s">
        <v>41</v>
      </c>
      <c r="W6" s="209" t="s">
        <v>16</v>
      </c>
      <c r="X6" s="207" t="s">
        <v>5</v>
      </c>
      <c r="Y6" s="122" t="s">
        <v>4</v>
      </c>
      <c r="Z6" s="122" t="s">
        <v>4</v>
      </c>
      <c r="AA6" s="223" t="s">
        <v>16</v>
      </c>
      <c r="AB6" s="19" t="s">
        <v>41</v>
      </c>
      <c r="AC6" s="19" t="s">
        <v>41</v>
      </c>
      <c r="AD6" s="19" t="s">
        <v>41</v>
      </c>
      <c r="AE6" s="122" t="s">
        <v>5</v>
      </c>
      <c r="AF6" s="114" t="s">
        <v>4</v>
      </c>
      <c r="AG6" s="114" t="s">
        <v>4</v>
      </c>
    </row>
    <row r="7" spans="1:33" x14ac:dyDescent="0.35">
      <c r="A7" s="141" t="s">
        <v>70</v>
      </c>
      <c r="B7" s="116" t="s">
        <v>2</v>
      </c>
      <c r="C7" s="45" t="s">
        <v>41</v>
      </c>
      <c r="D7" s="20" t="s">
        <v>42</v>
      </c>
      <c r="E7" s="122" t="s">
        <v>4</v>
      </c>
      <c r="F7" s="54" t="s">
        <v>41</v>
      </c>
      <c r="G7" s="122" t="s">
        <v>5</v>
      </c>
      <c r="H7" s="122" t="s">
        <v>5</v>
      </c>
      <c r="I7" s="19" t="s">
        <v>41</v>
      </c>
      <c r="J7" s="45" t="s">
        <v>41</v>
      </c>
      <c r="K7" s="20" t="s">
        <v>42</v>
      </c>
      <c r="L7" s="122" t="s">
        <v>4</v>
      </c>
      <c r="M7" s="212" t="s">
        <v>5</v>
      </c>
      <c r="N7" s="122" t="s">
        <v>5</v>
      </c>
      <c r="O7" s="45" t="s">
        <v>41</v>
      </c>
      <c r="P7" s="229" t="s">
        <v>30</v>
      </c>
      <c r="Q7" s="238" t="s">
        <v>41</v>
      </c>
      <c r="R7" s="43" t="s">
        <v>30</v>
      </c>
      <c r="S7" s="219" t="s">
        <v>4</v>
      </c>
      <c r="T7" s="228" t="s">
        <v>5</v>
      </c>
      <c r="U7" s="228" t="s">
        <v>5</v>
      </c>
      <c r="V7" s="19" t="s">
        <v>41</v>
      </c>
      <c r="W7" s="19" t="s">
        <v>41</v>
      </c>
      <c r="X7" s="45" t="s">
        <v>41</v>
      </c>
      <c r="Y7" s="43" t="s">
        <v>30</v>
      </c>
      <c r="Z7" s="219" t="s">
        <v>4</v>
      </c>
      <c r="AA7" s="54" t="s">
        <v>41</v>
      </c>
      <c r="AB7" s="19" t="s">
        <v>41</v>
      </c>
      <c r="AC7" s="19" t="s">
        <v>41</v>
      </c>
      <c r="AD7" s="116" t="s">
        <v>2</v>
      </c>
      <c r="AE7" s="19" t="s">
        <v>41</v>
      </c>
      <c r="AF7" s="19" t="s">
        <v>41</v>
      </c>
      <c r="AG7" s="114" t="s">
        <v>4</v>
      </c>
    </row>
    <row r="8" spans="1:33" x14ac:dyDescent="0.35">
      <c r="A8" s="141" t="s">
        <v>306</v>
      </c>
      <c r="B8" s="116" t="s">
        <v>2</v>
      </c>
      <c r="C8" s="45" t="s">
        <v>41</v>
      </c>
      <c r="D8" s="122" t="s">
        <v>4</v>
      </c>
      <c r="E8" s="122" t="s">
        <v>4</v>
      </c>
      <c r="F8" s="54" t="s">
        <v>41</v>
      </c>
      <c r="G8" s="19" t="s">
        <v>41</v>
      </c>
      <c r="H8" s="19" t="s">
        <v>41</v>
      </c>
      <c r="I8" s="19" t="s">
        <v>41</v>
      </c>
      <c r="J8" s="45" t="s">
        <v>41</v>
      </c>
      <c r="K8" s="122" t="s">
        <v>4</v>
      </c>
      <c r="L8" s="122" t="s">
        <v>4</v>
      </c>
      <c r="M8" s="54" t="s">
        <v>41</v>
      </c>
      <c r="N8" s="19" t="s">
        <v>41</v>
      </c>
      <c r="O8" s="45" t="s">
        <v>41</v>
      </c>
      <c r="P8" s="230" t="s">
        <v>37</v>
      </c>
      <c r="Q8" s="238" t="s">
        <v>41</v>
      </c>
      <c r="R8" s="20" t="s">
        <v>42</v>
      </c>
      <c r="S8" s="21" t="s">
        <v>42</v>
      </c>
      <c r="T8" s="54" t="s">
        <v>41</v>
      </c>
      <c r="U8" s="19" t="s">
        <v>41</v>
      </c>
      <c r="V8" s="116" t="s">
        <v>2</v>
      </c>
      <c r="W8" s="19" t="s">
        <v>41</v>
      </c>
      <c r="X8" s="45" t="s">
        <v>41</v>
      </c>
      <c r="Y8" s="216" t="s">
        <v>4</v>
      </c>
      <c r="Z8" s="21" t="s">
        <v>42</v>
      </c>
      <c r="AA8" s="54" t="s">
        <v>41</v>
      </c>
      <c r="AB8" s="19" t="s">
        <v>41</v>
      </c>
      <c r="AC8" s="116" t="s">
        <v>2</v>
      </c>
      <c r="AD8" s="19" t="s">
        <v>41</v>
      </c>
      <c r="AE8" s="19" t="s">
        <v>41</v>
      </c>
      <c r="AF8" s="114" t="s">
        <v>4</v>
      </c>
      <c r="AG8" s="114" t="s">
        <v>4</v>
      </c>
    </row>
    <row r="9" spans="1:33" x14ac:dyDescent="0.35">
      <c r="A9" s="254" t="s">
        <v>326</v>
      </c>
      <c r="B9" s="209" t="s">
        <v>16</v>
      </c>
      <c r="C9" s="209" t="s">
        <v>16</v>
      </c>
      <c r="D9" s="216" t="s">
        <v>4</v>
      </c>
      <c r="E9" s="216" t="s">
        <v>4</v>
      </c>
      <c r="F9" s="209" t="s">
        <v>16</v>
      </c>
      <c r="G9" s="209" t="s">
        <v>16</v>
      </c>
      <c r="H9" s="209" t="s">
        <v>16</v>
      </c>
      <c r="I9" s="209" t="s">
        <v>16</v>
      </c>
      <c r="J9" s="209" t="s">
        <v>16</v>
      </c>
      <c r="K9" s="216" t="s">
        <v>4</v>
      </c>
      <c r="L9" s="216" t="s">
        <v>4</v>
      </c>
      <c r="M9" s="209" t="s">
        <v>16</v>
      </c>
      <c r="N9" s="209" t="s">
        <v>16</v>
      </c>
      <c r="O9" s="209" t="s">
        <v>16</v>
      </c>
      <c r="P9" s="230" t="s">
        <v>37</v>
      </c>
      <c r="Q9" s="209" t="s">
        <v>16</v>
      </c>
      <c r="R9" s="216" t="s">
        <v>4</v>
      </c>
      <c r="S9" s="216" t="s">
        <v>4</v>
      </c>
      <c r="T9" s="209" t="s">
        <v>16</v>
      </c>
      <c r="U9" s="209" t="s">
        <v>16</v>
      </c>
      <c r="V9" s="209" t="s">
        <v>16</v>
      </c>
      <c r="W9" s="209" t="s">
        <v>16</v>
      </c>
      <c r="X9" s="209" t="s">
        <v>16</v>
      </c>
      <c r="Y9" s="216" t="s">
        <v>4</v>
      </c>
      <c r="Z9" s="216" t="s">
        <v>4</v>
      </c>
      <c r="AA9" s="209" t="s">
        <v>16</v>
      </c>
      <c r="AB9" s="209" t="s">
        <v>16</v>
      </c>
      <c r="AC9" s="209" t="s">
        <v>16</v>
      </c>
      <c r="AD9" s="209" t="s">
        <v>16</v>
      </c>
      <c r="AE9" s="209" t="s">
        <v>16</v>
      </c>
      <c r="AF9" s="114" t="s">
        <v>4</v>
      </c>
      <c r="AG9" s="114" t="s">
        <v>4</v>
      </c>
    </row>
    <row r="10" spans="1:33" x14ac:dyDescent="0.35">
      <c r="A10" s="272"/>
      <c r="B10" s="272"/>
      <c r="C10" s="272"/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/>
      <c r="AD10" s="272"/>
      <c r="AE10" s="272"/>
      <c r="AF10" s="272"/>
      <c r="AG10" s="272"/>
    </row>
    <row r="11" spans="1:33" x14ac:dyDescent="0.35">
      <c r="A11" s="165" t="s">
        <v>9</v>
      </c>
      <c r="B11" s="116" t="s">
        <v>2</v>
      </c>
      <c r="C11" s="208" t="s">
        <v>310</v>
      </c>
      <c r="D11" s="217" t="s">
        <v>3</v>
      </c>
      <c r="E11" s="122" t="s">
        <v>4</v>
      </c>
      <c r="F11" s="213" t="s">
        <v>310</v>
      </c>
      <c r="G11" s="25" t="s">
        <v>310</v>
      </c>
      <c r="H11" s="25" t="s">
        <v>310</v>
      </c>
      <c r="I11" s="25" t="s">
        <v>310</v>
      </c>
      <c r="J11" s="208" t="s">
        <v>310</v>
      </c>
      <c r="K11" s="216" t="s">
        <v>4</v>
      </c>
      <c r="L11" s="218" t="s">
        <v>3</v>
      </c>
      <c r="M11" s="213" t="s">
        <v>310</v>
      </c>
      <c r="N11" s="213" t="s">
        <v>310</v>
      </c>
      <c r="O11" s="237" t="s">
        <v>2</v>
      </c>
      <c r="P11" s="231" t="s">
        <v>3</v>
      </c>
      <c r="Q11" s="239" t="s">
        <v>310</v>
      </c>
      <c r="R11" s="217" t="s">
        <v>3</v>
      </c>
      <c r="S11" s="218" t="s">
        <v>3</v>
      </c>
      <c r="T11" s="212" t="s">
        <v>5</v>
      </c>
      <c r="U11" s="122" t="s">
        <v>5</v>
      </c>
      <c r="V11" s="122" t="s">
        <v>5</v>
      </c>
      <c r="W11" s="122" t="s">
        <v>5</v>
      </c>
      <c r="X11" s="207" t="s">
        <v>5</v>
      </c>
      <c r="Y11" s="217" t="s">
        <v>3</v>
      </c>
      <c r="Z11" s="218" t="s">
        <v>3</v>
      </c>
      <c r="AA11" s="212" t="s">
        <v>5</v>
      </c>
      <c r="AB11" s="122" t="s">
        <v>5</v>
      </c>
      <c r="AC11" s="122" t="s">
        <v>5</v>
      </c>
      <c r="AD11" s="122" t="s">
        <v>5</v>
      </c>
      <c r="AE11" s="122" t="s">
        <v>5</v>
      </c>
      <c r="AF11" s="25" t="s">
        <v>3</v>
      </c>
      <c r="AG11" s="25" t="s">
        <v>3</v>
      </c>
    </row>
    <row r="12" spans="1:33" x14ac:dyDescent="0.35">
      <c r="A12" s="165" t="s">
        <v>124</v>
      </c>
      <c r="B12" s="25" t="s">
        <v>310</v>
      </c>
      <c r="C12" s="209" t="s">
        <v>16</v>
      </c>
      <c r="D12" s="216" t="s">
        <v>4</v>
      </c>
      <c r="E12" s="218" t="s">
        <v>3</v>
      </c>
      <c r="F12" s="213" t="s">
        <v>310</v>
      </c>
      <c r="G12" s="25" t="s">
        <v>310</v>
      </c>
      <c r="H12" s="25" t="s">
        <v>310</v>
      </c>
      <c r="I12" s="116" t="s">
        <v>2</v>
      </c>
      <c r="J12" s="208" t="s">
        <v>310</v>
      </c>
      <c r="K12" s="217" t="s">
        <v>3</v>
      </c>
      <c r="L12" s="122" t="s">
        <v>4</v>
      </c>
      <c r="M12" s="212" t="s">
        <v>5</v>
      </c>
      <c r="N12" s="25" t="s">
        <v>310</v>
      </c>
      <c r="O12" s="208" t="s">
        <v>310</v>
      </c>
      <c r="P12" s="230" t="s">
        <v>37</v>
      </c>
      <c r="Q12" s="237" t="s">
        <v>2</v>
      </c>
      <c r="R12" s="216" t="s">
        <v>4</v>
      </c>
      <c r="S12" s="218" t="s">
        <v>3</v>
      </c>
      <c r="T12" s="213" t="s">
        <v>310</v>
      </c>
      <c r="U12" s="25" t="s">
        <v>310</v>
      </c>
      <c r="V12" s="116" t="s">
        <v>2</v>
      </c>
      <c r="W12" s="25" t="s">
        <v>310</v>
      </c>
      <c r="X12" s="208" t="s">
        <v>310</v>
      </c>
      <c r="Y12" s="216" t="s">
        <v>4</v>
      </c>
      <c r="Z12" s="219" t="s">
        <v>4</v>
      </c>
      <c r="AA12" s="213" t="s">
        <v>310</v>
      </c>
      <c r="AB12" s="25" t="s">
        <v>310</v>
      </c>
      <c r="AC12" s="25" t="s">
        <v>310</v>
      </c>
      <c r="AD12" s="25" t="s">
        <v>310</v>
      </c>
      <c r="AE12" s="19" t="s">
        <v>41</v>
      </c>
      <c r="AF12" s="114" t="s">
        <v>4</v>
      </c>
      <c r="AG12" s="16" t="s">
        <v>11</v>
      </c>
    </row>
    <row r="13" spans="1:33" x14ac:dyDescent="0.35">
      <c r="A13" s="141" t="s">
        <v>71</v>
      </c>
      <c r="B13" s="122" t="s">
        <v>5</v>
      </c>
      <c r="C13" s="207" t="s">
        <v>5</v>
      </c>
      <c r="D13" s="122" t="s">
        <v>4</v>
      </c>
      <c r="E13" s="122" t="s">
        <v>4</v>
      </c>
      <c r="F13" s="212" t="s">
        <v>5</v>
      </c>
      <c r="G13" s="122" t="s">
        <v>5</v>
      </c>
      <c r="H13" s="122" t="s">
        <v>5</v>
      </c>
      <c r="I13" s="122" t="s">
        <v>5</v>
      </c>
      <c r="J13" s="207" t="s">
        <v>5</v>
      </c>
      <c r="K13" s="122" t="s">
        <v>4</v>
      </c>
      <c r="L13" s="122" t="s">
        <v>4</v>
      </c>
      <c r="M13" s="212" t="s">
        <v>5</v>
      </c>
      <c r="N13" s="122" t="s">
        <v>5</v>
      </c>
      <c r="O13" s="208" t="s">
        <v>310</v>
      </c>
      <c r="P13" s="231" t="s">
        <v>3</v>
      </c>
      <c r="Q13" s="239" t="s">
        <v>310</v>
      </c>
      <c r="R13" s="217" t="s">
        <v>3</v>
      </c>
      <c r="S13" s="219" t="s">
        <v>4</v>
      </c>
      <c r="T13" s="213" t="s">
        <v>310</v>
      </c>
      <c r="U13" s="25" t="s">
        <v>310</v>
      </c>
      <c r="V13" s="25" t="s">
        <v>310</v>
      </c>
      <c r="W13" s="116" t="s">
        <v>2</v>
      </c>
      <c r="X13" s="208" t="s">
        <v>310</v>
      </c>
      <c r="Y13" s="217" t="s">
        <v>3</v>
      </c>
      <c r="Z13" s="219" t="s">
        <v>4</v>
      </c>
      <c r="AA13" s="211" t="s">
        <v>2</v>
      </c>
      <c r="AB13" s="25" t="s">
        <v>310</v>
      </c>
      <c r="AC13" s="25" t="s">
        <v>310</v>
      </c>
      <c r="AD13" s="25" t="s">
        <v>310</v>
      </c>
      <c r="AE13" s="25" t="s">
        <v>310</v>
      </c>
      <c r="AF13" s="25" t="s">
        <v>3</v>
      </c>
      <c r="AG13" s="114" t="s">
        <v>4</v>
      </c>
    </row>
    <row r="14" spans="1:33" x14ac:dyDescent="0.35">
      <c r="A14" s="141" t="s">
        <v>69</v>
      </c>
      <c r="B14" s="25" t="s">
        <v>310</v>
      </c>
      <c r="C14" s="208" t="s">
        <v>310</v>
      </c>
      <c r="D14" s="217" t="s">
        <v>3</v>
      </c>
      <c r="E14" s="217" t="s">
        <v>3</v>
      </c>
      <c r="F14" s="213" t="s">
        <v>310</v>
      </c>
      <c r="G14" s="211" t="s">
        <v>2</v>
      </c>
      <c r="H14" s="211" t="s">
        <v>2</v>
      </c>
      <c r="I14" s="25" t="s">
        <v>310</v>
      </c>
      <c r="J14" s="208" t="s">
        <v>310</v>
      </c>
      <c r="K14" s="216" t="s">
        <v>4</v>
      </c>
      <c r="L14" s="218" t="s">
        <v>3</v>
      </c>
      <c r="M14" s="213" t="s">
        <v>310</v>
      </c>
      <c r="N14" s="25" t="s">
        <v>310</v>
      </c>
      <c r="O14" s="208" t="s">
        <v>310</v>
      </c>
      <c r="P14" s="228" t="s">
        <v>5</v>
      </c>
      <c r="Q14" s="240" t="s">
        <v>5</v>
      </c>
      <c r="R14" s="122" t="s">
        <v>4</v>
      </c>
      <c r="S14" s="122" t="s">
        <v>4</v>
      </c>
      <c r="T14" s="212" t="s">
        <v>5</v>
      </c>
      <c r="U14" s="25" t="s">
        <v>310</v>
      </c>
      <c r="V14" s="25" t="s">
        <v>310</v>
      </c>
      <c r="W14" s="25" t="s">
        <v>310</v>
      </c>
      <c r="X14" s="208" t="s">
        <v>310</v>
      </c>
      <c r="Y14" s="216" t="s">
        <v>4</v>
      </c>
      <c r="Z14" s="218" t="s">
        <v>3</v>
      </c>
      <c r="AA14" s="213" t="s">
        <v>310</v>
      </c>
      <c r="AB14" s="25" t="s">
        <v>310</v>
      </c>
      <c r="AC14" s="116" t="s">
        <v>2</v>
      </c>
      <c r="AD14" s="25" t="s">
        <v>310</v>
      </c>
      <c r="AE14" s="25" t="s">
        <v>310</v>
      </c>
      <c r="AF14" s="114" t="s">
        <v>4</v>
      </c>
      <c r="AG14" s="25" t="s">
        <v>3</v>
      </c>
    </row>
    <row r="15" spans="1:33" x14ac:dyDescent="0.35">
      <c r="A15" s="141" t="s">
        <v>308</v>
      </c>
      <c r="B15" s="25" t="s">
        <v>310</v>
      </c>
      <c r="C15" s="208" t="s">
        <v>310</v>
      </c>
      <c r="D15" s="43" t="s">
        <v>30</v>
      </c>
      <c r="E15" s="219" t="s">
        <v>4</v>
      </c>
      <c r="F15" s="211" t="s">
        <v>2</v>
      </c>
      <c r="G15" s="25" t="s">
        <v>310</v>
      </c>
      <c r="H15" s="25" t="s">
        <v>310</v>
      </c>
      <c r="I15" s="262" t="s">
        <v>34</v>
      </c>
      <c r="J15" s="209" t="s">
        <v>16</v>
      </c>
      <c r="K15" s="43" t="s">
        <v>30</v>
      </c>
      <c r="L15" s="219" t="s">
        <v>4</v>
      </c>
      <c r="M15" s="213" t="s">
        <v>310</v>
      </c>
      <c r="N15" s="25" t="s">
        <v>310</v>
      </c>
      <c r="O15" s="158" t="s">
        <v>2</v>
      </c>
      <c r="P15" s="230" t="s">
        <v>37</v>
      </c>
      <c r="Q15" s="239" t="s">
        <v>310</v>
      </c>
      <c r="R15" s="216" t="s">
        <v>4</v>
      </c>
      <c r="S15" s="219" t="s">
        <v>4</v>
      </c>
      <c r="T15" s="213" t="s">
        <v>310</v>
      </c>
      <c r="U15" s="22" t="s">
        <v>16</v>
      </c>
      <c r="V15" s="25" t="s">
        <v>310</v>
      </c>
      <c r="W15" s="25" t="s">
        <v>310</v>
      </c>
      <c r="X15" s="209" t="s">
        <v>16</v>
      </c>
      <c r="Y15" s="216" t="s">
        <v>4</v>
      </c>
      <c r="Z15" s="219" t="s">
        <v>4</v>
      </c>
      <c r="AA15" s="213" t="s">
        <v>310</v>
      </c>
      <c r="AB15" s="25" t="s">
        <v>310</v>
      </c>
      <c r="AC15" s="25" t="s">
        <v>310</v>
      </c>
      <c r="AD15" s="22" t="s">
        <v>16</v>
      </c>
      <c r="AE15" s="22" t="s">
        <v>16</v>
      </c>
      <c r="AF15" s="114" t="s">
        <v>4</v>
      </c>
      <c r="AG15" s="114" t="s">
        <v>4</v>
      </c>
    </row>
    <row r="16" spans="1:33" x14ac:dyDescent="0.35">
      <c r="A16" s="272"/>
      <c r="B16" s="272"/>
      <c r="C16" s="272"/>
      <c r="D16" s="272"/>
      <c r="E16" s="272"/>
      <c r="F16" s="272"/>
      <c r="G16" s="272"/>
      <c r="H16" s="272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  <c r="AA16" s="272"/>
      <c r="AB16" s="272"/>
      <c r="AC16" s="272"/>
      <c r="AD16" s="272"/>
      <c r="AE16" s="272"/>
      <c r="AF16" s="272"/>
      <c r="AG16" s="272"/>
    </row>
    <row r="17" spans="1:33" x14ac:dyDescent="0.35">
      <c r="A17" s="165" t="s">
        <v>312</v>
      </c>
      <c r="B17" s="19" t="s">
        <v>41</v>
      </c>
      <c r="C17" s="37" t="s">
        <v>10</v>
      </c>
      <c r="D17" s="216" t="s">
        <v>4</v>
      </c>
      <c r="E17" s="220" t="s">
        <v>11</v>
      </c>
      <c r="F17" s="51" t="s">
        <v>10</v>
      </c>
      <c r="G17" s="16" t="s">
        <v>10</v>
      </c>
      <c r="H17" s="16" t="s">
        <v>10</v>
      </c>
      <c r="I17" s="158" t="s">
        <v>2</v>
      </c>
      <c r="J17" s="158" t="s">
        <v>2</v>
      </c>
      <c r="K17" s="221" t="s">
        <v>11</v>
      </c>
      <c r="L17" s="220" t="s">
        <v>11</v>
      </c>
      <c r="M17" s="211" t="s">
        <v>2</v>
      </c>
      <c r="N17" s="16" t="s">
        <v>10</v>
      </c>
      <c r="O17" s="37" t="s">
        <v>10</v>
      </c>
      <c r="P17" s="232" t="s">
        <v>11</v>
      </c>
      <c r="Q17" s="241" t="s">
        <v>10</v>
      </c>
      <c r="R17" s="122" t="s">
        <v>4</v>
      </c>
      <c r="S17" s="122" t="s">
        <v>4</v>
      </c>
      <c r="T17" s="212" t="s">
        <v>5</v>
      </c>
      <c r="U17" s="122" t="s">
        <v>5</v>
      </c>
      <c r="V17" s="122" t="s">
        <v>5</v>
      </c>
      <c r="W17" s="16" t="s">
        <v>10</v>
      </c>
      <c r="X17" s="37" t="s">
        <v>10</v>
      </c>
      <c r="Y17" s="221" t="s">
        <v>11</v>
      </c>
      <c r="Z17" s="219" t="s">
        <v>4</v>
      </c>
      <c r="AA17" s="212" t="s">
        <v>5</v>
      </c>
      <c r="AB17" s="122" t="s">
        <v>5</v>
      </c>
      <c r="AC17" s="16" t="s">
        <v>10</v>
      </c>
      <c r="AD17" s="16" t="s">
        <v>10</v>
      </c>
      <c r="AE17" s="16" t="s">
        <v>10</v>
      </c>
      <c r="AF17" s="16" t="s">
        <v>11</v>
      </c>
      <c r="AG17" s="114" t="s">
        <v>4</v>
      </c>
    </row>
    <row r="18" spans="1:33" x14ac:dyDescent="0.35">
      <c r="A18" s="165" t="s">
        <v>43</v>
      </c>
      <c r="B18" s="16" t="s">
        <v>10</v>
      </c>
      <c r="C18" s="158" t="s">
        <v>2</v>
      </c>
      <c r="D18" s="221" t="s">
        <v>11</v>
      </c>
      <c r="E18" s="219" t="s">
        <v>4</v>
      </c>
      <c r="F18" s="211" t="s">
        <v>2</v>
      </c>
      <c r="G18" s="16" t="s">
        <v>10</v>
      </c>
      <c r="H18" s="16" t="s">
        <v>10</v>
      </c>
      <c r="I18" s="16" t="s">
        <v>10</v>
      </c>
      <c r="J18" s="37" t="s">
        <v>10</v>
      </c>
      <c r="K18" s="122" t="s">
        <v>4</v>
      </c>
      <c r="L18" s="122" t="s">
        <v>4</v>
      </c>
      <c r="M18" s="212" t="s">
        <v>5</v>
      </c>
      <c r="N18" s="122" t="s">
        <v>5</v>
      </c>
      <c r="O18" s="207" t="s">
        <v>5</v>
      </c>
      <c r="P18" s="228" t="s">
        <v>5</v>
      </c>
      <c r="Q18" s="240" t="s">
        <v>5</v>
      </c>
      <c r="R18" s="221" t="s">
        <v>11</v>
      </c>
      <c r="S18" s="220" t="s">
        <v>11</v>
      </c>
      <c r="T18" s="51" t="s">
        <v>10</v>
      </c>
      <c r="U18" s="16" t="s">
        <v>10</v>
      </c>
      <c r="V18" s="16" t="s">
        <v>10</v>
      </c>
      <c r="W18" s="116" t="s">
        <v>2</v>
      </c>
      <c r="X18" s="158" t="s">
        <v>2</v>
      </c>
      <c r="Y18" s="216" t="s">
        <v>4</v>
      </c>
      <c r="Z18" s="220" t="s">
        <v>11</v>
      </c>
      <c r="AA18" s="51" t="s">
        <v>10</v>
      </c>
      <c r="AB18" s="16" t="s">
        <v>10</v>
      </c>
      <c r="AC18" s="116" t="s">
        <v>2</v>
      </c>
      <c r="AD18" s="16" t="s">
        <v>10</v>
      </c>
      <c r="AE18" s="16" t="s">
        <v>10</v>
      </c>
      <c r="AF18" s="114" t="s">
        <v>4</v>
      </c>
      <c r="AG18" s="19" t="s">
        <v>42</v>
      </c>
    </row>
    <row r="19" spans="1:33" x14ac:dyDescent="0.35">
      <c r="A19" s="141" t="s">
        <v>68</v>
      </c>
      <c r="B19" s="16" t="s">
        <v>10</v>
      </c>
      <c r="C19" s="37" t="s">
        <v>10</v>
      </c>
      <c r="D19" s="221" t="s">
        <v>11</v>
      </c>
      <c r="E19" s="219" t="s">
        <v>4</v>
      </c>
      <c r="F19" s="51" t="s">
        <v>10</v>
      </c>
      <c r="G19" s="16" t="s">
        <v>10</v>
      </c>
      <c r="H19" s="116" t="s">
        <v>2</v>
      </c>
      <c r="I19" s="16" t="s">
        <v>10</v>
      </c>
      <c r="J19" s="37" t="s">
        <v>10</v>
      </c>
      <c r="K19" s="216" t="s">
        <v>4</v>
      </c>
      <c r="L19" s="220" t="s">
        <v>11</v>
      </c>
      <c r="M19" s="51" t="s">
        <v>10</v>
      </c>
      <c r="N19" s="16" t="s">
        <v>10</v>
      </c>
      <c r="O19" s="158" t="s">
        <v>2</v>
      </c>
      <c r="P19" s="230" t="s">
        <v>37</v>
      </c>
      <c r="Q19" s="241" t="s">
        <v>10</v>
      </c>
      <c r="R19" s="216" t="s">
        <v>4</v>
      </c>
      <c r="S19" s="220" t="s">
        <v>11</v>
      </c>
      <c r="T19" s="51" t="s">
        <v>10</v>
      </c>
      <c r="U19" s="116" t="s">
        <v>2</v>
      </c>
      <c r="V19" s="16" t="s">
        <v>10</v>
      </c>
      <c r="W19" s="16" t="s">
        <v>10</v>
      </c>
      <c r="X19" s="37" t="s">
        <v>10</v>
      </c>
      <c r="Y19" s="221" t="s">
        <v>11</v>
      </c>
      <c r="Z19" s="219" t="s">
        <v>4</v>
      </c>
      <c r="AA19" s="51" t="s">
        <v>10</v>
      </c>
      <c r="AB19" s="16" t="s">
        <v>10</v>
      </c>
      <c r="AC19" s="16" t="s">
        <v>10</v>
      </c>
      <c r="AD19" s="16" t="s">
        <v>10</v>
      </c>
      <c r="AE19" s="116" t="s">
        <v>2</v>
      </c>
      <c r="AF19" s="114" t="s">
        <v>4</v>
      </c>
      <c r="AG19" s="19" t="s">
        <v>42</v>
      </c>
    </row>
    <row r="20" spans="1:33" x14ac:dyDescent="0.35">
      <c r="A20" s="141" t="s">
        <v>60</v>
      </c>
      <c r="B20" s="16" t="s">
        <v>10</v>
      </c>
      <c r="C20" s="158" t="s">
        <v>2</v>
      </c>
      <c r="D20" s="216" t="s">
        <v>4</v>
      </c>
      <c r="E20" s="220" t="s">
        <v>11</v>
      </c>
      <c r="F20" s="51" t="s">
        <v>10</v>
      </c>
      <c r="G20" s="116" t="s">
        <v>2</v>
      </c>
      <c r="H20" s="16" t="s">
        <v>10</v>
      </c>
      <c r="I20" s="16" t="s">
        <v>10</v>
      </c>
      <c r="J20" s="37" t="s">
        <v>10</v>
      </c>
      <c r="K20" s="221" t="s">
        <v>11</v>
      </c>
      <c r="L20" s="219" t="s">
        <v>4</v>
      </c>
      <c r="M20" s="51" t="s">
        <v>10</v>
      </c>
      <c r="N20" s="16" t="s">
        <v>10</v>
      </c>
      <c r="O20" s="37" t="s">
        <v>10</v>
      </c>
      <c r="P20" s="232" t="s">
        <v>11</v>
      </c>
      <c r="Q20" s="237" t="s">
        <v>2</v>
      </c>
      <c r="R20" s="221" t="s">
        <v>11</v>
      </c>
      <c r="S20" s="219" t="s">
        <v>4</v>
      </c>
      <c r="T20" s="51" t="s">
        <v>10</v>
      </c>
      <c r="U20" s="16" t="s">
        <v>10</v>
      </c>
      <c r="V20" s="116" t="s">
        <v>2</v>
      </c>
      <c r="W20" s="122" t="s">
        <v>5</v>
      </c>
      <c r="X20" s="207" t="s">
        <v>5</v>
      </c>
      <c r="Y20" s="122" t="s">
        <v>4</v>
      </c>
      <c r="Z20" s="122" t="s">
        <v>4</v>
      </c>
      <c r="AA20" s="211" t="s">
        <v>2</v>
      </c>
      <c r="AB20" s="16" t="s">
        <v>10</v>
      </c>
      <c r="AC20" s="16" t="s">
        <v>10</v>
      </c>
      <c r="AD20" s="16" t="s">
        <v>10</v>
      </c>
      <c r="AE20" s="16" t="s">
        <v>10</v>
      </c>
      <c r="AF20" s="16" t="s">
        <v>11</v>
      </c>
      <c r="AG20" s="114" t="s">
        <v>4</v>
      </c>
    </row>
    <row r="21" spans="1:33" ht="15" thickBot="1" x14ac:dyDescent="0.4">
      <c r="A21" s="141" t="s">
        <v>149</v>
      </c>
      <c r="B21" s="19" t="s">
        <v>41</v>
      </c>
      <c r="C21" s="37" t="s">
        <v>10</v>
      </c>
      <c r="D21" s="222" t="s">
        <v>11</v>
      </c>
      <c r="E21" s="157" t="s">
        <v>4</v>
      </c>
      <c r="F21" s="51" t="s">
        <v>10</v>
      </c>
      <c r="G21" s="16" t="s">
        <v>10</v>
      </c>
      <c r="H21" s="16" t="s">
        <v>10</v>
      </c>
      <c r="I21" s="116" t="s">
        <v>2</v>
      </c>
      <c r="J21" s="37" t="s">
        <v>10</v>
      </c>
      <c r="K21" s="222" t="s">
        <v>11</v>
      </c>
      <c r="L21" s="157" t="s">
        <v>4</v>
      </c>
      <c r="M21" s="51" t="s">
        <v>10</v>
      </c>
      <c r="N21" s="116" t="s">
        <v>2</v>
      </c>
      <c r="O21" s="37" t="s">
        <v>10</v>
      </c>
      <c r="P21" s="233" t="s">
        <v>37</v>
      </c>
      <c r="Q21" s="241" t="s">
        <v>10</v>
      </c>
      <c r="R21" s="222" t="s">
        <v>11</v>
      </c>
      <c r="S21" s="157" t="s">
        <v>4</v>
      </c>
      <c r="T21" s="211" t="s">
        <v>2</v>
      </c>
      <c r="U21" s="16" t="s">
        <v>10</v>
      </c>
      <c r="V21" s="16" t="s">
        <v>10</v>
      </c>
      <c r="W21" s="16" t="s">
        <v>10</v>
      </c>
      <c r="X21" s="37" t="s">
        <v>10</v>
      </c>
      <c r="Y21" s="242" t="s">
        <v>4</v>
      </c>
      <c r="Z21" s="152" t="s">
        <v>11</v>
      </c>
      <c r="AA21" s="51" t="s">
        <v>10</v>
      </c>
      <c r="AB21" s="16" t="s">
        <v>10</v>
      </c>
      <c r="AC21" s="16" t="s">
        <v>10</v>
      </c>
      <c r="AD21" s="116" t="s">
        <v>2</v>
      </c>
      <c r="AE21" s="122" t="s">
        <v>5</v>
      </c>
      <c r="AF21" s="122" t="s">
        <v>5</v>
      </c>
      <c r="AG21" s="122" t="s">
        <v>4</v>
      </c>
    </row>
    <row r="24" spans="1:33" x14ac:dyDescent="0.35">
      <c r="A24" s="128" t="s">
        <v>311</v>
      </c>
      <c r="B24">
        <f t="shared" ref="B24:AE24" si="1">COUNTIF(B4:B21,"*MSF3")</f>
        <v>3</v>
      </c>
      <c r="C24">
        <f t="shared" si="1"/>
        <v>3</v>
      </c>
      <c r="D24">
        <f t="shared" ref="D24:E24" si="2">COUNTIF(D4:D21,"*MS*")</f>
        <v>2</v>
      </c>
      <c r="E24">
        <f t="shared" si="2"/>
        <v>2</v>
      </c>
      <c r="F24">
        <f t="shared" si="1"/>
        <v>3</v>
      </c>
      <c r="G24">
        <f t="shared" si="1"/>
        <v>3</v>
      </c>
      <c r="H24">
        <f t="shared" si="1"/>
        <v>3</v>
      </c>
      <c r="I24">
        <f t="shared" si="1"/>
        <v>2</v>
      </c>
      <c r="J24">
        <f t="shared" si="1"/>
        <v>3</v>
      </c>
      <c r="K24">
        <f>COUNTIF(K4:K21,"*MS*")</f>
        <v>2</v>
      </c>
      <c r="L24">
        <f>COUNTIF(L4:L21,"*MS*")</f>
        <v>2</v>
      </c>
      <c r="M24">
        <f t="shared" si="1"/>
        <v>3</v>
      </c>
      <c r="N24">
        <f t="shared" si="1"/>
        <v>4</v>
      </c>
      <c r="O24">
        <f t="shared" si="1"/>
        <v>3</v>
      </c>
      <c r="P24">
        <f t="shared" si="1"/>
        <v>0</v>
      </c>
      <c r="Q24">
        <f t="shared" si="1"/>
        <v>3</v>
      </c>
      <c r="R24">
        <f t="shared" ref="R24:S24" si="3">COUNTIF(R4:R21,"*MS*")</f>
        <v>2</v>
      </c>
      <c r="S24">
        <f t="shared" si="3"/>
        <v>2</v>
      </c>
      <c r="T24">
        <f t="shared" si="1"/>
        <v>3</v>
      </c>
      <c r="U24">
        <f t="shared" si="1"/>
        <v>3</v>
      </c>
      <c r="V24">
        <f t="shared" si="1"/>
        <v>3</v>
      </c>
      <c r="W24">
        <f t="shared" si="1"/>
        <v>3</v>
      </c>
      <c r="X24">
        <f t="shared" si="1"/>
        <v>3</v>
      </c>
      <c r="Y24">
        <f t="shared" ref="Y24:Z24" si="4">COUNTIF(Y4:Y21,"*MS*")</f>
        <v>2</v>
      </c>
      <c r="Z24">
        <f t="shared" si="4"/>
        <v>2</v>
      </c>
      <c r="AA24">
        <f t="shared" si="1"/>
        <v>3</v>
      </c>
      <c r="AB24">
        <f t="shared" si="1"/>
        <v>4</v>
      </c>
      <c r="AC24">
        <f t="shared" si="1"/>
        <v>3</v>
      </c>
      <c r="AD24">
        <f t="shared" si="1"/>
        <v>3</v>
      </c>
      <c r="AE24">
        <f t="shared" si="1"/>
        <v>2</v>
      </c>
      <c r="AF24">
        <f t="shared" ref="AF24:AG24" si="5">COUNTIF(AF4:AF21,"*MS*")</f>
        <v>2</v>
      </c>
      <c r="AG24">
        <f t="shared" si="5"/>
        <v>2</v>
      </c>
    </row>
    <row r="25" spans="1:33" x14ac:dyDescent="0.35">
      <c r="A25" s="128" t="s">
        <v>126</v>
      </c>
      <c r="B25">
        <f t="shared" ref="B25:H25" si="6">COUNTIF(B4:B21,"*ASS1")</f>
        <v>3</v>
      </c>
      <c r="C25">
        <f t="shared" si="6"/>
        <v>3</v>
      </c>
      <c r="D25">
        <f t="shared" si="6"/>
        <v>2</v>
      </c>
      <c r="E25">
        <f t="shared" si="6"/>
        <v>2</v>
      </c>
      <c r="F25">
        <f t="shared" si="6"/>
        <v>3</v>
      </c>
      <c r="G25">
        <f t="shared" si="6"/>
        <v>3</v>
      </c>
      <c r="H25">
        <f t="shared" si="6"/>
        <v>3</v>
      </c>
      <c r="I25">
        <f t="shared" ref="I25:AG25" si="7">COUNTIF(I4:I21,"*ASS1")</f>
        <v>3</v>
      </c>
      <c r="J25">
        <f t="shared" si="7"/>
        <v>3</v>
      </c>
      <c r="K25">
        <f t="shared" si="7"/>
        <v>2</v>
      </c>
      <c r="L25">
        <f t="shared" si="7"/>
        <v>2</v>
      </c>
      <c r="M25">
        <f t="shared" si="7"/>
        <v>3</v>
      </c>
      <c r="N25">
        <f t="shared" si="7"/>
        <v>4</v>
      </c>
      <c r="O25">
        <f t="shared" si="7"/>
        <v>3</v>
      </c>
      <c r="P25">
        <f t="shared" si="7"/>
        <v>2</v>
      </c>
      <c r="Q25">
        <f t="shared" si="7"/>
        <v>3</v>
      </c>
      <c r="R25">
        <f t="shared" si="7"/>
        <v>2</v>
      </c>
      <c r="S25">
        <f t="shared" si="7"/>
        <v>2</v>
      </c>
      <c r="T25">
        <f t="shared" si="7"/>
        <v>3</v>
      </c>
      <c r="U25">
        <f t="shared" si="7"/>
        <v>3</v>
      </c>
      <c r="V25">
        <f t="shared" si="7"/>
        <v>3</v>
      </c>
      <c r="W25">
        <f t="shared" si="7"/>
        <v>3</v>
      </c>
      <c r="X25">
        <f t="shared" si="7"/>
        <v>3</v>
      </c>
      <c r="Y25">
        <f t="shared" si="7"/>
        <v>2</v>
      </c>
      <c r="Z25">
        <f>COUNTIF(Z4:Z21,"*ASS1")</f>
        <v>2</v>
      </c>
      <c r="AA25">
        <f t="shared" si="7"/>
        <v>3</v>
      </c>
      <c r="AB25">
        <f t="shared" si="7"/>
        <v>4</v>
      </c>
      <c r="AC25">
        <f t="shared" si="7"/>
        <v>3</v>
      </c>
      <c r="AD25">
        <f t="shared" si="7"/>
        <v>3</v>
      </c>
      <c r="AE25">
        <f t="shared" si="7"/>
        <v>3</v>
      </c>
      <c r="AF25">
        <f t="shared" si="7"/>
        <v>2</v>
      </c>
      <c r="AG25">
        <f t="shared" si="7"/>
        <v>2</v>
      </c>
    </row>
    <row r="26" spans="1:33" x14ac:dyDescent="0.35">
      <c r="A26" s="128" t="s">
        <v>127</v>
      </c>
      <c r="B26">
        <f t="shared" ref="B26:H26" si="8">COUNTIF(B4:B21,"*NST7")</f>
        <v>3</v>
      </c>
      <c r="C26">
        <f t="shared" si="8"/>
        <v>3</v>
      </c>
      <c r="D26">
        <f t="shared" si="8"/>
        <v>3</v>
      </c>
      <c r="E26">
        <f t="shared" si="8"/>
        <v>2</v>
      </c>
      <c r="F26">
        <f t="shared" si="8"/>
        <v>4</v>
      </c>
      <c r="G26">
        <f t="shared" si="8"/>
        <v>4</v>
      </c>
      <c r="H26">
        <f t="shared" si="8"/>
        <v>4</v>
      </c>
      <c r="I26">
        <f t="shared" ref="I26:AG26" si="9">COUNTIF(I4:I21,"*NST7")</f>
        <v>3</v>
      </c>
      <c r="J26">
        <f t="shared" si="9"/>
        <v>4</v>
      </c>
      <c r="K26">
        <f t="shared" si="9"/>
        <v>3</v>
      </c>
      <c r="L26">
        <f t="shared" si="9"/>
        <v>2</v>
      </c>
      <c r="M26">
        <f t="shared" si="9"/>
        <v>3</v>
      </c>
      <c r="N26">
        <f t="shared" si="9"/>
        <v>3</v>
      </c>
      <c r="O26">
        <f t="shared" si="9"/>
        <v>3</v>
      </c>
      <c r="P26">
        <f t="shared" si="9"/>
        <v>2</v>
      </c>
      <c r="Q26">
        <f t="shared" si="9"/>
        <v>3</v>
      </c>
      <c r="R26">
        <f t="shared" si="9"/>
        <v>3</v>
      </c>
      <c r="S26">
        <f t="shared" si="9"/>
        <v>2</v>
      </c>
      <c r="T26">
        <f t="shared" si="9"/>
        <v>3</v>
      </c>
      <c r="U26">
        <f t="shared" si="9"/>
        <v>3</v>
      </c>
      <c r="V26">
        <f t="shared" si="9"/>
        <v>3</v>
      </c>
      <c r="W26">
        <f t="shared" si="9"/>
        <v>3</v>
      </c>
      <c r="X26">
        <f t="shared" si="9"/>
        <v>3</v>
      </c>
      <c r="Y26">
        <f t="shared" si="9"/>
        <v>2</v>
      </c>
      <c r="Z26">
        <f>COUNTIF(Z4:Z21,"*NST7")</f>
        <v>2</v>
      </c>
      <c r="AA26">
        <f t="shared" si="9"/>
        <v>3</v>
      </c>
      <c r="AB26">
        <f t="shared" si="9"/>
        <v>4</v>
      </c>
      <c r="AC26">
        <f t="shared" si="9"/>
        <v>4</v>
      </c>
      <c r="AD26">
        <f t="shared" si="9"/>
        <v>4</v>
      </c>
      <c r="AE26">
        <f t="shared" si="9"/>
        <v>3</v>
      </c>
      <c r="AF26">
        <f t="shared" si="9"/>
        <v>2</v>
      </c>
      <c r="AG26">
        <f t="shared" si="9"/>
        <v>2</v>
      </c>
    </row>
    <row r="27" spans="1:33" x14ac:dyDescent="0.35">
      <c r="A27" s="128" t="s">
        <v>128</v>
      </c>
      <c r="B27">
        <f t="shared" ref="B27:H27" si="10">COUNTIF(B4:B21,"*GS")</f>
        <v>2</v>
      </c>
      <c r="C27">
        <f t="shared" si="10"/>
        <v>2</v>
      </c>
      <c r="D27">
        <f t="shared" si="10"/>
        <v>1</v>
      </c>
      <c r="E27">
        <f t="shared" si="10"/>
        <v>0</v>
      </c>
      <c r="F27">
        <f t="shared" si="10"/>
        <v>1</v>
      </c>
      <c r="G27">
        <f t="shared" si="10"/>
        <v>2</v>
      </c>
      <c r="H27">
        <f t="shared" si="10"/>
        <v>2</v>
      </c>
      <c r="I27">
        <f t="shared" ref="I27:AG27" si="11">COUNTIF(I4:I21,"*GS")</f>
        <v>2</v>
      </c>
      <c r="J27">
        <f t="shared" si="11"/>
        <v>2</v>
      </c>
      <c r="K27">
        <f t="shared" si="11"/>
        <v>1</v>
      </c>
      <c r="L27">
        <f t="shared" si="11"/>
        <v>0</v>
      </c>
      <c r="M27">
        <f t="shared" si="11"/>
        <v>1</v>
      </c>
      <c r="N27">
        <f t="shared" si="11"/>
        <v>1</v>
      </c>
      <c r="O27">
        <f t="shared" si="11"/>
        <v>2</v>
      </c>
      <c r="P27">
        <f t="shared" si="11"/>
        <v>1</v>
      </c>
      <c r="Q27">
        <f t="shared" si="11"/>
        <v>1</v>
      </c>
      <c r="R27">
        <f t="shared" si="11"/>
        <v>1</v>
      </c>
      <c r="S27">
        <f t="shared" si="11"/>
        <v>0</v>
      </c>
      <c r="T27">
        <f t="shared" si="11"/>
        <v>1</v>
      </c>
      <c r="U27">
        <f t="shared" si="11"/>
        <v>2</v>
      </c>
      <c r="V27">
        <f t="shared" si="11"/>
        <v>1</v>
      </c>
      <c r="W27">
        <f t="shared" si="11"/>
        <v>2</v>
      </c>
      <c r="X27">
        <f t="shared" si="11"/>
        <v>2</v>
      </c>
      <c r="Y27">
        <f t="shared" si="11"/>
        <v>1</v>
      </c>
      <c r="Z27">
        <f>COUNTIF(Z4:Z21,"*GS")</f>
        <v>0</v>
      </c>
      <c r="AA27">
        <f t="shared" si="11"/>
        <v>2</v>
      </c>
      <c r="AB27">
        <f t="shared" si="11"/>
        <v>1</v>
      </c>
      <c r="AC27">
        <f t="shared" si="11"/>
        <v>1</v>
      </c>
      <c r="AD27">
        <f t="shared" si="11"/>
        <v>2</v>
      </c>
      <c r="AE27">
        <f t="shared" si="11"/>
        <v>2</v>
      </c>
      <c r="AF27">
        <f t="shared" si="11"/>
        <v>0</v>
      </c>
      <c r="AG27">
        <f t="shared" si="11"/>
        <v>0</v>
      </c>
    </row>
    <row r="28" spans="1:33" x14ac:dyDescent="0.35">
      <c r="A28" s="128" t="s">
        <v>129</v>
      </c>
      <c r="B28">
        <f t="shared" ref="B28:C28" si="12">COUNTIF(B4:B21,"C")</f>
        <v>4</v>
      </c>
      <c r="C28">
        <f t="shared" si="12"/>
        <v>3</v>
      </c>
      <c r="D28">
        <f t="shared" ref="D28:E28" si="13">COUNTIF(D4:D21,"WO")</f>
        <v>8</v>
      </c>
      <c r="E28">
        <f t="shared" si="13"/>
        <v>10</v>
      </c>
      <c r="F28">
        <f>COUNTIF(F4:F21,"C")</f>
        <v>3</v>
      </c>
      <c r="G28">
        <f>COUNTIF(G4:G21,"C")</f>
        <v>2</v>
      </c>
      <c r="H28">
        <f>COUNTIF(H4:H21,"C")</f>
        <v>2</v>
      </c>
      <c r="I28">
        <f t="shared" ref="I28:J28" si="14">COUNTIF(I4:I21,"C")</f>
        <v>4</v>
      </c>
      <c r="J28">
        <f t="shared" si="14"/>
        <v>2</v>
      </c>
      <c r="K28">
        <f t="shared" ref="K28:L28" si="15">COUNTIF(K4:K21,"WO")</f>
        <v>8</v>
      </c>
      <c r="L28">
        <f t="shared" si="15"/>
        <v>10</v>
      </c>
      <c r="M28">
        <f>COUNTIF(M4:M21,"C")</f>
        <v>2</v>
      </c>
      <c r="N28">
        <f>COUNTIF(N4:N21,"C")</f>
        <v>1</v>
      </c>
      <c r="O28">
        <f>COUNTIF(O4:O21,"C")</f>
        <v>4</v>
      </c>
      <c r="P28">
        <f t="shared" ref="P28:Q28" si="16">COUNTIF(P4:P21,"C")</f>
        <v>0</v>
      </c>
      <c r="Q28">
        <f t="shared" si="16"/>
        <v>3</v>
      </c>
      <c r="R28">
        <f t="shared" ref="R28:S28" si="17">COUNTIF(R4:R21,"WO")</f>
        <v>8</v>
      </c>
      <c r="S28">
        <f t="shared" si="17"/>
        <v>10</v>
      </c>
      <c r="T28">
        <f>COUNTIF(T4:T21,"C")</f>
        <v>1</v>
      </c>
      <c r="U28">
        <f>COUNTIF(U4:U21,"C")</f>
        <v>2</v>
      </c>
      <c r="V28">
        <f>COUNTIF(V4:V21,"C")</f>
        <v>3</v>
      </c>
      <c r="W28">
        <f t="shared" ref="W28:X28" si="18">COUNTIF(W4:W21,"C")</f>
        <v>2</v>
      </c>
      <c r="X28">
        <f t="shared" si="18"/>
        <v>2</v>
      </c>
      <c r="Y28">
        <f t="shared" ref="Y28" si="19">COUNTIF(Y4:Y21,"WO")</f>
        <v>9</v>
      </c>
      <c r="Z28">
        <f>COUNTIF(Z4:Z21,"WO")</f>
        <v>10</v>
      </c>
      <c r="AA28">
        <f>COUNTIF(AA4:AA21,"C")</f>
        <v>3</v>
      </c>
      <c r="AB28">
        <f>COUNTIF(AB4:AB21,"C")</f>
        <v>0</v>
      </c>
      <c r="AC28">
        <f>COUNTIF(AC4:AC21,"C")</f>
        <v>3</v>
      </c>
      <c r="AD28">
        <f t="shared" ref="AD28:AE28" si="20">COUNTIF(AD4:AD21,"C")</f>
        <v>2</v>
      </c>
      <c r="AE28">
        <f t="shared" si="20"/>
        <v>2</v>
      </c>
      <c r="AF28">
        <f t="shared" ref="AF28:AG28" si="21">COUNTIF(AF4:AF21,"WO")</f>
        <v>9</v>
      </c>
      <c r="AG28">
        <f t="shared" si="21"/>
        <v>10</v>
      </c>
    </row>
    <row r="29" spans="1:33" x14ac:dyDescent="0.35">
      <c r="A29" s="128" t="s">
        <v>130</v>
      </c>
      <c r="B29">
        <f t="shared" ref="B29:H29" si="22">COUNTIF(B4:B21,"PL")</f>
        <v>1</v>
      </c>
      <c r="C29">
        <f t="shared" si="22"/>
        <v>2</v>
      </c>
      <c r="D29">
        <f t="shared" si="22"/>
        <v>0</v>
      </c>
      <c r="E29">
        <f t="shared" si="22"/>
        <v>0</v>
      </c>
      <c r="F29">
        <f t="shared" si="22"/>
        <v>2</v>
      </c>
      <c r="G29">
        <f t="shared" si="22"/>
        <v>2</v>
      </c>
      <c r="H29">
        <f t="shared" si="22"/>
        <v>2</v>
      </c>
      <c r="I29">
        <f t="shared" ref="I29:AG29" si="23">COUNTIF(I4:I21,"PL")</f>
        <v>1</v>
      </c>
      <c r="J29">
        <f t="shared" si="23"/>
        <v>2</v>
      </c>
      <c r="K29">
        <f t="shared" si="23"/>
        <v>0</v>
      </c>
      <c r="L29">
        <f t="shared" si="23"/>
        <v>0</v>
      </c>
      <c r="M29">
        <f t="shared" si="23"/>
        <v>4</v>
      </c>
      <c r="N29">
        <f t="shared" si="23"/>
        <v>3</v>
      </c>
      <c r="O29">
        <f t="shared" si="23"/>
        <v>1</v>
      </c>
      <c r="P29">
        <f t="shared" si="23"/>
        <v>3</v>
      </c>
      <c r="Q29">
        <f t="shared" si="23"/>
        <v>3</v>
      </c>
      <c r="R29">
        <f t="shared" si="23"/>
        <v>0</v>
      </c>
      <c r="S29">
        <f t="shared" si="23"/>
        <v>0</v>
      </c>
      <c r="T29">
        <f t="shared" si="23"/>
        <v>5</v>
      </c>
      <c r="U29">
        <f t="shared" si="23"/>
        <v>3</v>
      </c>
      <c r="V29">
        <f t="shared" si="23"/>
        <v>3</v>
      </c>
      <c r="W29">
        <f t="shared" si="23"/>
        <v>3</v>
      </c>
      <c r="X29">
        <f t="shared" si="23"/>
        <v>3</v>
      </c>
      <c r="Y29">
        <f t="shared" si="23"/>
        <v>0</v>
      </c>
      <c r="Z29">
        <f>COUNTIF(Z4:Z21,"PL")</f>
        <v>0</v>
      </c>
      <c r="AA29">
        <f t="shared" si="23"/>
        <v>2</v>
      </c>
      <c r="AB29">
        <f t="shared" si="23"/>
        <v>3</v>
      </c>
      <c r="AC29">
        <f t="shared" si="23"/>
        <v>2</v>
      </c>
      <c r="AD29">
        <f t="shared" si="23"/>
        <v>2</v>
      </c>
      <c r="AE29">
        <f t="shared" si="23"/>
        <v>4</v>
      </c>
      <c r="AF29">
        <f t="shared" si="23"/>
        <v>1</v>
      </c>
      <c r="AG29">
        <f t="shared" si="23"/>
        <v>0</v>
      </c>
    </row>
    <row r="30" spans="1:33" x14ac:dyDescent="0.35">
      <c r="A30" s="128" t="s">
        <v>33</v>
      </c>
      <c r="B30">
        <f t="shared" ref="B30:H30" si="24">COUNTIF(B4:B21,"UPL")</f>
        <v>0</v>
      </c>
      <c r="C30">
        <f t="shared" si="24"/>
        <v>0</v>
      </c>
      <c r="D30">
        <f t="shared" si="24"/>
        <v>0</v>
      </c>
      <c r="E30">
        <f t="shared" si="24"/>
        <v>0</v>
      </c>
      <c r="F30">
        <f t="shared" si="24"/>
        <v>0</v>
      </c>
      <c r="G30">
        <f t="shared" si="24"/>
        <v>0</v>
      </c>
      <c r="H30">
        <f t="shared" si="24"/>
        <v>0</v>
      </c>
      <c r="I30">
        <f t="shared" ref="I30:AG30" si="25">COUNTIF(I4:I21,"UPL")</f>
        <v>1</v>
      </c>
      <c r="J30">
        <f t="shared" si="25"/>
        <v>0</v>
      </c>
      <c r="K30">
        <f t="shared" si="25"/>
        <v>0</v>
      </c>
      <c r="L30">
        <f t="shared" si="25"/>
        <v>0</v>
      </c>
      <c r="M30">
        <f t="shared" si="25"/>
        <v>0</v>
      </c>
      <c r="N30">
        <f t="shared" si="25"/>
        <v>0</v>
      </c>
      <c r="O30">
        <f t="shared" si="25"/>
        <v>0</v>
      </c>
      <c r="P30">
        <f t="shared" si="25"/>
        <v>0</v>
      </c>
      <c r="Q30">
        <f t="shared" si="25"/>
        <v>0</v>
      </c>
      <c r="R30">
        <f t="shared" si="25"/>
        <v>0</v>
      </c>
      <c r="S30">
        <f t="shared" si="25"/>
        <v>0</v>
      </c>
      <c r="T30">
        <f t="shared" si="25"/>
        <v>0</v>
      </c>
      <c r="U30">
        <f t="shared" si="25"/>
        <v>0</v>
      </c>
      <c r="V30">
        <f t="shared" si="25"/>
        <v>0</v>
      </c>
      <c r="W30">
        <f t="shared" si="25"/>
        <v>0</v>
      </c>
      <c r="X30">
        <f t="shared" si="25"/>
        <v>0</v>
      </c>
      <c r="Y30">
        <f t="shared" si="25"/>
        <v>0</v>
      </c>
      <c r="Z30">
        <f>COUNTIF(Z4:Z21,"UPL")</f>
        <v>0</v>
      </c>
      <c r="AA30">
        <f t="shared" si="25"/>
        <v>0</v>
      </c>
      <c r="AB30">
        <f t="shared" si="25"/>
        <v>0</v>
      </c>
      <c r="AC30">
        <f t="shared" si="25"/>
        <v>0</v>
      </c>
      <c r="AD30">
        <f t="shared" si="25"/>
        <v>0</v>
      </c>
      <c r="AE30">
        <f t="shared" si="25"/>
        <v>0</v>
      </c>
      <c r="AF30">
        <f t="shared" si="25"/>
        <v>0</v>
      </c>
      <c r="AG30">
        <f t="shared" si="25"/>
        <v>0</v>
      </c>
    </row>
    <row r="31" spans="1:33" x14ac:dyDescent="0.35">
      <c r="A31" s="128" t="s">
        <v>141</v>
      </c>
      <c r="B31">
        <f t="shared" ref="B31:H31" si="26">COUNTIF(B4:B21,"H")</f>
        <v>0</v>
      </c>
      <c r="C31">
        <f t="shared" si="26"/>
        <v>0</v>
      </c>
      <c r="D31">
        <f t="shared" si="26"/>
        <v>0</v>
      </c>
      <c r="E31">
        <f t="shared" si="26"/>
        <v>0</v>
      </c>
      <c r="F31">
        <f t="shared" si="26"/>
        <v>0</v>
      </c>
      <c r="G31">
        <f t="shared" si="26"/>
        <v>0</v>
      </c>
      <c r="H31">
        <f t="shared" si="26"/>
        <v>0</v>
      </c>
      <c r="I31">
        <f t="shared" ref="I31:AG31" si="27">COUNTIF(I4:I21,"H")</f>
        <v>0</v>
      </c>
      <c r="J31">
        <f t="shared" si="27"/>
        <v>0</v>
      </c>
      <c r="K31">
        <f t="shared" si="27"/>
        <v>0</v>
      </c>
      <c r="L31">
        <f t="shared" si="27"/>
        <v>0</v>
      </c>
      <c r="M31">
        <f t="shared" si="27"/>
        <v>0</v>
      </c>
      <c r="N31">
        <f t="shared" si="27"/>
        <v>0</v>
      </c>
      <c r="O31">
        <f t="shared" si="27"/>
        <v>0</v>
      </c>
      <c r="P31">
        <f t="shared" si="27"/>
        <v>6</v>
      </c>
      <c r="Q31">
        <f t="shared" si="27"/>
        <v>0</v>
      </c>
      <c r="R31">
        <f t="shared" si="27"/>
        <v>0</v>
      </c>
      <c r="S31">
        <f t="shared" si="27"/>
        <v>0</v>
      </c>
      <c r="T31">
        <f t="shared" si="27"/>
        <v>0</v>
      </c>
      <c r="U31">
        <f t="shared" si="27"/>
        <v>0</v>
      </c>
      <c r="V31">
        <f t="shared" si="27"/>
        <v>0</v>
      </c>
      <c r="W31">
        <f t="shared" si="27"/>
        <v>0</v>
      </c>
      <c r="X31">
        <f t="shared" si="27"/>
        <v>0</v>
      </c>
      <c r="Y31">
        <f t="shared" si="27"/>
        <v>0</v>
      </c>
      <c r="Z31">
        <f>COUNTIF(Z4:Z21,"H")</f>
        <v>0</v>
      </c>
      <c r="AA31">
        <f t="shared" si="27"/>
        <v>0</v>
      </c>
      <c r="AB31">
        <f t="shared" si="27"/>
        <v>0</v>
      </c>
      <c r="AC31">
        <f t="shared" si="27"/>
        <v>0</v>
      </c>
      <c r="AD31">
        <f t="shared" si="27"/>
        <v>0</v>
      </c>
      <c r="AE31">
        <f t="shared" si="27"/>
        <v>0</v>
      </c>
      <c r="AF31">
        <f t="shared" si="27"/>
        <v>0</v>
      </c>
      <c r="AG31">
        <f t="shared" si="27"/>
        <v>0</v>
      </c>
    </row>
    <row r="32" spans="1:33" x14ac:dyDescent="0.35">
      <c r="A32" s="128" t="s">
        <v>131</v>
      </c>
      <c r="B32" s="129">
        <f t="shared" ref="B32:H32" si="28">SUM(B24:B31)</f>
        <v>16</v>
      </c>
      <c r="C32" s="129">
        <f t="shared" si="28"/>
        <v>16</v>
      </c>
      <c r="D32" s="129">
        <f t="shared" si="28"/>
        <v>16</v>
      </c>
      <c r="E32" s="129">
        <f t="shared" si="28"/>
        <v>16</v>
      </c>
      <c r="F32" s="129">
        <f t="shared" si="28"/>
        <v>16</v>
      </c>
      <c r="G32" s="129">
        <f t="shared" si="28"/>
        <v>16</v>
      </c>
      <c r="H32" s="129">
        <f t="shared" si="28"/>
        <v>16</v>
      </c>
      <c r="I32" s="129">
        <f t="shared" ref="I32:AG32" si="29">SUM(I24:I31)</f>
        <v>16</v>
      </c>
      <c r="J32" s="129">
        <f t="shared" si="29"/>
        <v>16</v>
      </c>
      <c r="K32" s="129">
        <f t="shared" si="29"/>
        <v>16</v>
      </c>
      <c r="L32" s="129">
        <f t="shared" si="29"/>
        <v>16</v>
      </c>
      <c r="M32" s="129">
        <f t="shared" si="29"/>
        <v>16</v>
      </c>
      <c r="N32" s="129">
        <f t="shared" si="29"/>
        <v>16</v>
      </c>
      <c r="O32" s="129">
        <f t="shared" si="29"/>
        <v>16</v>
      </c>
      <c r="P32" s="129">
        <f t="shared" si="29"/>
        <v>14</v>
      </c>
      <c r="Q32" s="129">
        <f t="shared" si="29"/>
        <v>16</v>
      </c>
      <c r="R32" s="129">
        <f t="shared" si="29"/>
        <v>16</v>
      </c>
      <c r="S32" s="129">
        <f t="shared" si="29"/>
        <v>16</v>
      </c>
      <c r="T32" s="129">
        <f t="shared" si="29"/>
        <v>16</v>
      </c>
      <c r="U32" s="129">
        <f t="shared" si="29"/>
        <v>16</v>
      </c>
      <c r="V32" s="129">
        <f t="shared" si="29"/>
        <v>16</v>
      </c>
      <c r="W32" s="129">
        <f t="shared" si="29"/>
        <v>16</v>
      </c>
      <c r="X32" s="129">
        <f t="shared" si="29"/>
        <v>16</v>
      </c>
      <c r="Y32" s="129">
        <f t="shared" si="29"/>
        <v>16</v>
      </c>
      <c r="Z32" s="129">
        <f t="shared" si="29"/>
        <v>16</v>
      </c>
      <c r="AA32" s="129">
        <f t="shared" si="29"/>
        <v>16</v>
      </c>
      <c r="AB32" s="129">
        <f t="shared" si="29"/>
        <v>16</v>
      </c>
      <c r="AC32" s="129">
        <f t="shared" si="29"/>
        <v>16</v>
      </c>
      <c r="AD32" s="129">
        <f t="shared" si="29"/>
        <v>16</v>
      </c>
      <c r="AE32" s="129">
        <f t="shared" si="29"/>
        <v>16</v>
      </c>
      <c r="AF32" s="129">
        <f t="shared" si="29"/>
        <v>16</v>
      </c>
      <c r="AG32" s="129">
        <f t="shared" si="29"/>
        <v>16</v>
      </c>
    </row>
  </sheetData>
  <mergeCells count="2">
    <mergeCell ref="A10:AG10"/>
    <mergeCell ref="A16:AG16"/>
  </mergeCells>
  <conditionalFormatting sqref="A3:AG3 A4:Y4 AA4:AG4 A5:AG5 A6:C6 F6:Q6 T6:X6 AA6:AG6 A7:D7 F7:K7 M7:AG8 A8:C8 F8:J8 B9:AG9 A9:A10 A11:D11 F11:AG11 A12:K12 M12:AG13 A13:C13 F13:J13 A14:Q14 T14:AG14 A15:AG15 A16 A17:Q17 T17:AG17 A18:J18 M18:AF18 A19:AF19 A20:X20 AA20:AG20 A21:AF21">
    <cfRule type="cellIs" dxfId="822" priority="9" operator="equal">
      <formula>"NST7"</formula>
    </cfRule>
  </conditionalFormatting>
  <conditionalFormatting sqref="A22:XFD1048576 A1:XFD3 A4:Y4 AA4:XFD4 A5:XFD5 A6:C6 F6:Q6 T6:X6 AA6:XFD6 A7:D7 F7:K7 M7:XFD8 A8:C8 F8:J8 B9:AG9 A9:A10 AH9:XFD10 A11:D11 F11:XFD11 A12:K12 M12:XFD13 A13:C13 F13:J13 A14:Q14 T14:XFD14 A15:XFD15 A16 AH16:XFD16 A17:Q17 T17:XFD17 A18:J18 M18:AF18 A19:AF19 A20:X20 AA20:XFD20 A21:AF21 AH21:XFD21">
    <cfRule type="cellIs" dxfId="821" priority="7" operator="equal">
      <formula>"WNST7"</formula>
    </cfRule>
  </conditionalFormatting>
  <conditionalFormatting sqref="B24:AG27">
    <cfRule type="cellIs" dxfId="820" priority="10" operator="lessThan">
      <formula>3</formula>
    </cfRule>
  </conditionalFormatting>
  <conditionalFormatting sqref="D24:E24">
    <cfRule type="cellIs" dxfId="819" priority="5" operator="lessThan">
      <formula>3</formula>
    </cfRule>
  </conditionalFormatting>
  <conditionalFormatting sqref="R24:S24">
    <cfRule type="cellIs" dxfId="818" priority="6" operator="lessThan">
      <formula>3</formula>
    </cfRule>
  </conditionalFormatting>
  <conditionalFormatting sqref="Y24:Z24">
    <cfRule type="cellIs" dxfId="817" priority="4" operator="lessThan">
      <formula>3</formula>
    </cfRule>
  </conditionalFormatting>
  <conditionalFormatting sqref="AF24:AG24">
    <cfRule type="cellIs" dxfId="816" priority="3" operator="lessThan">
      <formula>3</formula>
    </cfRule>
  </conditionalFormatting>
  <conditionalFormatting sqref="AG18:AG19">
    <cfRule type="cellIs" dxfId="815" priority="2" operator="equal">
      <formula>"NST7"</formula>
    </cfRule>
  </conditionalFormatting>
  <conditionalFormatting sqref="AG18:XFD19">
    <cfRule type="cellIs" dxfId="814" priority="1" operator="equal">
      <formula>"WNST7"</formula>
    </cfRule>
  </conditionalFormatting>
  <pageMargins left="0.7" right="0.7" top="0.75" bottom="0.75" header="0.3" footer="0.3"/>
  <pageSetup paperSize="9"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9180-8741-4879-AD31-BE8214B4ACA1}">
  <dimension ref="A1:AG37"/>
  <sheetViews>
    <sheetView zoomScale="60" zoomScaleNormal="60" workbookViewId="0">
      <pane xSplit="1" topLeftCell="B1" activePane="topRight" state="frozen"/>
      <selection pane="topRight" activeCell="Z4" sqref="Z4"/>
    </sheetView>
  </sheetViews>
  <sheetFormatPr defaultRowHeight="14.5" x14ac:dyDescent="0.35"/>
  <cols>
    <col min="1" max="1" width="23.08984375" bestFit="1" customWidth="1"/>
    <col min="2" max="5" width="8.7265625" customWidth="1"/>
    <col min="6" max="7" width="7.08984375" customWidth="1"/>
    <col min="8" max="9" width="6.90625" customWidth="1"/>
    <col min="10" max="14" width="7.453125" customWidth="1"/>
    <col min="15" max="16" width="6.90625" customWidth="1"/>
    <col min="17" max="27" width="8.7265625" customWidth="1"/>
    <col min="32" max="32" width="0" hidden="1" customWidth="1"/>
  </cols>
  <sheetData>
    <row r="1" spans="1:33" x14ac:dyDescent="0.35">
      <c r="A1" s="1"/>
      <c r="B1" s="2" t="str">
        <f t="shared" ref="B1:AF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</row>
    <row r="2" spans="1:33" x14ac:dyDescent="0.35">
      <c r="A2" s="95" t="s">
        <v>0</v>
      </c>
      <c r="B2" s="29">
        <v>45536</v>
      </c>
      <c r="C2" s="29">
        <v>45537</v>
      </c>
      <c r="D2" s="29">
        <v>45538</v>
      </c>
      <c r="E2" s="29">
        <v>45539</v>
      </c>
      <c r="F2" s="29">
        <v>45540</v>
      </c>
      <c r="G2" s="29">
        <v>45541</v>
      </c>
      <c r="H2" s="29">
        <v>45542</v>
      </c>
      <c r="I2" s="29">
        <v>45543</v>
      </c>
      <c r="J2" s="29">
        <v>45544</v>
      </c>
      <c r="K2" s="29">
        <v>45545</v>
      </c>
      <c r="L2" s="29">
        <v>45546</v>
      </c>
      <c r="M2" s="29">
        <v>45547</v>
      </c>
      <c r="N2" s="29">
        <v>45548</v>
      </c>
      <c r="O2" s="29">
        <v>45549</v>
      </c>
      <c r="P2" s="29">
        <v>45550</v>
      </c>
      <c r="Q2" s="29">
        <v>45551</v>
      </c>
      <c r="R2" s="29">
        <v>45552</v>
      </c>
      <c r="S2" s="29">
        <v>45553</v>
      </c>
      <c r="T2" s="29">
        <v>45554</v>
      </c>
      <c r="U2" s="29">
        <v>45555</v>
      </c>
      <c r="V2" s="29">
        <v>45556</v>
      </c>
      <c r="W2" s="29">
        <v>45557</v>
      </c>
      <c r="X2" s="29">
        <v>45558</v>
      </c>
      <c r="Y2" s="29">
        <v>45559</v>
      </c>
      <c r="Z2" s="29">
        <v>45560</v>
      </c>
      <c r="AA2" s="29">
        <v>45561</v>
      </c>
      <c r="AB2" s="29">
        <v>45562</v>
      </c>
      <c r="AC2" s="29">
        <v>45563</v>
      </c>
      <c r="AD2" s="29">
        <v>45564</v>
      </c>
      <c r="AE2" s="29">
        <v>45565</v>
      </c>
      <c r="AF2" s="29">
        <v>45566</v>
      </c>
    </row>
    <row r="3" spans="1:33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3" x14ac:dyDescent="0.35">
      <c r="A4" s="252" t="s">
        <v>9</v>
      </c>
      <c r="B4" s="25" t="s">
        <v>3</v>
      </c>
      <c r="C4" s="116" t="s">
        <v>2</v>
      </c>
      <c r="D4" s="25" t="s">
        <v>310</v>
      </c>
      <c r="E4" s="25" t="s">
        <v>310</v>
      </c>
      <c r="F4" s="111" t="s">
        <v>5</v>
      </c>
      <c r="G4" s="111" t="s">
        <v>5</v>
      </c>
      <c r="H4" s="122" t="s">
        <v>4</v>
      </c>
      <c r="I4" s="122" t="s">
        <v>4</v>
      </c>
      <c r="J4" s="111" t="s">
        <v>5</v>
      </c>
      <c r="K4" s="25" t="s">
        <v>310</v>
      </c>
      <c r="L4" s="25" t="s">
        <v>310</v>
      </c>
      <c r="M4" s="25" t="s">
        <v>310</v>
      </c>
      <c r="N4" s="25" t="s">
        <v>310</v>
      </c>
      <c r="O4" s="25" t="s">
        <v>3</v>
      </c>
      <c r="P4" s="122" t="s">
        <v>4</v>
      </c>
      <c r="Q4" s="251" t="s">
        <v>5</v>
      </c>
      <c r="R4" s="25" t="s">
        <v>310</v>
      </c>
      <c r="S4" s="25" t="s">
        <v>310</v>
      </c>
      <c r="T4" s="25" t="s">
        <v>310</v>
      </c>
      <c r="U4" s="25" t="s">
        <v>310</v>
      </c>
      <c r="V4" s="25" t="s">
        <v>3</v>
      </c>
      <c r="W4" s="25" t="s">
        <v>3</v>
      </c>
      <c r="X4" s="25" t="s">
        <v>310</v>
      </c>
      <c r="Y4" s="251" t="s">
        <v>5</v>
      </c>
      <c r="Z4" s="251" t="s">
        <v>5</v>
      </c>
      <c r="AA4" s="251" t="s">
        <v>5</v>
      </c>
      <c r="AB4" s="25" t="s">
        <v>310</v>
      </c>
      <c r="AC4" s="25" t="s">
        <v>3</v>
      </c>
      <c r="AD4" s="25" t="s">
        <v>3</v>
      </c>
      <c r="AE4" s="25" t="s">
        <v>310</v>
      </c>
    </row>
    <row r="5" spans="1:33" x14ac:dyDescent="0.35">
      <c r="A5" s="165" t="s">
        <v>21</v>
      </c>
      <c r="B5" s="114" t="s">
        <v>4</v>
      </c>
      <c r="C5" s="25" t="s">
        <v>310</v>
      </c>
      <c r="D5" s="25" t="s">
        <v>310</v>
      </c>
      <c r="E5" s="263" t="s">
        <v>34</v>
      </c>
      <c r="F5" s="263" t="s">
        <v>34</v>
      </c>
      <c r="G5" s="25" t="s">
        <v>310</v>
      </c>
      <c r="H5" s="122" t="s">
        <v>4</v>
      </c>
      <c r="I5" s="122" t="s">
        <v>4</v>
      </c>
      <c r="J5" s="122" t="s">
        <v>5</v>
      </c>
      <c r="K5" s="25" t="s">
        <v>310</v>
      </c>
      <c r="L5" s="25" t="s">
        <v>310</v>
      </c>
      <c r="M5" s="122" t="s">
        <v>5</v>
      </c>
      <c r="N5" s="122" t="s">
        <v>5</v>
      </c>
      <c r="O5" s="122" t="s">
        <v>4</v>
      </c>
      <c r="P5" s="25" t="s">
        <v>3</v>
      </c>
      <c r="Q5" s="122" t="s">
        <v>5</v>
      </c>
      <c r="R5" s="251" t="s">
        <v>5</v>
      </c>
      <c r="S5" s="251" t="s">
        <v>5</v>
      </c>
      <c r="T5" s="251" t="s">
        <v>5</v>
      </c>
      <c r="U5" s="251" t="s">
        <v>5</v>
      </c>
      <c r="V5" s="122" t="s">
        <v>4</v>
      </c>
      <c r="W5" s="122" t="s">
        <v>4</v>
      </c>
      <c r="X5" s="251" t="s">
        <v>5</v>
      </c>
      <c r="Y5" s="25" t="s">
        <v>310</v>
      </c>
      <c r="Z5" s="25" t="s">
        <v>310</v>
      </c>
      <c r="AA5" s="25" t="s">
        <v>310</v>
      </c>
      <c r="AB5" s="25" t="s">
        <v>310</v>
      </c>
      <c r="AC5" s="25" t="s">
        <v>3</v>
      </c>
      <c r="AD5" s="114" t="s">
        <v>4</v>
      </c>
      <c r="AE5" s="25" t="s">
        <v>310</v>
      </c>
    </row>
    <row r="6" spans="1:33" x14ac:dyDescent="0.35">
      <c r="A6" s="141" t="s">
        <v>22</v>
      </c>
      <c r="B6" s="122" t="s">
        <v>4</v>
      </c>
      <c r="C6" s="122" t="s">
        <v>5</v>
      </c>
      <c r="D6" s="122" t="s">
        <v>5</v>
      </c>
      <c r="E6" s="122" t="s">
        <v>5</v>
      </c>
      <c r="F6" s="122" t="s">
        <v>5</v>
      </c>
      <c r="G6" s="25" t="s">
        <v>310</v>
      </c>
      <c r="H6" s="25" t="s">
        <v>3</v>
      </c>
      <c r="I6" s="25" t="s">
        <v>3</v>
      </c>
      <c r="J6" s="25" t="s">
        <v>310</v>
      </c>
      <c r="K6" s="116" t="s">
        <v>2</v>
      </c>
      <c r="L6" s="116" t="s">
        <v>2</v>
      </c>
      <c r="M6" s="25" t="s">
        <v>310</v>
      </c>
      <c r="N6" s="25" t="s">
        <v>310</v>
      </c>
      <c r="O6" s="122" t="s">
        <v>4</v>
      </c>
      <c r="P6" s="122" t="s">
        <v>4</v>
      </c>
      <c r="Q6" s="122" t="s">
        <v>5</v>
      </c>
      <c r="R6" s="25" t="s">
        <v>310</v>
      </c>
      <c r="S6" s="25" t="s">
        <v>310</v>
      </c>
      <c r="T6" s="25" t="s">
        <v>310</v>
      </c>
      <c r="U6" s="25" t="s">
        <v>310</v>
      </c>
      <c r="V6" s="25" t="s">
        <v>3</v>
      </c>
      <c r="W6" s="122" t="s">
        <v>4</v>
      </c>
      <c r="X6" s="25" t="s">
        <v>310</v>
      </c>
      <c r="Y6" s="25" t="s">
        <v>310</v>
      </c>
      <c r="Z6" s="25" t="s">
        <v>310</v>
      </c>
      <c r="AA6" s="25" t="s">
        <v>310</v>
      </c>
      <c r="AB6" s="122" t="s">
        <v>5</v>
      </c>
      <c r="AC6" s="122" t="s">
        <v>4</v>
      </c>
      <c r="AD6" s="122" t="s">
        <v>4</v>
      </c>
      <c r="AE6" s="122" t="s">
        <v>5</v>
      </c>
    </row>
    <row r="7" spans="1:33" x14ac:dyDescent="0.35">
      <c r="A7" s="141" t="s">
        <v>70</v>
      </c>
      <c r="B7" s="114" t="s">
        <v>4</v>
      </c>
      <c r="C7" s="25" t="s">
        <v>310</v>
      </c>
      <c r="D7" s="25" t="s">
        <v>310</v>
      </c>
      <c r="E7" s="122" t="s">
        <v>5</v>
      </c>
      <c r="F7" s="19" t="s">
        <v>41</v>
      </c>
      <c r="G7" s="122" t="s">
        <v>5</v>
      </c>
      <c r="H7" s="22" t="s">
        <v>30</v>
      </c>
      <c r="I7" s="114" t="s">
        <v>4</v>
      </c>
      <c r="J7" s="25" t="s">
        <v>310</v>
      </c>
      <c r="K7" s="122" t="s">
        <v>5</v>
      </c>
      <c r="L7" s="122" t="s">
        <v>5</v>
      </c>
      <c r="M7" s="122" t="s">
        <v>5</v>
      </c>
      <c r="N7" s="25" t="s">
        <v>310</v>
      </c>
      <c r="O7" s="25" t="s">
        <v>3</v>
      </c>
      <c r="P7" s="250" t="s">
        <v>4</v>
      </c>
      <c r="Q7" s="25" t="s">
        <v>310</v>
      </c>
      <c r="R7" s="25" t="s">
        <v>310</v>
      </c>
      <c r="S7" s="25" t="s">
        <v>310</v>
      </c>
      <c r="T7" s="25" t="s">
        <v>310</v>
      </c>
      <c r="U7" s="25" t="s">
        <v>310</v>
      </c>
      <c r="V7" s="114" t="s">
        <v>4</v>
      </c>
      <c r="W7" s="25" t="s">
        <v>3</v>
      </c>
      <c r="X7" s="116" t="s">
        <v>2</v>
      </c>
      <c r="Y7" s="25" t="s">
        <v>310</v>
      </c>
      <c r="Z7" s="25" t="s">
        <v>310</v>
      </c>
      <c r="AA7" s="25" t="s">
        <v>310</v>
      </c>
      <c r="AB7" s="266" t="s">
        <v>34</v>
      </c>
      <c r="AC7" s="114" t="s">
        <v>4</v>
      </c>
      <c r="AD7" s="25" t="s">
        <v>3</v>
      </c>
      <c r="AE7" s="25" t="s">
        <v>310</v>
      </c>
    </row>
    <row r="8" spans="1:33" x14ac:dyDescent="0.35">
      <c r="A8" s="249" t="s">
        <v>308</v>
      </c>
      <c r="B8" s="250" t="s">
        <v>4</v>
      </c>
      <c r="C8" s="209" t="s">
        <v>16</v>
      </c>
      <c r="D8" s="209" t="s">
        <v>16</v>
      </c>
      <c r="E8" s="25" t="s">
        <v>310</v>
      </c>
      <c r="F8" s="25" t="s">
        <v>310</v>
      </c>
      <c r="G8" s="25" t="s">
        <v>310</v>
      </c>
      <c r="H8" s="250" t="s">
        <v>4</v>
      </c>
      <c r="I8" s="250" t="s">
        <v>4</v>
      </c>
      <c r="J8" s="209" t="s">
        <v>16</v>
      </c>
      <c r="K8" s="172" t="s">
        <v>34</v>
      </c>
      <c r="L8" s="209" t="s">
        <v>16</v>
      </c>
      <c r="M8" s="25" t="s">
        <v>310</v>
      </c>
      <c r="N8" s="209" t="s">
        <v>16</v>
      </c>
      <c r="O8" s="22" t="s">
        <v>30</v>
      </c>
      <c r="P8" s="250" t="s">
        <v>4</v>
      </c>
      <c r="Q8" s="209" t="s">
        <v>16</v>
      </c>
      <c r="R8" s="116" t="s">
        <v>2</v>
      </c>
      <c r="S8" s="209" t="s">
        <v>16</v>
      </c>
      <c r="T8" s="172" t="s">
        <v>34</v>
      </c>
      <c r="U8" s="209" t="s">
        <v>16</v>
      </c>
      <c r="V8" s="22" t="s">
        <v>30</v>
      </c>
      <c r="W8" s="114" t="s">
        <v>4</v>
      </c>
      <c r="X8" s="251" t="s">
        <v>5</v>
      </c>
      <c r="Y8" s="251" t="s">
        <v>5</v>
      </c>
      <c r="Z8" s="251" t="s">
        <v>5</v>
      </c>
      <c r="AA8" s="251" t="s">
        <v>5</v>
      </c>
      <c r="AB8" s="251" t="s">
        <v>5</v>
      </c>
      <c r="AC8" s="114" t="s">
        <v>4</v>
      </c>
      <c r="AD8" s="114" t="s">
        <v>4</v>
      </c>
      <c r="AE8" s="209" t="s">
        <v>16</v>
      </c>
    </row>
    <row r="9" spans="1:33" x14ac:dyDescent="0.35">
      <c r="A9" s="254" t="s">
        <v>326</v>
      </c>
      <c r="B9" s="250" t="s">
        <v>4</v>
      </c>
      <c r="C9" s="209" t="s">
        <v>16</v>
      </c>
      <c r="D9" s="209" t="s">
        <v>16</v>
      </c>
      <c r="E9" s="209" t="s">
        <v>16</v>
      </c>
      <c r="F9" s="209" t="s">
        <v>16</v>
      </c>
      <c r="G9" s="209" t="s">
        <v>16</v>
      </c>
      <c r="H9" s="250" t="s">
        <v>4</v>
      </c>
      <c r="I9" s="250" t="s">
        <v>4</v>
      </c>
      <c r="J9" s="25" t="s">
        <v>310</v>
      </c>
      <c r="K9" s="209" t="s">
        <v>16</v>
      </c>
      <c r="L9" s="25" t="s">
        <v>310</v>
      </c>
      <c r="M9" s="209" t="s">
        <v>16</v>
      </c>
      <c r="N9" s="25" t="s">
        <v>310</v>
      </c>
      <c r="O9" s="250" t="s">
        <v>4</v>
      </c>
      <c r="P9" s="250" t="s">
        <v>4</v>
      </c>
      <c r="Q9" s="25" t="s">
        <v>310</v>
      </c>
      <c r="R9" s="25" t="s">
        <v>310</v>
      </c>
      <c r="S9" s="25" t="s">
        <v>310</v>
      </c>
      <c r="T9" s="25" t="s">
        <v>310</v>
      </c>
      <c r="U9" s="25" t="s">
        <v>310</v>
      </c>
      <c r="V9" s="114" t="s">
        <v>4</v>
      </c>
      <c r="W9" s="114" t="s">
        <v>4</v>
      </c>
      <c r="X9" s="25" t="s">
        <v>310</v>
      </c>
      <c r="Y9" s="25" t="s">
        <v>310</v>
      </c>
      <c r="Z9" s="209" t="s">
        <v>16</v>
      </c>
      <c r="AA9" s="25" t="s">
        <v>310</v>
      </c>
      <c r="AB9" s="25" t="s">
        <v>310</v>
      </c>
      <c r="AC9" s="22" t="s">
        <v>30</v>
      </c>
      <c r="AD9" s="114" t="s">
        <v>4</v>
      </c>
      <c r="AE9" s="25" t="s">
        <v>310</v>
      </c>
      <c r="AF9" s="209" t="s">
        <v>16</v>
      </c>
      <c r="AG9" s="209" t="s">
        <v>16</v>
      </c>
    </row>
    <row r="10" spans="1:33" x14ac:dyDescent="0.35">
      <c r="A10" s="247"/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3"/>
      <c r="AE10" s="253"/>
      <c r="AF10" s="248"/>
    </row>
    <row r="11" spans="1:33" x14ac:dyDescent="0.35">
      <c r="A11" s="165" t="s">
        <v>1</v>
      </c>
      <c r="B11" s="16" t="s">
        <v>11</v>
      </c>
      <c r="C11" s="16" t="s">
        <v>10</v>
      </c>
      <c r="D11" s="16" t="s">
        <v>10</v>
      </c>
      <c r="E11" s="16" t="s">
        <v>10</v>
      </c>
      <c r="F11" s="16" t="s">
        <v>10</v>
      </c>
      <c r="G11" s="116" t="s">
        <v>2</v>
      </c>
      <c r="H11" s="122" t="s">
        <v>4</v>
      </c>
      <c r="I11" s="16" t="s">
        <v>11</v>
      </c>
      <c r="J11" s="16" t="s">
        <v>10</v>
      </c>
      <c r="K11" s="16" t="s">
        <v>10</v>
      </c>
      <c r="L11" s="116" t="s">
        <v>2</v>
      </c>
      <c r="M11" s="16" t="s">
        <v>10</v>
      </c>
      <c r="N11" s="16" t="s">
        <v>10</v>
      </c>
      <c r="O11" s="16" t="s">
        <v>11</v>
      </c>
      <c r="P11" s="122" t="s">
        <v>4</v>
      </c>
      <c r="Q11" s="16" t="s">
        <v>10</v>
      </c>
      <c r="R11" s="122" t="s">
        <v>5</v>
      </c>
      <c r="S11" s="122" t="s">
        <v>5</v>
      </c>
      <c r="T11" s="122" t="s">
        <v>5</v>
      </c>
      <c r="U11" s="16" t="s">
        <v>10</v>
      </c>
      <c r="V11" s="122" t="s">
        <v>4</v>
      </c>
      <c r="W11" s="16" t="s">
        <v>11</v>
      </c>
      <c r="X11" s="16" t="s">
        <v>10</v>
      </c>
      <c r="Y11" s="16" t="s">
        <v>10</v>
      </c>
      <c r="Z11" s="16" t="s">
        <v>10</v>
      </c>
      <c r="AA11" s="116" t="s">
        <v>2</v>
      </c>
      <c r="AB11" s="16" t="s">
        <v>10</v>
      </c>
      <c r="AC11" s="122" t="s">
        <v>4</v>
      </c>
      <c r="AD11" s="16" t="s">
        <v>11</v>
      </c>
      <c r="AE11" s="16" t="s">
        <v>10</v>
      </c>
      <c r="AF11" s="116" t="s">
        <v>2</v>
      </c>
    </row>
    <row r="12" spans="1:33" x14ac:dyDescent="0.35">
      <c r="A12" s="165" t="s">
        <v>124</v>
      </c>
      <c r="B12" s="16" t="s">
        <v>11</v>
      </c>
      <c r="C12" s="116" t="s">
        <v>2</v>
      </c>
      <c r="D12" s="16" t="s">
        <v>10</v>
      </c>
      <c r="E12" s="116" t="s">
        <v>2</v>
      </c>
      <c r="F12" s="209" t="s">
        <v>16</v>
      </c>
      <c r="G12" s="16" t="s">
        <v>10</v>
      </c>
      <c r="H12" s="16" t="s">
        <v>11</v>
      </c>
      <c r="I12" s="114" t="s">
        <v>4</v>
      </c>
      <c r="J12" s="16" t="s">
        <v>10</v>
      </c>
      <c r="K12" s="16" t="s">
        <v>10</v>
      </c>
      <c r="L12" s="16" t="s">
        <v>10</v>
      </c>
      <c r="M12" s="116" t="s">
        <v>2</v>
      </c>
      <c r="N12" s="16" t="s">
        <v>10</v>
      </c>
      <c r="O12" s="114" t="s">
        <v>4</v>
      </c>
      <c r="P12" s="16" t="s">
        <v>11</v>
      </c>
      <c r="Q12" s="16" t="s">
        <v>10</v>
      </c>
      <c r="R12" s="16" t="s">
        <v>10</v>
      </c>
      <c r="S12" s="16" t="s">
        <v>10</v>
      </c>
      <c r="T12" s="116" t="s">
        <v>2</v>
      </c>
      <c r="U12" s="16" t="s">
        <v>10</v>
      </c>
      <c r="V12" s="16" t="s">
        <v>11</v>
      </c>
      <c r="W12" s="114" t="s">
        <v>4</v>
      </c>
      <c r="X12" s="16" t="s">
        <v>10</v>
      </c>
      <c r="Y12" s="16" t="s">
        <v>10</v>
      </c>
      <c r="Z12" s="116" t="s">
        <v>2</v>
      </c>
      <c r="AA12" s="16" t="s">
        <v>10</v>
      </c>
      <c r="AB12" s="16" t="s">
        <v>10</v>
      </c>
      <c r="AC12" s="16" t="s">
        <v>11</v>
      </c>
      <c r="AD12" s="114" t="s">
        <v>4</v>
      </c>
      <c r="AE12" s="116" t="s">
        <v>2</v>
      </c>
    </row>
    <row r="13" spans="1:33" x14ac:dyDescent="0.35">
      <c r="A13" s="141" t="s">
        <v>71</v>
      </c>
      <c r="B13" s="114" t="s">
        <v>4</v>
      </c>
      <c r="C13" s="16" t="s">
        <v>10</v>
      </c>
      <c r="D13" s="16" t="s">
        <v>10</v>
      </c>
      <c r="E13" s="16" t="s">
        <v>10</v>
      </c>
      <c r="F13" s="116" t="s">
        <v>2</v>
      </c>
      <c r="G13" s="16" t="s">
        <v>10</v>
      </c>
      <c r="H13" s="16" t="s">
        <v>11</v>
      </c>
      <c r="I13" s="114" t="s">
        <v>4</v>
      </c>
      <c r="J13" s="16" t="s">
        <v>10</v>
      </c>
      <c r="K13" s="16" t="s">
        <v>10</v>
      </c>
      <c r="L13" s="116" t="s">
        <v>2</v>
      </c>
      <c r="M13" s="116" t="s">
        <v>2</v>
      </c>
      <c r="N13" s="16" t="s">
        <v>10</v>
      </c>
      <c r="O13" s="16" t="s">
        <v>11</v>
      </c>
      <c r="P13" s="114" t="s">
        <v>4</v>
      </c>
      <c r="Q13" s="16" t="s">
        <v>10</v>
      </c>
      <c r="R13" s="16" t="s">
        <v>10</v>
      </c>
      <c r="S13" s="116" t="s">
        <v>2</v>
      </c>
      <c r="T13" s="16" t="s">
        <v>10</v>
      </c>
      <c r="U13" s="16" t="s">
        <v>10</v>
      </c>
      <c r="V13" s="16" t="s">
        <v>11</v>
      </c>
      <c r="W13" s="114" t="s">
        <v>4</v>
      </c>
      <c r="X13" s="16" t="s">
        <v>10</v>
      </c>
      <c r="Y13" s="16" t="s">
        <v>10</v>
      </c>
      <c r="Z13" s="116" t="s">
        <v>2</v>
      </c>
      <c r="AA13" s="16" t="s">
        <v>10</v>
      </c>
      <c r="AB13" s="16" t="s">
        <v>10</v>
      </c>
      <c r="AC13" s="16" t="s">
        <v>11</v>
      </c>
      <c r="AD13" s="114" t="s">
        <v>4</v>
      </c>
      <c r="AE13" s="116" t="s">
        <v>2</v>
      </c>
    </row>
    <row r="14" spans="1:33" x14ac:dyDescent="0.35">
      <c r="A14" s="141" t="s">
        <v>69</v>
      </c>
      <c r="B14" s="25" t="s">
        <v>3</v>
      </c>
      <c r="C14" s="122" t="s">
        <v>5</v>
      </c>
      <c r="D14" s="122" t="s">
        <v>5</v>
      </c>
      <c r="E14" s="16" t="s">
        <v>10</v>
      </c>
      <c r="F14" s="16" t="s">
        <v>10</v>
      </c>
      <c r="G14" s="16" t="s">
        <v>10</v>
      </c>
      <c r="H14" s="114" t="s">
        <v>4</v>
      </c>
      <c r="I14" s="16" t="s">
        <v>11</v>
      </c>
      <c r="J14" s="122" t="s">
        <v>5</v>
      </c>
      <c r="K14" s="122" t="s">
        <v>5</v>
      </c>
      <c r="L14" s="16" t="s">
        <v>10</v>
      </c>
      <c r="M14" s="16" t="s">
        <v>10</v>
      </c>
      <c r="N14" s="116" t="s">
        <v>2</v>
      </c>
      <c r="O14" s="114" t="s">
        <v>4</v>
      </c>
      <c r="P14" s="16" t="s">
        <v>11</v>
      </c>
      <c r="Q14" s="122" t="s">
        <v>5</v>
      </c>
      <c r="R14" s="116" t="s">
        <v>2</v>
      </c>
      <c r="S14" s="16" t="s">
        <v>10</v>
      </c>
      <c r="T14" s="16" t="s">
        <v>10</v>
      </c>
      <c r="U14" s="116" t="s">
        <v>2</v>
      </c>
      <c r="V14" s="114" t="s">
        <v>4</v>
      </c>
      <c r="W14" s="16" t="s">
        <v>11</v>
      </c>
      <c r="X14" s="116" t="s">
        <v>2</v>
      </c>
      <c r="Y14" s="16" t="s">
        <v>10</v>
      </c>
      <c r="Z14" s="16" t="s">
        <v>10</v>
      </c>
      <c r="AA14" s="16" t="s">
        <v>10</v>
      </c>
      <c r="AB14" s="116" t="s">
        <v>2</v>
      </c>
      <c r="AC14" s="114" t="s">
        <v>4</v>
      </c>
      <c r="AD14" s="16" t="s">
        <v>11</v>
      </c>
      <c r="AE14" s="16" t="s">
        <v>10</v>
      </c>
    </row>
    <row r="15" spans="1:33" x14ac:dyDescent="0.35">
      <c r="A15" s="141" t="s">
        <v>152</v>
      </c>
      <c r="B15" s="114" t="s">
        <v>4</v>
      </c>
      <c r="C15" s="16" t="s">
        <v>10</v>
      </c>
      <c r="D15" s="16" t="s">
        <v>10</v>
      </c>
      <c r="E15" s="16" t="s">
        <v>10</v>
      </c>
      <c r="F15" s="16" t="s">
        <v>10</v>
      </c>
      <c r="G15" s="16" t="s">
        <v>10</v>
      </c>
      <c r="H15" s="122" t="s">
        <v>4</v>
      </c>
      <c r="I15" s="122" t="s">
        <v>4</v>
      </c>
      <c r="J15" s="16" t="s">
        <v>10</v>
      </c>
      <c r="K15" s="16" t="s">
        <v>10</v>
      </c>
      <c r="L15" s="16" t="s">
        <v>10</v>
      </c>
      <c r="M15" s="16" t="s">
        <v>10</v>
      </c>
      <c r="N15" s="16" t="s">
        <v>10</v>
      </c>
      <c r="O15" s="122" t="s">
        <v>4</v>
      </c>
      <c r="P15" s="122" t="s">
        <v>4</v>
      </c>
      <c r="Q15" s="16" t="s">
        <v>10</v>
      </c>
      <c r="R15" s="16" t="s">
        <v>10</v>
      </c>
      <c r="S15" s="16" t="s">
        <v>10</v>
      </c>
      <c r="T15" s="16" t="s">
        <v>10</v>
      </c>
      <c r="U15" s="16" t="s">
        <v>10</v>
      </c>
      <c r="V15" s="16" t="s">
        <v>11</v>
      </c>
      <c r="W15" s="114" t="s">
        <v>4</v>
      </c>
      <c r="X15" s="16" t="s">
        <v>10</v>
      </c>
      <c r="Y15" s="116" t="s">
        <v>2</v>
      </c>
      <c r="Z15" s="16" t="s">
        <v>10</v>
      </c>
      <c r="AA15" s="16" t="s">
        <v>10</v>
      </c>
      <c r="AB15" s="16" t="s">
        <v>10</v>
      </c>
      <c r="AC15" s="16" t="s">
        <v>11</v>
      </c>
      <c r="AD15" s="114" t="s">
        <v>4</v>
      </c>
      <c r="AE15" s="16" t="s">
        <v>10</v>
      </c>
    </row>
    <row r="16" spans="1:33" x14ac:dyDescent="0.35">
      <c r="A16" s="247"/>
      <c r="B16" s="253"/>
      <c r="C16" s="253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48"/>
    </row>
    <row r="17" spans="1:33" x14ac:dyDescent="0.35">
      <c r="A17" s="165" t="s">
        <v>57</v>
      </c>
      <c r="B17" s="114" t="s">
        <v>4</v>
      </c>
      <c r="C17" s="116" t="s">
        <v>2</v>
      </c>
      <c r="D17" s="19" t="s">
        <v>41</v>
      </c>
      <c r="E17" s="116" t="s">
        <v>2</v>
      </c>
      <c r="F17" s="19" t="s">
        <v>41</v>
      </c>
      <c r="G17" s="19" t="s">
        <v>41</v>
      </c>
      <c r="H17" s="25" t="s">
        <v>3</v>
      </c>
      <c r="I17" s="25" t="s">
        <v>3</v>
      </c>
      <c r="J17" s="19" t="s">
        <v>41</v>
      </c>
      <c r="K17" s="19" t="s">
        <v>41</v>
      </c>
      <c r="L17" s="19" t="s">
        <v>41</v>
      </c>
      <c r="M17" s="116" t="s">
        <v>2</v>
      </c>
      <c r="N17" s="116" t="s">
        <v>2</v>
      </c>
      <c r="O17" s="114" t="s">
        <v>4</v>
      </c>
      <c r="P17" s="19" t="s">
        <v>42</v>
      </c>
      <c r="Q17" s="25" t="s">
        <v>310</v>
      </c>
      <c r="R17" s="19" t="s">
        <v>41</v>
      </c>
      <c r="S17" s="116" t="s">
        <v>2</v>
      </c>
      <c r="T17" s="19" t="s">
        <v>41</v>
      </c>
      <c r="U17" s="19" t="s">
        <v>41</v>
      </c>
      <c r="V17" s="114" t="s">
        <v>4</v>
      </c>
      <c r="W17" s="19" t="s">
        <v>42</v>
      </c>
      <c r="X17" s="116" t="s">
        <v>2</v>
      </c>
      <c r="Y17" s="19" t="s">
        <v>41</v>
      </c>
      <c r="Z17" s="19" t="s">
        <v>41</v>
      </c>
      <c r="AA17" s="19" t="s">
        <v>41</v>
      </c>
      <c r="AB17" s="122" t="s">
        <v>5</v>
      </c>
      <c r="AC17" s="19" t="s">
        <v>42</v>
      </c>
      <c r="AD17" s="114" t="s">
        <v>4</v>
      </c>
      <c r="AE17" s="116" t="s">
        <v>2</v>
      </c>
    </row>
    <row r="18" spans="1:33" x14ac:dyDescent="0.35">
      <c r="A18" s="165" t="s">
        <v>43</v>
      </c>
      <c r="B18" s="19" t="s">
        <v>42</v>
      </c>
      <c r="C18" s="19" t="s">
        <v>41</v>
      </c>
      <c r="D18" s="19" t="s">
        <v>41</v>
      </c>
      <c r="E18" s="19" t="s">
        <v>41</v>
      </c>
      <c r="F18" s="25" t="s">
        <v>310</v>
      </c>
      <c r="G18" s="116" t="s">
        <v>2</v>
      </c>
      <c r="H18" s="19" t="s">
        <v>42</v>
      </c>
      <c r="I18" s="19" t="s">
        <v>42</v>
      </c>
      <c r="J18" s="25" t="s">
        <v>310</v>
      </c>
      <c r="K18" s="116" t="s">
        <v>2</v>
      </c>
      <c r="L18" s="116" t="s">
        <v>2</v>
      </c>
      <c r="M18" s="19" t="s">
        <v>41</v>
      </c>
      <c r="N18" s="19" t="s">
        <v>41</v>
      </c>
      <c r="O18" s="19" t="s">
        <v>42</v>
      </c>
      <c r="P18" s="114" t="s">
        <v>4</v>
      </c>
      <c r="Q18" s="19" t="s">
        <v>41</v>
      </c>
      <c r="R18" s="19" t="s">
        <v>41</v>
      </c>
      <c r="S18" s="19" t="s">
        <v>41</v>
      </c>
      <c r="T18" s="19" t="s">
        <v>41</v>
      </c>
      <c r="U18" s="19" t="s">
        <v>41</v>
      </c>
      <c r="V18" s="19" t="s">
        <v>42</v>
      </c>
      <c r="W18" s="114" t="s">
        <v>4</v>
      </c>
      <c r="X18" s="19" t="s">
        <v>41</v>
      </c>
      <c r="Y18" s="19" t="s">
        <v>41</v>
      </c>
      <c r="Z18" s="116" t="s">
        <v>2</v>
      </c>
      <c r="AA18" s="19" t="s">
        <v>41</v>
      </c>
      <c r="AB18" s="19" t="s">
        <v>41</v>
      </c>
      <c r="AC18" s="114" t="s">
        <v>4</v>
      </c>
      <c r="AD18" s="19" t="s">
        <v>42</v>
      </c>
      <c r="AE18" s="19" t="s">
        <v>41</v>
      </c>
    </row>
    <row r="19" spans="1:33" x14ac:dyDescent="0.35">
      <c r="A19" s="141" t="s">
        <v>68</v>
      </c>
      <c r="B19" s="19" t="s">
        <v>42</v>
      </c>
      <c r="C19" s="19" t="s">
        <v>41</v>
      </c>
      <c r="D19" s="116" t="s">
        <v>2</v>
      </c>
      <c r="E19" s="19" t="s">
        <v>41</v>
      </c>
      <c r="F19" s="19" t="s">
        <v>41</v>
      </c>
      <c r="G19" s="19" t="s">
        <v>41</v>
      </c>
      <c r="H19" s="19" t="s">
        <v>42</v>
      </c>
      <c r="I19" s="114" t="s">
        <v>4</v>
      </c>
      <c r="J19" s="19" t="s">
        <v>41</v>
      </c>
      <c r="K19" s="19" t="s">
        <v>41</v>
      </c>
      <c r="L19" s="19" t="s">
        <v>41</v>
      </c>
      <c r="M19" s="19" t="s">
        <v>41</v>
      </c>
      <c r="N19" s="19" t="s">
        <v>41</v>
      </c>
      <c r="O19" s="19" t="s">
        <v>42</v>
      </c>
      <c r="P19" s="114" t="s">
        <v>4</v>
      </c>
      <c r="Q19" s="122" t="s">
        <v>5</v>
      </c>
      <c r="R19" s="122" t="s">
        <v>5</v>
      </c>
      <c r="S19" s="122" t="s">
        <v>5</v>
      </c>
      <c r="T19" s="122" t="s">
        <v>5</v>
      </c>
      <c r="U19" s="122" t="s">
        <v>5</v>
      </c>
      <c r="V19" s="122" t="s">
        <v>4</v>
      </c>
      <c r="W19" s="122" t="s">
        <v>4</v>
      </c>
      <c r="X19" s="122" t="s">
        <v>5</v>
      </c>
      <c r="Y19" s="122" t="s">
        <v>5</v>
      </c>
      <c r="Z19" s="122" t="s">
        <v>5</v>
      </c>
      <c r="AA19" s="19" t="s">
        <v>41</v>
      </c>
      <c r="AB19" s="19" t="s">
        <v>41</v>
      </c>
      <c r="AC19" s="19" t="s">
        <v>42</v>
      </c>
      <c r="AD19" s="114" t="s">
        <v>4</v>
      </c>
      <c r="AE19" s="19" t="s">
        <v>41</v>
      </c>
    </row>
    <row r="20" spans="1:33" x14ac:dyDescent="0.35">
      <c r="A20" s="141" t="s">
        <v>60</v>
      </c>
      <c r="B20" s="114" t="s">
        <v>4</v>
      </c>
      <c r="C20" s="25" t="s">
        <v>310</v>
      </c>
      <c r="D20" s="25" t="s">
        <v>310</v>
      </c>
      <c r="E20" s="25" t="s">
        <v>310</v>
      </c>
      <c r="F20" s="25" t="s">
        <v>310</v>
      </c>
      <c r="G20" s="122" t="s">
        <v>5</v>
      </c>
      <c r="H20" s="122" t="s">
        <v>4</v>
      </c>
      <c r="I20" s="122" t="s">
        <v>4</v>
      </c>
      <c r="J20" s="122" t="s">
        <v>5</v>
      </c>
      <c r="K20" s="122" t="s">
        <v>5</v>
      </c>
      <c r="L20" s="122" t="s">
        <v>5</v>
      </c>
      <c r="M20" s="122" t="s">
        <v>5</v>
      </c>
      <c r="N20" s="122" t="s">
        <v>5</v>
      </c>
      <c r="O20" s="122" t="s">
        <v>4</v>
      </c>
      <c r="P20" s="25" t="s">
        <v>3</v>
      </c>
      <c r="Q20" s="19" t="s">
        <v>41</v>
      </c>
      <c r="R20" s="116" t="s">
        <v>2</v>
      </c>
      <c r="S20" s="19" t="s">
        <v>41</v>
      </c>
      <c r="T20" s="19" t="s">
        <v>41</v>
      </c>
      <c r="U20" s="19" t="s">
        <v>41</v>
      </c>
      <c r="V20" s="19" t="s">
        <v>42</v>
      </c>
      <c r="W20" s="114" t="s">
        <v>4</v>
      </c>
      <c r="X20" s="19" t="s">
        <v>41</v>
      </c>
      <c r="Y20" s="19" t="s">
        <v>41</v>
      </c>
      <c r="Z20" s="19" t="s">
        <v>41</v>
      </c>
      <c r="AA20" s="116" t="s">
        <v>2</v>
      </c>
      <c r="AB20" s="19" t="s">
        <v>41</v>
      </c>
      <c r="AC20" s="122" t="s">
        <v>4</v>
      </c>
      <c r="AD20" s="19" t="s">
        <v>42</v>
      </c>
      <c r="AE20" s="19" t="s">
        <v>41</v>
      </c>
    </row>
    <row r="21" spans="1:33" x14ac:dyDescent="0.35">
      <c r="A21" s="141" t="s">
        <v>149</v>
      </c>
      <c r="B21" s="114" t="s">
        <v>4</v>
      </c>
      <c r="C21" s="19" t="s">
        <v>41</v>
      </c>
      <c r="D21" s="19" t="s">
        <v>41</v>
      </c>
      <c r="E21" s="19" t="s">
        <v>41</v>
      </c>
      <c r="F21" s="19" t="s">
        <v>41</v>
      </c>
      <c r="G21" s="19" t="s">
        <v>41</v>
      </c>
      <c r="H21" s="114" t="s">
        <v>4</v>
      </c>
      <c r="I21" s="19" t="s">
        <v>42</v>
      </c>
      <c r="J21" s="19" t="s">
        <v>41</v>
      </c>
      <c r="K21" s="19" t="s">
        <v>41</v>
      </c>
      <c r="L21" s="19" t="s">
        <v>41</v>
      </c>
      <c r="M21" s="19" t="s">
        <v>41</v>
      </c>
      <c r="N21" s="19" t="s">
        <v>41</v>
      </c>
      <c r="O21" s="114" t="s">
        <v>4</v>
      </c>
      <c r="P21" s="19" t="s">
        <v>42</v>
      </c>
      <c r="Q21" s="19" t="s">
        <v>41</v>
      </c>
      <c r="R21" s="19" t="s">
        <v>41</v>
      </c>
      <c r="S21" s="19" t="s">
        <v>41</v>
      </c>
      <c r="T21" s="116" t="s">
        <v>2</v>
      </c>
      <c r="U21" s="116" t="s">
        <v>2</v>
      </c>
      <c r="V21" s="114" t="s">
        <v>4</v>
      </c>
      <c r="W21" s="19" t="s">
        <v>42</v>
      </c>
      <c r="X21" s="19" t="s">
        <v>41</v>
      </c>
      <c r="Y21" s="19" t="s">
        <v>41</v>
      </c>
      <c r="Z21" s="19" t="s">
        <v>41</v>
      </c>
      <c r="AA21" s="19" t="s">
        <v>41</v>
      </c>
      <c r="AB21" s="116" t="s">
        <v>2</v>
      </c>
      <c r="AC21" s="114" t="s">
        <v>4</v>
      </c>
      <c r="AD21" s="114" t="s">
        <v>4</v>
      </c>
      <c r="AE21" s="19" t="s">
        <v>41</v>
      </c>
    </row>
    <row r="22" spans="1:33" x14ac:dyDescent="0.35">
      <c r="A22" s="247"/>
      <c r="B22" s="247"/>
      <c r="C22" s="247"/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7"/>
      <c r="W22" s="247"/>
      <c r="X22" s="247"/>
      <c r="Y22" s="247"/>
      <c r="Z22" s="247"/>
      <c r="AA22" s="247"/>
      <c r="AB22" s="253"/>
      <c r="AC22" s="253"/>
      <c r="AD22" s="253"/>
      <c r="AE22" s="253"/>
      <c r="AF22" s="253"/>
      <c r="AG22" s="253"/>
    </row>
    <row r="23" spans="1:33" x14ac:dyDescent="0.35">
      <c r="A23" s="264" t="s">
        <v>350</v>
      </c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265"/>
      <c r="AE23" s="265"/>
      <c r="AF23" s="265"/>
    </row>
    <row r="24" spans="1:33" x14ac:dyDescent="0.35">
      <c r="A24" s="141" t="s">
        <v>347</v>
      </c>
      <c r="C24" s="265"/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114" t="s">
        <v>4</v>
      </c>
      <c r="X24" s="209" t="s">
        <v>16</v>
      </c>
      <c r="Y24" s="209" t="s">
        <v>16</v>
      </c>
      <c r="Z24" s="172" t="s">
        <v>34</v>
      </c>
      <c r="AA24" s="172" t="s">
        <v>34</v>
      </c>
      <c r="AB24" s="16" t="s">
        <v>10</v>
      </c>
      <c r="AC24" s="114" t="s">
        <v>4</v>
      </c>
      <c r="AD24" s="19" t="s">
        <v>42</v>
      </c>
      <c r="AE24" s="19" t="s">
        <v>41</v>
      </c>
      <c r="AF24" s="265"/>
    </row>
    <row r="25" spans="1:33" x14ac:dyDescent="0.35">
      <c r="A25" s="141" t="s">
        <v>348</v>
      </c>
      <c r="C25" s="265"/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114" t="s">
        <v>4</v>
      </c>
      <c r="X25" s="209" t="s">
        <v>16</v>
      </c>
      <c r="Y25" s="209" t="s">
        <v>16</v>
      </c>
      <c r="Z25" s="19" t="s">
        <v>41</v>
      </c>
      <c r="AA25" s="19" t="s">
        <v>41</v>
      </c>
      <c r="AB25" s="19" t="s">
        <v>41</v>
      </c>
      <c r="AC25" s="19" t="s">
        <v>42</v>
      </c>
      <c r="AD25" s="114" t="s">
        <v>4</v>
      </c>
      <c r="AE25" s="16" t="s">
        <v>10</v>
      </c>
      <c r="AF25" s="265"/>
    </row>
    <row r="26" spans="1:33" x14ac:dyDescent="0.35">
      <c r="A26" s="141" t="s">
        <v>351</v>
      </c>
      <c r="C26" s="265"/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114" t="s">
        <v>4</v>
      </c>
      <c r="X26" s="209" t="s">
        <v>16</v>
      </c>
      <c r="Y26" s="209" t="s">
        <v>16</v>
      </c>
      <c r="Z26" s="25" t="s">
        <v>310</v>
      </c>
      <c r="AA26" s="25" t="s">
        <v>310</v>
      </c>
      <c r="AB26" s="25" t="s">
        <v>310</v>
      </c>
      <c r="AC26" s="25" t="s">
        <v>3</v>
      </c>
      <c r="AD26" s="114" t="s">
        <v>4</v>
      </c>
      <c r="AE26" s="209" t="s">
        <v>16</v>
      </c>
      <c r="AF26" s="265"/>
    </row>
    <row r="27" spans="1:33" x14ac:dyDescent="0.35">
      <c r="A27" s="141" t="s">
        <v>349</v>
      </c>
      <c r="W27" s="114" t="s">
        <v>4</v>
      </c>
      <c r="X27" s="209" t="s">
        <v>16</v>
      </c>
      <c r="Y27" s="209" t="s">
        <v>16</v>
      </c>
      <c r="Z27" s="209" t="s">
        <v>16</v>
      </c>
      <c r="AA27" s="209" t="s">
        <v>16</v>
      </c>
      <c r="AB27" s="209" t="s">
        <v>16</v>
      </c>
      <c r="AC27" s="251" t="s">
        <v>5</v>
      </c>
      <c r="AD27" s="25" t="s">
        <v>3</v>
      </c>
      <c r="AE27" s="25" t="s">
        <v>310</v>
      </c>
    </row>
    <row r="28" spans="1:33" x14ac:dyDescent="0.35">
      <c r="A28" s="273"/>
      <c r="B28" s="272"/>
      <c r="C28" s="272"/>
      <c r="D28" s="272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  <c r="AA28" s="272"/>
      <c r="AB28" s="272"/>
      <c r="AC28" s="272"/>
      <c r="AD28" s="272"/>
      <c r="AE28" s="272"/>
      <c r="AF28" s="274"/>
    </row>
    <row r="29" spans="1:33" x14ac:dyDescent="0.35">
      <c r="A29" s="128" t="s">
        <v>125</v>
      </c>
      <c r="B29">
        <f t="shared" ref="B29" si="1">COUNTIF(B4:B21,"*MS*")</f>
        <v>2</v>
      </c>
      <c r="C29">
        <f t="shared" ref="C29:G29" si="2">COUNTIF(C4:C21,"*MSF3")</f>
        <v>3</v>
      </c>
      <c r="D29">
        <f t="shared" si="2"/>
        <v>4</v>
      </c>
      <c r="E29">
        <f t="shared" si="2"/>
        <v>3</v>
      </c>
      <c r="F29">
        <f t="shared" si="2"/>
        <v>3</v>
      </c>
      <c r="G29">
        <f t="shared" si="2"/>
        <v>3</v>
      </c>
      <c r="H29">
        <f t="shared" ref="H29:I29" si="3">COUNTIF(H4:H21,"*MS*")</f>
        <v>2</v>
      </c>
      <c r="I29">
        <f t="shared" si="3"/>
        <v>2</v>
      </c>
      <c r="J29">
        <f t="shared" ref="J29:N29" si="4">COUNTIF(J4:J21,"*MSF3")</f>
        <v>4</v>
      </c>
      <c r="K29">
        <f t="shared" si="4"/>
        <v>2</v>
      </c>
      <c r="L29">
        <f t="shared" si="4"/>
        <v>3</v>
      </c>
      <c r="M29">
        <f t="shared" si="4"/>
        <v>3</v>
      </c>
      <c r="N29">
        <f t="shared" si="4"/>
        <v>4</v>
      </c>
      <c r="O29">
        <f t="shared" ref="O29" si="5">COUNTIF(O4:O21,"*MS*")</f>
        <v>2</v>
      </c>
      <c r="P29">
        <f t="shared" ref="P29" si="6">COUNTIF(P4:P21,"*MS*")</f>
        <v>2</v>
      </c>
      <c r="Q29">
        <f t="shared" ref="Q29:U29" si="7">COUNTIF(Q4:Q21,"*MSF3")</f>
        <v>3</v>
      </c>
      <c r="R29">
        <f t="shared" si="7"/>
        <v>4</v>
      </c>
      <c r="S29">
        <f t="shared" si="7"/>
        <v>4</v>
      </c>
      <c r="T29">
        <f t="shared" si="7"/>
        <v>4</v>
      </c>
      <c r="U29">
        <f t="shared" si="7"/>
        <v>4</v>
      </c>
      <c r="V29">
        <f t="shared" ref="V29" si="8">COUNTIF(V4:V21,"*MS*")</f>
        <v>2</v>
      </c>
      <c r="W29">
        <f>COUNTIF(W4:W21,"*MS*")</f>
        <v>2</v>
      </c>
      <c r="X29">
        <f t="shared" ref="X29:AB29" si="9">COUNTIF(X4:X21,"*MSF3")</f>
        <v>3</v>
      </c>
      <c r="Y29">
        <f t="shared" si="9"/>
        <v>4</v>
      </c>
      <c r="Z29">
        <f t="shared" si="9"/>
        <v>3</v>
      </c>
      <c r="AA29">
        <f t="shared" si="9"/>
        <v>4</v>
      </c>
      <c r="AB29">
        <f t="shared" si="9"/>
        <v>3</v>
      </c>
      <c r="AC29">
        <f t="shared" ref="AC29" si="10">COUNTIF(AC4:AC21,"*MS*")</f>
        <v>2</v>
      </c>
      <c r="AD29">
        <f t="shared" ref="AD29" si="11">COUNTIF(AD4:AD21,"*MS*")</f>
        <v>2</v>
      </c>
      <c r="AE29">
        <f t="shared" ref="AE29:AF29" si="12">COUNTIF(AE4:AE21,"*MSF3")</f>
        <v>4</v>
      </c>
      <c r="AF29">
        <f t="shared" si="12"/>
        <v>0</v>
      </c>
    </row>
    <row r="30" spans="1:33" x14ac:dyDescent="0.35">
      <c r="A30" s="128" t="s">
        <v>126</v>
      </c>
      <c r="B30">
        <f t="shared" ref="B30:G30" si="13">COUNTIF(B4:B21,"*ASS1")</f>
        <v>2</v>
      </c>
      <c r="C30">
        <f t="shared" si="13"/>
        <v>3</v>
      </c>
      <c r="D30">
        <f t="shared" si="13"/>
        <v>3</v>
      </c>
      <c r="E30">
        <f t="shared" si="13"/>
        <v>3</v>
      </c>
      <c r="F30">
        <f t="shared" si="13"/>
        <v>4</v>
      </c>
      <c r="G30">
        <f t="shared" si="13"/>
        <v>3</v>
      </c>
      <c r="H30">
        <f t="shared" ref="H30:N30" si="14">COUNTIF(H4:H21,"*ASS1")</f>
        <v>2</v>
      </c>
      <c r="I30">
        <f t="shared" si="14"/>
        <v>2</v>
      </c>
      <c r="J30">
        <f t="shared" si="14"/>
        <v>3</v>
      </c>
      <c r="K30">
        <f t="shared" si="14"/>
        <v>3</v>
      </c>
      <c r="L30">
        <f t="shared" si="14"/>
        <v>3</v>
      </c>
      <c r="M30">
        <f t="shared" si="14"/>
        <v>3</v>
      </c>
      <c r="N30">
        <f t="shared" si="14"/>
        <v>3</v>
      </c>
      <c r="O30">
        <f t="shared" ref="O30:AC30" si="15">COUNTIF(O4:O21,"*ASS1")</f>
        <v>2</v>
      </c>
      <c r="P30">
        <f t="shared" ref="P30" si="16">COUNTIF(P4:P21,"*ASS1")</f>
        <v>2</v>
      </c>
      <c r="Q30">
        <f t="shared" si="15"/>
        <v>3</v>
      </c>
      <c r="R30">
        <f t="shared" si="15"/>
        <v>3</v>
      </c>
      <c r="S30">
        <f t="shared" si="15"/>
        <v>3</v>
      </c>
      <c r="T30">
        <f t="shared" si="15"/>
        <v>3</v>
      </c>
      <c r="U30">
        <f t="shared" si="15"/>
        <v>3</v>
      </c>
      <c r="V30">
        <f t="shared" si="15"/>
        <v>2</v>
      </c>
      <c r="W30">
        <f>COUNTIF(W4:W21,"*ASS1")</f>
        <v>2</v>
      </c>
      <c r="X30">
        <f t="shared" si="15"/>
        <v>3</v>
      </c>
      <c r="Y30">
        <f t="shared" si="15"/>
        <v>4</v>
      </c>
      <c r="Z30">
        <f t="shared" si="15"/>
        <v>3</v>
      </c>
      <c r="AA30">
        <f t="shared" si="15"/>
        <v>4</v>
      </c>
      <c r="AB30">
        <f t="shared" si="15"/>
        <v>3</v>
      </c>
      <c r="AC30">
        <f t="shared" si="15"/>
        <v>2</v>
      </c>
      <c r="AD30">
        <f t="shared" ref="AD30" si="17">COUNTIF(AD4:AD21,"*ASS1")</f>
        <v>2</v>
      </c>
      <c r="AE30">
        <f t="shared" ref="AE30:AF30" si="18">COUNTIF(AE4:AE21,"*ASS1")</f>
        <v>4</v>
      </c>
      <c r="AF30">
        <f t="shared" si="18"/>
        <v>0</v>
      </c>
    </row>
    <row r="31" spans="1:33" x14ac:dyDescent="0.35">
      <c r="A31" s="128" t="s">
        <v>127</v>
      </c>
      <c r="B31">
        <f t="shared" ref="B31:G31" si="19">COUNTIF(B4:B21,"*NST7")</f>
        <v>2</v>
      </c>
      <c r="C31">
        <f t="shared" si="19"/>
        <v>3</v>
      </c>
      <c r="D31">
        <f t="shared" si="19"/>
        <v>4</v>
      </c>
      <c r="E31">
        <f t="shared" si="19"/>
        <v>4</v>
      </c>
      <c r="F31">
        <f t="shared" si="19"/>
        <v>3</v>
      </c>
      <c r="G31">
        <f t="shared" si="19"/>
        <v>4</v>
      </c>
      <c r="H31">
        <f t="shared" ref="H31:N31" si="20">COUNTIF(H4:H21,"*NST7")</f>
        <v>2</v>
      </c>
      <c r="I31">
        <f t="shared" si="20"/>
        <v>2</v>
      </c>
      <c r="J31">
        <f t="shared" si="20"/>
        <v>4</v>
      </c>
      <c r="K31">
        <f t="shared" si="20"/>
        <v>4</v>
      </c>
      <c r="L31">
        <f t="shared" si="20"/>
        <v>3</v>
      </c>
      <c r="M31">
        <f t="shared" si="20"/>
        <v>3</v>
      </c>
      <c r="N31">
        <f t="shared" si="20"/>
        <v>4</v>
      </c>
      <c r="O31">
        <f t="shared" ref="O31:AC31" si="21">COUNTIF(O4:O21,"*NST7")</f>
        <v>2</v>
      </c>
      <c r="P31">
        <f t="shared" ref="P31" si="22">COUNTIF(P4:P21,"*NST7")</f>
        <v>2</v>
      </c>
      <c r="Q31">
        <f>COUNTIF(Q4:Q21,"*NST7")</f>
        <v>4</v>
      </c>
      <c r="R31">
        <f t="shared" si="21"/>
        <v>3</v>
      </c>
      <c r="S31">
        <f t="shared" si="21"/>
        <v>3</v>
      </c>
      <c r="T31">
        <f t="shared" si="21"/>
        <v>3</v>
      </c>
      <c r="U31">
        <f t="shared" si="21"/>
        <v>4</v>
      </c>
      <c r="V31">
        <f t="shared" si="21"/>
        <v>3</v>
      </c>
      <c r="W31">
        <f>COUNTIF(W4:W21,"*NST7")</f>
        <v>2</v>
      </c>
      <c r="X31">
        <f t="shared" si="21"/>
        <v>4</v>
      </c>
      <c r="Y31">
        <f t="shared" si="21"/>
        <v>4</v>
      </c>
      <c r="Z31">
        <f t="shared" si="21"/>
        <v>3</v>
      </c>
      <c r="AA31">
        <f t="shared" si="21"/>
        <v>4</v>
      </c>
      <c r="AB31">
        <f t="shared" si="21"/>
        <v>4</v>
      </c>
      <c r="AC31">
        <f t="shared" si="21"/>
        <v>3</v>
      </c>
      <c r="AD31">
        <f t="shared" ref="AD31" si="23">COUNTIF(AD4:AD21,"*NST7")</f>
        <v>2</v>
      </c>
      <c r="AE31">
        <f t="shared" ref="AE31:AF31" si="24">COUNTIF(AE4:AE21,"*NST7")</f>
        <v>3</v>
      </c>
      <c r="AF31">
        <f t="shared" si="24"/>
        <v>0</v>
      </c>
    </row>
    <row r="32" spans="1:33" x14ac:dyDescent="0.35">
      <c r="A32" s="128" t="s">
        <v>128</v>
      </c>
      <c r="B32">
        <f t="shared" ref="B32:G32" si="25">COUNTIF(B4:B21,"*GS")</f>
        <v>0</v>
      </c>
      <c r="C32">
        <f t="shared" si="25"/>
        <v>2</v>
      </c>
      <c r="D32">
        <f t="shared" si="25"/>
        <v>2</v>
      </c>
      <c r="E32">
        <f t="shared" si="25"/>
        <v>1</v>
      </c>
      <c r="F32">
        <f t="shared" si="25"/>
        <v>2</v>
      </c>
      <c r="G32">
        <f t="shared" si="25"/>
        <v>1</v>
      </c>
      <c r="H32">
        <f t="shared" ref="H32:N32" si="26">COUNTIF(H4:H21,"*GS")</f>
        <v>1</v>
      </c>
      <c r="I32">
        <f t="shared" si="26"/>
        <v>0</v>
      </c>
      <c r="J32">
        <f t="shared" si="26"/>
        <v>1</v>
      </c>
      <c r="K32">
        <f t="shared" si="26"/>
        <v>1</v>
      </c>
      <c r="L32">
        <f t="shared" si="26"/>
        <v>1</v>
      </c>
      <c r="M32">
        <f t="shared" si="26"/>
        <v>1</v>
      </c>
      <c r="N32">
        <f t="shared" si="26"/>
        <v>1</v>
      </c>
      <c r="O32">
        <f t="shared" ref="O32:AC32" si="27">COUNTIF(O4:O21,"*GS")</f>
        <v>1</v>
      </c>
      <c r="P32">
        <f t="shared" ref="P32" si="28">COUNTIF(P4:P21,"*GS")</f>
        <v>0</v>
      </c>
      <c r="Q32">
        <f t="shared" si="27"/>
        <v>1</v>
      </c>
      <c r="R32">
        <f t="shared" si="27"/>
        <v>0</v>
      </c>
      <c r="S32">
        <f t="shared" si="27"/>
        <v>1</v>
      </c>
      <c r="T32">
        <f t="shared" si="27"/>
        <v>0</v>
      </c>
      <c r="U32">
        <f t="shared" si="27"/>
        <v>1</v>
      </c>
      <c r="V32">
        <f t="shared" si="27"/>
        <v>1</v>
      </c>
      <c r="W32">
        <f>COUNTIF(W4:W21,"*GS")</f>
        <v>0</v>
      </c>
      <c r="X32">
        <f t="shared" si="27"/>
        <v>0</v>
      </c>
      <c r="Y32">
        <f t="shared" si="27"/>
        <v>0</v>
      </c>
      <c r="Z32">
        <f t="shared" si="27"/>
        <v>1</v>
      </c>
      <c r="AA32">
        <f t="shared" si="27"/>
        <v>0</v>
      </c>
      <c r="AB32">
        <f t="shared" si="27"/>
        <v>0</v>
      </c>
      <c r="AC32">
        <f t="shared" si="27"/>
        <v>1</v>
      </c>
      <c r="AD32">
        <f t="shared" ref="AD32" si="29">COUNTIF(AD4:AD21,"*GS")</f>
        <v>0</v>
      </c>
      <c r="AE32">
        <f t="shared" ref="AE32:AF32" si="30">COUNTIF(AE4:AE21,"*GS")</f>
        <v>1</v>
      </c>
      <c r="AF32">
        <f t="shared" si="30"/>
        <v>1</v>
      </c>
    </row>
    <row r="33" spans="1:32" x14ac:dyDescent="0.35">
      <c r="A33" s="128" t="s">
        <v>129</v>
      </c>
      <c r="B33">
        <f t="shared" ref="B33" si="31">COUNTIF(B4:B21,"WO")</f>
        <v>10</v>
      </c>
      <c r="C33">
        <f t="shared" ref="C33:G33" si="32">COUNTIF(C4:C21,"C")</f>
        <v>3</v>
      </c>
      <c r="D33">
        <f t="shared" si="32"/>
        <v>1</v>
      </c>
      <c r="E33">
        <f t="shared" si="32"/>
        <v>2</v>
      </c>
      <c r="F33">
        <f t="shared" si="32"/>
        <v>1</v>
      </c>
      <c r="G33">
        <f t="shared" si="32"/>
        <v>2</v>
      </c>
      <c r="H33">
        <f t="shared" ref="H33:I33" si="33">COUNTIF(H4:H21,"WO")</f>
        <v>9</v>
      </c>
      <c r="I33">
        <f t="shared" si="33"/>
        <v>10</v>
      </c>
      <c r="J33">
        <f t="shared" ref="J33:N33" si="34">COUNTIF(J4:J21,"C")</f>
        <v>0</v>
      </c>
      <c r="K33">
        <f t="shared" si="34"/>
        <v>2</v>
      </c>
      <c r="L33">
        <f t="shared" si="34"/>
        <v>4</v>
      </c>
      <c r="M33">
        <f t="shared" si="34"/>
        <v>3</v>
      </c>
      <c r="N33">
        <f t="shared" si="34"/>
        <v>2</v>
      </c>
      <c r="O33">
        <f t="shared" ref="O33" si="35">COUNTIF(O4:O21,"WO")</f>
        <v>9</v>
      </c>
      <c r="P33">
        <f t="shared" ref="P33" si="36">COUNTIF(P4:P21,"WO")</f>
        <v>10</v>
      </c>
      <c r="Q33">
        <f t="shared" ref="Q33:U33" si="37">COUNTIF(Q4:Q21,"C")</f>
        <v>0</v>
      </c>
      <c r="R33">
        <f t="shared" si="37"/>
        <v>3</v>
      </c>
      <c r="S33">
        <f t="shared" si="37"/>
        <v>2</v>
      </c>
      <c r="T33">
        <f t="shared" si="37"/>
        <v>2</v>
      </c>
      <c r="U33">
        <f t="shared" si="37"/>
        <v>2</v>
      </c>
      <c r="V33">
        <f t="shared" ref="V33" si="38">COUNTIF(V4:V21,"WO")</f>
        <v>8</v>
      </c>
      <c r="W33">
        <f>COUNTIF(W4:W21,"WO")</f>
        <v>10</v>
      </c>
      <c r="X33">
        <f t="shared" ref="X33:AB33" si="39">COUNTIF(X4:X21,"C")</f>
        <v>3</v>
      </c>
      <c r="Y33">
        <f t="shared" si="39"/>
        <v>1</v>
      </c>
      <c r="Z33">
        <f t="shared" si="39"/>
        <v>3</v>
      </c>
      <c r="AA33">
        <f t="shared" si="39"/>
        <v>2</v>
      </c>
      <c r="AB33">
        <f t="shared" si="39"/>
        <v>2</v>
      </c>
      <c r="AC33">
        <f t="shared" ref="AC33" si="40">COUNTIF(AC4:AC21,"WO")</f>
        <v>8</v>
      </c>
      <c r="AD33">
        <f t="shared" ref="AD33" si="41">COUNTIF(AD4:AD21,"WO")</f>
        <v>10</v>
      </c>
      <c r="AE33">
        <f t="shared" ref="AE33:AF33" si="42">COUNTIF(AE4:AE21,"C")</f>
        <v>3</v>
      </c>
      <c r="AF33">
        <f t="shared" si="42"/>
        <v>1</v>
      </c>
    </row>
    <row r="34" spans="1:32" x14ac:dyDescent="0.35">
      <c r="A34" s="128" t="s">
        <v>130</v>
      </c>
      <c r="B34">
        <f t="shared" ref="B34:G34" si="43">COUNTIF(B4:B21,"PL")</f>
        <v>0</v>
      </c>
      <c r="C34">
        <f t="shared" si="43"/>
        <v>2</v>
      </c>
      <c r="D34">
        <f t="shared" si="43"/>
        <v>2</v>
      </c>
      <c r="E34">
        <f t="shared" si="43"/>
        <v>2</v>
      </c>
      <c r="F34">
        <f t="shared" si="43"/>
        <v>2</v>
      </c>
      <c r="G34">
        <f t="shared" si="43"/>
        <v>3</v>
      </c>
      <c r="H34">
        <f t="shared" ref="H34:N34" si="44">COUNTIF(H4:H21,"PL")</f>
        <v>0</v>
      </c>
      <c r="I34">
        <f t="shared" si="44"/>
        <v>0</v>
      </c>
      <c r="J34">
        <f t="shared" si="44"/>
        <v>4</v>
      </c>
      <c r="K34">
        <f t="shared" si="44"/>
        <v>3</v>
      </c>
      <c r="L34">
        <f t="shared" si="44"/>
        <v>2</v>
      </c>
      <c r="M34">
        <f t="shared" si="44"/>
        <v>3</v>
      </c>
      <c r="N34">
        <f t="shared" si="44"/>
        <v>2</v>
      </c>
      <c r="O34">
        <f t="shared" ref="O34:AC34" si="45">COUNTIF(O4:O21,"PL")</f>
        <v>0</v>
      </c>
      <c r="P34">
        <f t="shared" ref="P34" si="46">COUNTIF(P4:P21,"PL")</f>
        <v>0</v>
      </c>
      <c r="Q34">
        <f t="shared" si="45"/>
        <v>5</v>
      </c>
      <c r="R34">
        <f t="shared" si="45"/>
        <v>3</v>
      </c>
      <c r="S34">
        <f t="shared" si="45"/>
        <v>3</v>
      </c>
      <c r="T34">
        <f t="shared" si="45"/>
        <v>3</v>
      </c>
      <c r="U34">
        <f t="shared" si="45"/>
        <v>2</v>
      </c>
      <c r="V34">
        <f t="shared" si="45"/>
        <v>0</v>
      </c>
      <c r="W34">
        <f>COUNTIF(W4:W21,"PL")</f>
        <v>0</v>
      </c>
      <c r="X34">
        <f t="shared" si="45"/>
        <v>3</v>
      </c>
      <c r="Y34">
        <f t="shared" si="45"/>
        <v>3</v>
      </c>
      <c r="Z34">
        <f t="shared" si="45"/>
        <v>3</v>
      </c>
      <c r="AA34">
        <f t="shared" si="45"/>
        <v>2</v>
      </c>
      <c r="AB34">
        <f t="shared" si="45"/>
        <v>3</v>
      </c>
      <c r="AC34">
        <f t="shared" si="45"/>
        <v>0</v>
      </c>
      <c r="AD34">
        <f t="shared" ref="AD34" si="47">COUNTIF(AD4:AD21,"PL")</f>
        <v>0</v>
      </c>
      <c r="AE34">
        <f t="shared" ref="AE34:AF34" si="48">COUNTIF(AE4:AE21,"PL")</f>
        <v>1</v>
      </c>
      <c r="AF34">
        <f t="shared" si="48"/>
        <v>0</v>
      </c>
    </row>
    <row r="35" spans="1:32" x14ac:dyDescent="0.35">
      <c r="A35" s="128" t="s">
        <v>33</v>
      </c>
      <c r="B35">
        <f t="shared" ref="B35:G35" si="49">COUNTIF(B4:B21,"UPL")</f>
        <v>0</v>
      </c>
      <c r="C35">
        <f t="shared" si="49"/>
        <v>0</v>
      </c>
      <c r="D35">
        <f t="shared" si="49"/>
        <v>0</v>
      </c>
      <c r="E35">
        <f t="shared" si="49"/>
        <v>1</v>
      </c>
      <c r="F35">
        <f t="shared" si="49"/>
        <v>1</v>
      </c>
      <c r="G35">
        <f t="shared" si="49"/>
        <v>0</v>
      </c>
      <c r="H35">
        <f t="shared" ref="H35:N35" si="50">COUNTIF(H4:H21,"UPL")</f>
        <v>0</v>
      </c>
      <c r="I35">
        <f t="shared" si="50"/>
        <v>0</v>
      </c>
      <c r="J35">
        <f t="shared" si="50"/>
        <v>0</v>
      </c>
      <c r="K35">
        <f t="shared" si="50"/>
        <v>1</v>
      </c>
      <c r="L35">
        <f t="shared" si="50"/>
        <v>0</v>
      </c>
      <c r="M35">
        <f t="shared" si="50"/>
        <v>0</v>
      </c>
      <c r="N35">
        <f t="shared" si="50"/>
        <v>0</v>
      </c>
      <c r="O35">
        <f t="shared" ref="O35:AC35" si="51">COUNTIF(O4:O21,"UPL")</f>
        <v>0</v>
      </c>
      <c r="P35">
        <f t="shared" ref="P35" si="52">COUNTIF(P4:P21,"UPL")</f>
        <v>0</v>
      </c>
      <c r="Q35">
        <f t="shared" si="51"/>
        <v>0</v>
      </c>
      <c r="R35">
        <f t="shared" si="51"/>
        <v>0</v>
      </c>
      <c r="S35">
        <f t="shared" si="51"/>
        <v>0</v>
      </c>
      <c r="T35">
        <f t="shared" si="51"/>
        <v>1</v>
      </c>
      <c r="U35">
        <f t="shared" si="51"/>
        <v>0</v>
      </c>
      <c r="V35">
        <f t="shared" si="51"/>
        <v>0</v>
      </c>
      <c r="W35">
        <f>COUNTIF(W4:W21,"UPL")</f>
        <v>0</v>
      </c>
      <c r="X35">
        <f t="shared" si="51"/>
        <v>0</v>
      </c>
      <c r="Y35">
        <f t="shared" si="51"/>
        <v>0</v>
      </c>
      <c r="Z35">
        <f t="shared" si="51"/>
        <v>0</v>
      </c>
      <c r="AA35">
        <f t="shared" si="51"/>
        <v>0</v>
      </c>
      <c r="AB35">
        <f t="shared" si="51"/>
        <v>1</v>
      </c>
      <c r="AC35">
        <f t="shared" si="51"/>
        <v>0</v>
      </c>
      <c r="AD35">
        <f t="shared" ref="AD35" si="53">COUNTIF(AD4:AD21,"UPL")</f>
        <v>0</v>
      </c>
      <c r="AE35">
        <f t="shared" ref="AE35:AF35" si="54">COUNTIF(AE4:AE21,"UPL")</f>
        <v>0</v>
      </c>
      <c r="AF35">
        <f t="shared" si="54"/>
        <v>0</v>
      </c>
    </row>
    <row r="36" spans="1:32" x14ac:dyDescent="0.35">
      <c r="A36" s="128" t="s">
        <v>141</v>
      </c>
      <c r="B36">
        <f t="shared" ref="B36:G36" si="55">COUNTIF(B4:B21,"H")</f>
        <v>0</v>
      </c>
      <c r="C36">
        <f t="shared" si="55"/>
        <v>0</v>
      </c>
      <c r="D36">
        <f t="shared" si="55"/>
        <v>0</v>
      </c>
      <c r="E36">
        <f t="shared" si="55"/>
        <v>0</v>
      </c>
      <c r="F36">
        <f t="shared" si="55"/>
        <v>0</v>
      </c>
      <c r="G36">
        <f t="shared" si="55"/>
        <v>0</v>
      </c>
      <c r="H36">
        <f t="shared" ref="H36:N36" si="56">COUNTIF(H4:H21,"H")</f>
        <v>0</v>
      </c>
      <c r="I36">
        <f t="shared" si="56"/>
        <v>0</v>
      </c>
      <c r="J36">
        <f t="shared" si="56"/>
        <v>0</v>
      </c>
      <c r="K36">
        <f t="shared" si="56"/>
        <v>0</v>
      </c>
      <c r="L36">
        <f t="shared" si="56"/>
        <v>0</v>
      </c>
      <c r="M36">
        <f t="shared" si="56"/>
        <v>0</v>
      </c>
      <c r="N36">
        <f t="shared" si="56"/>
        <v>0</v>
      </c>
      <c r="O36">
        <f t="shared" ref="O36:AC36" si="57">COUNTIF(O4:O21,"H")</f>
        <v>0</v>
      </c>
      <c r="P36">
        <f t="shared" ref="P36" si="58">COUNTIF(P4:P21,"H")</f>
        <v>0</v>
      </c>
      <c r="Q36">
        <f t="shared" si="57"/>
        <v>0</v>
      </c>
      <c r="R36">
        <f t="shared" si="57"/>
        <v>0</v>
      </c>
      <c r="S36">
        <f t="shared" si="57"/>
        <v>0</v>
      </c>
      <c r="T36">
        <f t="shared" si="57"/>
        <v>0</v>
      </c>
      <c r="U36">
        <f t="shared" si="57"/>
        <v>0</v>
      </c>
      <c r="V36">
        <f t="shared" si="57"/>
        <v>0</v>
      </c>
      <c r="W36">
        <f>COUNTIF(W4:W21,"H")</f>
        <v>0</v>
      </c>
      <c r="X36">
        <f t="shared" si="57"/>
        <v>0</v>
      </c>
      <c r="Y36">
        <f t="shared" si="57"/>
        <v>0</v>
      </c>
      <c r="Z36">
        <f t="shared" si="57"/>
        <v>0</v>
      </c>
      <c r="AA36">
        <f t="shared" si="57"/>
        <v>0</v>
      </c>
      <c r="AB36">
        <f t="shared" si="57"/>
        <v>0</v>
      </c>
      <c r="AC36">
        <f t="shared" si="57"/>
        <v>0</v>
      </c>
      <c r="AD36">
        <f t="shared" ref="AD36" si="59">COUNTIF(AD4:AD21,"H")</f>
        <v>0</v>
      </c>
      <c r="AE36">
        <f t="shared" ref="AE36:AF36" si="60">COUNTIF(AE4:AE21,"H")</f>
        <v>0</v>
      </c>
      <c r="AF36">
        <f t="shared" si="60"/>
        <v>0</v>
      </c>
    </row>
    <row r="37" spans="1:32" x14ac:dyDescent="0.35">
      <c r="A37" s="128" t="s">
        <v>131</v>
      </c>
      <c r="B37" s="129">
        <f t="shared" ref="B37" si="61">SUM(B29:B36)</f>
        <v>16</v>
      </c>
      <c r="C37" s="129">
        <f t="shared" ref="C37:I37" si="62">SUM(C29:C36)</f>
        <v>16</v>
      </c>
      <c r="D37" s="129">
        <f t="shared" si="62"/>
        <v>16</v>
      </c>
      <c r="E37" s="129">
        <f t="shared" si="62"/>
        <v>16</v>
      </c>
      <c r="F37" s="129">
        <f t="shared" si="62"/>
        <v>16</v>
      </c>
      <c r="G37" s="129">
        <f t="shared" si="62"/>
        <v>16</v>
      </c>
      <c r="H37" s="129">
        <f t="shared" si="62"/>
        <v>16</v>
      </c>
      <c r="I37" s="129">
        <f t="shared" si="62"/>
        <v>16</v>
      </c>
      <c r="J37" s="129">
        <f t="shared" ref="J37:AF37" si="63">SUM(J29:J36)</f>
        <v>16</v>
      </c>
      <c r="K37" s="129">
        <f t="shared" si="63"/>
        <v>16</v>
      </c>
      <c r="L37" s="129">
        <f t="shared" si="63"/>
        <v>16</v>
      </c>
      <c r="M37" s="129">
        <f t="shared" si="63"/>
        <v>16</v>
      </c>
      <c r="N37" s="129">
        <f t="shared" si="63"/>
        <v>16</v>
      </c>
      <c r="O37" s="129">
        <f t="shared" si="63"/>
        <v>16</v>
      </c>
      <c r="P37" s="129">
        <f t="shared" ref="P37" si="64">SUM(P29:P36)</f>
        <v>16</v>
      </c>
      <c r="Q37" s="129">
        <f t="shared" si="63"/>
        <v>16</v>
      </c>
      <c r="R37" s="129">
        <f t="shared" si="63"/>
        <v>16</v>
      </c>
      <c r="S37" s="129">
        <f t="shared" si="63"/>
        <v>16</v>
      </c>
      <c r="T37" s="129">
        <f t="shared" si="63"/>
        <v>16</v>
      </c>
      <c r="U37" s="129">
        <f t="shared" si="63"/>
        <v>16</v>
      </c>
      <c r="V37" s="129">
        <f t="shared" si="63"/>
        <v>16</v>
      </c>
      <c r="W37" s="129">
        <f t="shared" si="63"/>
        <v>16</v>
      </c>
      <c r="X37" s="129">
        <f t="shared" si="63"/>
        <v>16</v>
      </c>
      <c r="Y37" s="129">
        <f t="shared" si="63"/>
        <v>16</v>
      </c>
      <c r="Z37" s="129">
        <f t="shared" si="63"/>
        <v>16</v>
      </c>
      <c r="AA37" s="129">
        <f t="shared" si="63"/>
        <v>16</v>
      </c>
      <c r="AB37" s="129">
        <f t="shared" si="63"/>
        <v>16</v>
      </c>
      <c r="AC37" s="129">
        <f t="shared" si="63"/>
        <v>16</v>
      </c>
      <c r="AD37" s="129">
        <f t="shared" ref="AD37" si="65">SUM(AD29:AD36)</f>
        <v>16</v>
      </c>
      <c r="AE37" s="129">
        <f t="shared" si="63"/>
        <v>16</v>
      </c>
      <c r="AF37" s="129">
        <f t="shared" si="63"/>
        <v>2</v>
      </c>
    </row>
  </sheetData>
  <mergeCells count="1">
    <mergeCell ref="A28:AF28"/>
  </mergeCells>
  <conditionalFormatting sqref="A9 AF9:AG9">
    <cfRule type="cellIs" dxfId="813" priority="464" operator="equal">
      <formula>"NST7"</formula>
    </cfRule>
  </conditionalFormatting>
  <conditionalFormatting sqref="A9 AF9:XFD9">
    <cfRule type="cellIs" dxfId="812" priority="463" operator="equal">
      <formula>"WNST7"</formula>
    </cfRule>
  </conditionalFormatting>
  <conditionalFormatting sqref="A23 AB24 X24:Y26 X27:AB27">
    <cfRule type="cellIs" dxfId="811" priority="39" operator="equal">
      <formula>"WNST7"</formula>
    </cfRule>
    <cfRule type="cellIs" dxfId="810" priority="40" operator="equal">
      <formula>"NST7"</formula>
    </cfRule>
  </conditionalFormatting>
  <conditionalFormatting sqref="B11:B12">
    <cfRule type="cellIs" dxfId="809" priority="346" operator="equal">
      <formula>"NST7"</formula>
    </cfRule>
    <cfRule type="cellIs" dxfId="808" priority="345" operator="equal">
      <formula>"WNST7"</formula>
    </cfRule>
  </conditionalFormatting>
  <conditionalFormatting sqref="B14">
    <cfRule type="cellIs" dxfId="807" priority="351" operator="equal">
      <formula>"WNST7"</formula>
    </cfRule>
    <cfRule type="cellIs" dxfId="806" priority="352" operator="equal">
      <formula>"NST7"</formula>
    </cfRule>
  </conditionalFormatting>
  <conditionalFormatting sqref="B18:B19">
    <cfRule type="cellIs" dxfId="805" priority="333" operator="equal">
      <formula>"WNST7"</formula>
    </cfRule>
    <cfRule type="cellIs" dxfId="804" priority="334" operator="equal">
      <formula>"NST7"</formula>
    </cfRule>
  </conditionalFormatting>
  <conditionalFormatting sqref="B4:E4 O11 P12 O13">
    <cfRule type="cellIs" dxfId="803" priority="94" operator="equal">
      <formula>"NST7"</formula>
    </cfRule>
    <cfRule type="cellIs" dxfId="802" priority="93" operator="equal">
      <formula>"WNST7"</formula>
    </cfRule>
  </conditionalFormatting>
  <conditionalFormatting sqref="B29:AF32">
    <cfRule type="cellIs" dxfId="801" priority="438" operator="lessThan">
      <formula>3</formula>
    </cfRule>
  </conditionalFormatting>
  <conditionalFormatting sqref="B29:AF37">
    <cfRule type="cellIs" dxfId="800" priority="407" operator="equal">
      <formula>"WNST7"</formula>
    </cfRule>
  </conditionalFormatting>
  <conditionalFormatting sqref="C17">
    <cfRule type="cellIs" dxfId="799" priority="196" operator="equal">
      <formula>"NST7"</formula>
    </cfRule>
    <cfRule type="cellIs" dxfId="798" priority="195" operator="equal">
      <formula>"WNST7"</formula>
    </cfRule>
  </conditionalFormatting>
  <conditionalFormatting sqref="C5:D5">
    <cfRule type="cellIs" dxfId="797" priority="393" operator="equal">
      <formula>"WNST7"</formula>
    </cfRule>
    <cfRule type="cellIs" dxfId="796" priority="394" operator="equal">
      <formula>"NST7"</formula>
    </cfRule>
  </conditionalFormatting>
  <conditionalFormatting sqref="C7:D7">
    <cfRule type="cellIs" dxfId="795" priority="397" operator="equal">
      <formula>"WNST7"</formula>
    </cfRule>
    <cfRule type="cellIs" dxfId="794" priority="398" operator="equal">
      <formula>"NST7"</formula>
    </cfRule>
  </conditionalFormatting>
  <conditionalFormatting sqref="C20:F20">
    <cfRule type="cellIs" dxfId="793" priority="75" operator="equal">
      <formula>"WNST7"</formula>
    </cfRule>
    <cfRule type="cellIs" dxfId="792" priority="76" operator="equal">
      <formula>"NST7"</formula>
    </cfRule>
  </conditionalFormatting>
  <conditionalFormatting sqref="C8:G9">
    <cfRule type="cellIs" dxfId="791" priority="87" operator="equal">
      <formula>"WNST7"</formula>
    </cfRule>
    <cfRule type="cellIs" dxfId="790" priority="88" operator="equal">
      <formula>"NST7"</formula>
    </cfRule>
  </conditionalFormatting>
  <conditionalFormatting sqref="C11:G13">
    <cfRule type="cellIs" dxfId="789" priority="73" operator="equal">
      <formula>"WNST7"</formula>
    </cfRule>
    <cfRule type="cellIs" dxfId="788" priority="74" operator="equal">
      <formula>"NST7"</formula>
    </cfRule>
  </conditionalFormatting>
  <conditionalFormatting sqref="C15:G15">
    <cfRule type="cellIs" dxfId="787" priority="290" operator="equal">
      <formula>"NST7"</formula>
    </cfRule>
    <cfRule type="cellIs" dxfId="786" priority="289" operator="equal">
      <formula>"WNST7"</formula>
    </cfRule>
  </conditionalFormatting>
  <conditionalFormatting sqref="D19">
    <cfRule type="cellIs" dxfId="785" priority="77" operator="equal">
      <formula>"WNST7"</formula>
    </cfRule>
    <cfRule type="cellIs" dxfId="784" priority="78" operator="equal">
      <formula>"NST7"</formula>
    </cfRule>
  </conditionalFormatting>
  <conditionalFormatting sqref="E17">
    <cfRule type="cellIs" dxfId="783" priority="69" operator="equal">
      <formula>"WNST7"</formula>
    </cfRule>
    <cfRule type="cellIs" dxfId="782" priority="70" operator="equal">
      <formula>"NST7"</formula>
    </cfRule>
  </conditionalFormatting>
  <conditionalFormatting sqref="E14:G14">
    <cfRule type="cellIs" dxfId="781" priority="292" operator="equal">
      <formula>"NST7"</formula>
    </cfRule>
    <cfRule type="cellIs" dxfId="780" priority="291" operator="equal">
      <formula>"WNST7"</formula>
    </cfRule>
  </conditionalFormatting>
  <conditionalFormatting sqref="F18:G18">
    <cfRule type="cellIs" dxfId="779" priority="72" operator="equal">
      <formula>"NST7"</formula>
    </cfRule>
    <cfRule type="cellIs" dxfId="778" priority="71" operator="equal">
      <formula>"WNST7"</formula>
    </cfRule>
  </conditionalFormatting>
  <conditionalFormatting sqref="G5:G6">
    <cfRule type="cellIs" dxfId="777" priority="392" operator="equal">
      <formula>"NST7"</formula>
    </cfRule>
    <cfRule type="cellIs" dxfId="776" priority="391" operator="equal">
      <formula>"WNST7"</formula>
    </cfRule>
  </conditionalFormatting>
  <conditionalFormatting sqref="G17:J17">
    <cfRule type="cellIs" dxfId="775" priority="188" operator="equal">
      <formula>"NST7"</formula>
    </cfRule>
    <cfRule type="cellIs" dxfId="774" priority="187" operator="equal">
      <formula>"WNST7"</formula>
    </cfRule>
  </conditionalFormatting>
  <conditionalFormatting sqref="H7">
    <cfRule type="cellIs" dxfId="773" priority="159" operator="equal">
      <formula>"WNST7"</formula>
    </cfRule>
    <cfRule type="cellIs" dxfId="772" priority="160" operator="equal">
      <formula>"NST7"</formula>
    </cfRule>
  </conditionalFormatting>
  <conditionalFormatting sqref="H12:H13">
    <cfRule type="cellIs" dxfId="771" priority="259" operator="equal">
      <formula>"WNST7"</formula>
    </cfRule>
    <cfRule type="cellIs" dxfId="770" priority="260" operator="equal">
      <formula>"NST7"</formula>
    </cfRule>
  </conditionalFormatting>
  <conditionalFormatting sqref="H6:I6">
    <cfRule type="cellIs" dxfId="769" priority="406" operator="equal">
      <formula>"NST7"</formula>
    </cfRule>
    <cfRule type="cellIs" dxfId="768" priority="405" operator="equal">
      <formula>"WNST7"</formula>
    </cfRule>
  </conditionalFormatting>
  <conditionalFormatting sqref="I14">
    <cfRule type="cellIs" dxfId="767" priority="257" operator="equal">
      <formula>"WNST7"</formula>
    </cfRule>
    <cfRule type="cellIs" dxfId="766" priority="258" operator="equal">
      <formula>"NST7"</formula>
    </cfRule>
  </conditionalFormatting>
  <conditionalFormatting sqref="I11:K11">
    <cfRule type="cellIs" dxfId="765" priority="326" operator="equal">
      <formula>"NST7"</formula>
    </cfRule>
    <cfRule type="cellIs" dxfId="764" priority="325" operator="equal">
      <formula>"WNST7"</formula>
    </cfRule>
  </conditionalFormatting>
  <conditionalFormatting sqref="J6:J9 N6:N9">
    <cfRule type="cellIs" dxfId="763" priority="123" operator="equal">
      <formula>"WNST7"</formula>
    </cfRule>
    <cfRule type="cellIs" dxfId="762" priority="124" operator="equal">
      <formula>"NST7"</formula>
    </cfRule>
  </conditionalFormatting>
  <conditionalFormatting sqref="J12:K13">
    <cfRule type="cellIs" dxfId="761" priority="210" operator="equal">
      <formula>"NST7"</formula>
    </cfRule>
    <cfRule type="cellIs" dxfId="760" priority="209" operator="equal">
      <formula>"WNST7"</formula>
    </cfRule>
  </conditionalFormatting>
  <conditionalFormatting sqref="J18:K18">
    <cfRule type="cellIs" dxfId="759" priority="68" operator="equal">
      <formula>"NST7"</formula>
    </cfRule>
    <cfRule type="cellIs" dxfId="758" priority="67" operator="equal">
      <formula>"WNST7"</formula>
    </cfRule>
  </conditionalFormatting>
  <conditionalFormatting sqref="J15:N15">
    <cfRule type="cellIs" dxfId="757" priority="281" operator="equal">
      <formula>"WNST7"</formula>
    </cfRule>
    <cfRule type="cellIs" dxfId="756" priority="282" operator="equal">
      <formula>"NST7"</formula>
    </cfRule>
  </conditionalFormatting>
  <conditionalFormatting sqref="K5:L6">
    <cfRule type="cellIs" dxfId="755" priority="302" operator="equal">
      <formula>"NST7"</formula>
    </cfRule>
    <cfRule type="cellIs" dxfId="754" priority="301" operator="equal">
      <formula>"WNST7"</formula>
    </cfRule>
  </conditionalFormatting>
  <conditionalFormatting sqref="K4:O4 R4:X4">
    <cfRule type="cellIs" dxfId="753" priority="284" operator="equal">
      <formula>"NST7"</formula>
    </cfRule>
    <cfRule type="cellIs" dxfId="752" priority="283" operator="equal">
      <formula>"WNST7"</formula>
    </cfRule>
  </conditionalFormatting>
  <conditionalFormatting sqref="L8:M8 K9:M9">
    <cfRule type="cellIs" dxfId="751" priority="54" operator="equal">
      <formula>"NST7"</formula>
    </cfRule>
    <cfRule type="cellIs" dxfId="750" priority="53" operator="equal">
      <formula>"WNST7"</formula>
    </cfRule>
  </conditionalFormatting>
  <conditionalFormatting sqref="L17:M18">
    <cfRule type="cellIs" dxfId="749" priority="57" operator="equal">
      <formula>"WNST7"</formula>
    </cfRule>
    <cfRule type="cellIs" dxfId="748" priority="58" operator="equal">
      <formula>"NST7"</formula>
    </cfRule>
  </conditionalFormatting>
  <conditionalFormatting sqref="L11:N14">
    <cfRule type="cellIs" dxfId="747" priority="104" operator="equal">
      <formula>"NST7"</formula>
    </cfRule>
    <cfRule type="cellIs" dxfId="746" priority="103" operator="equal">
      <formula>"WNST7"</formula>
    </cfRule>
  </conditionalFormatting>
  <conditionalFormatting sqref="N17">
    <cfRule type="cellIs" dxfId="745" priority="186" operator="equal">
      <formula>"NST7"</formula>
    </cfRule>
    <cfRule type="cellIs" dxfId="744" priority="185" operator="equal">
      <formula>"WNST7"</formula>
    </cfRule>
  </conditionalFormatting>
  <conditionalFormatting sqref="O7:O8">
    <cfRule type="cellIs" dxfId="743" priority="153" operator="equal">
      <formula>"WNST7"</formula>
    </cfRule>
    <cfRule type="cellIs" dxfId="742" priority="154" operator="equal">
      <formula>"NST7"</formula>
    </cfRule>
  </conditionalFormatting>
  <conditionalFormatting sqref="P5 M6 P20">
    <cfRule type="cellIs" dxfId="741" priority="455" operator="equal">
      <formula>"WNST7"</formula>
    </cfRule>
    <cfRule type="cellIs" dxfId="740" priority="456" operator="equal">
      <formula>"NST7"</formula>
    </cfRule>
  </conditionalFormatting>
  <conditionalFormatting sqref="P14">
    <cfRule type="cellIs" dxfId="739" priority="250" operator="equal">
      <formula>"NST7"</formula>
    </cfRule>
    <cfRule type="cellIs" dxfId="738" priority="249" operator="equal">
      <formula>"WNST7"</formula>
    </cfRule>
  </conditionalFormatting>
  <conditionalFormatting sqref="Q11">
    <cfRule type="cellIs" dxfId="737" priority="48" operator="equal">
      <formula>"NST7"</formula>
    </cfRule>
    <cfRule type="cellIs" dxfId="736" priority="47" operator="equal">
      <formula>"WNST7"</formula>
    </cfRule>
  </conditionalFormatting>
  <conditionalFormatting sqref="Q17">
    <cfRule type="cellIs" dxfId="735" priority="85" operator="equal">
      <formula>"WNST7"</formula>
    </cfRule>
    <cfRule type="cellIs" dxfId="734" priority="86" operator="equal">
      <formula>"NST7"</formula>
    </cfRule>
  </conditionalFormatting>
  <conditionalFormatting sqref="Q8:S8 U8:V8">
    <cfRule type="cellIs" dxfId="733" priority="80" operator="equal">
      <formula>"NST7"</formula>
    </cfRule>
    <cfRule type="cellIs" dxfId="732" priority="79" operator="equal">
      <formula>"WNST7"</formula>
    </cfRule>
  </conditionalFormatting>
  <conditionalFormatting sqref="Q12:T13">
    <cfRule type="cellIs" dxfId="731" priority="49" operator="equal">
      <formula>"WNST7"</formula>
    </cfRule>
    <cfRule type="cellIs" dxfId="730" priority="50" operator="equal">
      <formula>"NST7"</formula>
    </cfRule>
  </conditionalFormatting>
  <conditionalFormatting sqref="Q15:T15">
    <cfRule type="cellIs" dxfId="729" priority="280" operator="equal">
      <formula>"NST7"</formula>
    </cfRule>
    <cfRule type="cellIs" dxfId="728" priority="279" operator="equal">
      <formula>"WNST7"</formula>
    </cfRule>
  </conditionalFormatting>
  <conditionalFormatting sqref="Q7:U7">
    <cfRule type="cellIs" dxfId="727" priority="372" operator="equal">
      <formula>"NST7"</formula>
    </cfRule>
    <cfRule type="cellIs" dxfId="726" priority="371" operator="equal">
      <formula>"WNST7"</formula>
    </cfRule>
  </conditionalFormatting>
  <conditionalFormatting sqref="Q9:U9">
    <cfRule type="cellIs" dxfId="725" priority="122" operator="equal">
      <formula>"NST7"</formula>
    </cfRule>
    <cfRule type="cellIs" dxfId="724" priority="121" operator="equal">
      <formula>"WNST7"</formula>
    </cfRule>
  </conditionalFormatting>
  <conditionalFormatting sqref="R20">
    <cfRule type="cellIs" dxfId="723" priority="84" operator="equal">
      <formula>"NST7"</formula>
    </cfRule>
    <cfRule type="cellIs" dxfId="722" priority="83" operator="equal">
      <formula>"WNST7"</formula>
    </cfRule>
  </conditionalFormatting>
  <conditionalFormatting sqref="R14:T14">
    <cfRule type="cellIs" dxfId="721" priority="200" operator="equal">
      <formula>"NST7"</formula>
    </cfRule>
    <cfRule type="cellIs" dxfId="720" priority="199" operator="equal">
      <formula>"WNST7"</formula>
    </cfRule>
  </conditionalFormatting>
  <conditionalFormatting sqref="R6:V6">
    <cfRule type="cellIs" dxfId="719" priority="286" operator="equal">
      <formula>"NST7"</formula>
    </cfRule>
    <cfRule type="cellIs" dxfId="718" priority="285" operator="equal">
      <formula>"WNST7"</formula>
    </cfRule>
  </conditionalFormatting>
  <conditionalFormatting sqref="S17">
    <cfRule type="cellIs" dxfId="717" priority="46" operator="equal">
      <formula>"NST7"</formula>
    </cfRule>
    <cfRule type="cellIs" dxfId="716" priority="45" operator="equal">
      <formula>"WNST7"</formula>
    </cfRule>
  </conditionalFormatting>
  <conditionalFormatting sqref="T21:U21">
    <cfRule type="cellIs" dxfId="715" priority="178" operator="equal">
      <formula>"NST7"</formula>
    </cfRule>
    <cfRule type="cellIs" dxfId="714" priority="177" operator="equal">
      <formula>"WNST7"</formula>
    </cfRule>
  </conditionalFormatting>
  <conditionalFormatting sqref="U11:U15">
    <cfRule type="cellIs" dxfId="713" priority="216" operator="equal">
      <formula>"NST7"</formula>
    </cfRule>
    <cfRule type="cellIs" dxfId="712" priority="215" operator="equal">
      <formula>"WNST7"</formula>
    </cfRule>
  </conditionalFormatting>
  <conditionalFormatting sqref="V12:V13">
    <cfRule type="cellIs" dxfId="711" priority="241" operator="equal">
      <formula>"WNST7"</formula>
    </cfRule>
    <cfRule type="cellIs" dxfId="710" priority="242" operator="equal">
      <formula>"NST7"</formula>
    </cfRule>
  </conditionalFormatting>
  <conditionalFormatting sqref="V15">
    <cfRule type="cellIs" dxfId="709" priority="237" operator="equal">
      <formula>"WNST7"</formula>
    </cfRule>
    <cfRule type="cellIs" dxfId="708" priority="238" operator="equal">
      <formula>"NST7"</formula>
    </cfRule>
  </conditionalFormatting>
  <conditionalFormatting sqref="W7">
    <cfRule type="cellIs" dxfId="707" priority="151" operator="equal">
      <formula>"WNST7"</formula>
    </cfRule>
    <cfRule type="cellIs" dxfId="706" priority="152" operator="equal">
      <formula>"NST7"</formula>
    </cfRule>
  </conditionalFormatting>
  <conditionalFormatting sqref="W14">
    <cfRule type="cellIs" dxfId="705" priority="239" operator="equal">
      <formula>"WNST7"</formula>
    </cfRule>
    <cfRule type="cellIs" dxfId="704" priority="240" operator="equal">
      <formula>"NST7"</formula>
    </cfRule>
  </conditionalFormatting>
  <conditionalFormatting sqref="W11:AB11">
    <cfRule type="cellIs" dxfId="703" priority="101" operator="equal">
      <formula>"WNST7"</formula>
    </cfRule>
    <cfRule type="cellIs" dxfId="702" priority="102" operator="equal">
      <formula>"NST7"</formula>
    </cfRule>
  </conditionalFormatting>
  <conditionalFormatting sqref="X6:X7 X9:AC9">
    <cfRule type="cellIs" dxfId="701" priority="7" operator="equal">
      <formula>"WNST7"</formula>
    </cfRule>
    <cfRule type="cellIs" dxfId="700" priority="8" operator="equal">
      <formula>"NST7"</formula>
    </cfRule>
  </conditionalFormatting>
  <conditionalFormatting sqref="X17">
    <cfRule type="cellIs" dxfId="699" priority="173" operator="equal">
      <formula>"WNST7"</formula>
    </cfRule>
    <cfRule type="cellIs" dxfId="698" priority="174" operator="equal">
      <formula>"NST7"</formula>
    </cfRule>
  </conditionalFormatting>
  <conditionalFormatting sqref="X12:AB15">
    <cfRule type="cellIs" dxfId="697" priority="265" operator="equal">
      <formula>"WNST7"</formula>
    </cfRule>
    <cfRule type="cellIs" dxfId="696" priority="266" operator="equal">
      <formula>"NST7"</formula>
    </cfRule>
  </conditionalFormatting>
  <conditionalFormatting sqref="Y15">
    <cfRule type="cellIs" dxfId="695" priority="212" operator="equal">
      <formula>"NST7"</formula>
    </cfRule>
    <cfRule type="cellIs" dxfId="694" priority="211" operator="equal">
      <formula>"WNST7"</formula>
    </cfRule>
  </conditionalFormatting>
  <conditionalFormatting sqref="Y5:AA7">
    <cfRule type="cellIs" dxfId="693" priority="10" operator="equal">
      <formula>"NST7"</formula>
    </cfRule>
    <cfRule type="cellIs" dxfId="692" priority="9" operator="equal">
      <formula>"WNST7"</formula>
    </cfRule>
  </conditionalFormatting>
  <conditionalFormatting sqref="Z18">
    <cfRule type="cellIs" dxfId="691" priority="176" operator="equal">
      <formula>"NST7"</formula>
    </cfRule>
    <cfRule type="cellIs" dxfId="690" priority="175" operator="equal">
      <formula>"WNST7"</formula>
    </cfRule>
  </conditionalFormatting>
  <conditionalFormatting sqref="Z26:AC26">
    <cfRule type="cellIs" dxfId="689" priority="30" operator="equal">
      <formula>"NST7"</formula>
    </cfRule>
    <cfRule type="cellIs" dxfId="688" priority="29" operator="equal">
      <formula>"WNST7"</formula>
    </cfRule>
  </conditionalFormatting>
  <conditionalFormatting sqref="AA13">
    <cfRule type="cellIs" dxfId="687" priority="204" operator="equal">
      <formula>"NST7"</formula>
    </cfRule>
    <cfRule type="cellIs" dxfId="686" priority="203" operator="equal">
      <formula>"WNST7"</formula>
    </cfRule>
  </conditionalFormatting>
  <conditionalFormatting sqref="AA20">
    <cfRule type="cellIs" dxfId="685" priority="172" operator="equal">
      <formula>"NST7"</formula>
    </cfRule>
    <cfRule type="cellIs" dxfId="684" priority="171" operator="equal">
      <formula>"WNST7"</formula>
    </cfRule>
  </conditionalFormatting>
  <conditionalFormatting sqref="AB4:AB5">
    <cfRule type="cellIs" dxfId="683" priority="361" operator="equal">
      <formula>"WNST7"</formula>
    </cfRule>
    <cfRule type="cellIs" dxfId="682" priority="362" operator="equal">
      <formula>"NST7"</formula>
    </cfRule>
  </conditionalFormatting>
  <conditionalFormatting sqref="AB14">
    <cfRule type="cellIs" dxfId="681" priority="206" operator="equal">
      <formula>"NST7"</formula>
    </cfRule>
    <cfRule type="cellIs" dxfId="680" priority="205" operator="equal">
      <formula>"WNST7"</formula>
    </cfRule>
  </conditionalFormatting>
  <conditionalFormatting sqref="AB21">
    <cfRule type="cellIs" dxfId="679" priority="170" operator="equal">
      <formula>"NST7"</formula>
    </cfRule>
    <cfRule type="cellIs" dxfId="678" priority="169" operator="equal">
      <formula>"WNST7"</formula>
    </cfRule>
  </conditionalFormatting>
  <conditionalFormatting sqref="AC5">
    <cfRule type="cellIs" dxfId="677" priority="165" operator="equal">
      <formula>"WNST7"</formula>
    </cfRule>
    <cfRule type="cellIs" dxfId="676" priority="166" operator="equal">
      <formula>"NST7"</formula>
    </cfRule>
  </conditionalFormatting>
  <conditionalFormatting sqref="AC12:AC13">
    <cfRule type="cellIs" dxfId="675" priority="232" operator="equal">
      <formula>"NST7"</formula>
    </cfRule>
    <cfRule type="cellIs" dxfId="674" priority="231" operator="equal">
      <formula>"WNST7"</formula>
    </cfRule>
  </conditionalFormatting>
  <conditionalFormatting sqref="AC15">
    <cfRule type="cellIs" dxfId="673" priority="228" operator="equal">
      <formula>"NST7"</formula>
    </cfRule>
    <cfRule type="cellIs" dxfId="672" priority="227" operator="equal">
      <formula>"WNST7"</formula>
    </cfRule>
  </conditionalFormatting>
  <conditionalFormatting sqref="AC4:AD4">
    <cfRule type="cellIs" dxfId="671" priority="357" operator="equal">
      <formula>"WNST7"</formula>
    </cfRule>
    <cfRule type="cellIs" dxfId="670" priority="358" operator="equal">
      <formula>"NST7"</formula>
    </cfRule>
  </conditionalFormatting>
  <conditionalFormatting sqref="AD7">
    <cfRule type="cellIs" dxfId="669" priority="164" operator="equal">
      <formula>"NST7"</formula>
    </cfRule>
    <cfRule type="cellIs" dxfId="668" priority="163" operator="equal">
      <formula>"WNST7"</formula>
    </cfRule>
  </conditionalFormatting>
  <conditionalFormatting sqref="AD11">
    <cfRule type="cellIs" dxfId="667" priority="236" operator="equal">
      <formula>"NST7"</formula>
    </cfRule>
    <cfRule type="cellIs" dxfId="666" priority="235" operator="equal">
      <formula>"WNST7"</formula>
    </cfRule>
  </conditionalFormatting>
  <conditionalFormatting sqref="AD14">
    <cfRule type="cellIs" dxfId="665" priority="230" operator="equal">
      <formula>"NST7"</formula>
    </cfRule>
    <cfRule type="cellIs" dxfId="664" priority="229" operator="equal">
      <formula>"WNST7"</formula>
    </cfRule>
  </conditionalFormatting>
  <conditionalFormatting sqref="AD27:AE27">
    <cfRule type="cellIs" dxfId="663" priority="26" operator="equal">
      <formula>"NST7"</formula>
    </cfRule>
    <cfRule type="cellIs" dxfId="662" priority="25" operator="equal">
      <formula>"WNST7"</formula>
    </cfRule>
  </conditionalFormatting>
  <conditionalFormatting sqref="AE4:AE5">
    <cfRule type="cellIs" dxfId="661" priority="355" operator="equal">
      <formula>"WNST7"</formula>
    </cfRule>
    <cfRule type="cellIs" dxfId="660" priority="356" operator="equal">
      <formula>"NST7"</formula>
    </cfRule>
  </conditionalFormatting>
  <conditionalFormatting sqref="AE7:AE9">
    <cfRule type="cellIs" dxfId="659" priority="116" operator="equal">
      <formula>"NST7"</formula>
    </cfRule>
    <cfRule type="cellIs" dxfId="658" priority="115" operator="equal">
      <formula>"WNST7"</formula>
    </cfRule>
  </conditionalFormatting>
  <conditionalFormatting sqref="AE11:AE15">
    <cfRule type="cellIs" dxfId="657" priority="261" operator="equal">
      <formula>"WNST7"</formula>
    </cfRule>
    <cfRule type="cellIs" dxfId="656" priority="262" operator="equal">
      <formula>"NST7"</formula>
    </cfRule>
  </conditionalFormatting>
  <conditionalFormatting sqref="AE17">
    <cfRule type="cellIs" dxfId="655" priority="168" operator="equal">
      <formula>"NST7"</formula>
    </cfRule>
    <cfRule type="cellIs" dxfId="654" priority="167" operator="equal">
      <formula>"WNST7"</formula>
    </cfRule>
  </conditionalFormatting>
  <conditionalFormatting sqref="AE25:AE26">
    <cfRule type="cellIs" dxfId="653" priority="1" operator="equal">
      <formula>"WNST7"</formula>
    </cfRule>
    <cfRule type="cellIs" dxfId="652" priority="2" operator="equal">
      <formula>"NST7"</formula>
    </cfRule>
  </conditionalFormatting>
  <conditionalFormatting sqref="AF11">
    <cfRule type="cellIs" dxfId="651" priority="309" operator="equal">
      <formula>"WNST7"</formula>
    </cfRule>
    <cfRule type="cellIs" dxfId="650" priority="310" operator="equal">
      <formula>"NST7"</formula>
    </cfRule>
  </conditionalFormatting>
  <pageMargins left="0.7" right="0.7" top="0.75" bottom="0.75" header="0.3" footer="0.3"/>
  <pageSetup paperSize="9"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62AF7-CC04-4468-B68F-3EF963AA8A42}">
  <dimension ref="A1:AQ37"/>
  <sheetViews>
    <sheetView zoomScale="57" zoomScaleNormal="57" workbookViewId="0">
      <pane xSplit="1" topLeftCell="B1" activePane="topRight" state="frozen"/>
      <selection pane="topRight" activeCell="C13" sqref="C13"/>
    </sheetView>
  </sheetViews>
  <sheetFormatPr defaultRowHeight="14.5" x14ac:dyDescent="0.35"/>
  <cols>
    <col min="1" max="1" width="21.7265625" bestFit="1" customWidth="1"/>
    <col min="2" max="27" width="8.7265625" customWidth="1"/>
    <col min="33" max="36" width="0" hidden="1" customWidth="1"/>
  </cols>
  <sheetData>
    <row r="1" spans="1:43" x14ac:dyDescent="0.35">
      <c r="A1" s="1"/>
      <c r="B1" s="2" t="str">
        <f t="shared" ref="B1:AJ1" si="0">TEXT(B2,"ddd")</f>
        <v>Tue</v>
      </c>
      <c r="C1" s="2" t="str">
        <f t="shared" si="0"/>
        <v>Wed</v>
      </c>
      <c r="D1" s="2" t="str">
        <f t="shared" si="0"/>
        <v>Thu</v>
      </c>
      <c r="E1" s="2" t="str">
        <f t="shared" si="0"/>
        <v>Fri</v>
      </c>
      <c r="F1" s="2" t="str">
        <f t="shared" si="0"/>
        <v>Sat</v>
      </c>
      <c r="G1" s="2" t="str">
        <f t="shared" si="0"/>
        <v>Sun</v>
      </c>
      <c r="H1" s="2" t="str">
        <f t="shared" si="0"/>
        <v>Mon</v>
      </c>
      <c r="I1" s="2" t="str">
        <f t="shared" si="0"/>
        <v>Tue</v>
      </c>
      <c r="J1" s="2" t="str">
        <f t="shared" si="0"/>
        <v>Wed</v>
      </c>
      <c r="K1" s="2" t="str">
        <f t="shared" si="0"/>
        <v>Thu</v>
      </c>
      <c r="L1" s="2" t="str">
        <f t="shared" si="0"/>
        <v>Fri</v>
      </c>
      <c r="M1" s="2" t="str">
        <f t="shared" si="0"/>
        <v>Sat</v>
      </c>
      <c r="N1" s="2" t="str">
        <f t="shared" si="0"/>
        <v>Sun</v>
      </c>
      <c r="O1" s="2" t="str">
        <f t="shared" si="0"/>
        <v>Mon</v>
      </c>
      <c r="P1" s="2" t="str">
        <f t="shared" si="0"/>
        <v>Tue</v>
      </c>
      <c r="Q1" s="2" t="str">
        <f t="shared" si="0"/>
        <v>Wed</v>
      </c>
      <c r="R1" s="2" t="str">
        <f t="shared" si="0"/>
        <v>Thu</v>
      </c>
      <c r="S1" s="2" t="str">
        <f t="shared" si="0"/>
        <v>Fri</v>
      </c>
      <c r="T1" s="2" t="str">
        <f t="shared" si="0"/>
        <v>Sat</v>
      </c>
      <c r="U1" s="2" t="str">
        <f t="shared" si="0"/>
        <v>Sun</v>
      </c>
      <c r="V1" s="2" t="str">
        <f t="shared" si="0"/>
        <v>Mon</v>
      </c>
      <c r="W1" s="2" t="str">
        <f t="shared" si="0"/>
        <v>Tue</v>
      </c>
      <c r="X1" s="2" t="str">
        <f t="shared" si="0"/>
        <v>Wed</v>
      </c>
      <c r="Y1" s="2" t="str">
        <f t="shared" si="0"/>
        <v>Thu</v>
      </c>
      <c r="Z1" s="2" t="str">
        <f t="shared" si="0"/>
        <v>Fri</v>
      </c>
      <c r="AA1" s="2" t="str">
        <f t="shared" si="0"/>
        <v>Sat</v>
      </c>
      <c r="AB1" s="2" t="str">
        <f t="shared" si="0"/>
        <v>Sun</v>
      </c>
      <c r="AC1" s="2" t="str">
        <f t="shared" si="0"/>
        <v>Mon</v>
      </c>
      <c r="AD1" s="2" t="str">
        <f t="shared" si="0"/>
        <v>Tue</v>
      </c>
      <c r="AE1" s="2" t="str">
        <f t="shared" si="0"/>
        <v>Wed</v>
      </c>
      <c r="AF1" s="2" t="str">
        <f t="shared" si="0"/>
        <v>Thu</v>
      </c>
      <c r="AG1" s="2" t="str">
        <f t="shared" si="0"/>
        <v>Fri</v>
      </c>
      <c r="AH1" s="2" t="str">
        <f t="shared" si="0"/>
        <v>Sat</v>
      </c>
      <c r="AI1" s="2" t="str">
        <f t="shared" si="0"/>
        <v>Sun</v>
      </c>
      <c r="AJ1" s="2" t="str">
        <f t="shared" si="0"/>
        <v>Mon</v>
      </c>
    </row>
    <row r="2" spans="1:43" x14ac:dyDescent="0.35">
      <c r="A2" s="95" t="s">
        <v>0</v>
      </c>
      <c r="B2" s="29">
        <v>45566</v>
      </c>
      <c r="C2" s="29">
        <v>45567</v>
      </c>
      <c r="D2" s="29">
        <v>45568</v>
      </c>
      <c r="E2" s="29">
        <v>45569</v>
      </c>
      <c r="F2" s="29">
        <v>45570</v>
      </c>
      <c r="G2" s="29">
        <v>45571</v>
      </c>
      <c r="H2" s="29">
        <v>45572</v>
      </c>
      <c r="I2" s="29">
        <v>45573</v>
      </c>
      <c r="J2" s="29">
        <v>45574</v>
      </c>
      <c r="K2" s="29">
        <v>45575</v>
      </c>
      <c r="L2" s="29">
        <v>45576</v>
      </c>
      <c r="M2" s="29">
        <v>45577</v>
      </c>
      <c r="N2" s="29">
        <v>45578</v>
      </c>
      <c r="O2" s="29">
        <v>45579</v>
      </c>
      <c r="P2" s="29">
        <v>45580</v>
      </c>
      <c r="Q2" s="29">
        <v>45581</v>
      </c>
      <c r="R2" s="29">
        <v>45582</v>
      </c>
      <c r="S2" s="29">
        <v>45583</v>
      </c>
      <c r="T2" s="29">
        <v>45584</v>
      </c>
      <c r="U2" s="29">
        <v>45585</v>
      </c>
      <c r="V2" s="29">
        <v>45586</v>
      </c>
      <c r="W2" s="29">
        <v>45587</v>
      </c>
      <c r="X2" s="29">
        <v>45588</v>
      </c>
      <c r="Y2" s="29">
        <v>45589</v>
      </c>
      <c r="Z2" s="29">
        <v>45590</v>
      </c>
      <c r="AA2" s="29">
        <v>45591</v>
      </c>
      <c r="AB2" s="29">
        <v>45592</v>
      </c>
      <c r="AC2" s="29">
        <v>45593</v>
      </c>
      <c r="AD2" s="29">
        <v>45594</v>
      </c>
      <c r="AE2" s="29">
        <v>45595</v>
      </c>
      <c r="AF2" s="29">
        <v>45596</v>
      </c>
      <c r="AG2" s="29">
        <v>45597</v>
      </c>
      <c r="AH2" s="29">
        <v>45598</v>
      </c>
      <c r="AI2" s="29">
        <v>45599</v>
      </c>
      <c r="AJ2" s="29">
        <v>45600</v>
      </c>
    </row>
    <row r="3" spans="1:43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L3" t="s">
        <v>355</v>
      </c>
      <c r="AM3" t="s">
        <v>2</v>
      </c>
      <c r="AN3" t="s">
        <v>4</v>
      </c>
      <c r="AO3" t="s">
        <v>5</v>
      </c>
    </row>
    <row r="4" spans="1:43" x14ac:dyDescent="0.35">
      <c r="A4" s="165" t="s">
        <v>9</v>
      </c>
      <c r="B4" s="16" t="s">
        <v>10</v>
      </c>
      <c r="C4" s="16" t="s">
        <v>10</v>
      </c>
      <c r="D4" s="16" t="s">
        <v>10</v>
      </c>
      <c r="E4" s="116" t="s">
        <v>2</v>
      </c>
      <c r="F4" s="16" t="s">
        <v>11</v>
      </c>
      <c r="G4" s="16" t="s">
        <v>11</v>
      </c>
      <c r="H4" s="16" t="s">
        <v>10</v>
      </c>
      <c r="I4" s="116" t="s">
        <v>2</v>
      </c>
      <c r="J4" s="116" t="s">
        <v>2</v>
      </c>
      <c r="K4" s="16" t="s">
        <v>10</v>
      </c>
      <c r="L4" s="16" t="s">
        <v>10</v>
      </c>
      <c r="M4" s="16" t="s">
        <v>11</v>
      </c>
      <c r="N4" s="16" t="s">
        <v>11</v>
      </c>
      <c r="O4" s="16" t="s">
        <v>10</v>
      </c>
      <c r="P4" s="122" t="s">
        <v>5</v>
      </c>
      <c r="Q4" s="116" t="s">
        <v>2</v>
      </c>
      <c r="R4" s="116" t="s">
        <v>2</v>
      </c>
      <c r="S4" s="16" t="s">
        <v>10</v>
      </c>
      <c r="T4" s="16" t="s">
        <v>11</v>
      </c>
      <c r="U4" s="16" t="s">
        <v>11</v>
      </c>
      <c r="V4" s="16" t="s">
        <v>10</v>
      </c>
      <c r="W4" s="16" t="s">
        <v>10</v>
      </c>
      <c r="X4" s="116" t="s">
        <v>2</v>
      </c>
      <c r="Y4" s="116" t="s">
        <v>2</v>
      </c>
      <c r="Z4" s="16" t="s">
        <v>10</v>
      </c>
      <c r="AA4" s="16" t="s">
        <v>11</v>
      </c>
      <c r="AB4" s="16" t="s">
        <v>11</v>
      </c>
      <c r="AC4" s="16" t="s">
        <v>10</v>
      </c>
      <c r="AD4" s="16" t="s">
        <v>10</v>
      </c>
      <c r="AE4" s="116" t="s">
        <v>2</v>
      </c>
      <c r="AF4" s="116" t="s">
        <v>2</v>
      </c>
      <c r="AG4" s="16" t="s">
        <v>10</v>
      </c>
      <c r="AH4" s="122" t="s">
        <v>5</v>
      </c>
      <c r="AI4" s="122" t="s">
        <v>5</v>
      </c>
      <c r="AL4">
        <f>COUNTIF(B4:AF4, "*NS*")</f>
        <v>21</v>
      </c>
      <c r="AM4">
        <f>COUNTIF(B4:AG4, "*C*")</f>
        <v>9</v>
      </c>
      <c r="AN4">
        <f>COUNTIF(B4:AH4, "*WO*")</f>
        <v>0</v>
      </c>
      <c r="AO4">
        <v>1</v>
      </c>
      <c r="AQ4">
        <f>AM4+AN4</f>
        <v>9</v>
      </c>
    </row>
    <row r="5" spans="1:43" x14ac:dyDescent="0.35">
      <c r="A5" s="165" t="s">
        <v>21</v>
      </c>
      <c r="B5" s="16" t="s">
        <v>10</v>
      </c>
      <c r="C5" s="16" t="s">
        <v>10</v>
      </c>
      <c r="D5" s="116" t="s">
        <v>2</v>
      </c>
      <c r="E5" s="16" t="s">
        <v>10</v>
      </c>
      <c r="F5" s="16" t="s">
        <v>11</v>
      </c>
      <c r="G5" s="114" t="s">
        <v>4</v>
      </c>
      <c r="H5" s="16" t="s">
        <v>10</v>
      </c>
      <c r="I5" s="16" t="s">
        <v>10</v>
      </c>
      <c r="J5" s="16" t="s">
        <v>10</v>
      </c>
      <c r="K5" s="116" t="s">
        <v>2</v>
      </c>
      <c r="L5" s="16" t="s">
        <v>10</v>
      </c>
      <c r="M5" s="16" t="s">
        <v>11</v>
      </c>
      <c r="N5" s="114" t="s">
        <v>4</v>
      </c>
      <c r="O5" s="16" t="s">
        <v>10</v>
      </c>
      <c r="P5" s="16" t="s">
        <v>10</v>
      </c>
      <c r="Q5" s="16" t="s">
        <v>10</v>
      </c>
      <c r="R5" s="16" t="s">
        <v>10</v>
      </c>
      <c r="S5" s="16" t="s">
        <v>10</v>
      </c>
      <c r="T5" s="114" t="s">
        <v>4</v>
      </c>
      <c r="U5" s="16" t="s">
        <v>11</v>
      </c>
      <c r="V5" s="16" t="s">
        <v>10</v>
      </c>
      <c r="W5" s="16" t="s">
        <v>10</v>
      </c>
      <c r="X5" s="16" t="s">
        <v>10</v>
      </c>
      <c r="Y5" s="16" t="s">
        <v>10</v>
      </c>
      <c r="Z5" s="116" t="s">
        <v>2</v>
      </c>
      <c r="AA5" s="114" t="s">
        <v>4</v>
      </c>
      <c r="AB5" s="16" t="s">
        <v>11</v>
      </c>
      <c r="AC5" s="16" t="s">
        <v>10</v>
      </c>
      <c r="AD5" s="16" t="s">
        <v>10</v>
      </c>
      <c r="AE5" s="16" t="s">
        <v>10</v>
      </c>
      <c r="AF5" s="16" t="s">
        <v>10</v>
      </c>
      <c r="AG5" s="19" t="s">
        <v>41</v>
      </c>
      <c r="AL5">
        <f t="shared" ref="AL5:AL8" si="1">COUNTIF(B5:AF5, "*NS*")</f>
        <v>24</v>
      </c>
      <c r="AM5">
        <f t="shared" ref="AM5:AM8" si="2">COUNTIF(B5:AG5, "*C*")</f>
        <v>3</v>
      </c>
      <c r="AN5">
        <f t="shared" ref="AN5:AN8" si="3">COUNTIF(B5:AH5, "*WO*")</f>
        <v>4</v>
      </c>
      <c r="AO5">
        <f t="shared" ref="AO5:AO8" si="4">COUNTIF(B5:AI5, "*PL*")</f>
        <v>0</v>
      </c>
      <c r="AQ5">
        <f t="shared" ref="AQ5:AQ8" si="5">AM5+AN5</f>
        <v>7</v>
      </c>
    </row>
    <row r="6" spans="1:43" x14ac:dyDescent="0.35">
      <c r="A6" s="141" t="s">
        <v>22</v>
      </c>
      <c r="B6" s="16" t="s">
        <v>10</v>
      </c>
      <c r="C6" s="16" t="s">
        <v>10</v>
      </c>
      <c r="D6" s="16" t="s">
        <v>10</v>
      </c>
      <c r="E6" s="16" t="s">
        <v>10</v>
      </c>
      <c r="F6" s="114" t="s">
        <v>4</v>
      </c>
      <c r="G6" s="16" t="s">
        <v>11</v>
      </c>
      <c r="H6" s="116" t="s">
        <v>2</v>
      </c>
      <c r="I6" s="16" t="s">
        <v>10</v>
      </c>
      <c r="J6" s="16" t="s">
        <v>10</v>
      </c>
      <c r="K6" s="16" t="s">
        <v>10</v>
      </c>
      <c r="L6" s="116" t="s">
        <v>2</v>
      </c>
      <c r="M6" s="114" t="s">
        <v>4</v>
      </c>
      <c r="N6" s="16" t="s">
        <v>11</v>
      </c>
      <c r="O6" s="16" t="s">
        <v>10</v>
      </c>
      <c r="P6" s="16" t="s">
        <v>10</v>
      </c>
      <c r="Q6" s="122" t="s">
        <v>5</v>
      </c>
      <c r="R6" s="122" t="s">
        <v>5</v>
      </c>
      <c r="S6" s="122" t="s">
        <v>5</v>
      </c>
      <c r="T6" s="114" t="s">
        <v>4</v>
      </c>
      <c r="U6" s="114" t="s">
        <v>4</v>
      </c>
      <c r="V6" s="16" t="s">
        <v>10</v>
      </c>
      <c r="W6" s="16" t="s">
        <v>10</v>
      </c>
      <c r="X6" s="16" t="s">
        <v>10</v>
      </c>
      <c r="Y6" s="16" t="s">
        <v>10</v>
      </c>
      <c r="Z6" s="16" t="s">
        <v>10</v>
      </c>
      <c r="AA6" s="16" t="s">
        <v>11</v>
      </c>
      <c r="AB6" s="114" t="s">
        <v>4</v>
      </c>
      <c r="AC6" s="116" t="s">
        <v>2</v>
      </c>
      <c r="AD6" s="16" t="s">
        <v>10</v>
      </c>
      <c r="AE6" s="16" t="s">
        <v>10</v>
      </c>
      <c r="AF6" s="16" t="s">
        <v>10</v>
      </c>
      <c r="AG6" s="19" t="s">
        <v>41</v>
      </c>
      <c r="AL6">
        <f t="shared" si="1"/>
        <v>20</v>
      </c>
      <c r="AM6">
        <f t="shared" si="2"/>
        <v>3</v>
      </c>
      <c r="AN6">
        <f t="shared" si="3"/>
        <v>5</v>
      </c>
      <c r="AO6">
        <f t="shared" si="4"/>
        <v>3</v>
      </c>
      <c r="AQ6">
        <f t="shared" si="5"/>
        <v>8</v>
      </c>
    </row>
    <row r="7" spans="1:43" x14ac:dyDescent="0.35">
      <c r="A7" s="141" t="s">
        <v>70</v>
      </c>
      <c r="B7" s="116" t="s">
        <v>2</v>
      </c>
      <c r="C7" s="230" t="s">
        <v>37</v>
      </c>
      <c r="D7" s="16" t="s">
        <v>10</v>
      </c>
      <c r="E7" s="16" t="s">
        <v>10</v>
      </c>
      <c r="F7" s="114" t="s">
        <v>4</v>
      </c>
      <c r="G7" s="16" t="s">
        <v>11</v>
      </c>
      <c r="H7" s="16" t="s">
        <v>10</v>
      </c>
      <c r="I7" s="16" t="s">
        <v>10</v>
      </c>
      <c r="J7" s="16" t="s">
        <v>10</v>
      </c>
      <c r="K7" s="116" t="s">
        <v>2</v>
      </c>
      <c r="L7" s="122" t="s">
        <v>5</v>
      </c>
      <c r="M7" s="114" t="s">
        <v>4</v>
      </c>
      <c r="N7" s="16" t="s">
        <v>11</v>
      </c>
      <c r="O7" s="16" t="s">
        <v>10</v>
      </c>
      <c r="P7" s="116" t="s">
        <v>2</v>
      </c>
      <c r="Q7" s="16" t="s">
        <v>10</v>
      </c>
      <c r="R7" s="16" t="s">
        <v>10</v>
      </c>
      <c r="S7" s="16" t="s">
        <v>10</v>
      </c>
      <c r="T7" s="16" t="s">
        <v>11</v>
      </c>
      <c r="U7" s="114" t="s">
        <v>4</v>
      </c>
      <c r="V7" s="16" t="s">
        <v>10</v>
      </c>
      <c r="W7" s="16" t="s">
        <v>10</v>
      </c>
      <c r="X7" s="16" t="s">
        <v>10</v>
      </c>
      <c r="Y7" s="116" t="s">
        <v>2</v>
      </c>
      <c r="Z7" s="16" t="s">
        <v>10</v>
      </c>
      <c r="AA7" s="114" t="s">
        <v>4</v>
      </c>
      <c r="AB7" s="114" t="s">
        <v>4</v>
      </c>
      <c r="AC7" s="16" t="s">
        <v>10</v>
      </c>
      <c r="AD7" s="16" t="s">
        <v>10</v>
      </c>
      <c r="AE7" s="16" t="s">
        <v>10</v>
      </c>
      <c r="AF7" s="16" t="s">
        <v>10</v>
      </c>
      <c r="AG7" s="122" t="s">
        <v>5</v>
      </c>
      <c r="AI7" s="122" t="s">
        <v>5</v>
      </c>
      <c r="AL7">
        <f t="shared" si="1"/>
        <v>20</v>
      </c>
      <c r="AM7">
        <f t="shared" si="2"/>
        <v>4</v>
      </c>
      <c r="AN7">
        <f t="shared" si="3"/>
        <v>5</v>
      </c>
      <c r="AO7">
        <v>1</v>
      </c>
      <c r="AQ7">
        <f t="shared" si="5"/>
        <v>9</v>
      </c>
    </row>
    <row r="8" spans="1:43" x14ac:dyDescent="0.35">
      <c r="A8" s="254" t="s">
        <v>326</v>
      </c>
      <c r="B8" s="16" t="s">
        <v>10</v>
      </c>
      <c r="C8" s="230" t="s">
        <v>37</v>
      </c>
      <c r="D8" s="16" t="s">
        <v>10</v>
      </c>
      <c r="E8" s="16" t="s">
        <v>10</v>
      </c>
      <c r="F8" s="16" t="s">
        <v>11</v>
      </c>
      <c r="G8" s="114" t="s">
        <v>4</v>
      </c>
      <c r="H8" s="16" t="s">
        <v>10</v>
      </c>
      <c r="I8" s="16" t="s">
        <v>10</v>
      </c>
      <c r="J8" s="116" t="s">
        <v>2</v>
      </c>
      <c r="K8" s="16" t="s">
        <v>10</v>
      </c>
      <c r="L8" s="16" t="s">
        <v>10</v>
      </c>
      <c r="M8" s="16" t="s">
        <v>11</v>
      </c>
      <c r="N8" s="114" t="s">
        <v>4</v>
      </c>
      <c r="O8" s="116" t="s">
        <v>2</v>
      </c>
      <c r="P8" s="16" t="s">
        <v>10</v>
      </c>
      <c r="Q8" s="16" t="s">
        <v>10</v>
      </c>
      <c r="R8" s="16" t="s">
        <v>10</v>
      </c>
      <c r="S8" s="16" t="s">
        <v>10</v>
      </c>
      <c r="T8" s="16" t="s">
        <v>11</v>
      </c>
      <c r="U8" s="16" t="s">
        <v>11</v>
      </c>
      <c r="V8" s="116" t="s">
        <v>2</v>
      </c>
      <c r="W8" s="116" t="s">
        <v>2</v>
      </c>
      <c r="X8" s="16" t="s">
        <v>10</v>
      </c>
      <c r="Y8" s="16" t="s">
        <v>10</v>
      </c>
      <c r="Z8" s="16" t="s">
        <v>10</v>
      </c>
      <c r="AA8" s="16" t="s">
        <v>11</v>
      </c>
      <c r="AB8" s="16" t="s">
        <v>11</v>
      </c>
      <c r="AC8" s="116" t="s">
        <v>2</v>
      </c>
      <c r="AD8" s="116" t="s">
        <v>2</v>
      </c>
      <c r="AE8" s="16" t="s">
        <v>10</v>
      </c>
      <c r="AF8" s="16" t="s">
        <v>10</v>
      </c>
      <c r="AG8" s="209" t="s">
        <v>16</v>
      </c>
      <c r="AL8">
        <f t="shared" si="1"/>
        <v>22</v>
      </c>
      <c r="AM8">
        <f t="shared" si="2"/>
        <v>6</v>
      </c>
      <c r="AN8">
        <f t="shared" si="3"/>
        <v>2</v>
      </c>
      <c r="AO8">
        <f t="shared" si="4"/>
        <v>0</v>
      </c>
      <c r="AQ8">
        <f t="shared" si="5"/>
        <v>8</v>
      </c>
    </row>
    <row r="9" spans="1:43" x14ac:dyDescent="0.35">
      <c r="A9" s="275"/>
      <c r="B9" s="275"/>
      <c r="C9" s="275"/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  <c r="AE9" s="275"/>
      <c r="AF9" s="275"/>
    </row>
    <row r="10" spans="1:43" x14ac:dyDescent="0.35">
      <c r="A10" s="165" t="s">
        <v>1</v>
      </c>
      <c r="B10" s="116" t="s">
        <v>2</v>
      </c>
      <c r="C10" s="19" t="s">
        <v>41</v>
      </c>
      <c r="D10" s="19" t="s">
        <v>41</v>
      </c>
      <c r="E10" s="116" t="s">
        <v>2</v>
      </c>
      <c r="F10" s="19" t="s">
        <v>42</v>
      </c>
      <c r="G10" s="19" t="s">
        <v>42</v>
      </c>
      <c r="H10" s="116" t="s">
        <v>2</v>
      </c>
      <c r="I10" s="19" t="s">
        <v>41</v>
      </c>
      <c r="J10" s="19" t="s">
        <v>41</v>
      </c>
      <c r="K10" s="19" t="s">
        <v>41</v>
      </c>
      <c r="L10" s="116" t="s">
        <v>2</v>
      </c>
      <c r="M10" s="19" t="s">
        <v>42</v>
      </c>
      <c r="N10" s="19" t="s">
        <v>42</v>
      </c>
      <c r="O10" s="122" t="s">
        <v>5</v>
      </c>
      <c r="P10" s="122" t="s">
        <v>5</v>
      </c>
      <c r="Q10" s="122" t="s">
        <v>5</v>
      </c>
      <c r="R10" s="122" t="s">
        <v>5</v>
      </c>
      <c r="S10" s="122" t="s">
        <v>5</v>
      </c>
      <c r="T10" s="122" t="s">
        <v>5</v>
      </c>
      <c r="U10" s="19" t="s">
        <v>42</v>
      </c>
      <c r="V10" s="19" t="s">
        <v>41</v>
      </c>
      <c r="W10" s="19" t="s">
        <v>41</v>
      </c>
      <c r="X10" s="19" t="s">
        <v>41</v>
      </c>
      <c r="Y10" s="19" t="s">
        <v>41</v>
      </c>
      <c r="Z10" s="116" t="s">
        <v>2</v>
      </c>
      <c r="AA10" s="19" t="s">
        <v>42</v>
      </c>
      <c r="AB10" s="19" t="s">
        <v>42</v>
      </c>
      <c r="AC10" s="116" t="s">
        <v>2</v>
      </c>
      <c r="AD10" s="19" t="s">
        <v>41</v>
      </c>
      <c r="AE10" s="19" t="s">
        <v>41</v>
      </c>
      <c r="AF10" s="19" t="s">
        <v>41</v>
      </c>
      <c r="AG10" s="116" t="s">
        <v>2</v>
      </c>
    </row>
    <row r="11" spans="1:43" x14ac:dyDescent="0.35">
      <c r="A11" s="165" t="s">
        <v>124</v>
      </c>
      <c r="B11" s="122" t="s">
        <v>5</v>
      </c>
      <c r="C11" s="230" t="s">
        <v>37</v>
      </c>
      <c r="D11" s="122" t="s">
        <v>5</v>
      </c>
      <c r="E11" s="122" t="s">
        <v>5</v>
      </c>
      <c r="F11" s="122" t="s">
        <v>5</v>
      </c>
      <c r="G11" s="122" t="s">
        <v>5</v>
      </c>
      <c r="H11" s="122" t="s">
        <v>5</v>
      </c>
      <c r="I11" s="122" t="s">
        <v>5</v>
      </c>
      <c r="J11" s="122" t="s">
        <v>5</v>
      </c>
      <c r="K11" s="122" t="s">
        <v>5</v>
      </c>
      <c r="L11" s="19" t="s">
        <v>41</v>
      </c>
      <c r="M11" s="19" t="s">
        <v>42</v>
      </c>
      <c r="N11" s="114" t="s">
        <v>4</v>
      </c>
      <c r="O11" s="116" t="s">
        <v>2</v>
      </c>
      <c r="P11" s="19" t="s">
        <v>41</v>
      </c>
      <c r="Q11" s="19" t="s">
        <v>41</v>
      </c>
      <c r="R11" s="19" t="s">
        <v>41</v>
      </c>
      <c r="S11" s="19" t="s">
        <v>41</v>
      </c>
      <c r="T11" s="19" t="s">
        <v>42</v>
      </c>
      <c r="U11" s="114" t="s">
        <v>4</v>
      </c>
      <c r="V11" s="116" t="s">
        <v>2</v>
      </c>
      <c r="W11" s="19" t="s">
        <v>41</v>
      </c>
      <c r="X11" s="19" t="s">
        <v>41</v>
      </c>
      <c r="Y11" s="25" t="s">
        <v>310</v>
      </c>
      <c r="Z11" s="25" t="s">
        <v>310</v>
      </c>
      <c r="AA11" s="209" t="s">
        <v>30</v>
      </c>
      <c r="AB11" s="114" t="s">
        <v>4</v>
      </c>
      <c r="AC11" s="19" t="s">
        <v>41</v>
      </c>
      <c r="AD11" s="19" t="s">
        <v>41</v>
      </c>
      <c r="AE11" s="116" t="s">
        <v>2</v>
      </c>
      <c r="AF11" s="122" t="s">
        <v>5</v>
      </c>
      <c r="AG11" s="25" t="s">
        <v>310</v>
      </c>
      <c r="AH11" s="122" t="s">
        <v>5</v>
      </c>
    </row>
    <row r="12" spans="1:43" x14ac:dyDescent="0.35">
      <c r="A12" s="141" t="s">
        <v>71</v>
      </c>
      <c r="B12" s="19" t="s">
        <v>41</v>
      </c>
      <c r="C12" s="19" t="s">
        <v>41</v>
      </c>
      <c r="D12" s="19" t="s">
        <v>41</v>
      </c>
      <c r="E12" s="19" t="s">
        <v>41</v>
      </c>
      <c r="F12" s="19" t="s">
        <v>42</v>
      </c>
      <c r="G12" s="114" t="s">
        <v>4</v>
      </c>
      <c r="H12" s="19" t="s">
        <v>41</v>
      </c>
      <c r="I12" s="19" t="s">
        <v>41</v>
      </c>
      <c r="J12" s="19" t="s">
        <v>41</v>
      </c>
      <c r="K12" s="122" t="s">
        <v>5</v>
      </c>
      <c r="L12" s="19" t="s">
        <v>41</v>
      </c>
      <c r="M12" s="122" t="s">
        <v>5</v>
      </c>
      <c r="N12" s="114" t="s">
        <v>4</v>
      </c>
      <c r="O12" s="19" t="s">
        <v>41</v>
      </c>
      <c r="P12" s="19" t="s">
        <v>41</v>
      </c>
      <c r="Q12" s="19" t="s">
        <v>41</v>
      </c>
      <c r="R12" s="19" t="s">
        <v>41</v>
      </c>
      <c r="S12" s="19" t="s">
        <v>41</v>
      </c>
      <c r="T12" s="114" t="s">
        <v>4</v>
      </c>
      <c r="U12" s="19" t="s">
        <v>42</v>
      </c>
      <c r="V12" s="19" t="s">
        <v>41</v>
      </c>
      <c r="W12" s="19" t="s">
        <v>41</v>
      </c>
      <c r="X12" s="116" t="s">
        <v>2</v>
      </c>
      <c r="Y12" s="19" t="s">
        <v>41</v>
      </c>
      <c r="Z12" s="19" t="s">
        <v>41</v>
      </c>
      <c r="AA12" s="19" t="s">
        <v>42</v>
      </c>
      <c r="AB12" s="114" t="s">
        <v>4</v>
      </c>
      <c r="AC12" s="19" t="s">
        <v>41</v>
      </c>
      <c r="AD12" s="116" t="s">
        <v>2</v>
      </c>
      <c r="AE12" s="19" t="s">
        <v>41</v>
      </c>
      <c r="AF12" s="19" t="s">
        <v>41</v>
      </c>
      <c r="AG12" s="25" t="s">
        <v>310</v>
      </c>
    </row>
    <row r="13" spans="1:43" x14ac:dyDescent="0.35">
      <c r="A13" s="141" t="s">
        <v>69</v>
      </c>
      <c r="B13" s="19" t="s">
        <v>41</v>
      </c>
      <c r="C13" s="19" t="s">
        <v>41</v>
      </c>
      <c r="D13" s="19" t="s">
        <v>41</v>
      </c>
      <c r="E13" s="19" t="s">
        <v>41</v>
      </c>
      <c r="F13" s="114" t="s">
        <v>4</v>
      </c>
      <c r="G13" s="19" t="s">
        <v>42</v>
      </c>
      <c r="H13" s="19" t="s">
        <v>41</v>
      </c>
      <c r="I13" s="209" t="s">
        <v>16</v>
      </c>
      <c r="J13" s="209" t="s">
        <v>16</v>
      </c>
      <c r="K13" s="19" t="s">
        <v>41</v>
      </c>
      <c r="L13" s="116" t="s">
        <v>2</v>
      </c>
      <c r="M13" s="209" t="s">
        <v>30</v>
      </c>
      <c r="N13" s="114" t="s">
        <v>4</v>
      </c>
      <c r="O13" s="19" t="s">
        <v>41</v>
      </c>
      <c r="P13" s="19" t="s">
        <v>41</v>
      </c>
      <c r="Q13" s="116" t="s">
        <v>2</v>
      </c>
      <c r="R13" s="19" t="s">
        <v>41</v>
      </c>
      <c r="S13" s="19" t="s">
        <v>41</v>
      </c>
      <c r="T13" s="19" t="s">
        <v>42</v>
      </c>
      <c r="U13" s="114" t="s">
        <v>4</v>
      </c>
      <c r="V13" s="19" t="s">
        <v>41</v>
      </c>
      <c r="W13" s="116" t="s">
        <v>2</v>
      </c>
      <c r="X13" s="19" t="s">
        <v>41</v>
      </c>
      <c r="Y13" s="19" t="s">
        <v>41</v>
      </c>
      <c r="Z13" s="19" t="s">
        <v>41</v>
      </c>
      <c r="AA13" s="114" t="s">
        <v>4</v>
      </c>
      <c r="AB13" s="114" t="s">
        <v>4</v>
      </c>
      <c r="AC13" s="122" t="s">
        <v>5</v>
      </c>
      <c r="AD13" s="122" t="s">
        <v>5</v>
      </c>
      <c r="AE13" s="122" t="s">
        <v>5</v>
      </c>
      <c r="AF13" s="122" t="s">
        <v>5</v>
      </c>
      <c r="AG13" s="25" t="s">
        <v>310</v>
      </c>
    </row>
    <row r="14" spans="1:43" x14ac:dyDescent="0.35">
      <c r="A14" s="141" t="s">
        <v>152</v>
      </c>
      <c r="B14" s="19" t="s">
        <v>41</v>
      </c>
      <c r="C14" s="230" t="s">
        <v>37</v>
      </c>
      <c r="D14" s="209" t="s">
        <v>16</v>
      </c>
      <c r="E14" s="19" t="s">
        <v>41</v>
      </c>
      <c r="F14" s="209" t="s">
        <v>30</v>
      </c>
      <c r="G14" s="114" t="s">
        <v>4</v>
      </c>
      <c r="H14" s="19" t="s">
        <v>41</v>
      </c>
      <c r="I14" s="19" t="s">
        <v>41</v>
      </c>
      <c r="J14" s="19" t="s">
        <v>41</v>
      </c>
      <c r="K14" s="19" t="s">
        <v>41</v>
      </c>
      <c r="L14" s="19" t="s">
        <v>41</v>
      </c>
      <c r="M14" s="114" t="s">
        <v>4</v>
      </c>
      <c r="N14" s="19" t="s">
        <v>42</v>
      </c>
      <c r="O14" s="19" t="s">
        <v>41</v>
      </c>
      <c r="P14" s="116" t="s">
        <v>2</v>
      </c>
      <c r="Q14" s="19" t="s">
        <v>41</v>
      </c>
      <c r="R14" s="19" t="s">
        <v>41</v>
      </c>
      <c r="S14" s="19" t="s">
        <v>41</v>
      </c>
      <c r="T14" s="209" t="s">
        <v>30</v>
      </c>
      <c r="U14" s="114" t="s">
        <v>4</v>
      </c>
      <c r="V14" s="116" t="s">
        <v>2</v>
      </c>
      <c r="W14" s="209" t="s">
        <v>16</v>
      </c>
      <c r="X14" s="209" t="s">
        <v>16</v>
      </c>
      <c r="Y14" s="19" t="s">
        <v>41</v>
      </c>
      <c r="Z14" s="19" t="s">
        <v>41</v>
      </c>
      <c r="AA14" s="114" t="s">
        <v>4</v>
      </c>
      <c r="AB14" s="19" t="s">
        <v>42</v>
      </c>
      <c r="AC14" s="19" t="s">
        <v>41</v>
      </c>
      <c r="AD14" s="19" t="s">
        <v>41</v>
      </c>
      <c r="AE14" s="19" t="s">
        <v>41</v>
      </c>
      <c r="AF14" s="19" t="s">
        <v>41</v>
      </c>
      <c r="AG14" s="25" t="s">
        <v>310</v>
      </c>
      <c r="AH14" s="122" t="s">
        <v>5</v>
      </c>
      <c r="AI14" s="122" t="s">
        <v>5</v>
      </c>
      <c r="AJ14" s="122" t="s">
        <v>5</v>
      </c>
    </row>
    <row r="15" spans="1:43" x14ac:dyDescent="0.35">
      <c r="A15" s="275"/>
      <c r="B15" s="275"/>
      <c r="C15" s="275"/>
      <c r="D15" s="275"/>
      <c r="E15" s="275"/>
      <c r="F15" s="275"/>
      <c r="G15" s="275"/>
      <c r="H15" s="275"/>
      <c r="I15" s="275"/>
      <c r="J15" s="275"/>
      <c r="K15" s="275"/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  <c r="AB15" s="275"/>
      <c r="AC15" s="275"/>
      <c r="AD15" s="275"/>
      <c r="AE15" s="275"/>
      <c r="AF15" s="275"/>
    </row>
    <row r="16" spans="1:43" x14ac:dyDescent="0.35">
      <c r="A16" s="165" t="s">
        <v>57</v>
      </c>
      <c r="B16" s="122" t="s">
        <v>5</v>
      </c>
      <c r="C16" s="122" t="s">
        <v>5</v>
      </c>
      <c r="D16" s="122" t="s">
        <v>5</v>
      </c>
      <c r="E16" s="122" t="s">
        <v>5</v>
      </c>
      <c r="F16" s="114" t="s">
        <v>4</v>
      </c>
      <c r="G16" s="25" t="s">
        <v>3</v>
      </c>
      <c r="H16" s="25" t="s">
        <v>310</v>
      </c>
      <c r="I16" s="25" t="s">
        <v>310</v>
      </c>
      <c r="J16" s="116" t="s">
        <v>2</v>
      </c>
      <c r="K16" s="25" t="s">
        <v>310</v>
      </c>
      <c r="L16" s="25" t="s">
        <v>310</v>
      </c>
      <c r="M16" s="25" t="s">
        <v>3</v>
      </c>
      <c r="N16" s="25" t="s">
        <v>3</v>
      </c>
      <c r="O16" s="122" t="s">
        <v>5</v>
      </c>
      <c r="P16" s="122" t="s">
        <v>5</v>
      </c>
      <c r="Q16" s="122" t="s">
        <v>5</v>
      </c>
      <c r="R16" s="122" t="s">
        <v>5</v>
      </c>
      <c r="S16" s="25" t="s">
        <v>310</v>
      </c>
      <c r="T16" s="25" t="s">
        <v>3</v>
      </c>
      <c r="U16" s="114" t="s">
        <v>4</v>
      </c>
      <c r="V16" s="116" t="s">
        <v>2</v>
      </c>
      <c r="W16" s="25" t="s">
        <v>310</v>
      </c>
      <c r="X16" s="25" t="s">
        <v>310</v>
      </c>
      <c r="Y16" s="116" t="s">
        <v>2</v>
      </c>
      <c r="Z16" s="19" t="s">
        <v>41</v>
      </c>
      <c r="AA16" s="25" t="s">
        <v>3</v>
      </c>
      <c r="AB16" s="114" t="s">
        <v>4</v>
      </c>
      <c r="AC16" s="116" t="s">
        <v>2</v>
      </c>
      <c r="AD16" s="25" t="s">
        <v>310</v>
      </c>
      <c r="AE16" s="25" t="s">
        <v>310</v>
      </c>
      <c r="AF16" s="25" t="s">
        <v>310</v>
      </c>
      <c r="AG16" s="16" t="s">
        <v>10</v>
      </c>
    </row>
    <row r="17" spans="1:43" x14ac:dyDescent="0.35">
      <c r="A17" s="165" t="s">
        <v>43</v>
      </c>
      <c r="B17" s="25" t="s">
        <v>310</v>
      </c>
      <c r="C17" s="25" t="s">
        <v>310</v>
      </c>
      <c r="D17" s="25" t="s">
        <v>310</v>
      </c>
      <c r="E17" s="25" t="s">
        <v>310</v>
      </c>
      <c r="F17" s="25" t="s">
        <v>3</v>
      </c>
      <c r="G17" s="122" t="s">
        <v>5</v>
      </c>
      <c r="H17" s="122" t="s">
        <v>5</v>
      </c>
      <c r="I17" s="122" t="s">
        <v>5</v>
      </c>
      <c r="J17" s="122" t="s">
        <v>5</v>
      </c>
      <c r="K17" s="122" t="s">
        <v>5</v>
      </c>
      <c r="L17" s="122" t="s">
        <v>5</v>
      </c>
      <c r="M17" s="122" t="s">
        <v>5</v>
      </c>
      <c r="N17" s="122" t="s">
        <v>5</v>
      </c>
      <c r="O17" s="25" t="s">
        <v>310</v>
      </c>
      <c r="P17" s="25" t="s">
        <v>310</v>
      </c>
      <c r="Q17" s="25" t="s">
        <v>310</v>
      </c>
      <c r="R17" s="25" t="s">
        <v>310</v>
      </c>
      <c r="S17" s="25" t="s">
        <v>310</v>
      </c>
      <c r="T17" s="114" t="s">
        <v>4</v>
      </c>
      <c r="U17" s="25" t="s">
        <v>3</v>
      </c>
      <c r="V17" s="25" t="s">
        <v>310</v>
      </c>
      <c r="W17" s="25" t="s">
        <v>310</v>
      </c>
      <c r="X17" s="116" t="s">
        <v>2</v>
      </c>
      <c r="Y17" s="25" t="s">
        <v>310</v>
      </c>
      <c r="Z17" s="25" t="s">
        <v>310</v>
      </c>
      <c r="AA17" s="114" t="s">
        <v>4</v>
      </c>
      <c r="AB17" s="25" t="s">
        <v>3</v>
      </c>
      <c r="AC17" s="25" t="s">
        <v>310</v>
      </c>
      <c r="AD17" s="25" t="s">
        <v>310</v>
      </c>
      <c r="AE17" s="25" t="s">
        <v>310</v>
      </c>
      <c r="AF17" s="116" t="s">
        <v>2</v>
      </c>
      <c r="AG17" s="16" t="s">
        <v>10</v>
      </c>
    </row>
    <row r="18" spans="1:43" x14ac:dyDescent="0.35">
      <c r="A18" s="141" t="s">
        <v>68</v>
      </c>
      <c r="B18" s="122" t="s">
        <v>5</v>
      </c>
      <c r="C18" s="230" t="s">
        <v>37</v>
      </c>
      <c r="D18" s="25" t="s">
        <v>310</v>
      </c>
      <c r="E18" s="25" t="s">
        <v>310</v>
      </c>
      <c r="F18" s="25" t="s">
        <v>3</v>
      </c>
      <c r="G18" s="114" t="s">
        <v>4</v>
      </c>
      <c r="H18" s="116" t="s">
        <v>2</v>
      </c>
      <c r="I18" s="25" t="s">
        <v>310</v>
      </c>
      <c r="J18" s="25" t="s">
        <v>310</v>
      </c>
      <c r="K18" s="25" t="s">
        <v>310</v>
      </c>
      <c r="L18" s="25" t="s">
        <v>310</v>
      </c>
      <c r="M18" s="25" t="s">
        <v>3</v>
      </c>
      <c r="N18" s="114" t="s">
        <v>4</v>
      </c>
      <c r="O18" s="116" t="s">
        <v>2</v>
      </c>
      <c r="P18" s="209" t="s">
        <v>16</v>
      </c>
      <c r="Q18" s="25" t="s">
        <v>310</v>
      </c>
      <c r="R18" s="25" t="s">
        <v>310</v>
      </c>
      <c r="S18" s="122" t="s">
        <v>5</v>
      </c>
      <c r="T18" s="122" t="s">
        <v>5</v>
      </c>
      <c r="U18" s="122" t="s">
        <v>5</v>
      </c>
      <c r="V18" s="122" t="s">
        <v>5</v>
      </c>
      <c r="W18" s="122" t="s">
        <v>5</v>
      </c>
      <c r="X18" s="122" t="s">
        <v>5</v>
      </c>
      <c r="Y18" s="122" t="s">
        <v>5</v>
      </c>
      <c r="Z18" s="122" t="s">
        <v>5</v>
      </c>
      <c r="AA18" s="122" t="s">
        <v>5</v>
      </c>
      <c r="AB18" s="122" t="s">
        <v>5</v>
      </c>
      <c r="AC18" s="25" t="s">
        <v>310</v>
      </c>
      <c r="AD18" s="25" t="s">
        <v>310</v>
      </c>
      <c r="AE18" s="25" t="s">
        <v>310</v>
      </c>
      <c r="AF18" s="25" t="s">
        <v>310</v>
      </c>
      <c r="AG18" s="16" t="s">
        <v>10</v>
      </c>
    </row>
    <row r="19" spans="1:43" x14ac:dyDescent="0.35">
      <c r="A19" s="141" t="s">
        <v>60</v>
      </c>
      <c r="B19" s="25" t="s">
        <v>310</v>
      </c>
      <c r="C19" s="25" t="s">
        <v>310</v>
      </c>
      <c r="D19" s="122" t="s">
        <v>5</v>
      </c>
      <c r="E19" s="122" t="s">
        <v>5</v>
      </c>
      <c r="F19" s="122" t="s">
        <v>5</v>
      </c>
      <c r="G19" s="25" t="s">
        <v>3</v>
      </c>
      <c r="H19" s="25" t="s">
        <v>310</v>
      </c>
      <c r="I19" s="116" t="s">
        <v>2</v>
      </c>
      <c r="J19" s="25" t="s">
        <v>310</v>
      </c>
      <c r="K19" s="25" t="s">
        <v>310</v>
      </c>
      <c r="L19" s="25" t="s">
        <v>310</v>
      </c>
      <c r="M19" s="114" t="s">
        <v>4</v>
      </c>
      <c r="N19" s="25" t="s">
        <v>3</v>
      </c>
      <c r="O19" s="25" t="s">
        <v>310</v>
      </c>
      <c r="P19" s="25" t="s">
        <v>310</v>
      </c>
      <c r="Q19" s="122" t="s">
        <v>5</v>
      </c>
      <c r="R19" s="122" t="s">
        <v>5</v>
      </c>
      <c r="S19" s="122" t="s">
        <v>5</v>
      </c>
      <c r="T19" s="122" t="s">
        <v>5</v>
      </c>
      <c r="U19" s="25" t="s">
        <v>3</v>
      </c>
      <c r="V19" s="25" t="s">
        <v>310</v>
      </c>
      <c r="W19" s="116" t="s">
        <v>2</v>
      </c>
      <c r="X19" s="25" t="s">
        <v>310</v>
      </c>
      <c r="Y19" s="25" t="s">
        <v>310</v>
      </c>
      <c r="Z19" s="25" t="s">
        <v>310</v>
      </c>
      <c r="AA19" s="25" t="s">
        <v>3</v>
      </c>
      <c r="AB19" s="25" t="s">
        <v>3</v>
      </c>
      <c r="AC19" s="116" t="s">
        <v>2</v>
      </c>
      <c r="AD19" s="116" t="s">
        <v>2</v>
      </c>
      <c r="AE19" s="25" t="s">
        <v>310</v>
      </c>
      <c r="AF19" s="25" t="s">
        <v>310</v>
      </c>
      <c r="AG19" s="16" t="s">
        <v>10</v>
      </c>
    </row>
    <row r="20" spans="1:43" x14ac:dyDescent="0.35">
      <c r="A20" s="141" t="s">
        <v>149</v>
      </c>
      <c r="B20" s="25" t="s">
        <v>310</v>
      </c>
      <c r="C20" s="25" t="s">
        <v>310</v>
      </c>
      <c r="D20" s="25" t="s">
        <v>310</v>
      </c>
      <c r="E20" s="25" t="s">
        <v>310</v>
      </c>
      <c r="F20" s="114" t="s">
        <v>4</v>
      </c>
      <c r="G20" s="114" t="s">
        <v>4</v>
      </c>
      <c r="H20" s="25" t="s">
        <v>310</v>
      </c>
      <c r="I20" s="25" t="s">
        <v>310</v>
      </c>
      <c r="J20" s="25" t="s">
        <v>310</v>
      </c>
      <c r="K20" s="116" t="s">
        <v>2</v>
      </c>
      <c r="L20" s="116" t="s">
        <v>2</v>
      </c>
      <c r="M20" s="122" t="s">
        <v>5</v>
      </c>
      <c r="N20" s="122" t="s">
        <v>5</v>
      </c>
      <c r="O20" s="25" t="s">
        <v>310</v>
      </c>
      <c r="P20" s="25" t="s">
        <v>310</v>
      </c>
      <c r="Q20" s="25" t="s">
        <v>310</v>
      </c>
      <c r="R20" s="25" t="s">
        <v>310</v>
      </c>
      <c r="S20" s="25" t="s">
        <v>310</v>
      </c>
      <c r="T20" s="25" t="s">
        <v>3</v>
      </c>
      <c r="U20" s="114" t="s">
        <v>4</v>
      </c>
      <c r="V20" s="25" t="s">
        <v>310</v>
      </c>
      <c r="W20" s="25" t="s">
        <v>310</v>
      </c>
      <c r="X20" s="25" t="s">
        <v>310</v>
      </c>
      <c r="Y20" s="122" t="s">
        <v>5</v>
      </c>
      <c r="Z20" s="122" t="s">
        <v>5</v>
      </c>
      <c r="AA20" s="122" t="s">
        <v>5</v>
      </c>
      <c r="AB20" s="114" t="s">
        <v>4</v>
      </c>
      <c r="AC20" s="25" t="s">
        <v>310</v>
      </c>
      <c r="AD20" s="25" t="s">
        <v>310</v>
      </c>
      <c r="AE20" s="209" t="s">
        <v>16</v>
      </c>
      <c r="AF20" s="116" t="s">
        <v>2</v>
      </c>
      <c r="AG20" s="19" t="s">
        <v>41</v>
      </c>
    </row>
    <row r="21" spans="1:43" x14ac:dyDescent="0.35">
      <c r="A21" s="141" t="s">
        <v>308</v>
      </c>
      <c r="B21" s="122" t="s">
        <v>5</v>
      </c>
      <c r="C21" s="230" t="s">
        <v>37</v>
      </c>
      <c r="D21" s="122" t="s">
        <v>5</v>
      </c>
      <c r="E21" s="122" t="s">
        <v>5</v>
      </c>
      <c r="F21" s="114" t="s">
        <v>4</v>
      </c>
      <c r="G21" s="122" t="s">
        <v>5</v>
      </c>
      <c r="H21" s="122" t="s">
        <v>5</v>
      </c>
      <c r="I21" s="122" t="s">
        <v>5</v>
      </c>
      <c r="J21" s="122" t="s">
        <v>5</v>
      </c>
      <c r="K21" s="122" t="s">
        <v>5</v>
      </c>
      <c r="L21" s="122" t="s">
        <v>5</v>
      </c>
      <c r="M21" s="122" t="s">
        <v>5</v>
      </c>
      <c r="N21" s="122" t="s">
        <v>5</v>
      </c>
      <c r="O21" s="209" t="s">
        <v>16</v>
      </c>
      <c r="P21" s="209" t="s">
        <v>16</v>
      </c>
      <c r="Q21" s="25" t="s">
        <v>310</v>
      </c>
      <c r="R21" s="25" t="s">
        <v>310</v>
      </c>
      <c r="S21" s="25" t="s">
        <v>310</v>
      </c>
      <c r="T21" s="114" t="s">
        <v>4</v>
      </c>
      <c r="U21" s="114" t="s">
        <v>4</v>
      </c>
      <c r="V21" s="209" t="s">
        <v>16</v>
      </c>
      <c r="W21" s="209" t="s">
        <v>16</v>
      </c>
      <c r="X21" s="209" t="s">
        <v>16</v>
      </c>
      <c r="Y21" s="209" t="s">
        <v>16</v>
      </c>
      <c r="Z21" s="209" t="s">
        <v>16</v>
      </c>
      <c r="AA21" s="114" t="s">
        <v>4</v>
      </c>
      <c r="AB21" s="114" t="s">
        <v>4</v>
      </c>
      <c r="AC21" s="209" t="s">
        <v>16</v>
      </c>
      <c r="AD21" s="209" t="s">
        <v>16</v>
      </c>
      <c r="AE21" s="209" t="s">
        <v>16</v>
      </c>
      <c r="AF21" s="209" t="s">
        <v>16</v>
      </c>
      <c r="AG21" s="16" t="s">
        <v>10</v>
      </c>
    </row>
    <row r="23" spans="1:43" x14ac:dyDescent="0.35">
      <c r="A23" s="264" t="s">
        <v>350</v>
      </c>
    </row>
    <row r="24" spans="1:43" x14ac:dyDescent="0.35">
      <c r="A24" s="141" t="s">
        <v>347</v>
      </c>
      <c r="B24" s="19" t="s">
        <v>41</v>
      </c>
      <c r="C24" s="230" t="s">
        <v>37</v>
      </c>
      <c r="D24" s="16" t="s">
        <v>10</v>
      </c>
      <c r="E24" s="16" t="s">
        <v>10</v>
      </c>
      <c r="F24" s="114" t="s">
        <v>4</v>
      </c>
      <c r="G24" s="25" t="s">
        <v>3</v>
      </c>
      <c r="H24" s="19" t="s">
        <v>41</v>
      </c>
      <c r="I24" s="25" t="s">
        <v>3</v>
      </c>
      <c r="J24" s="122" t="s">
        <v>5</v>
      </c>
      <c r="K24" s="122" t="s">
        <v>5</v>
      </c>
      <c r="L24" s="122" t="s">
        <v>5</v>
      </c>
      <c r="M24" s="114" t="s">
        <v>4</v>
      </c>
      <c r="N24" s="114" t="s">
        <v>4</v>
      </c>
      <c r="O24" s="122" t="s">
        <v>5</v>
      </c>
      <c r="P24" s="122" t="s">
        <v>5</v>
      </c>
      <c r="Q24" s="122" t="s">
        <v>5</v>
      </c>
      <c r="R24" s="122" t="s">
        <v>5</v>
      </c>
      <c r="S24" s="122" t="s">
        <v>5</v>
      </c>
      <c r="T24" s="25" t="s">
        <v>3</v>
      </c>
      <c r="U24" s="114" t="s">
        <v>4</v>
      </c>
      <c r="V24" s="16" t="s">
        <v>10</v>
      </c>
      <c r="W24" s="16" t="s">
        <v>10</v>
      </c>
      <c r="X24" s="16" t="s">
        <v>10</v>
      </c>
      <c r="Y24" s="16" t="s">
        <v>10</v>
      </c>
      <c r="Z24" s="16" t="s">
        <v>10</v>
      </c>
      <c r="AA24" s="114" t="s">
        <v>4</v>
      </c>
      <c r="AB24" s="114" t="s">
        <v>4</v>
      </c>
      <c r="AC24" s="16" t="s">
        <v>10</v>
      </c>
      <c r="AD24" s="16" t="s">
        <v>10</v>
      </c>
      <c r="AE24" s="16" t="s">
        <v>10</v>
      </c>
      <c r="AF24" s="122" t="s">
        <v>5</v>
      </c>
      <c r="AL24">
        <f>COUNTIF(B24:AF24, "*NS*")</f>
        <v>10</v>
      </c>
      <c r="AM24">
        <f>COUNTIF(B24:AG24, "*C*")</f>
        <v>0</v>
      </c>
      <c r="AN24">
        <f>COUNTIF(B24:AH24, "*WO*")</f>
        <v>6</v>
      </c>
      <c r="AO24">
        <f t="shared" ref="AO24:AO27" si="6">COUNTIF(B24:AI24, "*PL*")</f>
        <v>9</v>
      </c>
      <c r="AQ24">
        <f>AM24+AN24</f>
        <v>6</v>
      </c>
    </row>
    <row r="25" spans="1:43" x14ac:dyDescent="0.35">
      <c r="A25" s="141" t="s">
        <v>348</v>
      </c>
      <c r="B25" s="25" t="s">
        <v>310</v>
      </c>
      <c r="C25" s="25" t="s">
        <v>310</v>
      </c>
      <c r="D25" s="25" t="s">
        <v>310</v>
      </c>
      <c r="E25" s="116" t="s">
        <v>2</v>
      </c>
      <c r="F25" s="114" t="s">
        <v>4</v>
      </c>
      <c r="G25" s="19" t="s">
        <v>41</v>
      </c>
      <c r="H25" s="25" t="s">
        <v>310</v>
      </c>
      <c r="I25" s="19" t="s">
        <v>41</v>
      </c>
      <c r="J25" s="25" t="s">
        <v>310</v>
      </c>
      <c r="K25" s="25" t="s">
        <v>310</v>
      </c>
      <c r="L25" s="116" t="s">
        <v>2</v>
      </c>
      <c r="M25" s="25" t="s">
        <v>3</v>
      </c>
      <c r="N25" s="114" t="s">
        <v>4</v>
      </c>
      <c r="O25" s="16" t="s">
        <v>10</v>
      </c>
      <c r="P25" s="16" t="s">
        <v>10</v>
      </c>
      <c r="Q25" s="16" t="s">
        <v>10</v>
      </c>
      <c r="R25" s="16" t="s">
        <v>10</v>
      </c>
      <c r="S25" s="16" t="s">
        <v>10</v>
      </c>
      <c r="T25" s="114" t="s">
        <v>4</v>
      </c>
      <c r="U25" s="19" t="s">
        <v>42</v>
      </c>
      <c r="V25" s="19" t="s">
        <v>42</v>
      </c>
      <c r="W25" s="19" t="s">
        <v>42</v>
      </c>
      <c r="X25" s="19" t="s">
        <v>42</v>
      </c>
      <c r="Y25" s="19" t="s">
        <v>42</v>
      </c>
      <c r="Z25" s="116" t="s">
        <v>2</v>
      </c>
      <c r="AA25" s="114" t="s">
        <v>4</v>
      </c>
      <c r="AB25" s="209" t="s">
        <v>30</v>
      </c>
      <c r="AC25" s="25" t="s">
        <v>310</v>
      </c>
      <c r="AD25" s="25" t="s">
        <v>310</v>
      </c>
      <c r="AE25" s="116" t="s">
        <v>2</v>
      </c>
      <c r="AF25" s="25" t="s">
        <v>310</v>
      </c>
      <c r="AL25">
        <f t="shared" ref="AL25:AL27" si="7">COUNTIF(B25:AF25, "*NS*")</f>
        <v>5</v>
      </c>
      <c r="AM25">
        <f t="shared" ref="AM25:AM27" si="8">COUNTIF(B25:AG25, "*C*")</f>
        <v>4</v>
      </c>
      <c r="AN25">
        <f t="shared" ref="AN25:AN27" si="9">COUNTIF(B25:AH25, "*WO*")</f>
        <v>4</v>
      </c>
      <c r="AO25">
        <f t="shared" si="6"/>
        <v>0</v>
      </c>
      <c r="AQ25">
        <f t="shared" ref="AQ25:AQ27" si="10">AM25+AN25</f>
        <v>8</v>
      </c>
    </row>
    <row r="26" spans="1:43" x14ac:dyDescent="0.35">
      <c r="A26" s="141" t="s">
        <v>351</v>
      </c>
      <c r="B26" s="209" t="s">
        <v>16</v>
      </c>
      <c r="C26" s="19" t="s">
        <v>41</v>
      </c>
      <c r="D26" s="19" t="s">
        <v>41</v>
      </c>
      <c r="E26" s="19" t="s">
        <v>41</v>
      </c>
      <c r="F26" s="19" t="s">
        <v>42</v>
      </c>
      <c r="G26" s="114" t="s">
        <v>4</v>
      </c>
      <c r="H26" s="16" t="s">
        <v>10</v>
      </c>
      <c r="I26" s="16" t="s">
        <v>10</v>
      </c>
      <c r="J26" s="16" t="s">
        <v>10</v>
      </c>
      <c r="K26" s="16" t="s">
        <v>10</v>
      </c>
      <c r="L26" s="16" t="s">
        <v>10</v>
      </c>
      <c r="M26" s="114" t="s">
        <v>4</v>
      </c>
      <c r="N26" s="209" t="s">
        <v>30</v>
      </c>
      <c r="O26" s="25" t="s">
        <v>310</v>
      </c>
      <c r="P26" s="25" t="s">
        <v>310</v>
      </c>
      <c r="Q26" s="25" t="s">
        <v>310</v>
      </c>
      <c r="R26" s="19" t="s">
        <v>41</v>
      </c>
      <c r="S26" s="116" t="s">
        <v>2</v>
      </c>
      <c r="T26" s="114" t="s">
        <v>4</v>
      </c>
      <c r="U26" s="25" t="s">
        <v>3</v>
      </c>
      <c r="V26" s="25" t="s">
        <v>310</v>
      </c>
      <c r="W26" s="116" t="s">
        <v>2</v>
      </c>
      <c r="X26" s="116" t="s">
        <v>2</v>
      </c>
      <c r="Y26" s="25" t="s">
        <v>310</v>
      </c>
      <c r="Z26" s="25" t="s">
        <v>310</v>
      </c>
      <c r="AA26" s="25" t="s">
        <v>3</v>
      </c>
      <c r="AB26" s="114" t="s">
        <v>4</v>
      </c>
      <c r="AC26" s="116" t="s">
        <v>2</v>
      </c>
      <c r="AD26" s="122" t="s">
        <v>5</v>
      </c>
      <c r="AE26" s="25" t="s">
        <v>310</v>
      </c>
      <c r="AF26" s="16" t="s">
        <v>10</v>
      </c>
      <c r="AL26">
        <f t="shared" si="7"/>
        <v>6</v>
      </c>
      <c r="AM26">
        <f t="shared" si="8"/>
        <v>4</v>
      </c>
      <c r="AN26">
        <f t="shared" si="9"/>
        <v>4</v>
      </c>
      <c r="AO26">
        <f t="shared" si="6"/>
        <v>1</v>
      </c>
      <c r="AQ26">
        <f t="shared" si="10"/>
        <v>8</v>
      </c>
    </row>
    <row r="27" spans="1:43" x14ac:dyDescent="0.35">
      <c r="A27" s="141" t="s">
        <v>349</v>
      </c>
      <c r="B27" s="16" t="s">
        <v>10</v>
      </c>
      <c r="C27" s="16" t="s">
        <v>10</v>
      </c>
      <c r="D27" s="116" t="s">
        <v>2</v>
      </c>
      <c r="E27" s="25" t="s">
        <v>310</v>
      </c>
      <c r="F27" s="25" t="s">
        <v>3</v>
      </c>
      <c r="G27" s="122" t="s">
        <v>5</v>
      </c>
      <c r="H27" s="122" t="s">
        <v>5</v>
      </c>
      <c r="I27" s="122" t="s">
        <v>5</v>
      </c>
      <c r="J27" s="19" t="s">
        <v>41</v>
      </c>
      <c r="K27" s="19" t="s">
        <v>41</v>
      </c>
      <c r="L27" s="19" t="s">
        <v>41</v>
      </c>
      <c r="M27" s="19" t="s">
        <v>42</v>
      </c>
      <c r="N27" s="114" t="s">
        <v>4</v>
      </c>
      <c r="O27" s="19" t="s">
        <v>41</v>
      </c>
      <c r="P27" s="19" t="s">
        <v>41</v>
      </c>
      <c r="Q27" s="116" t="s">
        <v>2</v>
      </c>
      <c r="R27" s="25" t="s">
        <v>310</v>
      </c>
      <c r="S27" s="19" t="s">
        <v>41</v>
      </c>
      <c r="T27" s="19" t="s">
        <v>42</v>
      </c>
      <c r="U27" s="114" t="s">
        <v>4</v>
      </c>
      <c r="V27" s="116" t="s">
        <v>2</v>
      </c>
      <c r="W27" s="25" t="s">
        <v>310</v>
      </c>
      <c r="X27" s="25" t="s">
        <v>310</v>
      </c>
      <c r="Y27" s="209" t="s">
        <v>16</v>
      </c>
      <c r="Z27" s="19" t="s">
        <v>41</v>
      </c>
      <c r="AA27" s="19" t="s">
        <v>42</v>
      </c>
      <c r="AB27" s="114" t="s">
        <v>4</v>
      </c>
      <c r="AC27" s="19" t="s">
        <v>41</v>
      </c>
      <c r="AD27" s="19" t="s">
        <v>41</v>
      </c>
      <c r="AE27" s="19" t="s">
        <v>41</v>
      </c>
      <c r="AF27" s="19" t="s">
        <v>41</v>
      </c>
      <c r="AL27">
        <f t="shared" si="7"/>
        <v>2</v>
      </c>
      <c r="AM27">
        <f t="shared" si="8"/>
        <v>3</v>
      </c>
      <c r="AN27">
        <f t="shared" si="9"/>
        <v>3</v>
      </c>
      <c r="AO27">
        <f t="shared" si="6"/>
        <v>3</v>
      </c>
      <c r="AQ27">
        <f t="shared" si="10"/>
        <v>6</v>
      </c>
    </row>
    <row r="29" spans="1:43" x14ac:dyDescent="0.35">
      <c r="A29" s="128" t="s">
        <v>311</v>
      </c>
      <c r="B29">
        <f>COUNTIF(B4:B21,"*MSF3")</f>
        <v>3</v>
      </c>
      <c r="C29">
        <f t="shared" ref="C29:D29" si="11">COUNTIF(C4:C21,"*MSF3")</f>
        <v>3</v>
      </c>
      <c r="D29">
        <f t="shared" si="11"/>
        <v>3</v>
      </c>
      <c r="E29">
        <f t="shared" ref="E29" si="12">COUNTIF(E4:E21,"*MSF3")</f>
        <v>3</v>
      </c>
      <c r="F29">
        <f>COUNTIF(F4:F21,"*WMS")</f>
        <v>2</v>
      </c>
      <c r="G29">
        <f>COUNTIF(G4:G21,"*WMS")</f>
        <v>2</v>
      </c>
      <c r="H29">
        <f t="shared" ref="H29:L29" si="13">COUNTIF(H4:H21,"*MSF3")</f>
        <v>3</v>
      </c>
      <c r="I29">
        <f t="shared" si="13"/>
        <v>3</v>
      </c>
      <c r="J29">
        <f t="shared" si="13"/>
        <v>3</v>
      </c>
      <c r="K29">
        <f t="shared" si="13"/>
        <v>3</v>
      </c>
      <c r="L29">
        <f t="shared" si="13"/>
        <v>3</v>
      </c>
      <c r="M29">
        <f t="shared" ref="M29:N29" si="14">COUNTIF(M4:M21,"*WMS")</f>
        <v>2</v>
      </c>
      <c r="N29">
        <f t="shared" si="14"/>
        <v>2</v>
      </c>
      <c r="O29">
        <f t="shared" ref="O29:S29" si="15">COUNTIF(O4:O21,"*MSF3")</f>
        <v>3</v>
      </c>
      <c r="P29">
        <f t="shared" si="15"/>
        <v>3</v>
      </c>
      <c r="Q29">
        <f t="shared" si="15"/>
        <v>4</v>
      </c>
      <c r="R29">
        <f t="shared" si="15"/>
        <v>4</v>
      </c>
      <c r="S29">
        <f t="shared" si="15"/>
        <v>4</v>
      </c>
      <c r="T29">
        <f t="shared" ref="T29:U29" si="16">COUNTIF(T4:T21,"*WMS")</f>
        <v>2</v>
      </c>
      <c r="U29">
        <f t="shared" si="16"/>
        <v>2</v>
      </c>
      <c r="V29">
        <f t="shared" ref="V29:Z29" si="17">COUNTIF(V4:V21,"*MSF3")</f>
        <v>3</v>
      </c>
      <c r="W29">
        <f t="shared" si="17"/>
        <v>3</v>
      </c>
      <c r="X29">
        <f t="shared" si="17"/>
        <v>3</v>
      </c>
      <c r="Y29">
        <f t="shared" si="17"/>
        <v>3</v>
      </c>
      <c r="Z29">
        <f t="shared" si="17"/>
        <v>3</v>
      </c>
      <c r="AA29">
        <f t="shared" ref="AA29:AB29" si="18">COUNTIF(AA4:AA21,"*WMS")</f>
        <v>2</v>
      </c>
      <c r="AB29">
        <f t="shared" si="18"/>
        <v>2</v>
      </c>
      <c r="AC29">
        <f t="shared" ref="AC29:AG29" si="19">COUNTIF(AC4:AC21,"*MSF3")</f>
        <v>3</v>
      </c>
      <c r="AD29">
        <f t="shared" si="19"/>
        <v>4</v>
      </c>
      <c r="AE29">
        <f t="shared" si="19"/>
        <v>4</v>
      </c>
      <c r="AF29">
        <f t="shared" si="19"/>
        <v>3</v>
      </c>
      <c r="AG29">
        <f t="shared" si="19"/>
        <v>4</v>
      </c>
      <c r="AH29">
        <f t="shared" ref="AH29:AI29" si="20">COUNTIF(AH4:AH21,"*WMS")</f>
        <v>0</v>
      </c>
      <c r="AI29">
        <f t="shared" si="20"/>
        <v>0</v>
      </c>
    </row>
    <row r="30" spans="1:43" x14ac:dyDescent="0.35">
      <c r="A30" s="128" t="s">
        <v>126</v>
      </c>
      <c r="B30">
        <f t="shared" ref="B30" si="21">COUNTIF(B4:B21,"*ASS1")</f>
        <v>3</v>
      </c>
      <c r="C30">
        <f t="shared" ref="C30:D30" si="22">COUNTIF(C4:C21,"*ASS1")</f>
        <v>3</v>
      </c>
      <c r="D30">
        <f t="shared" si="22"/>
        <v>3</v>
      </c>
      <c r="E30">
        <f t="shared" ref="E30:G30" si="23">COUNTIF(E4:E21,"*ASS1")</f>
        <v>3</v>
      </c>
      <c r="F30">
        <f t="shared" si="23"/>
        <v>2</v>
      </c>
      <c r="G30">
        <f t="shared" si="23"/>
        <v>2</v>
      </c>
      <c r="H30">
        <f t="shared" ref="H30:N30" si="24">COUNTIF(H4:H21,"*ASS1")</f>
        <v>3</v>
      </c>
      <c r="I30">
        <f t="shared" si="24"/>
        <v>3</v>
      </c>
      <c r="J30">
        <f t="shared" si="24"/>
        <v>3</v>
      </c>
      <c r="K30">
        <f t="shared" si="24"/>
        <v>3</v>
      </c>
      <c r="L30">
        <f t="shared" si="24"/>
        <v>3</v>
      </c>
      <c r="M30">
        <f t="shared" si="24"/>
        <v>2</v>
      </c>
      <c r="N30">
        <f t="shared" si="24"/>
        <v>2</v>
      </c>
      <c r="O30">
        <f t="shared" ref="O30:AI30" si="25">COUNTIF(O4:O21,"*ASS1")</f>
        <v>3</v>
      </c>
      <c r="P30">
        <f t="shared" si="25"/>
        <v>3</v>
      </c>
      <c r="Q30">
        <f t="shared" si="25"/>
        <v>3</v>
      </c>
      <c r="R30">
        <f t="shared" si="25"/>
        <v>4</v>
      </c>
      <c r="S30">
        <f t="shared" si="25"/>
        <v>4</v>
      </c>
      <c r="T30">
        <f t="shared" si="25"/>
        <v>2</v>
      </c>
      <c r="U30">
        <f t="shared" si="25"/>
        <v>2</v>
      </c>
      <c r="V30">
        <f t="shared" si="25"/>
        <v>3</v>
      </c>
      <c r="W30">
        <f t="shared" si="25"/>
        <v>3</v>
      </c>
      <c r="X30">
        <f t="shared" si="25"/>
        <v>3</v>
      </c>
      <c r="Y30">
        <f t="shared" si="25"/>
        <v>4</v>
      </c>
      <c r="Z30">
        <f t="shared" si="25"/>
        <v>4</v>
      </c>
      <c r="AA30">
        <f t="shared" si="25"/>
        <v>2</v>
      </c>
      <c r="AB30">
        <f t="shared" si="25"/>
        <v>2</v>
      </c>
      <c r="AC30">
        <f t="shared" si="25"/>
        <v>3</v>
      </c>
      <c r="AD30">
        <f t="shared" si="25"/>
        <v>3</v>
      </c>
      <c r="AE30">
        <f t="shared" si="25"/>
        <v>3</v>
      </c>
      <c r="AF30">
        <f t="shared" si="25"/>
        <v>3</v>
      </c>
      <c r="AG30">
        <f t="shared" si="25"/>
        <v>3</v>
      </c>
      <c r="AH30">
        <f t="shared" si="25"/>
        <v>0</v>
      </c>
      <c r="AI30">
        <f t="shared" si="25"/>
        <v>0</v>
      </c>
    </row>
    <row r="31" spans="1:43" x14ac:dyDescent="0.35">
      <c r="A31" s="128" t="s">
        <v>127</v>
      </c>
      <c r="B31">
        <f t="shared" ref="B31" si="26">COUNTIF(B4:B21,"*NST7")</f>
        <v>4</v>
      </c>
      <c r="C31">
        <f t="shared" ref="C31:D31" si="27">COUNTIF(C4:C21,"*NST7")</f>
        <v>3</v>
      </c>
      <c r="D31">
        <f t="shared" si="27"/>
        <v>4</v>
      </c>
      <c r="E31">
        <f t="shared" ref="E31:G31" si="28">COUNTIF(E4:E21,"*NST7")</f>
        <v>4</v>
      </c>
      <c r="F31">
        <f t="shared" si="28"/>
        <v>3</v>
      </c>
      <c r="G31">
        <f t="shared" si="28"/>
        <v>3</v>
      </c>
      <c r="H31">
        <f t="shared" ref="H31:N31" si="29">COUNTIF(H4:H21,"*NST7")</f>
        <v>4</v>
      </c>
      <c r="I31">
        <f t="shared" si="29"/>
        <v>4</v>
      </c>
      <c r="J31">
        <f t="shared" si="29"/>
        <v>3</v>
      </c>
      <c r="K31">
        <f t="shared" si="29"/>
        <v>3</v>
      </c>
      <c r="L31">
        <f t="shared" si="29"/>
        <v>3</v>
      </c>
      <c r="M31">
        <f t="shared" si="29"/>
        <v>3</v>
      </c>
      <c r="N31">
        <f t="shared" si="29"/>
        <v>3</v>
      </c>
      <c r="O31">
        <f t="shared" ref="O31:AI31" si="30">COUNTIF(O4:O21,"*NST7")</f>
        <v>4</v>
      </c>
      <c r="P31">
        <f t="shared" si="30"/>
        <v>3</v>
      </c>
      <c r="Q31">
        <f t="shared" si="30"/>
        <v>3</v>
      </c>
      <c r="R31">
        <f t="shared" si="30"/>
        <v>3</v>
      </c>
      <c r="S31">
        <f t="shared" si="30"/>
        <v>4</v>
      </c>
      <c r="T31">
        <f t="shared" si="30"/>
        <v>3</v>
      </c>
      <c r="U31">
        <f t="shared" si="30"/>
        <v>3</v>
      </c>
      <c r="V31">
        <f t="shared" si="30"/>
        <v>4</v>
      </c>
      <c r="W31">
        <f t="shared" si="30"/>
        <v>4</v>
      </c>
      <c r="X31">
        <f t="shared" si="30"/>
        <v>4</v>
      </c>
      <c r="Y31">
        <f t="shared" si="30"/>
        <v>3</v>
      </c>
      <c r="Z31">
        <f t="shared" si="30"/>
        <v>4</v>
      </c>
      <c r="AA31">
        <f t="shared" si="30"/>
        <v>3</v>
      </c>
      <c r="AB31">
        <f t="shared" si="30"/>
        <v>3</v>
      </c>
      <c r="AC31">
        <f t="shared" si="30"/>
        <v>3</v>
      </c>
      <c r="AD31">
        <f t="shared" si="30"/>
        <v>4</v>
      </c>
      <c r="AE31">
        <f t="shared" si="30"/>
        <v>4</v>
      </c>
      <c r="AF31">
        <f t="shared" si="30"/>
        <v>4</v>
      </c>
      <c r="AG31">
        <f t="shared" si="30"/>
        <v>6</v>
      </c>
      <c r="AH31">
        <f t="shared" si="30"/>
        <v>0</v>
      </c>
      <c r="AI31">
        <f t="shared" si="30"/>
        <v>0</v>
      </c>
    </row>
    <row r="32" spans="1:43" x14ac:dyDescent="0.35">
      <c r="A32" s="128" t="s">
        <v>128</v>
      </c>
      <c r="B32">
        <f t="shared" ref="B32" si="31">COUNTIF(B4:B21,"*GS")</f>
        <v>0</v>
      </c>
      <c r="C32">
        <f t="shared" ref="C32:D32" si="32">COUNTIF(C4:C21,"*GS")</f>
        <v>0</v>
      </c>
      <c r="D32">
        <f t="shared" si="32"/>
        <v>1</v>
      </c>
      <c r="E32">
        <f t="shared" ref="E32:G32" si="33">COUNTIF(E4:E21,"*GS")</f>
        <v>0</v>
      </c>
      <c r="F32">
        <f t="shared" si="33"/>
        <v>1</v>
      </c>
      <c r="G32">
        <f t="shared" si="33"/>
        <v>0</v>
      </c>
      <c r="H32">
        <f t="shared" ref="H32:N32" si="34">COUNTIF(H4:H21,"*GS")</f>
        <v>0</v>
      </c>
      <c r="I32">
        <f t="shared" si="34"/>
        <v>1</v>
      </c>
      <c r="J32">
        <f t="shared" si="34"/>
        <v>1</v>
      </c>
      <c r="K32">
        <f t="shared" si="34"/>
        <v>0</v>
      </c>
      <c r="L32">
        <f t="shared" si="34"/>
        <v>0</v>
      </c>
      <c r="M32">
        <f t="shared" si="34"/>
        <v>1</v>
      </c>
      <c r="N32">
        <f t="shared" si="34"/>
        <v>0</v>
      </c>
      <c r="O32">
        <f t="shared" ref="O32:AI32" si="35">COUNTIF(O4:O21,"*GS")</f>
        <v>1</v>
      </c>
      <c r="P32">
        <f t="shared" si="35"/>
        <v>2</v>
      </c>
      <c r="Q32">
        <f t="shared" si="35"/>
        <v>0</v>
      </c>
      <c r="R32">
        <f t="shared" si="35"/>
        <v>0</v>
      </c>
      <c r="S32">
        <f t="shared" si="35"/>
        <v>0</v>
      </c>
      <c r="T32">
        <f t="shared" si="35"/>
        <v>1</v>
      </c>
      <c r="U32">
        <f t="shared" si="35"/>
        <v>0</v>
      </c>
      <c r="V32">
        <f t="shared" si="35"/>
        <v>1</v>
      </c>
      <c r="W32">
        <f t="shared" si="35"/>
        <v>2</v>
      </c>
      <c r="X32">
        <f t="shared" si="35"/>
        <v>2</v>
      </c>
      <c r="Y32">
        <f t="shared" si="35"/>
        <v>1</v>
      </c>
      <c r="Z32">
        <f t="shared" si="35"/>
        <v>1</v>
      </c>
      <c r="AA32">
        <f t="shared" si="35"/>
        <v>1</v>
      </c>
      <c r="AB32">
        <f t="shared" si="35"/>
        <v>0</v>
      </c>
      <c r="AC32">
        <f t="shared" si="35"/>
        <v>1</v>
      </c>
      <c r="AD32">
        <f t="shared" si="35"/>
        <v>1</v>
      </c>
      <c r="AE32">
        <f t="shared" si="35"/>
        <v>2</v>
      </c>
      <c r="AF32">
        <f t="shared" si="35"/>
        <v>1</v>
      </c>
      <c r="AG32">
        <f t="shared" si="35"/>
        <v>1</v>
      </c>
      <c r="AH32">
        <f t="shared" si="35"/>
        <v>0</v>
      </c>
      <c r="AI32">
        <f t="shared" si="35"/>
        <v>0</v>
      </c>
    </row>
    <row r="33" spans="1:35" x14ac:dyDescent="0.35">
      <c r="A33" s="128" t="s">
        <v>129</v>
      </c>
      <c r="B33">
        <f t="shared" ref="B33" si="36">COUNTIF(B4:B21,"C")</f>
        <v>2</v>
      </c>
      <c r="C33">
        <f t="shared" ref="C33:D33" si="37">COUNTIF(C4:C21,"C")</f>
        <v>0</v>
      </c>
      <c r="D33">
        <f t="shared" si="37"/>
        <v>1</v>
      </c>
      <c r="E33">
        <f t="shared" ref="E33" si="38">COUNTIF(E4:E21,"C")</f>
        <v>2</v>
      </c>
      <c r="F33">
        <f t="shared" ref="F33:G33" si="39">COUNTIF(F4:F21,"WO")</f>
        <v>6</v>
      </c>
      <c r="G33">
        <f t="shared" si="39"/>
        <v>6</v>
      </c>
      <c r="H33">
        <f t="shared" ref="H33:L33" si="40">COUNTIF(H4:H21,"C")</f>
        <v>3</v>
      </c>
      <c r="I33">
        <f t="shared" si="40"/>
        <v>2</v>
      </c>
      <c r="J33">
        <f t="shared" si="40"/>
        <v>3</v>
      </c>
      <c r="K33">
        <f t="shared" si="40"/>
        <v>3</v>
      </c>
      <c r="L33">
        <f t="shared" si="40"/>
        <v>4</v>
      </c>
      <c r="M33">
        <f t="shared" ref="M33:N33" si="41">COUNTIF(M4:M21,"WO")</f>
        <v>4</v>
      </c>
      <c r="N33">
        <f t="shared" si="41"/>
        <v>6</v>
      </c>
      <c r="O33">
        <f t="shared" ref="O33:S33" si="42">COUNTIF(O4:O21,"C")</f>
        <v>3</v>
      </c>
      <c r="P33">
        <f t="shared" si="42"/>
        <v>2</v>
      </c>
      <c r="Q33">
        <f t="shared" si="42"/>
        <v>2</v>
      </c>
      <c r="R33">
        <f t="shared" si="42"/>
        <v>1</v>
      </c>
      <c r="S33">
        <f t="shared" si="42"/>
        <v>0</v>
      </c>
      <c r="T33">
        <f t="shared" ref="T33:U33" si="43">COUNTIF(T4:T21,"WO")</f>
        <v>5</v>
      </c>
      <c r="U33">
        <f t="shared" si="43"/>
        <v>8</v>
      </c>
      <c r="V33">
        <f t="shared" ref="V33:Z33" si="44">COUNTIF(V4:V21,"C")</f>
        <v>4</v>
      </c>
      <c r="W33">
        <f t="shared" si="44"/>
        <v>3</v>
      </c>
      <c r="X33">
        <f t="shared" si="44"/>
        <v>3</v>
      </c>
      <c r="Y33">
        <f t="shared" si="44"/>
        <v>3</v>
      </c>
      <c r="Z33">
        <f t="shared" si="44"/>
        <v>2</v>
      </c>
      <c r="AA33">
        <f t="shared" ref="AA33:AB33" si="45">COUNTIF(AA4:AA21,"WO")</f>
        <v>6</v>
      </c>
      <c r="AB33">
        <f t="shared" si="45"/>
        <v>8</v>
      </c>
      <c r="AC33">
        <f t="shared" ref="AC33:AG33" si="46">COUNTIF(AC4:AC21,"C")</f>
        <v>5</v>
      </c>
      <c r="AD33">
        <f t="shared" si="46"/>
        <v>3</v>
      </c>
      <c r="AE33">
        <f t="shared" si="46"/>
        <v>2</v>
      </c>
      <c r="AF33">
        <f t="shared" si="46"/>
        <v>3</v>
      </c>
      <c r="AG33">
        <f t="shared" si="46"/>
        <v>1</v>
      </c>
      <c r="AH33">
        <f t="shared" ref="AH33:AI33" si="47">COUNTIF(AH4:AH21,"WO")</f>
        <v>0</v>
      </c>
      <c r="AI33">
        <f t="shared" si="47"/>
        <v>0</v>
      </c>
    </row>
    <row r="34" spans="1:35" x14ac:dyDescent="0.35">
      <c r="A34" s="128" t="s">
        <v>130</v>
      </c>
      <c r="B34">
        <f t="shared" ref="B34" si="48">COUNTIF(B4:B21,"PL")</f>
        <v>4</v>
      </c>
      <c r="C34">
        <f t="shared" ref="C34:D34" si="49">COUNTIF(C4:C21,"PL")</f>
        <v>1</v>
      </c>
      <c r="D34">
        <f t="shared" si="49"/>
        <v>4</v>
      </c>
      <c r="E34">
        <f t="shared" ref="E34:G34" si="50">COUNTIF(E4:E21,"PL")</f>
        <v>4</v>
      </c>
      <c r="F34">
        <f t="shared" si="50"/>
        <v>2</v>
      </c>
      <c r="G34">
        <f t="shared" si="50"/>
        <v>3</v>
      </c>
      <c r="H34">
        <f t="shared" ref="H34:N34" si="51">COUNTIF(H4:H21,"PL")</f>
        <v>3</v>
      </c>
      <c r="I34">
        <f t="shared" si="51"/>
        <v>3</v>
      </c>
      <c r="J34">
        <f t="shared" si="51"/>
        <v>3</v>
      </c>
      <c r="K34">
        <f t="shared" si="51"/>
        <v>4</v>
      </c>
      <c r="L34">
        <f t="shared" si="51"/>
        <v>3</v>
      </c>
      <c r="M34">
        <f t="shared" si="51"/>
        <v>4</v>
      </c>
      <c r="N34">
        <f t="shared" si="51"/>
        <v>3</v>
      </c>
      <c r="O34">
        <f t="shared" ref="O34:AI34" si="52">COUNTIF(O4:O21,"PL")</f>
        <v>2</v>
      </c>
      <c r="P34">
        <f t="shared" si="52"/>
        <v>3</v>
      </c>
      <c r="Q34">
        <f t="shared" si="52"/>
        <v>4</v>
      </c>
      <c r="R34">
        <f t="shared" si="52"/>
        <v>4</v>
      </c>
      <c r="S34">
        <f t="shared" si="52"/>
        <v>4</v>
      </c>
      <c r="T34">
        <f t="shared" si="52"/>
        <v>3</v>
      </c>
      <c r="U34">
        <f t="shared" si="52"/>
        <v>1</v>
      </c>
      <c r="V34">
        <f t="shared" si="52"/>
        <v>1</v>
      </c>
      <c r="W34">
        <f t="shared" si="52"/>
        <v>1</v>
      </c>
      <c r="X34">
        <f t="shared" si="52"/>
        <v>1</v>
      </c>
      <c r="Y34">
        <f t="shared" si="52"/>
        <v>2</v>
      </c>
      <c r="Z34">
        <f t="shared" si="52"/>
        <v>2</v>
      </c>
      <c r="AA34">
        <f t="shared" si="52"/>
        <v>2</v>
      </c>
      <c r="AB34">
        <f t="shared" si="52"/>
        <v>1</v>
      </c>
      <c r="AC34">
        <f t="shared" si="52"/>
        <v>1</v>
      </c>
      <c r="AD34">
        <f t="shared" si="52"/>
        <v>1</v>
      </c>
      <c r="AE34">
        <f t="shared" si="52"/>
        <v>1</v>
      </c>
      <c r="AF34">
        <f t="shared" si="52"/>
        <v>2</v>
      </c>
      <c r="AG34">
        <f t="shared" si="52"/>
        <v>1</v>
      </c>
      <c r="AH34">
        <f t="shared" si="52"/>
        <v>3</v>
      </c>
      <c r="AI34">
        <f t="shared" si="52"/>
        <v>3</v>
      </c>
    </row>
    <row r="35" spans="1:35" x14ac:dyDescent="0.35">
      <c r="A35" s="128" t="s">
        <v>33</v>
      </c>
      <c r="B35">
        <f t="shared" ref="B35" si="53">COUNTIF(B4:B21,"UPL")</f>
        <v>0</v>
      </c>
      <c r="C35">
        <f t="shared" ref="C35:D35" si="54">COUNTIF(C4:C21,"UPL")</f>
        <v>0</v>
      </c>
      <c r="D35">
        <f t="shared" si="54"/>
        <v>0</v>
      </c>
      <c r="E35">
        <f t="shared" ref="E35:G35" si="55">COUNTIF(E4:E21,"UPL")</f>
        <v>0</v>
      </c>
      <c r="F35">
        <f t="shared" si="55"/>
        <v>0</v>
      </c>
      <c r="G35">
        <f t="shared" si="55"/>
        <v>0</v>
      </c>
      <c r="H35">
        <f t="shared" ref="H35:N35" si="56">COUNTIF(H4:H21,"UPL")</f>
        <v>0</v>
      </c>
      <c r="I35">
        <f t="shared" si="56"/>
        <v>0</v>
      </c>
      <c r="J35">
        <f t="shared" si="56"/>
        <v>0</v>
      </c>
      <c r="K35">
        <f t="shared" si="56"/>
        <v>0</v>
      </c>
      <c r="L35">
        <f t="shared" si="56"/>
        <v>0</v>
      </c>
      <c r="M35">
        <f t="shared" si="56"/>
        <v>0</v>
      </c>
      <c r="N35">
        <f t="shared" si="56"/>
        <v>0</v>
      </c>
      <c r="O35">
        <f t="shared" ref="O35:AI35" si="57">COUNTIF(O4:O21,"UPL")</f>
        <v>0</v>
      </c>
      <c r="P35">
        <f t="shared" si="57"/>
        <v>0</v>
      </c>
      <c r="Q35">
        <f t="shared" si="57"/>
        <v>0</v>
      </c>
      <c r="R35">
        <f t="shared" si="57"/>
        <v>0</v>
      </c>
      <c r="S35">
        <f t="shared" si="57"/>
        <v>0</v>
      </c>
      <c r="T35">
        <f t="shared" si="57"/>
        <v>0</v>
      </c>
      <c r="U35">
        <f t="shared" si="57"/>
        <v>0</v>
      </c>
      <c r="V35">
        <f t="shared" si="57"/>
        <v>0</v>
      </c>
      <c r="W35">
        <f t="shared" si="57"/>
        <v>0</v>
      </c>
      <c r="X35">
        <f t="shared" si="57"/>
        <v>0</v>
      </c>
      <c r="Y35">
        <f t="shared" si="57"/>
        <v>0</v>
      </c>
      <c r="Z35">
        <f t="shared" si="57"/>
        <v>0</v>
      </c>
      <c r="AA35">
        <f t="shared" si="57"/>
        <v>0</v>
      </c>
      <c r="AB35">
        <f t="shared" si="57"/>
        <v>0</v>
      </c>
      <c r="AC35">
        <f t="shared" si="57"/>
        <v>0</v>
      </c>
      <c r="AD35">
        <f t="shared" si="57"/>
        <v>0</v>
      </c>
      <c r="AE35">
        <f t="shared" si="57"/>
        <v>0</v>
      </c>
      <c r="AF35">
        <f t="shared" si="57"/>
        <v>0</v>
      </c>
      <c r="AG35">
        <f t="shared" si="57"/>
        <v>0</v>
      </c>
      <c r="AH35">
        <f t="shared" si="57"/>
        <v>0</v>
      </c>
      <c r="AI35">
        <f t="shared" si="57"/>
        <v>0</v>
      </c>
    </row>
    <row r="36" spans="1:35" x14ac:dyDescent="0.35">
      <c r="A36" s="128" t="s">
        <v>141</v>
      </c>
      <c r="B36">
        <f t="shared" ref="B36" si="58">COUNTIF(B4:B21,"H")</f>
        <v>0</v>
      </c>
      <c r="C36">
        <f t="shared" ref="C36:D36" si="59">COUNTIF(C4:C21,"H")</f>
        <v>6</v>
      </c>
      <c r="D36">
        <f t="shared" si="59"/>
        <v>0</v>
      </c>
      <c r="E36">
        <f t="shared" ref="E36:G36" si="60">COUNTIF(E4:E21,"H")</f>
        <v>0</v>
      </c>
      <c r="F36">
        <f t="shared" si="60"/>
        <v>0</v>
      </c>
      <c r="G36">
        <f t="shared" si="60"/>
        <v>0</v>
      </c>
      <c r="H36">
        <f t="shared" ref="H36:N36" si="61">COUNTIF(H4:H21,"H")</f>
        <v>0</v>
      </c>
      <c r="I36">
        <f t="shared" si="61"/>
        <v>0</v>
      </c>
      <c r="J36">
        <f t="shared" si="61"/>
        <v>0</v>
      </c>
      <c r="K36">
        <f t="shared" si="61"/>
        <v>0</v>
      </c>
      <c r="L36">
        <f t="shared" si="61"/>
        <v>0</v>
      </c>
      <c r="M36">
        <f t="shared" si="61"/>
        <v>0</v>
      </c>
      <c r="N36">
        <f t="shared" si="61"/>
        <v>0</v>
      </c>
      <c r="O36">
        <f t="shared" ref="O36:AI36" si="62">COUNTIF(O4:O21,"H")</f>
        <v>0</v>
      </c>
      <c r="P36">
        <f t="shared" si="62"/>
        <v>0</v>
      </c>
      <c r="Q36">
        <f t="shared" si="62"/>
        <v>0</v>
      </c>
      <c r="R36">
        <f t="shared" si="62"/>
        <v>0</v>
      </c>
      <c r="S36">
        <f t="shared" si="62"/>
        <v>0</v>
      </c>
      <c r="T36">
        <f t="shared" si="62"/>
        <v>0</v>
      </c>
      <c r="U36">
        <f t="shared" si="62"/>
        <v>0</v>
      </c>
      <c r="V36">
        <f t="shared" si="62"/>
        <v>0</v>
      </c>
      <c r="W36">
        <f t="shared" si="62"/>
        <v>0</v>
      </c>
      <c r="X36">
        <f t="shared" si="62"/>
        <v>0</v>
      </c>
      <c r="Y36">
        <f t="shared" si="62"/>
        <v>0</v>
      </c>
      <c r="Z36">
        <f t="shared" si="62"/>
        <v>0</v>
      </c>
      <c r="AA36">
        <f t="shared" si="62"/>
        <v>0</v>
      </c>
      <c r="AB36">
        <f t="shared" si="62"/>
        <v>0</v>
      </c>
      <c r="AC36">
        <f t="shared" si="62"/>
        <v>0</v>
      </c>
      <c r="AD36">
        <f t="shared" si="62"/>
        <v>0</v>
      </c>
      <c r="AE36">
        <f t="shared" si="62"/>
        <v>0</v>
      </c>
      <c r="AF36">
        <f t="shared" si="62"/>
        <v>0</v>
      </c>
      <c r="AG36">
        <f t="shared" si="62"/>
        <v>0</v>
      </c>
      <c r="AH36">
        <f t="shared" si="62"/>
        <v>0</v>
      </c>
      <c r="AI36">
        <f t="shared" si="62"/>
        <v>0</v>
      </c>
    </row>
    <row r="37" spans="1:35" x14ac:dyDescent="0.35">
      <c r="A37" s="128" t="s">
        <v>131</v>
      </c>
      <c r="B37" s="129">
        <f t="shared" ref="B37" si="63">SUM(B29:B36)</f>
        <v>16</v>
      </c>
      <c r="C37" s="129">
        <f t="shared" ref="C37:D37" si="64">SUM(C29:C36)</f>
        <v>16</v>
      </c>
      <c r="D37" s="129">
        <f t="shared" si="64"/>
        <v>16</v>
      </c>
      <c r="E37" s="129">
        <f t="shared" ref="E37:G37" si="65">SUM(E29:E36)</f>
        <v>16</v>
      </c>
      <c r="F37" s="129">
        <f t="shared" si="65"/>
        <v>16</v>
      </c>
      <c r="G37" s="129">
        <f t="shared" si="65"/>
        <v>16</v>
      </c>
      <c r="H37" s="129">
        <f t="shared" ref="H37:N37" si="66">SUM(H29:H36)</f>
        <v>16</v>
      </c>
      <c r="I37" s="129">
        <f t="shared" si="66"/>
        <v>16</v>
      </c>
      <c r="J37" s="129">
        <f t="shared" si="66"/>
        <v>16</v>
      </c>
      <c r="K37" s="129">
        <f t="shared" si="66"/>
        <v>16</v>
      </c>
      <c r="L37" s="129">
        <f t="shared" si="66"/>
        <v>16</v>
      </c>
      <c r="M37" s="129">
        <f t="shared" si="66"/>
        <v>16</v>
      </c>
      <c r="N37" s="129">
        <f t="shared" si="66"/>
        <v>16</v>
      </c>
      <c r="O37" s="129">
        <f t="shared" ref="O37:AI37" si="67">SUM(O29:O36)</f>
        <v>16</v>
      </c>
      <c r="P37" s="129">
        <f t="shared" si="67"/>
        <v>16</v>
      </c>
      <c r="Q37" s="129">
        <f t="shared" si="67"/>
        <v>16</v>
      </c>
      <c r="R37" s="129">
        <f t="shared" si="67"/>
        <v>16</v>
      </c>
      <c r="S37" s="129">
        <f t="shared" si="67"/>
        <v>16</v>
      </c>
      <c r="T37" s="129">
        <f t="shared" si="67"/>
        <v>16</v>
      </c>
      <c r="U37" s="129">
        <f t="shared" si="67"/>
        <v>16</v>
      </c>
      <c r="V37" s="129">
        <f t="shared" si="67"/>
        <v>16</v>
      </c>
      <c r="W37" s="129">
        <f t="shared" si="67"/>
        <v>16</v>
      </c>
      <c r="X37" s="129">
        <f t="shared" si="67"/>
        <v>16</v>
      </c>
      <c r="Y37" s="129">
        <f t="shared" si="67"/>
        <v>16</v>
      </c>
      <c r="Z37" s="129">
        <f t="shared" si="67"/>
        <v>16</v>
      </c>
      <c r="AA37" s="129">
        <f t="shared" si="67"/>
        <v>16</v>
      </c>
      <c r="AB37" s="129">
        <f t="shared" si="67"/>
        <v>16</v>
      </c>
      <c r="AC37" s="129">
        <f t="shared" si="67"/>
        <v>16</v>
      </c>
      <c r="AD37" s="129">
        <f t="shared" si="67"/>
        <v>16</v>
      </c>
      <c r="AE37" s="129">
        <f t="shared" si="67"/>
        <v>16</v>
      </c>
      <c r="AF37" s="129">
        <f t="shared" si="67"/>
        <v>16</v>
      </c>
      <c r="AG37" s="129">
        <f t="shared" si="67"/>
        <v>16</v>
      </c>
      <c r="AH37" s="129">
        <f t="shared" si="67"/>
        <v>3</v>
      </c>
      <c r="AI37" s="129">
        <f t="shared" si="67"/>
        <v>3</v>
      </c>
    </row>
  </sheetData>
  <mergeCells count="2">
    <mergeCell ref="A15:AF15"/>
    <mergeCell ref="A9:AF9"/>
  </mergeCells>
  <conditionalFormatting sqref="A8">
    <cfRule type="cellIs" dxfId="649" priority="141" operator="equal">
      <formula>"NST7"</formula>
    </cfRule>
    <cfRule type="cellIs" dxfId="648" priority="140" operator="equal">
      <formula>"WNST7"</formula>
    </cfRule>
  </conditionalFormatting>
  <conditionalFormatting sqref="B7 A23 B26 B27:D27">
    <cfRule type="cellIs" dxfId="647" priority="472" operator="equal">
      <formula>"WNST7"</formula>
    </cfRule>
    <cfRule type="cellIs" dxfId="646" priority="473" operator="equal">
      <formula>"NST7"</formula>
    </cfRule>
  </conditionalFormatting>
  <conditionalFormatting sqref="B10">
    <cfRule type="cellIs" dxfId="645" priority="309" operator="equal">
      <formula>"NST7"</formula>
    </cfRule>
    <cfRule type="cellIs" dxfId="644" priority="308" operator="equal">
      <formula>"WNST7"</formula>
    </cfRule>
  </conditionalFormatting>
  <conditionalFormatting sqref="B29:AI32">
    <cfRule type="cellIs" dxfId="643" priority="90" operator="lessThan">
      <formula>3</formula>
    </cfRule>
  </conditionalFormatting>
  <conditionalFormatting sqref="B29:AI37">
    <cfRule type="cellIs" dxfId="642" priority="88" operator="equal">
      <formula>"WNST7"</formula>
    </cfRule>
  </conditionalFormatting>
  <conditionalFormatting sqref="C7:C8">
    <cfRule type="cellIs" dxfId="641" priority="57" operator="equal">
      <formula>"NST7"</formula>
    </cfRule>
    <cfRule type="cellIs" dxfId="640" priority="56" operator="equal">
      <formula>"WNST7"</formula>
    </cfRule>
  </conditionalFormatting>
  <conditionalFormatting sqref="C11">
    <cfRule type="cellIs" dxfId="639" priority="227" operator="equal">
      <formula>"NST7"</formula>
    </cfRule>
    <cfRule type="cellIs" dxfId="638" priority="226" operator="equal">
      <formula>"WNST7"</formula>
    </cfRule>
  </conditionalFormatting>
  <conditionalFormatting sqref="C18">
    <cfRule type="cellIs" dxfId="637" priority="147" operator="equal">
      <formula>"NST7"</formula>
    </cfRule>
    <cfRule type="cellIs" dxfId="636" priority="146" operator="equal">
      <formula>"WNST7"</formula>
    </cfRule>
  </conditionalFormatting>
  <conditionalFormatting sqref="C21">
    <cfRule type="cellIs" dxfId="635" priority="63" operator="equal">
      <formula>"NST7"</formula>
    </cfRule>
    <cfRule type="cellIs" dxfId="634" priority="62" operator="equal">
      <formula>"WNST7"</formula>
    </cfRule>
  </conditionalFormatting>
  <conditionalFormatting sqref="C14:D14">
    <cfRule type="cellIs" dxfId="633" priority="53" operator="equal">
      <formula>"NST7"</formula>
    </cfRule>
    <cfRule type="cellIs" dxfId="632" priority="52" operator="equal">
      <formula>"WNST7"</formula>
    </cfRule>
  </conditionalFormatting>
  <conditionalFormatting sqref="C24:E24">
    <cfRule type="cellIs" dxfId="631" priority="2" operator="equal">
      <formula>"NST7"</formula>
    </cfRule>
    <cfRule type="cellIs" dxfId="630" priority="1" operator="equal">
      <formula>"WNST7"</formula>
    </cfRule>
  </conditionalFormatting>
  <conditionalFormatting sqref="D5">
    <cfRule type="cellIs" dxfId="629" priority="389" operator="equal">
      <formula>"NST7"</formula>
    </cfRule>
    <cfRule type="cellIs" dxfId="628" priority="388" operator="equal">
      <formula>"WNST7"</formula>
    </cfRule>
  </conditionalFormatting>
  <conditionalFormatting sqref="E4">
    <cfRule type="cellIs" dxfId="627" priority="407" operator="equal">
      <formula>"NST7"</formula>
    </cfRule>
    <cfRule type="cellIs" dxfId="626" priority="406" operator="equal">
      <formula>"WNST7"</formula>
    </cfRule>
  </conditionalFormatting>
  <conditionalFormatting sqref="E10">
    <cfRule type="cellIs" dxfId="625" priority="345" operator="equal">
      <formula>"NST7"</formula>
    </cfRule>
    <cfRule type="cellIs" dxfId="624" priority="344" operator="equal">
      <formula>"WNST7"</formula>
    </cfRule>
  </conditionalFormatting>
  <conditionalFormatting sqref="E25">
    <cfRule type="cellIs" dxfId="623" priority="213" operator="equal">
      <formula>"NST7"</formula>
    </cfRule>
    <cfRule type="cellIs" dxfId="622" priority="212" operator="equal">
      <formula>"WNST7"</formula>
    </cfRule>
  </conditionalFormatting>
  <conditionalFormatting sqref="F14">
    <cfRule type="cellIs" dxfId="621" priority="287" operator="equal">
      <formula>"NST7"</formula>
    </cfRule>
    <cfRule type="cellIs" dxfId="620" priority="286" operator="equal">
      <formula>"WNST7"</formula>
    </cfRule>
  </conditionalFormatting>
  <conditionalFormatting sqref="F27">
    <cfRule type="cellIs" dxfId="619" priority="119" operator="equal">
      <formula>"NST7"</formula>
    </cfRule>
    <cfRule type="cellIs" dxfId="618" priority="118" operator="equal">
      <formula>"WNST7"</formula>
    </cfRule>
  </conditionalFormatting>
  <conditionalFormatting sqref="G16 F17:F18">
    <cfRule type="cellIs" dxfId="617" priority="291" operator="equal">
      <formula>"NST7"</formula>
    </cfRule>
    <cfRule type="cellIs" dxfId="616" priority="290" operator="equal">
      <formula>"WNST7"</formula>
    </cfRule>
  </conditionalFormatting>
  <conditionalFormatting sqref="G19">
    <cfRule type="cellIs" dxfId="615" priority="271" operator="equal">
      <formula>"NST7"</formula>
    </cfRule>
    <cfRule type="cellIs" dxfId="614" priority="270" operator="equal">
      <formula>"WNST7"</formula>
    </cfRule>
  </conditionalFormatting>
  <conditionalFormatting sqref="G24">
    <cfRule type="cellIs" dxfId="613" priority="111" operator="equal">
      <formula>"NST7"</formula>
    </cfRule>
    <cfRule type="cellIs" dxfId="612" priority="110" operator="equal">
      <formula>"WNST7"</formula>
    </cfRule>
  </conditionalFormatting>
  <conditionalFormatting sqref="H6">
    <cfRule type="cellIs" dxfId="611" priority="376" operator="equal">
      <formula>"WNST7"</formula>
    </cfRule>
    <cfRule type="cellIs" dxfId="610" priority="377" operator="equal">
      <formula>"NST7"</formula>
    </cfRule>
  </conditionalFormatting>
  <conditionalFormatting sqref="H10">
    <cfRule type="cellIs" dxfId="609" priority="342" operator="equal">
      <formula>"WNST7"</formula>
    </cfRule>
    <cfRule type="cellIs" dxfId="608" priority="343" operator="equal">
      <formula>"NST7"</formula>
    </cfRule>
  </conditionalFormatting>
  <conditionalFormatting sqref="H18">
    <cfRule type="cellIs" dxfId="607" priority="257" operator="equal">
      <formula>"NST7"</formula>
    </cfRule>
    <cfRule type="cellIs" dxfId="606" priority="256" operator="equal">
      <formula>"WNST7"</formula>
    </cfRule>
  </conditionalFormatting>
  <conditionalFormatting sqref="H26:L26">
    <cfRule type="cellIs" dxfId="605" priority="205" operator="equal">
      <formula>"NST7"</formula>
    </cfRule>
    <cfRule type="cellIs" dxfId="604" priority="204" operator="equal">
      <formula>"WNST7"</formula>
    </cfRule>
  </conditionalFormatting>
  <conditionalFormatting sqref="I19">
    <cfRule type="cellIs" dxfId="603" priority="255" operator="equal">
      <formula>"NST7"</formula>
    </cfRule>
    <cfRule type="cellIs" dxfId="602" priority="254" operator="equal">
      <formula>"WNST7"</formula>
    </cfRule>
  </conditionalFormatting>
  <conditionalFormatting sqref="I24">
    <cfRule type="cellIs" dxfId="601" priority="51" operator="equal">
      <formula>"NST7"</formula>
    </cfRule>
    <cfRule type="cellIs" dxfId="600" priority="50" operator="equal">
      <formula>"WNST7"</formula>
    </cfRule>
  </conditionalFormatting>
  <conditionalFormatting sqref="I4:J4">
    <cfRule type="cellIs" dxfId="599" priority="4" operator="equal">
      <formula>"WNST7"</formula>
    </cfRule>
    <cfRule type="cellIs" dxfId="598" priority="5" operator="equal">
      <formula>"NST7"</formula>
    </cfRule>
  </conditionalFormatting>
  <conditionalFormatting sqref="I13:J13">
    <cfRule type="cellIs" dxfId="597" priority="49" operator="equal">
      <formula>"NST7"</formula>
    </cfRule>
    <cfRule type="cellIs" dxfId="596" priority="48" operator="equal">
      <formula>"WNST7"</formula>
    </cfRule>
  </conditionalFormatting>
  <conditionalFormatting sqref="J8">
    <cfRule type="cellIs" dxfId="595" priority="372" operator="equal">
      <formula>"WNST7"</formula>
    </cfRule>
    <cfRule type="cellIs" dxfId="594" priority="373" operator="equal">
      <formula>"NST7"</formula>
    </cfRule>
  </conditionalFormatting>
  <conditionalFormatting sqref="J16">
    <cfRule type="cellIs" dxfId="593" priority="258" operator="equal">
      <formula>"WNST7"</formula>
    </cfRule>
    <cfRule type="cellIs" dxfId="592" priority="259" operator="equal">
      <formula>"NST7"</formula>
    </cfRule>
  </conditionalFormatting>
  <conditionalFormatting sqref="K5">
    <cfRule type="cellIs" dxfId="591" priority="44" operator="equal">
      <formula>"WNST7"</formula>
    </cfRule>
    <cfRule type="cellIs" dxfId="590" priority="45" operator="equal">
      <formula>"NST7"</formula>
    </cfRule>
  </conditionalFormatting>
  <conditionalFormatting sqref="K7">
    <cfRule type="cellIs" dxfId="589" priority="375" operator="equal">
      <formula>"NST7"</formula>
    </cfRule>
    <cfRule type="cellIs" dxfId="588" priority="374" operator="equal">
      <formula>"WNST7"</formula>
    </cfRule>
  </conditionalFormatting>
  <conditionalFormatting sqref="K20:L20">
    <cfRule type="cellIs" dxfId="587" priority="47" operator="equal">
      <formula>"NST7"</formula>
    </cfRule>
    <cfRule type="cellIs" dxfId="586" priority="46" operator="equal">
      <formula>"WNST7"</formula>
    </cfRule>
  </conditionalFormatting>
  <conditionalFormatting sqref="L6">
    <cfRule type="cellIs" dxfId="585" priority="43" operator="equal">
      <formula>"NST7"</formula>
    </cfRule>
    <cfRule type="cellIs" dxfId="584" priority="42" operator="equal">
      <formula>"WNST7"</formula>
    </cfRule>
  </conditionalFormatting>
  <conditionalFormatting sqref="L10">
    <cfRule type="cellIs" dxfId="583" priority="341" operator="equal">
      <formula>"NST7"</formula>
    </cfRule>
    <cfRule type="cellIs" dxfId="582" priority="340" operator="equal">
      <formula>"WNST7"</formula>
    </cfRule>
  </conditionalFormatting>
  <conditionalFormatting sqref="L25">
    <cfRule type="cellIs" dxfId="581" priority="201" operator="equal">
      <formula>"NST7"</formula>
    </cfRule>
    <cfRule type="cellIs" dxfId="580" priority="200" operator="equal">
      <formula>"WNST7"</formula>
    </cfRule>
  </conditionalFormatting>
  <conditionalFormatting sqref="L13:M13">
    <cfRule type="cellIs" dxfId="579" priority="130" operator="equal">
      <formula>"WNST7"</formula>
    </cfRule>
    <cfRule type="cellIs" dxfId="578" priority="131" operator="equal">
      <formula>"NST7"</formula>
    </cfRule>
  </conditionalFormatting>
  <conditionalFormatting sqref="M18">
    <cfRule type="cellIs" dxfId="577" priority="269" operator="equal">
      <formula>"NST7"</formula>
    </cfRule>
    <cfRule type="cellIs" dxfId="576" priority="268" operator="equal">
      <formula>"WNST7"</formula>
    </cfRule>
  </conditionalFormatting>
  <conditionalFormatting sqref="N19">
    <cfRule type="cellIs" dxfId="575" priority="266" operator="equal">
      <formula>"WNST7"</formula>
    </cfRule>
    <cfRule type="cellIs" dxfId="574" priority="267" operator="equal">
      <formula>"NST7"</formula>
    </cfRule>
  </conditionalFormatting>
  <conditionalFormatting sqref="N26">
    <cfRule type="cellIs" dxfId="573" priority="126" operator="equal">
      <formula>"WNST7"</formula>
    </cfRule>
    <cfRule type="cellIs" dxfId="572" priority="127" operator="equal">
      <formula>"NST7"</formula>
    </cfRule>
  </conditionalFormatting>
  <conditionalFormatting sqref="O8">
    <cfRule type="cellIs" dxfId="571" priority="40" operator="equal">
      <formula>"WNST7"</formula>
    </cfRule>
    <cfRule type="cellIs" dxfId="570" priority="41" operator="equal">
      <formula>"NST7"</formula>
    </cfRule>
  </conditionalFormatting>
  <conditionalFormatting sqref="O11">
    <cfRule type="cellIs" dxfId="569" priority="177" operator="equal">
      <formula>"NST7"</formula>
    </cfRule>
    <cfRule type="cellIs" dxfId="568" priority="176" operator="equal">
      <formula>"WNST7"</formula>
    </cfRule>
  </conditionalFormatting>
  <conditionalFormatting sqref="O18:P18">
    <cfRule type="cellIs" dxfId="567" priority="79" operator="equal">
      <formula>"NST7"</formula>
    </cfRule>
    <cfRule type="cellIs" dxfId="566" priority="78" operator="equal">
      <formula>"WNST7"</formula>
    </cfRule>
  </conditionalFormatting>
  <conditionalFormatting sqref="O21:P21">
    <cfRule type="cellIs" dxfId="565" priority="277" operator="equal">
      <formula>"NST7"</formula>
    </cfRule>
    <cfRule type="cellIs" dxfId="564" priority="276" operator="equal">
      <formula>"WNST7"</formula>
    </cfRule>
  </conditionalFormatting>
  <conditionalFormatting sqref="O25:S25">
    <cfRule type="cellIs" dxfId="563" priority="193" operator="equal">
      <formula>"NST7"</formula>
    </cfRule>
    <cfRule type="cellIs" dxfId="562" priority="192" operator="equal">
      <formula>"WNST7"</formula>
    </cfRule>
  </conditionalFormatting>
  <conditionalFormatting sqref="P7">
    <cfRule type="cellIs" dxfId="561" priority="366" operator="equal">
      <formula>"WNST7"</formula>
    </cfRule>
    <cfRule type="cellIs" dxfId="560" priority="367" operator="equal">
      <formula>"NST7"</formula>
    </cfRule>
  </conditionalFormatting>
  <conditionalFormatting sqref="P14">
    <cfRule type="cellIs" dxfId="559" priority="302" operator="equal">
      <formula>"WNST7"</formula>
    </cfRule>
    <cfRule type="cellIs" dxfId="558" priority="303" operator="equal">
      <formula>"NST7"</formula>
    </cfRule>
  </conditionalFormatting>
  <conditionalFormatting sqref="Q13">
    <cfRule type="cellIs" dxfId="557" priority="283" operator="equal">
      <formula>"NST7"</formula>
    </cfRule>
    <cfRule type="cellIs" dxfId="556" priority="282" operator="equal">
      <formula>"WNST7"</formula>
    </cfRule>
  </conditionalFormatting>
  <conditionalFormatting sqref="Q27">
    <cfRule type="cellIs" dxfId="555" priority="188" operator="equal">
      <formula>"WNST7"</formula>
    </cfRule>
    <cfRule type="cellIs" dxfId="554" priority="189" operator="equal">
      <formula>"NST7"</formula>
    </cfRule>
  </conditionalFormatting>
  <conditionalFormatting sqref="Q4:R4">
    <cfRule type="cellIs" dxfId="553" priority="405" operator="equal">
      <formula>"NST7"</formula>
    </cfRule>
    <cfRule type="cellIs" dxfId="552" priority="404" operator="equal">
      <formula>"WNST7"</formula>
    </cfRule>
  </conditionalFormatting>
  <conditionalFormatting sqref="S26">
    <cfRule type="cellIs" dxfId="551" priority="186" operator="equal">
      <formula>"WNST7"</formula>
    </cfRule>
    <cfRule type="cellIs" dxfId="550" priority="187" operator="equal">
      <formula>"NST7"</formula>
    </cfRule>
  </conditionalFormatting>
  <conditionalFormatting sqref="T14">
    <cfRule type="cellIs" dxfId="549" priority="38" operator="equal">
      <formula>"WNST7"</formula>
    </cfRule>
    <cfRule type="cellIs" dxfId="548" priority="39" operator="equal">
      <formula>"NST7"</formula>
    </cfRule>
  </conditionalFormatting>
  <conditionalFormatting sqref="U17">
    <cfRule type="cellIs" dxfId="547" priority="264" operator="equal">
      <formula>"WNST7"</formula>
    </cfRule>
    <cfRule type="cellIs" dxfId="546" priority="265" operator="equal">
      <formula>"NST7"</formula>
    </cfRule>
  </conditionalFormatting>
  <conditionalFormatting sqref="U19">
    <cfRule type="cellIs" dxfId="545" priority="262" operator="equal">
      <formula>"WNST7"</formula>
    </cfRule>
    <cfRule type="cellIs" dxfId="544" priority="263" operator="equal">
      <formula>"NST7"</formula>
    </cfRule>
  </conditionalFormatting>
  <conditionalFormatting sqref="U26">
    <cfRule type="cellIs" dxfId="543" priority="165" operator="equal">
      <formula>"NST7"</formula>
    </cfRule>
    <cfRule type="cellIs" dxfId="542" priority="164" operator="equal">
      <formula>"WNST7"</formula>
    </cfRule>
  </conditionalFormatting>
  <conditionalFormatting sqref="V11">
    <cfRule type="cellIs" dxfId="541" priority="178" operator="equal">
      <formula>"WNST7"</formula>
    </cfRule>
    <cfRule type="cellIs" dxfId="540" priority="179" operator="equal">
      <formula>"NST7"</formula>
    </cfRule>
  </conditionalFormatting>
  <conditionalFormatting sqref="V16">
    <cfRule type="cellIs" dxfId="539" priority="247" operator="equal">
      <formula>"NST7"</formula>
    </cfRule>
    <cfRule type="cellIs" dxfId="538" priority="246" operator="equal">
      <formula>"WNST7"</formula>
    </cfRule>
  </conditionalFormatting>
  <conditionalFormatting sqref="V27">
    <cfRule type="cellIs" dxfId="537" priority="173" operator="equal">
      <formula>"NST7"</formula>
    </cfRule>
    <cfRule type="cellIs" dxfId="536" priority="172" operator="equal">
      <formula>"WNST7"</formula>
    </cfRule>
  </conditionalFormatting>
  <conditionalFormatting sqref="V8:W8">
    <cfRule type="cellIs" dxfId="535" priority="363" operator="equal">
      <formula>"NST7"</formula>
    </cfRule>
    <cfRule type="cellIs" dxfId="534" priority="362" operator="equal">
      <formula>"WNST7"</formula>
    </cfRule>
  </conditionalFormatting>
  <conditionalFormatting sqref="V14:X14">
    <cfRule type="cellIs" dxfId="533" priority="69" operator="equal">
      <formula>"NST7"</formula>
    </cfRule>
    <cfRule type="cellIs" dxfId="532" priority="68" operator="equal">
      <formula>"WNST7"</formula>
    </cfRule>
  </conditionalFormatting>
  <conditionalFormatting sqref="V21:Z21">
    <cfRule type="cellIs" dxfId="531" priority="274" operator="equal">
      <formula>"WNST7"</formula>
    </cfRule>
    <cfRule type="cellIs" dxfId="530" priority="275" operator="equal">
      <formula>"NST7"</formula>
    </cfRule>
  </conditionalFormatting>
  <conditionalFormatting sqref="V24:Z24">
    <cfRule type="cellIs" dxfId="529" priority="194" operator="equal">
      <formula>"WNST7"</formula>
    </cfRule>
    <cfRule type="cellIs" dxfId="528" priority="195" operator="equal">
      <formula>"NST7"</formula>
    </cfRule>
  </conditionalFormatting>
  <conditionalFormatting sqref="W13">
    <cfRule type="cellIs" dxfId="527" priority="296" operator="equal">
      <formula>"WNST7"</formula>
    </cfRule>
    <cfRule type="cellIs" dxfId="526" priority="297" operator="equal">
      <formula>"NST7"</formula>
    </cfRule>
  </conditionalFormatting>
  <conditionalFormatting sqref="W19">
    <cfRule type="cellIs" dxfId="525" priority="243" operator="equal">
      <formula>"NST7"</formula>
    </cfRule>
    <cfRule type="cellIs" dxfId="524" priority="242" operator="equal">
      <formula>"WNST7"</formula>
    </cfRule>
  </conditionalFormatting>
  <conditionalFormatting sqref="W26:X26">
    <cfRule type="cellIs" dxfId="523" priority="168" operator="equal">
      <formula>"WNST7"</formula>
    </cfRule>
    <cfRule type="cellIs" dxfId="522" priority="169" operator="equal">
      <formula>"NST7"</formula>
    </cfRule>
  </conditionalFormatting>
  <conditionalFormatting sqref="X12">
    <cfRule type="cellIs" dxfId="521" priority="278" operator="equal">
      <formula>"WNST7"</formula>
    </cfRule>
    <cfRule type="cellIs" dxfId="520" priority="279" operator="equal">
      <formula>"NST7"</formula>
    </cfRule>
  </conditionalFormatting>
  <conditionalFormatting sqref="X17">
    <cfRule type="cellIs" dxfId="519" priority="245" operator="equal">
      <formula>"NST7"</formula>
    </cfRule>
    <cfRule type="cellIs" dxfId="518" priority="244" operator="equal">
      <formula>"WNST7"</formula>
    </cfRule>
  </conditionalFormatting>
  <conditionalFormatting sqref="X4:Y4">
    <cfRule type="cellIs" dxfId="517" priority="383" operator="equal">
      <formula>"NST7"</formula>
    </cfRule>
    <cfRule type="cellIs" dxfId="516" priority="382" operator="equal">
      <formula>"WNST7"</formula>
    </cfRule>
  </conditionalFormatting>
  <conditionalFormatting sqref="Y7">
    <cfRule type="cellIs" dxfId="515" priority="6" operator="equal">
      <formula>"WNST7"</formula>
    </cfRule>
    <cfRule type="cellIs" dxfId="514" priority="7" operator="equal">
      <formula>"NST7"</formula>
    </cfRule>
  </conditionalFormatting>
  <conditionalFormatting sqref="Y16">
    <cfRule type="cellIs" dxfId="513" priority="37" operator="equal">
      <formula>"NST7"</formula>
    </cfRule>
    <cfRule type="cellIs" dxfId="512" priority="36" operator="equal">
      <formula>"WNST7"</formula>
    </cfRule>
  </conditionalFormatting>
  <conditionalFormatting sqref="Y27">
    <cfRule type="cellIs" dxfId="511" priority="171" operator="equal">
      <formula>"NST7"</formula>
    </cfRule>
    <cfRule type="cellIs" dxfId="510" priority="170" operator="equal">
      <formula>"WNST7"</formula>
    </cfRule>
  </conditionalFormatting>
  <conditionalFormatting sqref="Z5">
    <cfRule type="cellIs" dxfId="509" priority="86" operator="equal">
      <formula>"WNST7"</formula>
    </cfRule>
    <cfRule type="cellIs" dxfId="508" priority="87" operator="equal">
      <formula>"NST7"</formula>
    </cfRule>
  </conditionalFormatting>
  <conditionalFormatting sqref="Z10">
    <cfRule type="cellIs" dxfId="507" priority="322" operator="equal">
      <formula>"WNST7"</formula>
    </cfRule>
    <cfRule type="cellIs" dxfId="506" priority="323" operator="equal">
      <formula>"NST7"</formula>
    </cfRule>
  </conditionalFormatting>
  <conditionalFormatting sqref="Z25">
    <cfRule type="cellIs" dxfId="505" priority="167" operator="equal">
      <formula>"NST7"</formula>
    </cfRule>
    <cfRule type="cellIs" dxfId="504" priority="166" operator="equal">
      <formula>"WNST7"</formula>
    </cfRule>
  </conditionalFormatting>
  <conditionalFormatting sqref="AA11">
    <cfRule type="cellIs" dxfId="503" priority="23" operator="equal">
      <formula>"NST7"</formula>
    </cfRule>
    <cfRule type="cellIs" dxfId="502" priority="22" operator="equal">
      <formula>"WNST7"</formula>
    </cfRule>
  </conditionalFormatting>
  <conditionalFormatting sqref="AA26">
    <cfRule type="cellIs" dxfId="501" priority="116" operator="equal">
      <formula>"WNST7"</formula>
    </cfRule>
    <cfRule type="cellIs" dxfId="500" priority="117" operator="equal">
      <formula>"NST7"</formula>
    </cfRule>
  </conditionalFormatting>
  <conditionalFormatting sqref="AB25">
    <cfRule type="cellIs" dxfId="499" priority="125" operator="equal">
      <formula>"NST7"</formula>
    </cfRule>
    <cfRule type="cellIs" dxfId="498" priority="124" operator="equal">
      <formula>"WNST7"</formula>
    </cfRule>
  </conditionalFormatting>
  <conditionalFormatting sqref="AB19:AD19">
    <cfRule type="cellIs" dxfId="497" priority="10" operator="equal">
      <formula>"WNST7"</formula>
    </cfRule>
    <cfRule type="cellIs" dxfId="496" priority="11" operator="equal">
      <formula>"NST7"</formula>
    </cfRule>
  </conditionalFormatting>
  <conditionalFormatting sqref="AC6">
    <cfRule type="cellIs" dxfId="495" priority="357" operator="equal">
      <formula>"NST7"</formula>
    </cfRule>
    <cfRule type="cellIs" dxfId="494" priority="356" operator="equal">
      <formula>"WNST7"</formula>
    </cfRule>
  </conditionalFormatting>
  <conditionalFormatting sqref="AC10">
    <cfRule type="cellIs" dxfId="493" priority="31" operator="equal">
      <formula>"NST7"</formula>
    </cfRule>
    <cfRule type="cellIs" dxfId="492" priority="30" operator="equal">
      <formula>"WNST7"</formula>
    </cfRule>
  </conditionalFormatting>
  <conditionalFormatting sqref="AC16">
    <cfRule type="cellIs" dxfId="491" priority="26" operator="equal">
      <formula>"WNST7"</formula>
    </cfRule>
    <cfRule type="cellIs" dxfId="490" priority="27" operator="equal">
      <formula>"NST7"</formula>
    </cfRule>
  </conditionalFormatting>
  <conditionalFormatting sqref="AC26">
    <cfRule type="cellIs" dxfId="489" priority="148" operator="equal">
      <formula>"WNST7"</formula>
    </cfRule>
    <cfRule type="cellIs" dxfId="488" priority="149" operator="equal">
      <formula>"NST7"</formula>
    </cfRule>
  </conditionalFormatting>
  <conditionalFormatting sqref="AC8:AD8">
    <cfRule type="cellIs" dxfId="487" priority="17" operator="equal">
      <formula>"NST7"</formula>
    </cfRule>
    <cfRule type="cellIs" dxfId="486" priority="16" operator="equal">
      <formula>"WNST7"</formula>
    </cfRule>
  </conditionalFormatting>
  <conditionalFormatting sqref="AC24:AE24">
    <cfRule type="cellIs" dxfId="485" priority="162" operator="equal">
      <formula>"WNST7"</formula>
    </cfRule>
    <cfRule type="cellIs" dxfId="484" priority="163" operator="equal">
      <formula>"NST7"</formula>
    </cfRule>
  </conditionalFormatting>
  <conditionalFormatting sqref="AC21:AF21">
    <cfRule type="cellIs" dxfId="483" priority="18" operator="equal">
      <formula>"WNST7"</formula>
    </cfRule>
    <cfRule type="cellIs" dxfId="482" priority="19" operator="equal">
      <formula>"NST7"</formula>
    </cfRule>
  </conditionalFormatting>
  <conditionalFormatting sqref="AD12">
    <cfRule type="cellIs" dxfId="481" priority="20" operator="equal">
      <formula>"WNST7"</formula>
    </cfRule>
    <cfRule type="cellIs" dxfId="480" priority="21" operator="equal">
      <formula>"NST7"</formula>
    </cfRule>
  </conditionalFormatting>
  <conditionalFormatting sqref="AE11">
    <cfRule type="cellIs" dxfId="479" priority="24" operator="equal">
      <formula>"WNST7"</formula>
    </cfRule>
    <cfRule type="cellIs" dxfId="478" priority="25" operator="equal">
      <formula>"NST7"</formula>
    </cfRule>
  </conditionalFormatting>
  <conditionalFormatting sqref="AE25 AF26">
    <cfRule type="cellIs" dxfId="477" priority="144" operator="equal">
      <formula>"WNST7"</formula>
    </cfRule>
    <cfRule type="cellIs" dxfId="476" priority="145" operator="equal">
      <formula>"NST7"</formula>
    </cfRule>
  </conditionalFormatting>
  <conditionalFormatting sqref="AE4:AF4">
    <cfRule type="cellIs" dxfId="475" priority="15" operator="equal">
      <formula>"NST7"</formula>
    </cfRule>
    <cfRule type="cellIs" dxfId="474" priority="14" operator="equal">
      <formula>"WNST7"</formula>
    </cfRule>
  </conditionalFormatting>
  <conditionalFormatting sqref="AE20:AF20">
    <cfRule type="cellIs" dxfId="473" priority="28" operator="equal">
      <formula>"WNST7"</formula>
    </cfRule>
    <cfRule type="cellIs" dxfId="472" priority="29" operator="equal">
      <formula>"NST7"</formula>
    </cfRule>
  </conditionalFormatting>
  <conditionalFormatting sqref="AF17">
    <cfRule type="cellIs" dxfId="471" priority="13" operator="equal">
      <formula>"NST7"</formula>
    </cfRule>
    <cfRule type="cellIs" dxfId="470" priority="12" operator="equal">
      <formula>"WNST7"</formula>
    </cfRule>
  </conditionalFormatting>
  <conditionalFormatting sqref="AG8">
    <cfRule type="cellIs" dxfId="469" priority="395" operator="equal">
      <formula>"NST7"</formula>
    </cfRule>
  </conditionalFormatting>
  <conditionalFormatting sqref="AG10">
    <cfRule type="cellIs" dxfId="468" priority="319" operator="equal">
      <formula>"NST7"</formula>
    </cfRule>
    <cfRule type="cellIs" dxfId="467" priority="318" operator="equal">
      <formula>"WNST7"</formula>
    </cfRule>
  </conditionalFormatting>
  <conditionalFormatting sqref="AG8:AH8">
    <cfRule type="cellIs" dxfId="466" priority="394" operator="equal">
      <formula>"WNST7"</formula>
    </cfRule>
  </conditionalFormatting>
  <conditionalFormatting sqref="AJ20:XFD20">
    <cfRule type="cellIs" dxfId="465" priority="470" operator="equal">
      <formula>"WNST7"</formula>
    </cfRule>
  </conditionalFormatting>
  <conditionalFormatting sqref="AL3:AO3">
    <cfRule type="cellIs" dxfId="464" priority="3" operator="equal">
      <formula>"WNST7"</formula>
    </cfRule>
  </conditionalFormatting>
  <pageMargins left="0.7" right="0.7" top="0.75" bottom="0.75" header="0.3" footer="0.3"/>
  <pageSetup paperSize="9"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A0C6-E202-4EC6-89B2-6C2B3FCCEF3B}">
  <dimension ref="A1:AM37"/>
  <sheetViews>
    <sheetView zoomScale="57" zoomScaleNormal="57" workbookViewId="0">
      <pane xSplit="1" topLeftCell="B1" activePane="topRight" state="frozen"/>
      <selection pane="topRight" activeCell="I14" sqref="I14"/>
    </sheetView>
  </sheetViews>
  <sheetFormatPr defaultRowHeight="14.5" x14ac:dyDescent="0.35"/>
  <cols>
    <col min="1" max="1" width="21.7265625" bestFit="1" customWidth="1"/>
    <col min="2" max="25" width="8.7265625" customWidth="1"/>
  </cols>
  <sheetData>
    <row r="1" spans="1:37" x14ac:dyDescent="0.35">
      <c r="A1" s="1"/>
      <c r="B1" s="2" t="str">
        <f t="shared" ref="B1:AE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</row>
    <row r="2" spans="1:37" x14ac:dyDescent="0.35">
      <c r="A2" s="95" t="s">
        <v>0</v>
      </c>
      <c r="B2" s="29">
        <v>45597</v>
      </c>
      <c r="C2" s="29">
        <v>45598</v>
      </c>
      <c r="D2" s="29">
        <v>45599</v>
      </c>
      <c r="E2" s="29">
        <v>45600</v>
      </c>
      <c r="F2" s="29">
        <v>45601</v>
      </c>
      <c r="G2" s="29">
        <v>45602</v>
      </c>
      <c r="H2" s="29">
        <v>45603</v>
      </c>
      <c r="I2" s="29">
        <v>45604</v>
      </c>
      <c r="J2" s="29">
        <v>45605</v>
      </c>
      <c r="K2" s="29">
        <v>45606</v>
      </c>
      <c r="L2" s="29">
        <v>45607</v>
      </c>
      <c r="M2" s="29">
        <v>45608</v>
      </c>
      <c r="N2" s="29">
        <v>45609</v>
      </c>
      <c r="O2" s="29">
        <v>45610</v>
      </c>
      <c r="P2" s="29">
        <v>45611</v>
      </c>
      <c r="Q2" s="29">
        <v>45612</v>
      </c>
      <c r="R2" s="29">
        <v>45613</v>
      </c>
      <c r="S2" s="29">
        <v>45614</v>
      </c>
      <c r="T2" s="29">
        <v>45615</v>
      </c>
      <c r="U2" s="29">
        <v>45616</v>
      </c>
      <c r="V2" s="29">
        <v>45617</v>
      </c>
      <c r="W2" s="29">
        <v>45618</v>
      </c>
      <c r="X2" s="29">
        <v>45619</v>
      </c>
      <c r="Y2" s="29">
        <v>45620</v>
      </c>
      <c r="Z2" s="29">
        <v>45621</v>
      </c>
      <c r="AA2" s="29">
        <v>45622</v>
      </c>
      <c r="AB2" s="29">
        <v>45623</v>
      </c>
      <c r="AC2" s="29">
        <v>45624</v>
      </c>
      <c r="AD2" s="29">
        <v>45625</v>
      </c>
      <c r="AE2" s="29">
        <v>45626</v>
      </c>
    </row>
    <row r="3" spans="1:37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7" x14ac:dyDescent="0.35">
      <c r="A4" s="165" t="s">
        <v>1</v>
      </c>
      <c r="B4" s="19" t="s">
        <v>41</v>
      </c>
      <c r="C4" s="19" t="s">
        <v>42</v>
      </c>
      <c r="D4" s="19" t="s">
        <v>42</v>
      </c>
      <c r="E4" s="122" t="s">
        <v>5</v>
      </c>
      <c r="F4" s="122" t="s">
        <v>5</v>
      </c>
      <c r="G4" s="122" t="s">
        <v>5</v>
      </c>
      <c r="H4" s="122" t="s">
        <v>5</v>
      </c>
      <c r="I4" s="122" t="s">
        <v>5</v>
      </c>
      <c r="J4" s="122" t="s">
        <v>5</v>
      </c>
      <c r="K4" s="19" t="s">
        <v>42</v>
      </c>
      <c r="L4" s="19" t="s">
        <v>41</v>
      </c>
      <c r="M4" s="116" t="s">
        <v>2</v>
      </c>
      <c r="N4" s="19" t="s">
        <v>41</v>
      </c>
      <c r="O4" s="19" t="s">
        <v>41</v>
      </c>
      <c r="P4" s="116" t="s">
        <v>2</v>
      </c>
      <c r="Q4" s="19" t="s">
        <v>42</v>
      </c>
      <c r="R4" s="19" t="s">
        <v>42</v>
      </c>
      <c r="S4" s="116" t="s">
        <v>2</v>
      </c>
      <c r="T4" s="19" t="s">
        <v>41</v>
      </c>
      <c r="U4" s="19" t="s">
        <v>41</v>
      </c>
      <c r="V4" s="19" t="s">
        <v>41</v>
      </c>
      <c r="W4" s="19" t="s">
        <v>41</v>
      </c>
      <c r="X4" s="19" t="s">
        <v>42</v>
      </c>
      <c r="Y4" s="114" t="s">
        <v>4</v>
      </c>
      <c r="Z4" s="116" t="s">
        <v>2</v>
      </c>
      <c r="AA4" s="19" t="s">
        <v>41</v>
      </c>
      <c r="AB4" s="19" t="s">
        <v>41</v>
      </c>
      <c r="AC4" s="116" t="s">
        <v>2</v>
      </c>
      <c r="AD4" s="116" t="s">
        <v>2</v>
      </c>
      <c r="AE4" s="19" t="s">
        <v>42</v>
      </c>
    </row>
    <row r="5" spans="1:37" x14ac:dyDescent="0.35">
      <c r="A5" s="165" t="s">
        <v>21</v>
      </c>
      <c r="B5" s="116" t="s">
        <v>2</v>
      </c>
      <c r="C5" s="19" t="s">
        <v>42</v>
      </c>
      <c r="D5" s="114" t="s">
        <v>4</v>
      </c>
      <c r="E5" s="116" t="s">
        <v>2</v>
      </c>
      <c r="F5" s="19" t="s">
        <v>41</v>
      </c>
      <c r="G5" s="19" t="s">
        <v>41</v>
      </c>
      <c r="H5" s="19" t="s">
        <v>41</v>
      </c>
      <c r="I5" s="19" t="s">
        <v>41</v>
      </c>
      <c r="J5" s="19" t="s">
        <v>42</v>
      </c>
      <c r="K5" s="114" t="s">
        <v>4</v>
      </c>
      <c r="L5" s="116" t="s">
        <v>2</v>
      </c>
      <c r="M5" s="19" t="s">
        <v>41</v>
      </c>
      <c r="N5" s="116" t="s">
        <v>2</v>
      </c>
      <c r="O5" s="19" t="s">
        <v>41</v>
      </c>
      <c r="P5" s="19" t="s">
        <v>41</v>
      </c>
      <c r="Q5" s="19" t="s">
        <v>42</v>
      </c>
      <c r="R5" s="114" t="s">
        <v>4</v>
      </c>
      <c r="S5" s="122" t="s">
        <v>5</v>
      </c>
      <c r="T5" s="122" t="s">
        <v>5</v>
      </c>
      <c r="U5" s="122" t="s">
        <v>5</v>
      </c>
      <c r="V5" s="122" t="s">
        <v>5</v>
      </c>
      <c r="W5" s="122" t="s">
        <v>5</v>
      </c>
      <c r="X5" s="122" t="s">
        <v>5</v>
      </c>
      <c r="Y5" s="19" t="s">
        <v>42</v>
      </c>
      <c r="Z5" s="19" t="s">
        <v>41</v>
      </c>
      <c r="AA5" s="19" t="s">
        <v>41</v>
      </c>
      <c r="AB5" s="116" t="s">
        <v>2</v>
      </c>
      <c r="AC5" s="25" t="s">
        <v>310</v>
      </c>
      <c r="AD5" s="25" t="s">
        <v>310</v>
      </c>
      <c r="AE5" s="19" t="s">
        <v>42</v>
      </c>
    </row>
    <row r="6" spans="1:37" x14ac:dyDescent="0.35">
      <c r="A6" s="141" t="s">
        <v>22</v>
      </c>
      <c r="B6" s="122" t="s">
        <v>5</v>
      </c>
      <c r="C6" s="114" t="s">
        <v>4</v>
      </c>
      <c r="D6" s="114" t="s">
        <v>4</v>
      </c>
      <c r="E6" s="122" t="s">
        <v>5</v>
      </c>
      <c r="F6" s="122" t="s">
        <v>5</v>
      </c>
      <c r="G6" s="19" t="s">
        <v>41</v>
      </c>
      <c r="H6" s="19" t="s">
        <v>41</v>
      </c>
      <c r="I6" s="19" t="s">
        <v>41</v>
      </c>
      <c r="J6" s="19" t="s">
        <v>42</v>
      </c>
      <c r="K6" s="114" t="s">
        <v>4</v>
      </c>
      <c r="L6" s="19" t="s">
        <v>41</v>
      </c>
      <c r="M6" s="122" t="s">
        <v>5</v>
      </c>
      <c r="N6" s="122" t="s">
        <v>5</v>
      </c>
      <c r="O6" s="122" t="s">
        <v>5</v>
      </c>
      <c r="P6" s="122" t="s">
        <v>5</v>
      </c>
      <c r="Q6" s="114" t="s">
        <v>4</v>
      </c>
      <c r="R6" s="19" t="s">
        <v>42</v>
      </c>
      <c r="S6" s="19" t="s">
        <v>41</v>
      </c>
      <c r="T6" s="19" t="s">
        <v>41</v>
      </c>
      <c r="U6" s="116" t="s">
        <v>2</v>
      </c>
      <c r="V6" s="19" t="s">
        <v>41</v>
      </c>
      <c r="W6" s="122" t="s">
        <v>5</v>
      </c>
      <c r="X6" s="19" t="s">
        <v>42</v>
      </c>
      <c r="Y6" s="114" t="s">
        <v>4</v>
      </c>
      <c r="Z6" s="19" t="s">
        <v>41</v>
      </c>
      <c r="AA6" s="19" t="s">
        <v>41</v>
      </c>
      <c r="AB6" s="19" t="s">
        <v>41</v>
      </c>
      <c r="AC6" s="19" t="s">
        <v>41</v>
      </c>
      <c r="AD6" s="19" t="s">
        <v>41</v>
      </c>
      <c r="AE6" s="114" t="s">
        <v>4</v>
      </c>
    </row>
    <row r="7" spans="1:37" x14ac:dyDescent="0.35">
      <c r="A7" s="141" t="s">
        <v>70</v>
      </c>
      <c r="B7" s="122" t="s">
        <v>5</v>
      </c>
      <c r="C7" s="114" t="s">
        <v>4</v>
      </c>
      <c r="D7" s="114" t="s">
        <v>4</v>
      </c>
      <c r="E7" s="25" t="s">
        <v>310</v>
      </c>
      <c r="F7" s="19" t="s">
        <v>41</v>
      </c>
      <c r="G7" s="19" t="s">
        <v>41</v>
      </c>
      <c r="H7" s="19" t="s">
        <v>41</v>
      </c>
      <c r="I7" s="19" t="s">
        <v>41</v>
      </c>
      <c r="J7" s="114" t="s">
        <v>4</v>
      </c>
      <c r="K7" s="114" t="s">
        <v>4</v>
      </c>
      <c r="L7" s="19" t="s">
        <v>41</v>
      </c>
      <c r="M7" s="19" t="s">
        <v>41</v>
      </c>
      <c r="N7" s="19" t="s">
        <v>41</v>
      </c>
      <c r="O7" s="19" t="s">
        <v>41</v>
      </c>
      <c r="P7" s="19" t="s">
        <v>41</v>
      </c>
      <c r="Q7" s="114" t="s">
        <v>4</v>
      </c>
      <c r="R7" s="114" t="s">
        <v>4</v>
      </c>
      <c r="S7" s="19" t="s">
        <v>41</v>
      </c>
      <c r="T7" s="19" t="s">
        <v>41</v>
      </c>
      <c r="U7" s="19" t="s">
        <v>41</v>
      </c>
      <c r="V7" s="19" t="s">
        <v>41</v>
      </c>
      <c r="W7" s="19" t="s">
        <v>41</v>
      </c>
      <c r="X7" s="114" t="s">
        <v>4</v>
      </c>
      <c r="Y7" s="19" t="s">
        <v>42</v>
      </c>
      <c r="Z7" s="19" t="s">
        <v>41</v>
      </c>
      <c r="AA7" s="116" t="s">
        <v>2</v>
      </c>
      <c r="AB7" s="19" t="s">
        <v>41</v>
      </c>
      <c r="AC7" s="19" t="s">
        <v>41</v>
      </c>
      <c r="AD7" s="19" t="s">
        <v>41</v>
      </c>
      <c r="AE7" s="114" t="s">
        <v>4</v>
      </c>
    </row>
    <row r="8" spans="1:37" x14ac:dyDescent="0.35">
      <c r="A8" s="141" t="s">
        <v>149</v>
      </c>
      <c r="B8" s="172" t="s">
        <v>34</v>
      </c>
      <c r="C8" s="114" t="s">
        <v>4</v>
      </c>
      <c r="D8" s="19" t="s">
        <v>42</v>
      </c>
      <c r="E8" s="19" t="s">
        <v>41</v>
      </c>
      <c r="F8" s="19" t="s">
        <v>41</v>
      </c>
      <c r="G8" s="116" t="s">
        <v>2</v>
      </c>
      <c r="H8" s="19" t="s">
        <v>41</v>
      </c>
      <c r="I8" s="19" t="s">
        <v>41</v>
      </c>
      <c r="J8" s="122" t="s">
        <v>5</v>
      </c>
      <c r="K8" s="19" t="s">
        <v>42</v>
      </c>
      <c r="L8" s="19" t="s">
        <v>41</v>
      </c>
      <c r="M8" s="19" t="s">
        <v>41</v>
      </c>
      <c r="N8" s="19" t="s">
        <v>41</v>
      </c>
      <c r="O8" s="116" t="s">
        <v>2</v>
      </c>
      <c r="P8" s="19" t="s">
        <v>41</v>
      </c>
      <c r="Q8" s="209" t="s">
        <v>30</v>
      </c>
      <c r="R8" s="114" t="s">
        <v>4</v>
      </c>
      <c r="S8" s="19" t="s">
        <v>41</v>
      </c>
      <c r="T8" s="19" t="s">
        <v>41</v>
      </c>
      <c r="U8" s="19" t="s">
        <v>41</v>
      </c>
      <c r="V8" s="116" t="s">
        <v>2</v>
      </c>
      <c r="W8" s="19" t="s">
        <v>41</v>
      </c>
      <c r="X8" s="114" t="s">
        <v>4</v>
      </c>
      <c r="Y8" s="122" t="s">
        <v>5</v>
      </c>
      <c r="Z8" s="122" t="s">
        <v>5</v>
      </c>
      <c r="AA8" s="122" t="s">
        <v>5</v>
      </c>
      <c r="AB8" s="122" t="s">
        <v>5</v>
      </c>
      <c r="AC8" s="122" t="s">
        <v>5</v>
      </c>
      <c r="AD8" s="122" t="s">
        <v>5</v>
      </c>
      <c r="AE8" s="122" t="s">
        <v>5</v>
      </c>
    </row>
    <row r="10" spans="1:37" x14ac:dyDescent="0.35">
      <c r="A10" s="165" t="s">
        <v>57</v>
      </c>
      <c r="B10" s="116" t="s">
        <v>2</v>
      </c>
      <c r="C10" s="25" t="s">
        <v>3</v>
      </c>
      <c r="D10" s="114" t="s">
        <v>4</v>
      </c>
      <c r="E10" s="19" t="s">
        <v>41</v>
      </c>
      <c r="F10" s="116" t="s">
        <v>2</v>
      </c>
      <c r="G10" s="25" t="s">
        <v>310</v>
      </c>
      <c r="H10" s="25" t="s">
        <v>310</v>
      </c>
      <c r="I10" s="25" t="s">
        <v>310</v>
      </c>
      <c r="J10" s="25" t="s">
        <v>3</v>
      </c>
      <c r="K10" s="25" t="s">
        <v>3</v>
      </c>
      <c r="L10" s="25" t="s">
        <v>310</v>
      </c>
      <c r="M10" s="25" t="s">
        <v>310</v>
      </c>
      <c r="N10" s="116" t="s">
        <v>2</v>
      </c>
      <c r="O10" s="25" t="s">
        <v>310</v>
      </c>
      <c r="P10" s="116" t="s">
        <v>2</v>
      </c>
      <c r="Q10" s="25" t="s">
        <v>3</v>
      </c>
      <c r="R10" s="25" t="s">
        <v>3</v>
      </c>
      <c r="S10" s="25" t="s">
        <v>310</v>
      </c>
      <c r="T10" s="25" t="s">
        <v>310</v>
      </c>
      <c r="U10" s="116" t="s">
        <v>2</v>
      </c>
      <c r="V10" s="25" t="s">
        <v>310</v>
      </c>
      <c r="W10" s="25" t="s">
        <v>310</v>
      </c>
      <c r="X10" s="25" t="s">
        <v>3</v>
      </c>
      <c r="Y10" s="114" t="s">
        <v>4</v>
      </c>
      <c r="Z10" s="25" t="s">
        <v>310</v>
      </c>
      <c r="AA10" s="25" t="s">
        <v>310</v>
      </c>
      <c r="AB10" s="116" t="s">
        <v>2</v>
      </c>
      <c r="AC10" s="19" t="s">
        <v>41</v>
      </c>
      <c r="AD10" s="19" t="s">
        <v>41</v>
      </c>
      <c r="AE10" s="114" t="s">
        <v>4</v>
      </c>
    </row>
    <row r="11" spans="1:37" x14ac:dyDescent="0.35">
      <c r="A11" s="165" t="s">
        <v>124</v>
      </c>
      <c r="B11" s="25" t="s">
        <v>310</v>
      </c>
      <c r="C11" s="122" t="s">
        <v>5</v>
      </c>
      <c r="D11" s="25" t="s">
        <v>3</v>
      </c>
      <c r="E11" s="25" t="s">
        <v>310</v>
      </c>
      <c r="F11" s="25" t="s">
        <v>310</v>
      </c>
      <c r="G11" s="25" t="s">
        <v>310</v>
      </c>
      <c r="H11" s="25" t="s">
        <v>310</v>
      </c>
      <c r="I11" s="116" t="s">
        <v>2</v>
      </c>
      <c r="J11" s="122" t="s">
        <v>5</v>
      </c>
      <c r="K11" s="122" t="s">
        <v>5</v>
      </c>
      <c r="L11" s="25" t="s">
        <v>310</v>
      </c>
      <c r="M11" s="25" t="s">
        <v>310</v>
      </c>
      <c r="N11" s="25" t="s">
        <v>310</v>
      </c>
      <c r="O11" s="25" t="s">
        <v>310</v>
      </c>
      <c r="P11" s="25" t="s">
        <v>310</v>
      </c>
      <c r="Q11" s="114" t="s">
        <v>4</v>
      </c>
      <c r="R11" s="25" t="s">
        <v>3</v>
      </c>
      <c r="S11" s="25" t="s">
        <v>310</v>
      </c>
      <c r="T11" s="25" t="s">
        <v>310</v>
      </c>
      <c r="U11" s="25" t="s">
        <v>310</v>
      </c>
      <c r="V11" s="122" t="s">
        <v>5</v>
      </c>
      <c r="W11" s="122" t="s">
        <v>5</v>
      </c>
      <c r="X11" s="159"/>
      <c r="Y11" s="159"/>
      <c r="Z11" s="25" t="s">
        <v>310</v>
      </c>
      <c r="AA11" s="209" t="s">
        <v>16</v>
      </c>
      <c r="AB11" s="159"/>
      <c r="AC11" s="159"/>
      <c r="AD11" s="159"/>
      <c r="AE11" s="159"/>
    </row>
    <row r="12" spans="1:37" x14ac:dyDescent="0.35">
      <c r="A12" s="141" t="s">
        <v>71</v>
      </c>
      <c r="B12" s="19" t="s">
        <v>41</v>
      </c>
      <c r="C12" s="25" t="s">
        <v>3</v>
      </c>
      <c r="D12" s="25" t="s">
        <v>3</v>
      </c>
      <c r="E12" s="25" t="s">
        <v>310</v>
      </c>
      <c r="F12" s="25" t="s">
        <v>310</v>
      </c>
      <c r="G12" s="116" t="s">
        <v>2</v>
      </c>
      <c r="H12" s="116" t="s">
        <v>2</v>
      </c>
      <c r="I12" s="25" t="s">
        <v>310</v>
      </c>
      <c r="J12" s="25" t="s">
        <v>3</v>
      </c>
      <c r="K12" s="122" t="s">
        <v>5</v>
      </c>
      <c r="L12" s="122" t="s">
        <v>5</v>
      </c>
      <c r="M12" s="122" t="s">
        <v>5</v>
      </c>
      <c r="N12" s="122" t="s">
        <v>5</v>
      </c>
      <c r="O12" s="122" t="s">
        <v>5</v>
      </c>
      <c r="P12" s="122" t="s">
        <v>5</v>
      </c>
      <c r="Q12" s="122" t="s">
        <v>5</v>
      </c>
      <c r="R12" s="122" t="s">
        <v>5</v>
      </c>
      <c r="S12" s="122" t="s">
        <v>5</v>
      </c>
      <c r="T12" s="122" t="s">
        <v>5</v>
      </c>
      <c r="U12" s="122" t="s">
        <v>5</v>
      </c>
      <c r="V12" s="25" t="s">
        <v>310</v>
      </c>
      <c r="W12" s="25" t="s">
        <v>310</v>
      </c>
      <c r="X12" s="25" t="s">
        <v>3</v>
      </c>
      <c r="Y12" s="25" t="s">
        <v>3</v>
      </c>
      <c r="Z12" s="116" t="s">
        <v>2</v>
      </c>
      <c r="AA12" s="25" t="s">
        <v>310</v>
      </c>
      <c r="AB12" s="25" t="s">
        <v>310</v>
      </c>
      <c r="AC12" s="116" t="s">
        <v>2</v>
      </c>
      <c r="AD12" s="25" t="s">
        <v>310</v>
      </c>
      <c r="AE12" s="25" t="s">
        <v>3</v>
      </c>
    </row>
    <row r="13" spans="1:37" x14ac:dyDescent="0.35">
      <c r="A13" s="141" t="s">
        <v>69</v>
      </c>
      <c r="B13" s="122" t="s">
        <v>5</v>
      </c>
      <c r="C13" s="114" t="s">
        <v>4</v>
      </c>
      <c r="D13" s="114" t="s">
        <v>4</v>
      </c>
      <c r="E13" s="122" t="s">
        <v>5</v>
      </c>
      <c r="F13" s="122" t="s">
        <v>5</v>
      </c>
      <c r="G13" s="122" t="s">
        <v>5</v>
      </c>
      <c r="H13" s="122" t="s">
        <v>5</v>
      </c>
      <c r="I13" s="122" t="s">
        <v>5</v>
      </c>
      <c r="J13" s="114" t="s">
        <v>4</v>
      </c>
      <c r="K13" s="25" t="s">
        <v>3</v>
      </c>
      <c r="L13" s="25" t="s">
        <v>310</v>
      </c>
      <c r="M13" s="25" t="s">
        <v>310</v>
      </c>
      <c r="N13" s="25" t="s">
        <v>310</v>
      </c>
      <c r="O13" s="25" t="s">
        <v>310</v>
      </c>
      <c r="P13" s="25" t="s">
        <v>310</v>
      </c>
      <c r="Q13" s="25" t="s">
        <v>3</v>
      </c>
      <c r="R13" s="114" t="s">
        <v>4</v>
      </c>
      <c r="S13" s="116" t="s">
        <v>2</v>
      </c>
      <c r="T13" s="25" t="s">
        <v>310</v>
      </c>
      <c r="U13" s="25" t="s">
        <v>310</v>
      </c>
      <c r="V13" s="25" t="s">
        <v>310</v>
      </c>
      <c r="W13" s="116" t="s">
        <v>2</v>
      </c>
      <c r="X13" s="114" t="s">
        <v>4</v>
      </c>
      <c r="Y13" s="25" t="s">
        <v>3</v>
      </c>
      <c r="Z13" s="25" t="s">
        <v>310</v>
      </c>
      <c r="AA13" s="116" t="s">
        <v>2</v>
      </c>
      <c r="AB13" s="25" t="s">
        <v>310</v>
      </c>
      <c r="AC13" s="25" t="s">
        <v>310</v>
      </c>
      <c r="AD13" s="25" t="s">
        <v>310</v>
      </c>
      <c r="AE13" s="25" t="s">
        <v>3</v>
      </c>
    </row>
    <row r="14" spans="1:37" x14ac:dyDescent="0.35">
      <c r="A14" s="141" t="s">
        <v>308</v>
      </c>
      <c r="B14" s="25" t="s">
        <v>310</v>
      </c>
      <c r="C14" s="209" t="s">
        <v>30</v>
      </c>
      <c r="D14" s="114" t="s">
        <v>4</v>
      </c>
      <c r="E14" s="116" t="s">
        <v>2</v>
      </c>
      <c r="F14" s="25" t="s">
        <v>310</v>
      </c>
      <c r="G14" s="209" t="s">
        <v>16</v>
      </c>
      <c r="H14" s="25" t="s">
        <v>310</v>
      </c>
      <c r="I14" s="172" t="s">
        <v>34</v>
      </c>
      <c r="J14" s="114" t="s">
        <v>4</v>
      </c>
      <c r="K14" s="114" t="s">
        <v>4</v>
      </c>
      <c r="L14" s="25" t="s">
        <v>310</v>
      </c>
      <c r="M14" s="25" t="s">
        <v>310</v>
      </c>
      <c r="N14" s="209" t="s">
        <v>16</v>
      </c>
      <c r="O14" s="209" t="s">
        <v>16</v>
      </c>
      <c r="P14" s="209" t="s">
        <v>16</v>
      </c>
      <c r="Q14" s="114" t="s">
        <v>4</v>
      </c>
      <c r="R14" s="114" t="s">
        <v>4</v>
      </c>
      <c r="S14" s="209" t="s">
        <v>16</v>
      </c>
      <c r="T14" s="25" t="s">
        <v>310</v>
      </c>
      <c r="U14" s="25" t="s">
        <v>310</v>
      </c>
      <c r="V14" s="209" t="s">
        <v>16</v>
      </c>
      <c r="W14" s="209" t="s">
        <v>16</v>
      </c>
      <c r="X14" s="114" t="s">
        <v>4</v>
      </c>
      <c r="Y14" s="114" t="s">
        <v>4</v>
      </c>
      <c r="Z14" s="209" t="s">
        <v>16</v>
      </c>
      <c r="AA14" s="25" t="s">
        <v>310</v>
      </c>
      <c r="AB14" s="25" t="s">
        <v>310</v>
      </c>
      <c r="AC14" s="25" t="s">
        <v>310</v>
      </c>
      <c r="AD14" s="25" t="s">
        <v>310</v>
      </c>
      <c r="AE14" s="114" t="s">
        <v>4</v>
      </c>
    </row>
    <row r="15" spans="1:37" x14ac:dyDescent="0.35">
      <c r="A15" s="254" t="s">
        <v>326</v>
      </c>
      <c r="B15" s="16" t="s">
        <v>10</v>
      </c>
      <c r="C15" s="114" t="s">
        <v>4</v>
      </c>
      <c r="D15" s="114" t="s">
        <v>4</v>
      </c>
      <c r="E15" s="19" t="s">
        <v>41</v>
      </c>
      <c r="F15" s="209" t="s">
        <v>16</v>
      </c>
      <c r="G15" s="25" t="s">
        <v>310</v>
      </c>
      <c r="H15" s="25" t="s">
        <v>310</v>
      </c>
      <c r="I15" s="25" t="s">
        <v>310</v>
      </c>
      <c r="J15" s="209" t="s">
        <v>30</v>
      </c>
      <c r="K15" s="114" t="s">
        <v>4</v>
      </c>
      <c r="L15" s="116" t="s">
        <v>2</v>
      </c>
      <c r="M15" s="19" t="s">
        <v>41</v>
      </c>
      <c r="N15" s="25" t="s">
        <v>310</v>
      </c>
      <c r="O15" s="116" t="s">
        <v>2</v>
      </c>
      <c r="P15" s="25" t="s">
        <v>310</v>
      </c>
      <c r="Q15" s="209" t="s">
        <v>30</v>
      </c>
      <c r="R15" s="114" t="s">
        <v>4</v>
      </c>
      <c r="S15" s="25" t="s">
        <v>310</v>
      </c>
      <c r="T15" s="122" t="s">
        <v>5</v>
      </c>
      <c r="U15" s="122" t="s">
        <v>5</v>
      </c>
      <c r="V15" s="122" t="s">
        <v>5</v>
      </c>
      <c r="W15" s="25" t="s">
        <v>310</v>
      </c>
      <c r="X15" s="209" t="s">
        <v>30</v>
      </c>
      <c r="Y15" s="114" t="s">
        <v>4</v>
      </c>
      <c r="Z15" s="116" t="s">
        <v>2</v>
      </c>
      <c r="AA15" s="122" t="s">
        <v>5</v>
      </c>
      <c r="AB15" s="122" t="s">
        <v>5</v>
      </c>
      <c r="AC15" s="122" t="s">
        <v>5</v>
      </c>
      <c r="AD15" s="19" t="s">
        <v>41</v>
      </c>
      <c r="AE15" s="114" t="s">
        <v>4</v>
      </c>
    </row>
    <row r="16" spans="1:37" x14ac:dyDescent="0.35">
      <c r="AH16" t="s">
        <v>355</v>
      </c>
      <c r="AI16" t="s">
        <v>2</v>
      </c>
      <c r="AJ16" t="s">
        <v>4</v>
      </c>
      <c r="AK16" t="s">
        <v>5</v>
      </c>
    </row>
    <row r="17" spans="1:39" x14ac:dyDescent="0.35">
      <c r="A17" s="165" t="s">
        <v>9</v>
      </c>
      <c r="B17" s="16" t="s">
        <v>10</v>
      </c>
      <c r="C17" s="16" t="s">
        <v>10</v>
      </c>
      <c r="D17" s="16" t="s">
        <v>10</v>
      </c>
      <c r="E17" s="16" t="s">
        <v>10</v>
      </c>
      <c r="F17" s="16" t="s">
        <v>10</v>
      </c>
      <c r="G17" s="16" t="s">
        <v>10</v>
      </c>
      <c r="H17" s="116" t="s">
        <v>2</v>
      </c>
      <c r="I17" s="116" t="s">
        <v>2</v>
      </c>
      <c r="J17" s="16" t="s">
        <v>11</v>
      </c>
      <c r="K17" s="16" t="s">
        <v>11</v>
      </c>
      <c r="L17" s="16" t="s">
        <v>10</v>
      </c>
      <c r="M17" s="16" t="s">
        <v>10</v>
      </c>
      <c r="N17" s="116" t="s">
        <v>2</v>
      </c>
      <c r="O17" s="116" t="s">
        <v>2</v>
      </c>
      <c r="P17" s="16" t="s">
        <v>10</v>
      </c>
      <c r="Q17" s="16" t="s">
        <v>11</v>
      </c>
      <c r="R17" s="16" t="s">
        <v>11</v>
      </c>
      <c r="S17" s="16" t="s">
        <v>10</v>
      </c>
      <c r="T17" s="172" t="s">
        <v>34</v>
      </c>
      <c r="U17" s="116" t="s">
        <v>2</v>
      </c>
      <c r="V17" s="116" t="s">
        <v>2</v>
      </c>
      <c r="W17" s="16" t="s">
        <v>10</v>
      </c>
      <c r="X17" s="16" t="s">
        <v>11</v>
      </c>
      <c r="Y17" s="16" t="s">
        <v>11</v>
      </c>
      <c r="Z17" s="16" t="s">
        <v>10</v>
      </c>
      <c r="AA17" s="16" t="s">
        <v>10</v>
      </c>
      <c r="AB17" s="116" t="s">
        <v>2</v>
      </c>
      <c r="AC17" s="116" t="s">
        <v>2</v>
      </c>
      <c r="AD17" s="16" t="s">
        <v>10</v>
      </c>
      <c r="AE17" s="16" t="s">
        <v>11</v>
      </c>
      <c r="AH17">
        <f>COUNTIF(B17:AE17,"*NS*")</f>
        <v>21</v>
      </c>
      <c r="AI17">
        <f>COUNTIF(B17:AE17,"C")</f>
        <v>8</v>
      </c>
      <c r="AJ17">
        <f>COUNTIF(B17:AE17, "*WO*")</f>
        <v>0</v>
      </c>
      <c r="AK17">
        <f>COUNTIF(B17:AE17, "*PL*")</f>
        <v>1</v>
      </c>
      <c r="AM17">
        <f>AI17+AJ17</f>
        <v>8</v>
      </c>
    </row>
    <row r="18" spans="1:39" x14ac:dyDescent="0.35">
      <c r="A18" s="165" t="s">
        <v>43</v>
      </c>
      <c r="B18" s="19" t="s">
        <v>41</v>
      </c>
      <c r="C18" s="16" t="s">
        <v>10</v>
      </c>
      <c r="D18" s="114" t="s">
        <v>4</v>
      </c>
      <c r="E18" s="116" t="s">
        <v>2</v>
      </c>
      <c r="F18" s="16" t="s">
        <v>10</v>
      </c>
      <c r="G18" s="16" t="s">
        <v>10</v>
      </c>
      <c r="H18" s="16" t="s">
        <v>10</v>
      </c>
      <c r="I18" s="16" t="s">
        <v>10</v>
      </c>
      <c r="J18" s="16" t="s">
        <v>11</v>
      </c>
      <c r="K18" s="114" t="s">
        <v>4</v>
      </c>
      <c r="L18" s="16" t="s">
        <v>10</v>
      </c>
      <c r="M18" s="16" t="s">
        <v>10</v>
      </c>
      <c r="N18" s="16" t="s">
        <v>10</v>
      </c>
      <c r="O18" s="16" t="s">
        <v>10</v>
      </c>
      <c r="P18" s="116" t="s">
        <v>2</v>
      </c>
      <c r="Q18" s="114" t="s">
        <v>4</v>
      </c>
      <c r="R18" s="16" t="s">
        <v>11</v>
      </c>
      <c r="S18" s="16" t="s">
        <v>10</v>
      </c>
      <c r="T18" s="16" t="s">
        <v>10</v>
      </c>
      <c r="U18" s="16" t="s">
        <v>10</v>
      </c>
      <c r="V18" s="16" t="s">
        <v>10</v>
      </c>
      <c r="W18" s="16" t="s">
        <v>10</v>
      </c>
      <c r="X18" s="114" t="s">
        <v>4</v>
      </c>
      <c r="Y18" s="16" t="s">
        <v>11</v>
      </c>
      <c r="Z18" s="16" t="s">
        <v>10</v>
      </c>
      <c r="AA18" s="16" t="s">
        <v>10</v>
      </c>
      <c r="AB18" s="16" t="s">
        <v>10</v>
      </c>
      <c r="AC18" s="16" t="s">
        <v>10</v>
      </c>
      <c r="AD18" s="116" t="s">
        <v>2</v>
      </c>
      <c r="AE18" s="114" t="s">
        <v>4</v>
      </c>
      <c r="AH18">
        <f t="shared" ref="AH18:AH21" si="1">COUNTIF(B18:AE18,"*NS*")</f>
        <v>21</v>
      </c>
      <c r="AI18">
        <f t="shared" ref="AI18:AI21" si="2">COUNTIF(B18:AE18,"C")</f>
        <v>3</v>
      </c>
      <c r="AJ18">
        <f t="shared" ref="AJ18:AJ21" si="3">COUNTIF(B18:AE18, "*WO*")</f>
        <v>5</v>
      </c>
      <c r="AK18">
        <f t="shared" ref="AK18:AK21" si="4">COUNTIF(B18:AE18, "*PL*")</f>
        <v>0</v>
      </c>
      <c r="AM18">
        <f t="shared" ref="AM18:AM21" si="5">AI18+AJ18</f>
        <v>8</v>
      </c>
    </row>
    <row r="19" spans="1:39" x14ac:dyDescent="0.35">
      <c r="A19" s="141" t="s">
        <v>68</v>
      </c>
      <c r="B19" s="16" t="s">
        <v>10</v>
      </c>
      <c r="C19" s="114" t="s">
        <v>4</v>
      </c>
      <c r="D19" s="16" t="s">
        <v>10</v>
      </c>
      <c r="E19" s="16" t="s">
        <v>10</v>
      </c>
      <c r="F19" s="16" t="s">
        <v>10</v>
      </c>
      <c r="G19" s="116" t="s">
        <v>2</v>
      </c>
      <c r="H19" s="16" t="s">
        <v>10</v>
      </c>
      <c r="I19" s="16" t="s">
        <v>10</v>
      </c>
      <c r="J19" s="16" t="s">
        <v>11</v>
      </c>
      <c r="K19" s="16" t="s">
        <v>11</v>
      </c>
      <c r="L19" s="16" t="s">
        <v>10</v>
      </c>
      <c r="M19" s="116" t="s">
        <v>2</v>
      </c>
      <c r="N19" s="16" t="s">
        <v>10</v>
      </c>
      <c r="O19" s="16" t="s">
        <v>10</v>
      </c>
      <c r="P19" s="16" t="s">
        <v>10</v>
      </c>
      <c r="Q19" s="16" t="s">
        <v>11</v>
      </c>
      <c r="R19" s="114" t="s">
        <v>4</v>
      </c>
      <c r="S19" s="116" t="s">
        <v>2</v>
      </c>
      <c r="T19" s="16" t="s">
        <v>10</v>
      </c>
      <c r="U19" s="16" t="s">
        <v>10</v>
      </c>
      <c r="V19" s="16" t="s">
        <v>10</v>
      </c>
      <c r="W19" s="16" t="s">
        <v>10</v>
      </c>
      <c r="X19" s="16" t="s">
        <v>11</v>
      </c>
      <c r="Y19" s="114" t="s">
        <v>4</v>
      </c>
      <c r="Z19" s="116" t="s">
        <v>2</v>
      </c>
      <c r="AA19" s="116" t="s">
        <v>2</v>
      </c>
      <c r="AB19" s="16" t="s">
        <v>10</v>
      </c>
      <c r="AC19" s="16" t="s">
        <v>10</v>
      </c>
      <c r="AD19" s="16" t="s">
        <v>10</v>
      </c>
      <c r="AE19" s="16" t="s">
        <v>11</v>
      </c>
      <c r="AH19">
        <f t="shared" si="1"/>
        <v>22</v>
      </c>
      <c r="AI19">
        <f t="shared" si="2"/>
        <v>5</v>
      </c>
      <c r="AJ19">
        <f t="shared" si="3"/>
        <v>3</v>
      </c>
      <c r="AK19">
        <f t="shared" si="4"/>
        <v>0</v>
      </c>
      <c r="AM19">
        <f t="shared" si="5"/>
        <v>8</v>
      </c>
    </row>
    <row r="20" spans="1:39" x14ac:dyDescent="0.35">
      <c r="A20" s="141" t="s">
        <v>60</v>
      </c>
      <c r="B20" s="122" t="s">
        <v>5</v>
      </c>
      <c r="C20" s="16" t="s">
        <v>10</v>
      </c>
      <c r="D20" s="16" t="s">
        <v>10</v>
      </c>
      <c r="E20" s="16" t="s">
        <v>10</v>
      </c>
      <c r="F20" s="116" t="s">
        <v>2</v>
      </c>
      <c r="G20" s="16" t="s">
        <v>10</v>
      </c>
      <c r="H20" s="16" t="s">
        <v>10</v>
      </c>
      <c r="I20" s="16" t="s">
        <v>10</v>
      </c>
      <c r="J20" s="114" t="s">
        <v>4</v>
      </c>
      <c r="K20" s="16" t="s">
        <v>11</v>
      </c>
      <c r="L20" s="116" t="s">
        <v>2</v>
      </c>
      <c r="M20" s="16" t="s">
        <v>10</v>
      </c>
      <c r="N20" s="16" t="s">
        <v>10</v>
      </c>
      <c r="O20" s="16" t="s">
        <v>10</v>
      </c>
      <c r="P20" s="16" t="s">
        <v>10</v>
      </c>
      <c r="Q20" s="114" t="s">
        <v>4</v>
      </c>
      <c r="R20" s="16" t="s">
        <v>11</v>
      </c>
      <c r="S20" s="16" t="s">
        <v>10</v>
      </c>
      <c r="T20" s="16" t="s">
        <v>10</v>
      </c>
      <c r="U20" s="122" t="s">
        <v>5</v>
      </c>
      <c r="V20" s="122" t="s">
        <v>5</v>
      </c>
      <c r="W20" s="122" t="s">
        <v>5</v>
      </c>
      <c r="X20" s="114" t="s">
        <v>4</v>
      </c>
      <c r="Y20" s="16" t="s">
        <v>11</v>
      </c>
      <c r="Z20" s="16" t="s">
        <v>10</v>
      </c>
      <c r="AA20" s="16" t="s">
        <v>10</v>
      </c>
      <c r="AB20" s="116" t="s">
        <v>2</v>
      </c>
      <c r="AC20" s="16" t="s">
        <v>10</v>
      </c>
      <c r="AD20" s="16" t="s">
        <v>10</v>
      </c>
      <c r="AE20" s="114" t="s">
        <v>4</v>
      </c>
      <c r="AH20">
        <f t="shared" si="1"/>
        <v>19</v>
      </c>
      <c r="AI20">
        <f t="shared" si="2"/>
        <v>3</v>
      </c>
      <c r="AJ20">
        <f t="shared" si="3"/>
        <v>4</v>
      </c>
      <c r="AK20">
        <f t="shared" si="4"/>
        <v>4</v>
      </c>
      <c r="AM20">
        <f t="shared" si="5"/>
        <v>7</v>
      </c>
    </row>
    <row r="21" spans="1:39" x14ac:dyDescent="0.35">
      <c r="A21" s="141" t="s">
        <v>152</v>
      </c>
      <c r="B21" s="122" t="s">
        <v>5</v>
      </c>
      <c r="C21" s="114" t="s">
        <v>4</v>
      </c>
      <c r="D21" s="114" t="s">
        <v>4</v>
      </c>
      <c r="E21" s="122" t="s">
        <v>5</v>
      </c>
      <c r="F21" s="122" t="s">
        <v>5</v>
      </c>
      <c r="G21" s="122" t="s">
        <v>5</v>
      </c>
      <c r="H21" s="122" t="s">
        <v>5</v>
      </c>
      <c r="I21" s="122" t="s">
        <v>5</v>
      </c>
      <c r="J21" s="114" t="s">
        <v>4</v>
      </c>
      <c r="K21" s="114" t="s">
        <v>4</v>
      </c>
      <c r="L21" s="16" t="s">
        <v>10</v>
      </c>
      <c r="M21" s="16" t="s">
        <v>10</v>
      </c>
      <c r="N21" s="16" t="s">
        <v>10</v>
      </c>
      <c r="O21" s="16" t="s">
        <v>10</v>
      </c>
      <c r="P21" s="16" t="s">
        <v>10</v>
      </c>
      <c r="Q21" s="16" t="s">
        <v>11</v>
      </c>
      <c r="R21" s="114" t="s">
        <v>4</v>
      </c>
      <c r="S21" s="16" t="s">
        <v>10</v>
      </c>
      <c r="T21" s="16" t="s">
        <v>10</v>
      </c>
      <c r="U21" s="16" t="s">
        <v>10</v>
      </c>
      <c r="V21" s="16" t="s">
        <v>10</v>
      </c>
      <c r="W21" s="116" t="s">
        <v>2</v>
      </c>
      <c r="X21" s="16" t="s">
        <v>11</v>
      </c>
      <c r="Y21" s="114" t="s">
        <v>4</v>
      </c>
      <c r="Z21" s="16" t="s">
        <v>10</v>
      </c>
      <c r="AA21" s="16" t="s">
        <v>10</v>
      </c>
      <c r="AB21" s="16" t="s">
        <v>10</v>
      </c>
      <c r="AC21" s="116" t="s">
        <v>2</v>
      </c>
      <c r="AD21" s="16" t="s">
        <v>10</v>
      </c>
      <c r="AE21" s="16" t="s">
        <v>11</v>
      </c>
      <c r="AH21">
        <f t="shared" si="1"/>
        <v>16</v>
      </c>
      <c r="AI21">
        <f t="shared" si="2"/>
        <v>2</v>
      </c>
      <c r="AJ21">
        <f t="shared" si="3"/>
        <v>6</v>
      </c>
      <c r="AK21">
        <f t="shared" si="4"/>
        <v>6</v>
      </c>
      <c r="AM21">
        <f t="shared" si="5"/>
        <v>8</v>
      </c>
    </row>
    <row r="23" spans="1:39" x14ac:dyDescent="0.35">
      <c r="A23" s="264" t="s">
        <v>350</v>
      </c>
    </row>
    <row r="24" spans="1:39" x14ac:dyDescent="0.35">
      <c r="A24" s="141" t="s">
        <v>352</v>
      </c>
      <c r="B24" s="122" t="s">
        <v>5</v>
      </c>
      <c r="C24" s="114" t="s">
        <v>4</v>
      </c>
      <c r="D24" s="25" t="s">
        <v>3</v>
      </c>
      <c r="E24" s="25" t="s">
        <v>310</v>
      </c>
      <c r="F24" s="19" t="s">
        <v>41</v>
      </c>
      <c r="G24" s="25" t="s">
        <v>310</v>
      </c>
      <c r="H24" s="25" t="s">
        <v>310</v>
      </c>
      <c r="I24" s="116" t="s">
        <v>2</v>
      </c>
      <c r="J24" s="25" t="s">
        <v>3</v>
      </c>
      <c r="K24" s="114" t="s">
        <v>4</v>
      </c>
      <c r="L24" s="19" t="s">
        <v>41</v>
      </c>
      <c r="M24" s="19" t="s">
        <v>41</v>
      </c>
      <c r="N24" s="19" t="s">
        <v>41</v>
      </c>
      <c r="O24" s="116" t="s">
        <v>2</v>
      </c>
      <c r="P24" s="19" t="s">
        <v>41</v>
      </c>
      <c r="Q24" s="19" t="s">
        <v>42</v>
      </c>
      <c r="R24" s="114" t="s">
        <v>4</v>
      </c>
      <c r="S24" s="116" t="s">
        <v>2</v>
      </c>
      <c r="T24" s="25" t="s">
        <v>310</v>
      </c>
      <c r="U24" s="16" t="s">
        <v>10</v>
      </c>
      <c r="V24" s="16" t="s">
        <v>10</v>
      </c>
      <c r="W24" s="16" t="s">
        <v>10</v>
      </c>
      <c r="X24" s="114" t="s">
        <v>4</v>
      </c>
      <c r="Y24" s="209" t="s">
        <v>30</v>
      </c>
      <c r="Z24" s="209" t="s">
        <v>16</v>
      </c>
      <c r="AA24" s="25" t="s">
        <v>310</v>
      </c>
      <c r="AB24" s="25" t="s">
        <v>310</v>
      </c>
      <c r="AC24" s="116" t="s">
        <v>2</v>
      </c>
      <c r="AD24" s="25" t="s">
        <v>310</v>
      </c>
      <c r="AE24" s="25" t="s">
        <v>3</v>
      </c>
      <c r="AH24">
        <f>COUNTIF(B24:AE24,"*NS*")</f>
        <v>3</v>
      </c>
      <c r="AI24">
        <f>COUNTIF(B24:AE24,"C")</f>
        <v>4</v>
      </c>
      <c r="AJ24">
        <f>COUNTIF(B24:AE24, "*WO*")</f>
        <v>4</v>
      </c>
      <c r="AK24">
        <f>COUNTIF(B24:AE24, "*PL*")</f>
        <v>1</v>
      </c>
      <c r="AM24">
        <f>AI24+AJ24</f>
        <v>8</v>
      </c>
    </row>
    <row r="25" spans="1:39" x14ac:dyDescent="0.35">
      <c r="A25" s="141" t="s">
        <v>348</v>
      </c>
      <c r="B25" s="25" t="s">
        <v>310</v>
      </c>
      <c r="C25" s="25" t="s">
        <v>3</v>
      </c>
      <c r="D25" s="114" t="s">
        <v>4</v>
      </c>
      <c r="E25" s="19" t="s">
        <v>41</v>
      </c>
      <c r="F25" s="116" t="s">
        <v>2</v>
      </c>
      <c r="G25" s="19" t="s">
        <v>41</v>
      </c>
      <c r="H25" s="19" t="s">
        <v>41</v>
      </c>
      <c r="I25" s="25" t="s">
        <v>310</v>
      </c>
      <c r="J25" s="19" t="s">
        <v>42</v>
      </c>
      <c r="K25" s="114" t="s">
        <v>4</v>
      </c>
      <c r="L25" s="16" t="s">
        <v>10</v>
      </c>
      <c r="M25" s="16" t="s">
        <v>10</v>
      </c>
      <c r="N25" s="16" t="s">
        <v>10</v>
      </c>
      <c r="O25" s="16" t="s">
        <v>10</v>
      </c>
      <c r="P25" s="116" t="s">
        <v>2</v>
      </c>
      <c r="Q25" s="25" t="s">
        <v>3</v>
      </c>
      <c r="R25" s="209" t="s">
        <v>30</v>
      </c>
      <c r="S25" s="25" t="s">
        <v>310</v>
      </c>
      <c r="T25" s="116" t="s">
        <v>2</v>
      </c>
      <c r="U25" s="25" t="s">
        <v>310</v>
      </c>
      <c r="V25" s="25" t="s">
        <v>310</v>
      </c>
      <c r="W25" s="25" t="s">
        <v>310</v>
      </c>
      <c r="X25" s="25" t="s">
        <v>3</v>
      </c>
      <c r="Y25" s="114" t="s">
        <v>4</v>
      </c>
      <c r="Z25" s="114" t="s">
        <v>4</v>
      </c>
      <c r="AA25" s="122" t="s">
        <v>5</v>
      </c>
      <c r="AB25" s="122" t="s">
        <v>5</v>
      </c>
      <c r="AC25" s="122" t="s">
        <v>5</v>
      </c>
      <c r="AD25" s="122" t="s">
        <v>5</v>
      </c>
      <c r="AE25" s="114" t="s">
        <v>4</v>
      </c>
      <c r="AH25">
        <f t="shared" ref="AH25:AH27" si="6">COUNTIF(B25:AE25,"*NS*")</f>
        <v>4</v>
      </c>
      <c r="AI25">
        <f t="shared" ref="AI25:AI27" si="7">COUNTIF(B25:AE25,"C")</f>
        <v>3</v>
      </c>
      <c r="AJ25">
        <f t="shared" ref="AJ25:AJ27" si="8">COUNTIF(B25:AE25, "*WO*")</f>
        <v>5</v>
      </c>
      <c r="AK25">
        <f t="shared" ref="AK25:AK27" si="9">COUNTIF(B25:AE25, "*PL*")</f>
        <v>4</v>
      </c>
      <c r="AM25">
        <f t="shared" ref="AM25:AM27" si="10">AI25+AJ25</f>
        <v>8</v>
      </c>
    </row>
    <row r="26" spans="1:39" x14ac:dyDescent="0.35">
      <c r="A26" s="141" t="s">
        <v>351</v>
      </c>
      <c r="B26" s="16" t="s">
        <v>10</v>
      </c>
      <c r="C26" s="114" t="s">
        <v>4</v>
      </c>
      <c r="D26" s="19" t="s">
        <v>42</v>
      </c>
      <c r="E26" s="16" t="s">
        <v>10</v>
      </c>
      <c r="F26" s="16" t="s">
        <v>10</v>
      </c>
      <c r="G26" s="116" t="s">
        <v>2</v>
      </c>
      <c r="H26" s="209" t="s">
        <v>16</v>
      </c>
      <c r="I26" s="19" t="s">
        <v>41</v>
      </c>
      <c r="J26" s="114" t="s">
        <v>4</v>
      </c>
      <c r="K26" s="25" t="s">
        <v>3</v>
      </c>
      <c r="L26" s="25" t="s">
        <v>310</v>
      </c>
      <c r="M26" s="25" t="s">
        <v>310</v>
      </c>
      <c r="N26" s="122" t="s">
        <v>5</v>
      </c>
      <c r="O26" s="19" t="s">
        <v>41</v>
      </c>
      <c r="P26" s="209" t="s">
        <v>16</v>
      </c>
      <c r="Q26" s="114" t="s">
        <v>4</v>
      </c>
      <c r="R26" s="114" t="s">
        <v>4</v>
      </c>
      <c r="S26" s="19" t="s">
        <v>41</v>
      </c>
      <c r="T26" s="19" t="s">
        <v>41</v>
      </c>
      <c r="U26" s="19" t="s">
        <v>41</v>
      </c>
      <c r="V26" s="19" t="s">
        <v>41</v>
      </c>
      <c r="W26" s="19" t="s">
        <v>41</v>
      </c>
      <c r="X26" s="19" t="s">
        <v>42</v>
      </c>
      <c r="Y26" s="114" t="s">
        <v>4</v>
      </c>
      <c r="Z26" s="116" t="s">
        <v>2</v>
      </c>
      <c r="AA26" s="19" t="s">
        <v>41</v>
      </c>
      <c r="AB26" s="19" t="s">
        <v>41</v>
      </c>
      <c r="AC26" s="19" t="s">
        <v>41</v>
      </c>
      <c r="AD26" s="19" t="s">
        <v>41</v>
      </c>
      <c r="AE26" s="19" t="s">
        <v>42</v>
      </c>
      <c r="AH26">
        <f t="shared" si="6"/>
        <v>3</v>
      </c>
      <c r="AI26">
        <f t="shared" si="7"/>
        <v>2</v>
      </c>
      <c r="AJ26">
        <f t="shared" si="8"/>
        <v>5</v>
      </c>
      <c r="AK26">
        <f t="shared" si="9"/>
        <v>1</v>
      </c>
      <c r="AM26">
        <f t="shared" si="10"/>
        <v>7</v>
      </c>
    </row>
    <row r="27" spans="1:39" x14ac:dyDescent="0.35">
      <c r="A27" s="141" t="s">
        <v>349</v>
      </c>
      <c r="B27" s="19" t="s">
        <v>41</v>
      </c>
      <c r="C27" s="19" t="s">
        <v>42</v>
      </c>
      <c r="D27" s="114" t="s">
        <v>4</v>
      </c>
      <c r="E27" s="116" t="s">
        <v>2</v>
      </c>
      <c r="F27" s="25" t="s">
        <v>310</v>
      </c>
      <c r="G27" s="16" t="s">
        <v>10</v>
      </c>
      <c r="H27" s="16" t="s">
        <v>10</v>
      </c>
      <c r="I27" s="16" t="s">
        <v>10</v>
      </c>
      <c r="J27" s="114" t="s">
        <v>4</v>
      </c>
      <c r="K27" s="19" t="s">
        <v>42</v>
      </c>
      <c r="L27" s="116" t="s">
        <v>2</v>
      </c>
      <c r="M27" s="209" t="s">
        <v>16</v>
      </c>
      <c r="N27" s="25" t="s">
        <v>310</v>
      </c>
      <c r="O27" s="25" t="s">
        <v>310</v>
      </c>
      <c r="P27" s="25" t="s">
        <v>310</v>
      </c>
      <c r="Q27" s="114" t="s">
        <v>4</v>
      </c>
      <c r="R27" s="122" t="s">
        <v>5</v>
      </c>
      <c r="S27" s="122" t="s">
        <v>5</v>
      </c>
      <c r="T27" s="122" t="s">
        <v>5</v>
      </c>
      <c r="U27" s="122" t="s">
        <v>5</v>
      </c>
      <c r="V27" s="122" t="s">
        <v>5</v>
      </c>
      <c r="W27" s="122" t="s">
        <v>5</v>
      </c>
      <c r="X27" s="122" t="s">
        <v>5</v>
      </c>
      <c r="Y27" s="114" t="s">
        <v>4</v>
      </c>
      <c r="Z27" s="114" t="s">
        <v>4</v>
      </c>
      <c r="AA27" s="16" t="s">
        <v>10</v>
      </c>
      <c r="AB27" s="16" t="s">
        <v>10</v>
      </c>
      <c r="AC27" s="16" t="s">
        <v>10</v>
      </c>
      <c r="AD27" s="16" t="s">
        <v>10</v>
      </c>
      <c r="AE27" s="114" t="s">
        <v>4</v>
      </c>
      <c r="AH27">
        <f t="shared" si="6"/>
        <v>7</v>
      </c>
      <c r="AI27">
        <f t="shared" si="7"/>
        <v>2</v>
      </c>
      <c r="AJ27">
        <f t="shared" si="8"/>
        <v>6</v>
      </c>
      <c r="AK27">
        <f t="shared" si="9"/>
        <v>7</v>
      </c>
      <c r="AM27">
        <f t="shared" si="10"/>
        <v>8</v>
      </c>
    </row>
    <row r="29" spans="1:39" x14ac:dyDescent="0.35">
      <c r="A29" s="128" t="s">
        <v>125</v>
      </c>
      <c r="B29">
        <f t="shared" ref="B29" si="11">COUNTIF(B4:B21,"*MSF3")</f>
        <v>2</v>
      </c>
      <c r="C29">
        <f t="shared" ref="C29:D29" si="12">COUNTIF(C4:C21,"*WMS")</f>
        <v>2</v>
      </c>
      <c r="D29">
        <f t="shared" si="12"/>
        <v>2</v>
      </c>
      <c r="E29">
        <f t="shared" ref="E29:I29" si="13">COUNTIF(E4:E21,"*MSF3")</f>
        <v>3</v>
      </c>
      <c r="F29">
        <f t="shared" si="13"/>
        <v>3</v>
      </c>
      <c r="G29">
        <f t="shared" si="13"/>
        <v>3</v>
      </c>
      <c r="H29">
        <f t="shared" si="13"/>
        <v>4</v>
      </c>
      <c r="I29">
        <f t="shared" si="13"/>
        <v>3</v>
      </c>
      <c r="J29">
        <f t="shared" ref="J29:K29" si="14">COUNTIF(J4:J21,"*WMS")</f>
        <v>2</v>
      </c>
      <c r="K29">
        <f t="shared" si="14"/>
        <v>2</v>
      </c>
      <c r="L29">
        <f t="shared" ref="L29:P29" si="15">COUNTIF(L4:L21,"*MSF3")</f>
        <v>4</v>
      </c>
      <c r="M29">
        <f t="shared" si="15"/>
        <v>4</v>
      </c>
      <c r="N29">
        <f t="shared" si="15"/>
        <v>3</v>
      </c>
      <c r="O29">
        <f t="shared" si="15"/>
        <v>3</v>
      </c>
      <c r="P29">
        <f t="shared" si="15"/>
        <v>3</v>
      </c>
      <c r="Q29">
        <f t="shared" ref="Q29:R29" si="16">COUNTIF(Q4:Q21,"*WMS")</f>
        <v>2</v>
      </c>
      <c r="R29">
        <f t="shared" si="16"/>
        <v>2</v>
      </c>
      <c r="S29">
        <f t="shared" ref="S29:W29" si="17">COUNTIF(S4:S21,"*MSF3")</f>
        <v>3</v>
      </c>
      <c r="T29">
        <f t="shared" si="17"/>
        <v>4</v>
      </c>
      <c r="U29">
        <f t="shared" si="17"/>
        <v>3</v>
      </c>
      <c r="V29">
        <f t="shared" si="17"/>
        <v>3</v>
      </c>
      <c r="W29">
        <f t="shared" si="17"/>
        <v>3</v>
      </c>
      <c r="X29">
        <f>COUNTIF(X4:X21,"*WMS")</f>
        <v>2</v>
      </c>
      <c r="Y29">
        <f>COUNTIF(Y4:Y21,"*WMS")</f>
        <v>2</v>
      </c>
      <c r="Z29">
        <f>COUNTIF(Z4:Z21,"*MSF3")</f>
        <v>3</v>
      </c>
      <c r="AA29">
        <f>COUNTIF(AA4:AA21,"*MSF3")</f>
        <v>3</v>
      </c>
      <c r="AB29">
        <f>COUNTIF(AB4:AB21,"*MSF3")</f>
        <v>3</v>
      </c>
      <c r="AC29">
        <f>COUNTIF(AC4:AC21,"*MSF3")</f>
        <v>3</v>
      </c>
      <c r="AD29">
        <f>COUNTIF(AD4:AD21,"*MSF3")</f>
        <v>4</v>
      </c>
      <c r="AE29">
        <f>COUNTIF(AE4:AE21,"*WMS")</f>
        <v>2</v>
      </c>
    </row>
    <row r="30" spans="1:39" x14ac:dyDescent="0.35">
      <c r="A30" s="128" t="s">
        <v>126</v>
      </c>
      <c r="B30">
        <f t="shared" ref="B30:H30" si="18">COUNTIF(B4:B21,"*ASS1")</f>
        <v>3</v>
      </c>
      <c r="C30">
        <f t="shared" si="18"/>
        <v>2</v>
      </c>
      <c r="D30">
        <f t="shared" si="18"/>
        <v>2</v>
      </c>
      <c r="E30">
        <f t="shared" si="18"/>
        <v>3</v>
      </c>
      <c r="F30">
        <f t="shared" si="18"/>
        <v>3</v>
      </c>
      <c r="G30">
        <f t="shared" si="18"/>
        <v>3</v>
      </c>
      <c r="H30">
        <f t="shared" si="18"/>
        <v>4</v>
      </c>
      <c r="I30">
        <f t="shared" ref="I30:W30" si="19">COUNTIF(I4:I21,"*ASS1")</f>
        <v>4</v>
      </c>
      <c r="J30">
        <f t="shared" si="19"/>
        <v>2</v>
      </c>
      <c r="K30">
        <f t="shared" si="19"/>
        <v>2</v>
      </c>
      <c r="L30">
        <f t="shared" si="19"/>
        <v>4</v>
      </c>
      <c r="M30">
        <f t="shared" si="19"/>
        <v>4</v>
      </c>
      <c r="N30">
        <f t="shared" si="19"/>
        <v>3</v>
      </c>
      <c r="O30">
        <f t="shared" si="19"/>
        <v>3</v>
      </c>
      <c r="P30">
        <f t="shared" si="19"/>
        <v>3</v>
      </c>
      <c r="Q30">
        <f t="shared" si="19"/>
        <v>2</v>
      </c>
      <c r="R30">
        <f t="shared" si="19"/>
        <v>2</v>
      </c>
      <c r="S30">
        <f t="shared" si="19"/>
        <v>3</v>
      </c>
      <c r="T30">
        <f t="shared" si="19"/>
        <v>4</v>
      </c>
      <c r="U30">
        <f t="shared" si="19"/>
        <v>3</v>
      </c>
      <c r="V30">
        <f t="shared" si="19"/>
        <v>3</v>
      </c>
      <c r="W30">
        <f t="shared" si="19"/>
        <v>3</v>
      </c>
      <c r="X30">
        <f t="shared" ref="X30:AE30" si="20">COUNTIF(X4:X21,"*ASS1")</f>
        <v>2</v>
      </c>
      <c r="Y30">
        <f t="shared" si="20"/>
        <v>2</v>
      </c>
      <c r="Z30">
        <f t="shared" si="20"/>
        <v>3</v>
      </c>
      <c r="AA30">
        <f t="shared" si="20"/>
        <v>3</v>
      </c>
      <c r="AB30">
        <f t="shared" si="20"/>
        <v>3</v>
      </c>
      <c r="AC30">
        <f t="shared" si="20"/>
        <v>3</v>
      </c>
      <c r="AD30">
        <f t="shared" si="20"/>
        <v>4</v>
      </c>
      <c r="AE30">
        <f t="shared" si="20"/>
        <v>2</v>
      </c>
    </row>
    <row r="31" spans="1:39" x14ac:dyDescent="0.35">
      <c r="A31" s="128" t="s">
        <v>127</v>
      </c>
      <c r="B31">
        <f t="shared" ref="B31:H31" si="21">COUNTIF(B4:B21,"*NST7")</f>
        <v>3</v>
      </c>
      <c r="C31">
        <f t="shared" si="21"/>
        <v>3</v>
      </c>
      <c r="D31">
        <f t="shared" si="21"/>
        <v>3</v>
      </c>
      <c r="E31">
        <f t="shared" si="21"/>
        <v>3</v>
      </c>
      <c r="F31">
        <f t="shared" si="21"/>
        <v>3</v>
      </c>
      <c r="G31">
        <f t="shared" si="21"/>
        <v>3</v>
      </c>
      <c r="H31">
        <f t="shared" si="21"/>
        <v>3</v>
      </c>
      <c r="I31">
        <f t="shared" ref="I31:W31" si="22">COUNTIF(I4:I21,"*NST7")</f>
        <v>3</v>
      </c>
      <c r="J31">
        <f t="shared" si="22"/>
        <v>3</v>
      </c>
      <c r="K31">
        <f t="shared" si="22"/>
        <v>3</v>
      </c>
      <c r="L31">
        <f t="shared" si="22"/>
        <v>4</v>
      </c>
      <c r="M31">
        <f t="shared" si="22"/>
        <v>4</v>
      </c>
      <c r="N31">
        <f t="shared" si="22"/>
        <v>4</v>
      </c>
      <c r="O31">
        <f t="shared" si="22"/>
        <v>4</v>
      </c>
      <c r="P31">
        <f t="shared" si="22"/>
        <v>4</v>
      </c>
      <c r="Q31">
        <f t="shared" si="22"/>
        <v>3</v>
      </c>
      <c r="R31">
        <f t="shared" si="22"/>
        <v>3</v>
      </c>
      <c r="S31">
        <f t="shared" si="22"/>
        <v>4</v>
      </c>
      <c r="T31">
        <f t="shared" si="22"/>
        <v>4</v>
      </c>
      <c r="U31">
        <f t="shared" si="22"/>
        <v>3</v>
      </c>
      <c r="V31">
        <f t="shared" si="22"/>
        <v>3</v>
      </c>
      <c r="W31">
        <f t="shared" si="22"/>
        <v>3</v>
      </c>
      <c r="X31">
        <f t="shared" ref="X31:AE31" si="23">COUNTIF(X4:X21,"*NST7")</f>
        <v>3</v>
      </c>
      <c r="Y31">
        <f t="shared" si="23"/>
        <v>3</v>
      </c>
      <c r="Z31">
        <f t="shared" si="23"/>
        <v>4</v>
      </c>
      <c r="AA31">
        <f t="shared" si="23"/>
        <v>4</v>
      </c>
      <c r="AB31">
        <f t="shared" si="23"/>
        <v>3</v>
      </c>
      <c r="AC31">
        <f t="shared" si="23"/>
        <v>3</v>
      </c>
      <c r="AD31">
        <f t="shared" si="23"/>
        <v>4</v>
      </c>
      <c r="AE31">
        <f t="shared" si="23"/>
        <v>3</v>
      </c>
    </row>
    <row r="32" spans="1:39" x14ac:dyDescent="0.35">
      <c r="A32" s="128" t="s">
        <v>128</v>
      </c>
      <c r="B32">
        <f t="shared" ref="B32:H32" si="24">COUNTIF(B4:B21,"*GS")</f>
        <v>0</v>
      </c>
      <c r="C32">
        <f t="shared" si="24"/>
        <v>1</v>
      </c>
      <c r="D32">
        <f t="shared" si="24"/>
        <v>0</v>
      </c>
      <c r="E32">
        <f t="shared" si="24"/>
        <v>0</v>
      </c>
      <c r="F32">
        <f t="shared" si="24"/>
        <v>1</v>
      </c>
      <c r="G32">
        <f t="shared" si="24"/>
        <v>1</v>
      </c>
      <c r="H32">
        <f t="shared" si="24"/>
        <v>0</v>
      </c>
      <c r="I32">
        <f t="shared" ref="I32:W32" si="25">COUNTIF(I4:I21,"*GS")</f>
        <v>0</v>
      </c>
      <c r="J32">
        <f t="shared" si="25"/>
        <v>1</v>
      </c>
      <c r="K32">
        <f t="shared" si="25"/>
        <v>0</v>
      </c>
      <c r="L32">
        <f t="shared" si="25"/>
        <v>0</v>
      </c>
      <c r="M32">
        <f t="shared" si="25"/>
        <v>0</v>
      </c>
      <c r="N32">
        <f t="shared" si="25"/>
        <v>1</v>
      </c>
      <c r="O32">
        <f t="shared" si="25"/>
        <v>1</v>
      </c>
      <c r="P32">
        <f t="shared" si="25"/>
        <v>1</v>
      </c>
      <c r="Q32">
        <f t="shared" si="25"/>
        <v>2</v>
      </c>
      <c r="R32">
        <f t="shared" si="25"/>
        <v>0</v>
      </c>
      <c r="S32">
        <f t="shared" si="25"/>
        <v>1</v>
      </c>
      <c r="T32">
        <f t="shared" si="25"/>
        <v>0</v>
      </c>
      <c r="U32">
        <f t="shared" si="25"/>
        <v>0</v>
      </c>
      <c r="V32">
        <f t="shared" si="25"/>
        <v>1</v>
      </c>
      <c r="W32">
        <f t="shared" si="25"/>
        <v>1</v>
      </c>
      <c r="X32">
        <f t="shared" ref="X32:AE32" si="26">COUNTIF(X4:X21,"*GS")</f>
        <v>1</v>
      </c>
      <c r="Y32">
        <f t="shared" si="26"/>
        <v>0</v>
      </c>
      <c r="Z32">
        <f t="shared" si="26"/>
        <v>1</v>
      </c>
      <c r="AA32">
        <f t="shared" si="26"/>
        <v>1</v>
      </c>
      <c r="AB32">
        <f t="shared" si="26"/>
        <v>0</v>
      </c>
      <c r="AC32">
        <f t="shared" si="26"/>
        <v>0</v>
      </c>
      <c r="AD32">
        <f t="shared" si="26"/>
        <v>0</v>
      </c>
      <c r="AE32">
        <f t="shared" si="26"/>
        <v>0</v>
      </c>
    </row>
    <row r="33" spans="1:31" x14ac:dyDescent="0.35">
      <c r="A33" s="128" t="s">
        <v>129</v>
      </c>
      <c r="B33">
        <f t="shared" ref="B33" si="27">COUNTIF(B4:B21,"C")</f>
        <v>2</v>
      </c>
      <c r="C33">
        <f t="shared" ref="C33:D33" si="28">COUNTIF(C4:C21,"WO")</f>
        <v>7</v>
      </c>
      <c r="D33">
        <f t="shared" si="28"/>
        <v>9</v>
      </c>
      <c r="E33">
        <f t="shared" ref="E33:I33" si="29">COUNTIF(E4:E21,"C")</f>
        <v>3</v>
      </c>
      <c r="F33">
        <f t="shared" si="29"/>
        <v>2</v>
      </c>
      <c r="G33">
        <f t="shared" si="29"/>
        <v>3</v>
      </c>
      <c r="H33">
        <f t="shared" si="29"/>
        <v>2</v>
      </c>
      <c r="I33">
        <f t="shared" si="29"/>
        <v>2</v>
      </c>
      <c r="J33">
        <f t="shared" ref="J33:K33" si="30">COUNTIF(J4:J21,"WO")</f>
        <v>5</v>
      </c>
      <c r="K33">
        <f t="shared" si="30"/>
        <v>7</v>
      </c>
      <c r="L33">
        <f t="shared" ref="L33:P33" si="31">COUNTIF(L4:L21,"C")</f>
        <v>3</v>
      </c>
      <c r="M33">
        <f t="shared" si="31"/>
        <v>2</v>
      </c>
      <c r="N33">
        <f t="shared" si="31"/>
        <v>3</v>
      </c>
      <c r="O33">
        <f t="shared" si="31"/>
        <v>3</v>
      </c>
      <c r="P33">
        <f t="shared" si="31"/>
        <v>3</v>
      </c>
      <c r="Q33">
        <f t="shared" ref="Q33:R33" si="32">COUNTIF(Q4:Q21,"WO")</f>
        <v>6</v>
      </c>
      <c r="R33">
        <f t="shared" si="32"/>
        <v>8</v>
      </c>
      <c r="S33">
        <f t="shared" ref="S33:V33" si="33">COUNTIF(S4:S21,"C")</f>
        <v>3</v>
      </c>
      <c r="T33">
        <f t="shared" si="33"/>
        <v>0</v>
      </c>
      <c r="U33">
        <f t="shared" si="33"/>
        <v>3</v>
      </c>
      <c r="V33">
        <f t="shared" si="33"/>
        <v>2</v>
      </c>
      <c r="W33">
        <f t="shared" ref="W33" si="34">COUNTIF(W5:W22,"*GS")</f>
        <v>1</v>
      </c>
      <c r="X33">
        <f>COUNTIF(X4:X21,"WO")</f>
        <v>6</v>
      </c>
      <c r="Y33">
        <f>COUNTIF(Y4:Y21,"WO")</f>
        <v>7</v>
      </c>
      <c r="Z33">
        <f>COUNTIF(Z4:Z21,"C")</f>
        <v>4</v>
      </c>
      <c r="AA33">
        <f>COUNTIF(AA4:AA21,"C")</f>
        <v>3</v>
      </c>
      <c r="AB33">
        <f>COUNTIF(AB4:AB21,"C")</f>
        <v>4</v>
      </c>
      <c r="AC33">
        <f>COUNTIF(AC4:AC21,"C")</f>
        <v>4</v>
      </c>
      <c r="AD33">
        <f>COUNTIF(AD4:AD21,"C")</f>
        <v>2</v>
      </c>
      <c r="AE33">
        <f>COUNTIF(AE4:AE21,"WO")</f>
        <v>7</v>
      </c>
    </row>
    <row r="34" spans="1:31" x14ac:dyDescent="0.35">
      <c r="A34" s="128" t="s">
        <v>130</v>
      </c>
      <c r="B34">
        <f t="shared" ref="B34:H34" si="35">COUNTIF(B4:B21,"PL")</f>
        <v>5</v>
      </c>
      <c r="C34">
        <f t="shared" si="35"/>
        <v>1</v>
      </c>
      <c r="D34">
        <f t="shared" si="35"/>
        <v>0</v>
      </c>
      <c r="E34">
        <f t="shared" si="35"/>
        <v>4</v>
      </c>
      <c r="F34">
        <f t="shared" si="35"/>
        <v>4</v>
      </c>
      <c r="G34">
        <f t="shared" si="35"/>
        <v>3</v>
      </c>
      <c r="H34">
        <f t="shared" si="35"/>
        <v>3</v>
      </c>
      <c r="I34">
        <f t="shared" ref="I34:V34" si="36">COUNTIF(I4:I21,"PL")</f>
        <v>3</v>
      </c>
      <c r="J34">
        <f t="shared" si="36"/>
        <v>3</v>
      </c>
      <c r="K34">
        <f t="shared" si="36"/>
        <v>2</v>
      </c>
      <c r="L34">
        <f t="shared" si="36"/>
        <v>1</v>
      </c>
      <c r="M34">
        <f t="shared" si="36"/>
        <v>2</v>
      </c>
      <c r="N34">
        <f t="shared" si="36"/>
        <v>2</v>
      </c>
      <c r="O34">
        <f t="shared" si="36"/>
        <v>2</v>
      </c>
      <c r="P34">
        <f t="shared" si="36"/>
        <v>2</v>
      </c>
      <c r="Q34">
        <f t="shared" si="36"/>
        <v>1</v>
      </c>
      <c r="R34">
        <f t="shared" si="36"/>
        <v>1</v>
      </c>
      <c r="S34">
        <f t="shared" si="36"/>
        <v>2</v>
      </c>
      <c r="T34">
        <f t="shared" si="36"/>
        <v>3</v>
      </c>
      <c r="U34">
        <f t="shared" si="36"/>
        <v>4</v>
      </c>
      <c r="V34">
        <f t="shared" si="36"/>
        <v>4</v>
      </c>
      <c r="W34">
        <f t="shared" ref="W34" si="37">COUNTIF(W6:W23,"*GS")</f>
        <v>1</v>
      </c>
      <c r="X34">
        <f t="shared" ref="X34:AE34" si="38">COUNTIF(X4:X21,"PL")</f>
        <v>1</v>
      </c>
      <c r="Y34">
        <f t="shared" si="38"/>
        <v>1</v>
      </c>
      <c r="Z34">
        <f t="shared" si="38"/>
        <v>1</v>
      </c>
      <c r="AA34">
        <f t="shared" si="38"/>
        <v>2</v>
      </c>
      <c r="AB34">
        <f t="shared" si="38"/>
        <v>2</v>
      </c>
      <c r="AC34">
        <f t="shared" si="38"/>
        <v>2</v>
      </c>
      <c r="AD34">
        <f t="shared" si="38"/>
        <v>1</v>
      </c>
      <c r="AE34">
        <f t="shared" si="38"/>
        <v>1</v>
      </c>
    </row>
    <row r="35" spans="1:31" x14ac:dyDescent="0.35">
      <c r="A35" s="128" t="s">
        <v>33</v>
      </c>
      <c r="B35">
        <f t="shared" ref="B35:H35" si="39">COUNTIF(B4:B21,"UPL")</f>
        <v>1</v>
      </c>
      <c r="C35">
        <f t="shared" si="39"/>
        <v>0</v>
      </c>
      <c r="D35">
        <f t="shared" si="39"/>
        <v>0</v>
      </c>
      <c r="E35">
        <f t="shared" si="39"/>
        <v>0</v>
      </c>
      <c r="F35">
        <f t="shared" si="39"/>
        <v>0</v>
      </c>
      <c r="G35">
        <f t="shared" si="39"/>
        <v>0</v>
      </c>
      <c r="H35">
        <f t="shared" si="39"/>
        <v>0</v>
      </c>
      <c r="I35">
        <f t="shared" ref="I35:V35" si="40">COUNTIF(I4:I21,"UPL")</f>
        <v>1</v>
      </c>
      <c r="J35">
        <f t="shared" si="40"/>
        <v>0</v>
      </c>
      <c r="K35">
        <f t="shared" si="40"/>
        <v>0</v>
      </c>
      <c r="L35">
        <f t="shared" si="40"/>
        <v>0</v>
      </c>
      <c r="M35">
        <f t="shared" si="40"/>
        <v>0</v>
      </c>
      <c r="N35">
        <f t="shared" si="40"/>
        <v>0</v>
      </c>
      <c r="O35">
        <f t="shared" si="40"/>
        <v>0</v>
      </c>
      <c r="P35">
        <f t="shared" si="40"/>
        <v>0</v>
      </c>
      <c r="Q35">
        <f t="shared" si="40"/>
        <v>0</v>
      </c>
      <c r="R35">
        <f t="shared" si="40"/>
        <v>0</v>
      </c>
      <c r="S35">
        <f t="shared" si="40"/>
        <v>0</v>
      </c>
      <c r="T35">
        <f t="shared" si="40"/>
        <v>1</v>
      </c>
      <c r="U35">
        <f t="shared" si="40"/>
        <v>0</v>
      </c>
      <c r="V35">
        <f t="shared" si="40"/>
        <v>0</v>
      </c>
      <c r="W35">
        <f t="shared" ref="W35" si="41">COUNTIF(W7:W24,"*GS")</f>
        <v>1</v>
      </c>
      <c r="X35">
        <f t="shared" ref="X35:AE35" si="42">COUNTIF(X4:X21,"UPL")</f>
        <v>0</v>
      </c>
      <c r="Y35">
        <f t="shared" si="42"/>
        <v>0</v>
      </c>
      <c r="Z35">
        <f t="shared" si="42"/>
        <v>0</v>
      </c>
      <c r="AA35">
        <f t="shared" si="42"/>
        <v>0</v>
      </c>
      <c r="AB35">
        <f t="shared" si="42"/>
        <v>0</v>
      </c>
      <c r="AC35">
        <f t="shared" si="42"/>
        <v>0</v>
      </c>
      <c r="AD35">
        <f t="shared" si="42"/>
        <v>0</v>
      </c>
      <c r="AE35">
        <f t="shared" si="42"/>
        <v>0</v>
      </c>
    </row>
    <row r="36" spans="1:31" x14ac:dyDescent="0.35">
      <c r="A36" s="128" t="s">
        <v>141</v>
      </c>
      <c r="B36">
        <f t="shared" ref="B36:H36" si="43">COUNTIF(B4:B21,"H")</f>
        <v>0</v>
      </c>
      <c r="C36">
        <f t="shared" si="43"/>
        <v>0</v>
      </c>
      <c r="D36">
        <f t="shared" si="43"/>
        <v>0</v>
      </c>
      <c r="E36">
        <f t="shared" si="43"/>
        <v>0</v>
      </c>
      <c r="F36">
        <f t="shared" si="43"/>
        <v>0</v>
      </c>
      <c r="G36">
        <f t="shared" si="43"/>
        <v>0</v>
      </c>
      <c r="H36">
        <f t="shared" si="43"/>
        <v>0</v>
      </c>
      <c r="I36">
        <f t="shared" ref="I36:V36" si="44">COUNTIF(I4:I21,"H")</f>
        <v>0</v>
      </c>
      <c r="J36">
        <f t="shared" si="44"/>
        <v>0</v>
      </c>
      <c r="K36">
        <f t="shared" si="44"/>
        <v>0</v>
      </c>
      <c r="L36">
        <f t="shared" si="44"/>
        <v>0</v>
      </c>
      <c r="M36">
        <f t="shared" si="44"/>
        <v>0</v>
      </c>
      <c r="N36">
        <f t="shared" si="44"/>
        <v>0</v>
      </c>
      <c r="O36">
        <f t="shared" si="44"/>
        <v>0</v>
      </c>
      <c r="P36">
        <f t="shared" si="44"/>
        <v>0</v>
      </c>
      <c r="Q36">
        <f t="shared" si="44"/>
        <v>0</v>
      </c>
      <c r="R36">
        <f t="shared" si="44"/>
        <v>0</v>
      </c>
      <c r="S36">
        <f t="shared" si="44"/>
        <v>0</v>
      </c>
      <c r="T36">
        <f t="shared" si="44"/>
        <v>0</v>
      </c>
      <c r="U36">
        <f t="shared" si="44"/>
        <v>0</v>
      </c>
      <c r="V36">
        <f t="shared" si="44"/>
        <v>0</v>
      </c>
      <c r="W36">
        <f t="shared" ref="W36" si="45">COUNTIF(W8:W25,"*GS")</f>
        <v>1</v>
      </c>
      <c r="X36">
        <f t="shared" ref="X36:AE36" si="46">COUNTIF(X4:X21,"H")</f>
        <v>0</v>
      </c>
      <c r="Y36">
        <f t="shared" si="46"/>
        <v>0</v>
      </c>
      <c r="Z36">
        <f t="shared" si="46"/>
        <v>0</v>
      </c>
      <c r="AA36">
        <f t="shared" si="46"/>
        <v>0</v>
      </c>
      <c r="AB36">
        <f t="shared" si="46"/>
        <v>0</v>
      </c>
      <c r="AC36">
        <f t="shared" si="46"/>
        <v>0</v>
      </c>
      <c r="AD36">
        <f t="shared" si="46"/>
        <v>0</v>
      </c>
      <c r="AE36">
        <f t="shared" si="46"/>
        <v>0</v>
      </c>
    </row>
    <row r="37" spans="1:31" x14ac:dyDescent="0.35">
      <c r="A37" s="128" t="s">
        <v>131</v>
      </c>
      <c r="B37" s="129">
        <f t="shared" ref="B37:H37" si="47">SUM(B29:B36)</f>
        <v>16</v>
      </c>
      <c r="C37" s="129">
        <f t="shared" si="47"/>
        <v>16</v>
      </c>
      <c r="D37" s="129">
        <f t="shared" si="47"/>
        <v>16</v>
      </c>
      <c r="E37" s="129">
        <f t="shared" si="47"/>
        <v>16</v>
      </c>
      <c r="F37" s="129">
        <f t="shared" si="47"/>
        <v>16</v>
      </c>
      <c r="G37" s="129">
        <f t="shared" si="47"/>
        <v>16</v>
      </c>
      <c r="H37" s="129">
        <f t="shared" si="47"/>
        <v>16</v>
      </c>
      <c r="I37" s="129">
        <f t="shared" ref="I37:W37" si="48">SUM(I29:I36)</f>
        <v>16</v>
      </c>
      <c r="J37" s="129">
        <f t="shared" si="48"/>
        <v>16</v>
      </c>
      <c r="K37" s="129">
        <f t="shared" si="48"/>
        <v>16</v>
      </c>
      <c r="L37" s="129">
        <f t="shared" si="48"/>
        <v>16</v>
      </c>
      <c r="M37" s="129">
        <f t="shared" si="48"/>
        <v>16</v>
      </c>
      <c r="N37" s="129">
        <f t="shared" si="48"/>
        <v>16</v>
      </c>
      <c r="O37" s="129">
        <f t="shared" si="48"/>
        <v>16</v>
      </c>
      <c r="P37" s="129">
        <f t="shared" si="48"/>
        <v>16</v>
      </c>
      <c r="Q37" s="129">
        <f t="shared" si="48"/>
        <v>16</v>
      </c>
      <c r="R37" s="129">
        <f t="shared" si="48"/>
        <v>16</v>
      </c>
      <c r="S37" s="129">
        <f t="shared" si="48"/>
        <v>16</v>
      </c>
      <c r="T37" s="129">
        <f t="shared" si="48"/>
        <v>16</v>
      </c>
      <c r="U37" s="129">
        <f t="shared" si="48"/>
        <v>16</v>
      </c>
      <c r="V37" s="129">
        <f t="shared" si="48"/>
        <v>16</v>
      </c>
      <c r="W37" s="129">
        <f t="shared" si="48"/>
        <v>14</v>
      </c>
      <c r="X37" s="129">
        <f t="shared" ref="X37:AE37" si="49">SUM(X29:X36)</f>
        <v>15</v>
      </c>
      <c r="Y37" s="129">
        <f t="shared" si="49"/>
        <v>15</v>
      </c>
      <c r="Z37" s="129">
        <f t="shared" si="49"/>
        <v>16</v>
      </c>
      <c r="AA37" s="129">
        <f t="shared" si="49"/>
        <v>16</v>
      </c>
      <c r="AB37" s="129">
        <f t="shared" si="49"/>
        <v>15</v>
      </c>
      <c r="AC37" s="129">
        <f t="shared" si="49"/>
        <v>15</v>
      </c>
      <c r="AD37" s="129">
        <f t="shared" si="49"/>
        <v>15</v>
      </c>
      <c r="AE37" s="129">
        <f t="shared" si="49"/>
        <v>15</v>
      </c>
    </row>
  </sheetData>
  <phoneticPr fontId="25" type="noConversion"/>
  <conditionalFormatting sqref="A15:A16 B16">
    <cfRule type="cellIs" dxfId="463" priority="336" operator="equal">
      <formula>"NST7"</formula>
    </cfRule>
  </conditionalFormatting>
  <conditionalFormatting sqref="A23 B26">
    <cfRule type="cellIs" dxfId="462" priority="334" operator="equal">
      <formula>"NST7"</formula>
    </cfRule>
    <cfRule type="cellIs" dxfId="461" priority="333" operator="equal">
      <formula>"WNST7"</formula>
    </cfRule>
  </conditionalFormatting>
  <conditionalFormatting sqref="B5">
    <cfRule type="cellIs" dxfId="460" priority="270" operator="equal">
      <formula>"NST7"</formula>
    </cfRule>
    <cfRule type="cellIs" dxfId="459" priority="269" operator="equal">
      <formula>"WNST7"</formula>
    </cfRule>
  </conditionalFormatting>
  <conditionalFormatting sqref="B10">
    <cfRule type="cellIs" dxfId="458" priority="62" operator="equal">
      <formula>"NST7"</formula>
    </cfRule>
    <cfRule type="cellIs" dxfId="457" priority="61" operator="equal">
      <formula>"WNST7"</formula>
    </cfRule>
  </conditionalFormatting>
  <conditionalFormatting sqref="B29:V32">
    <cfRule type="cellIs" dxfId="456" priority="256" operator="lessThan">
      <formula>3</formula>
    </cfRule>
  </conditionalFormatting>
  <conditionalFormatting sqref="B16:XFD16 B29:AE37">
    <cfRule type="cellIs" dxfId="455" priority="247" operator="equal">
      <formula>"WNST7"</formula>
    </cfRule>
  </conditionalFormatting>
  <conditionalFormatting sqref="C14">
    <cfRule type="cellIs" dxfId="454" priority="70" operator="equal">
      <formula>"NST7"</formula>
    </cfRule>
    <cfRule type="cellIs" dxfId="453" priority="69" operator="equal">
      <formula>"WNST7"</formula>
    </cfRule>
  </conditionalFormatting>
  <conditionalFormatting sqref="E5">
    <cfRule type="cellIs" dxfId="452" priority="210" operator="equal">
      <formula>"NST7"</formula>
    </cfRule>
    <cfRule type="cellIs" dxfId="451" priority="209" operator="equal">
      <formula>"WNST7"</formula>
    </cfRule>
  </conditionalFormatting>
  <conditionalFormatting sqref="E14">
    <cfRule type="cellIs" dxfId="450" priority="68" operator="equal">
      <formula>"NST7"</formula>
    </cfRule>
    <cfRule type="cellIs" dxfId="449" priority="67" operator="equal">
      <formula>"WNST7"</formula>
    </cfRule>
  </conditionalFormatting>
  <conditionalFormatting sqref="E18">
    <cfRule type="cellIs" dxfId="448" priority="243" operator="equal">
      <formula>"WNST7"</formula>
    </cfRule>
    <cfRule type="cellIs" dxfId="447" priority="244" operator="equal">
      <formula>"NST7"</formula>
    </cfRule>
  </conditionalFormatting>
  <conditionalFormatting sqref="E27">
    <cfRule type="cellIs" dxfId="446" priority="126" operator="equal">
      <formula>"NST7"</formula>
    </cfRule>
    <cfRule type="cellIs" dxfId="445" priority="125" operator="equal">
      <formula>"WNST7"</formula>
    </cfRule>
  </conditionalFormatting>
  <conditionalFormatting sqref="E26:H26">
    <cfRule type="cellIs" dxfId="444" priority="116" operator="equal">
      <formula>"NST7"</formula>
    </cfRule>
    <cfRule type="cellIs" dxfId="443" priority="115" operator="equal">
      <formula>"WNST7"</formula>
    </cfRule>
  </conditionalFormatting>
  <conditionalFormatting sqref="F10">
    <cfRule type="cellIs" dxfId="442" priority="54" operator="equal">
      <formula>"NST7"</formula>
    </cfRule>
    <cfRule type="cellIs" dxfId="441" priority="53" operator="equal">
      <formula>"WNST7"</formula>
    </cfRule>
  </conditionalFormatting>
  <conditionalFormatting sqref="F15">
    <cfRule type="cellIs" dxfId="440" priority="58" operator="equal">
      <formula>"NST7"</formula>
    </cfRule>
    <cfRule type="cellIs" dxfId="439" priority="57" operator="equal">
      <formula>"WNST7"</formula>
    </cfRule>
  </conditionalFormatting>
  <conditionalFormatting sqref="F20">
    <cfRule type="cellIs" dxfId="438" priority="241" operator="equal">
      <formula>"WNST7"</formula>
    </cfRule>
    <cfRule type="cellIs" dxfId="437" priority="242" operator="equal">
      <formula>"NST7"</formula>
    </cfRule>
  </conditionalFormatting>
  <conditionalFormatting sqref="F25">
    <cfRule type="cellIs" dxfId="436" priority="65" operator="equal">
      <formula>"WNST7"</formula>
    </cfRule>
    <cfRule type="cellIs" dxfId="435" priority="66" operator="equal">
      <formula>"NST7"</formula>
    </cfRule>
  </conditionalFormatting>
  <conditionalFormatting sqref="G8">
    <cfRule type="cellIs" dxfId="434" priority="79" operator="equal">
      <formula>"WNST7"</formula>
    </cfRule>
    <cfRule type="cellIs" dxfId="433" priority="80" operator="equal">
      <formula>"NST7"</formula>
    </cfRule>
  </conditionalFormatting>
  <conditionalFormatting sqref="G14">
    <cfRule type="cellIs" dxfId="432" priority="56" operator="equal">
      <formula>"NST7"</formula>
    </cfRule>
    <cfRule type="cellIs" dxfId="431" priority="55" operator="equal">
      <formula>"WNST7"</formula>
    </cfRule>
  </conditionalFormatting>
  <conditionalFormatting sqref="G19">
    <cfRule type="cellIs" dxfId="430" priority="239" operator="equal">
      <formula>"WNST7"</formula>
    </cfRule>
    <cfRule type="cellIs" dxfId="429" priority="240" operator="equal">
      <formula>"NST7"</formula>
    </cfRule>
  </conditionalFormatting>
  <conditionalFormatting sqref="G12:H12">
    <cfRule type="cellIs" dxfId="428" priority="180" operator="equal">
      <formula>"NST7"</formula>
    </cfRule>
    <cfRule type="cellIs" dxfId="427" priority="179" operator="equal">
      <formula>"WNST7"</formula>
    </cfRule>
  </conditionalFormatting>
  <conditionalFormatting sqref="G27:I27">
    <cfRule type="cellIs" dxfId="426" priority="128" operator="equal">
      <formula>"NST7"</formula>
    </cfRule>
    <cfRule type="cellIs" dxfId="425" priority="127" operator="equal">
      <formula>"WNST7"</formula>
    </cfRule>
  </conditionalFormatting>
  <conditionalFormatting sqref="H17:I17">
    <cfRule type="cellIs" dxfId="424" priority="326" operator="equal">
      <formula>"NST7"</formula>
    </cfRule>
    <cfRule type="cellIs" dxfId="423" priority="325" operator="equal">
      <formula>"WNST7"</formula>
    </cfRule>
  </conditionalFormatting>
  <conditionalFormatting sqref="I11">
    <cfRule type="cellIs" dxfId="422" priority="52" operator="equal">
      <formula>"NST7"</formula>
    </cfRule>
    <cfRule type="cellIs" dxfId="421" priority="51" operator="equal">
      <formula>"WNST7"</formula>
    </cfRule>
  </conditionalFormatting>
  <conditionalFormatting sqref="I24">
    <cfRule type="cellIs" dxfId="420" priority="63" operator="equal">
      <formula>"WNST7"</formula>
    </cfRule>
    <cfRule type="cellIs" dxfId="419" priority="64" operator="equal">
      <formula>"NST7"</formula>
    </cfRule>
  </conditionalFormatting>
  <conditionalFormatting sqref="J15">
    <cfRule type="cellIs" dxfId="418" priority="170" operator="equal">
      <formula>"NST7"</formula>
    </cfRule>
    <cfRule type="cellIs" dxfId="417" priority="169" operator="equal">
      <formula>"WNST7"</formula>
    </cfRule>
  </conditionalFormatting>
  <conditionalFormatting sqref="L5">
    <cfRule type="cellIs" dxfId="416" priority="199" operator="equal">
      <formula>"WNST7"</formula>
    </cfRule>
    <cfRule type="cellIs" dxfId="415" priority="200" operator="equal">
      <formula>"NST7"</formula>
    </cfRule>
  </conditionalFormatting>
  <conditionalFormatting sqref="L15">
    <cfRule type="cellIs" dxfId="414" priority="78" operator="equal">
      <formula>"NST7"</formula>
    </cfRule>
    <cfRule type="cellIs" dxfId="413" priority="77" operator="equal">
      <formula>"WNST7"</formula>
    </cfRule>
  </conditionalFormatting>
  <conditionalFormatting sqref="L20">
    <cfRule type="cellIs" dxfId="412" priority="45" operator="equal">
      <formula>"WNST7"</formula>
    </cfRule>
    <cfRule type="cellIs" dxfId="411" priority="46" operator="equal">
      <formula>"NST7"</formula>
    </cfRule>
  </conditionalFormatting>
  <conditionalFormatting sqref="L27:M27">
    <cfRule type="cellIs" dxfId="410" priority="105" operator="equal">
      <formula>"WNST7"</formula>
    </cfRule>
    <cfRule type="cellIs" dxfId="409" priority="106" operator="equal">
      <formula>"NST7"</formula>
    </cfRule>
  </conditionalFormatting>
  <conditionalFormatting sqref="L25:O25">
    <cfRule type="cellIs" dxfId="408" priority="119" operator="equal">
      <formula>"WNST7"</formula>
    </cfRule>
    <cfRule type="cellIs" dxfId="407" priority="120" operator="equal">
      <formula>"NST7"</formula>
    </cfRule>
  </conditionalFormatting>
  <conditionalFormatting sqref="M4">
    <cfRule type="cellIs" dxfId="406" priority="81" operator="equal">
      <formula>"WNST7"</formula>
    </cfRule>
    <cfRule type="cellIs" dxfId="405" priority="82" operator="equal">
      <formula>"NST7"</formula>
    </cfRule>
  </conditionalFormatting>
  <conditionalFormatting sqref="M19">
    <cfRule type="cellIs" dxfId="404" priority="235" operator="equal">
      <formula>"WNST7"</formula>
    </cfRule>
    <cfRule type="cellIs" dxfId="403" priority="236" operator="equal">
      <formula>"NST7"</formula>
    </cfRule>
  </conditionalFormatting>
  <conditionalFormatting sqref="N5">
    <cfRule type="cellIs" dxfId="402" priority="198" operator="equal">
      <formula>"NST7"</formula>
    </cfRule>
    <cfRule type="cellIs" dxfId="401" priority="197" operator="equal">
      <formula>"WNST7"</formula>
    </cfRule>
  </conditionalFormatting>
  <conditionalFormatting sqref="N10">
    <cfRule type="cellIs" dxfId="400" priority="47" operator="equal">
      <formula>"WNST7"</formula>
    </cfRule>
    <cfRule type="cellIs" dxfId="399" priority="48" operator="equal">
      <formula>"NST7"</formula>
    </cfRule>
  </conditionalFormatting>
  <conditionalFormatting sqref="N17:O17">
    <cfRule type="cellIs" dxfId="398" priority="332" operator="equal">
      <formula>"NST7"</formula>
    </cfRule>
    <cfRule type="cellIs" dxfId="397" priority="331" operator="equal">
      <formula>"WNST7"</formula>
    </cfRule>
  </conditionalFormatting>
  <conditionalFormatting sqref="N14:P14">
    <cfRule type="cellIs" dxfId="396" priority="165" operator="equal">
      <formula>"WNST7"</formula>
    </cfRule>
    <cfRule type="cellIs" dxfId="395" priority="166" operator="equal">
      <formula>"NST7"</formula>
    </cfRule>
  </conditionalFormatting>
  <conditionalFormatting sqref="O8">
    <cfRule type="cellIs" dxfId="394" priority="195" operator="equal">
      <formula>"WNST7"</formula>
    </cfRule>
    <cfRule type="cellIs" dxfId="393" priority="196" operator="equal">
      <formula>"NST7"</formula>
    </cfRule>
  </conditionalFormatting>
  <conditionalFormatting sqref="O15">
    <cfRule type="cellIs" dxfId="392" priority="138" operator="equal">
      <formula>"NST7"</formula>
    </cfRule>
    <cfRule type="cellIs" dxfId="391" priority="137" operator="equal">
      <formula>"WNST7"</formula>
    </cfRule>
  </conditionalFormatting>
  <conditionalFormatting sqref="O24">
    <cfRule type="cellIs" dxfId="390" priority="104" operator="equal">
      <formula>"NST7"</formula>
    </cfRule>
    <cfRule type="cellIs" dxfId="389" priority="103" operator="equal">
      <formula>"WNST7"</formula>
    </cfRule>
  </conditionalFormatting>
  <conditionalFormatting sqref="P4">
    <cfRule type="cellIs" dxfId="388" priority="217" operator="equal">
      <formula>"WNST7"</formula>
    </cfRule>
    <cfRule type="cellIs" dxfId="387" priority="218" operator="equal">
      <formula>"NST7"</formula>
    </cfRule>
  </conditionalFormatting>
  <conditionalFormatting sqref="P10">
    <cfRule type="cellIs" dxfId="386" priority="43" operator="equal">
      <formula>"WNST7"</formula>
    </cfRule>
    <cfRule type="cellIs" dxfId="385" priority="44" operator="equal">
      <formula>"NST7"</formula>
    </cfRule>
  </conditionalFormatting>
  <conditionalFormatting sqref="P18">
    <cfRule type="cellIs" dxfId="384" priority="233" operator="equal">
      <formula>"WNST7"</formula>
    </cfRule>
    <cfRule type="cellIs" dxfId="383" priority="234" operator="equal">
      <formula>"NST7"</formula>
    </cfRule>
  </conditionalFormatting>
  <conditionalFormatting sqref="P25:P26">
    <cfRule type="cellIs" dxfId="382" priority="102" operator="equal">
      <formula>"NST7"</formula>
    </cfRule>
    <cfRule type="cellIs" dxfId="381" priority="101" operator="equal">
      <formula>"WNST7"</formula>
    </cfRule>
  </conditionalFormatting>
  <conditionalFormatting sqref="Q8">
    <cfRule type="cellIs" dxfId="380" priority="194" operator="equal">
      <formula>"NST7"</formula>
    </cfRule>
    <cfRule type="cellIs" dxfId="379" priority="193" operator="equal">
      <formula>"WNST7"</formula>
    </cfRule>
  </conditionalFormatting>
  <conditionalFormatting sqref="Q15">
    <cfRule type="cellIs" dxfId="378" priority="167" operator="equal">
      <formula>"WNST7"</formula>
    </cfRule>
    <cfRule type="cellIs" dxfId="377" priority="168" operator="equal">
      <formula>"NST7"</formula>
    </cfRule>
  </conditionalFormatting>
  <conditionalFormatting sqref="R25">
    <cfRule type="cellIs" dxfId="376" priority="94" operator="equal">
      <formula>"NST7"</formula>
    </cfRule>
    <cfRule type="cellIs" dxfId="375" priority="93" operator="equal">
      <formula>"WNST7"</formula>
    </cfRule>
  </conditionalFormatting>
  <conditionalFormatting sqref="S4">
    <cfRule type="cellIs" dxfId="374" priority="216" operator="equal">
      <formula>"NST7"</formula>
    </cfRule>
    <cfRule type="cellIs" dxfId="373" priority="215" operator="equal">
      <formula>"WNST7"</formula>
    </cfRule>
  </conditionalFormatting>
  <conditionalFormatting sqref="S13:S14">
    <cfRule type="cellIs" dxfId="372" priority="41" operator="equal">
      <formula>"WNST7"</formula>
    </cfRule>
    <cfRule type="cellIs" dxfId="371" priority="42" operator="equal">
      <formula>"NST7"</formula>
    </cfRule>
  </conditionalFormatting>
  <conditionalFormatting sqref="S19">
    <cfRule type="cellIs" dxfId="370" priority="232" operator="equal">
      <formula>"NST7"</formula>
    </cfRule>
    <cfRule type="cellIs" dxfId="369" priority="231" operator="equal">
      <formula>"WNST7"</formula>
    </cfRule>
  </conditionalFormatting>
  <conditionalFormatting sqref="S24">
    <cfRule type="cellIs" dxfId="368" priority="98" operator="equal">
      <formula>"NST7"</formula>
    </cfRule>
    <cfRule type="cellIs" dxfId="367" priority="97" operator="equal">
      <formula>"WNST7"</formula>
    </cfRule>
  </conditionalFormatting>
  <conditionalFormatting sqref="T25">
    <cfRule type="cellIs" dxfId="366" priority="92" operator="equal">
      <formula>"NST7"</formula>
    </cfRule>
    <cfRule type="cellIs" dxfId="365" priority="91" operator="equal">
      <formula>"WNST7"</formula>
    </cfRule>
  </conditionalFormatting>
  <conditionalFormatting sqref="U6">
    <cfRule type="cellIs" dxfId="364" priority="191" operator="equal">
      <formula>"WNST7"</formula>
    </cfRule>
    <cfRule type="cellIs" dxfId="363" priority="192" operator="equal">
      <formula>"NST7"</formula>
    </cfRule>
  </conditionalFormatting>
  <conditionalFormatting sqref="U10">
    <cfRule type="cellIs" dxfId="362" priority="174" operator="equal">
      <formula>"NST7"</formula>
    </cfRule>
    <cfRule type="cellIs" dxfId="361" priority="173" operator="equal">
      <formula>"WNST7"</formula>
    </cfRule>
  </conditionalFormatting>
  <conditionalFormatting sqref="U17:V17">
    <cfRule type="cellIs" dxfId="360" priority="329" operator="equal">
      <formula>"WNST7"</formula>
    </cfRule>
    <cfRule type="cellIs" dxfId="359" priority="330" operator="equal">
      <formula>"NST7"</formula>
    </cfRule>
  </conditionalFormatting>
  <conditionalFormatting sqref="U24:W24">
    <cfRule type="cellIs" dxfId="358" priority="100" operator="equal">
      <formula>"NST7"</formula>
    </cfRule>
    <cfRule type="cellIs" dxfId="357" priority="99" operator="equal">
      <formula>"WNST7"</formula>
    </cfRule>
  </conditionalFormatting>
  <conditionalFormatting sqref="V8">
    <cfRule type="cellIs" dxfId="356" priority="189" operator="equal">
      <formula>"WNST7"</formula>
    </cfRule>
    <cfRule type="cellIs" dxfId="355" priority="190" operator="equal">
      <formula>"NST7"</formula>
    </cfRule>
  </conditionalFormatting>
  <conditionalFormatting sqref="V14:W14">
    <cfRule type="cellIs" dxfId="354" priority="153" operator="equal">
      <formula>"WNST7"</formula>
    </cfRule>
    <cfRule type="cellIs" dxfId="353" priority="154" operator="equal">
      <formula>"NST7"</formula>
    </cfRule>
  </conditionalFormatting>
  <conditionalFormatting sqref="W13">
    <cfRule type="cellIs" dxfId="352" priority="156" operator="equal">
      <formula>"NST7"</formula>
    </cfRule>
    <cfRule type="cellIs" dxfId="351" priority="155" operator="equal">
      <formula>"WNST7"</formula>
    </cfRule>
  </conditionalFormatting>
  <conditionalFormatting sqref="W21">
    <cfRule type="cellIs" dxfId="350" priority="227" operator="equal">
      <formula>"WNST7"</formula>
    </cfRule>
    <cfRule type="cellIs" dxfId="349" priority="228" operator="equal">
      <formula>"NST7"</formula>
    </cfRule>
  </conditionalFormatting>
  <conditionalFormatting sqref="W29:W36">
    <cfRule type="cellIs" dxfId="348" priority="254" operator="lessThan">
      <formula>3</formula>
    </cfRule>
  </conditionalFormatting>
  <conditionalFormatting sqref="X15">
    <cfRule type="cellIs" dxfId="347" priority="158" operator="equal">
      <formula>"NST7"</formula>
    </cfRule>
    <cfRule type="cellIs" dxfId="346" priority="157" operator="equal">
      <formula>"WNST7"</formula>
    </cfRule>
  </conditionalFormatting>
  <conditionalFormatting sqref="X29:AE32">
    <cfRule type="cellIs" dxfId="345" priority="248" operator="lessThan">
      <formula>3</formula>
    </cfRule>
  </conditionalFormatting>
  <conditionalFormatting sqref="Y24:Z24">
    <cfRule type="cellIs" dxfId="344" priority="1" operator="equal">
      <formula>"WNST7"</formula>
    </cfRule>
    <cfRule type="cellIs" dxfId="343" priority="2" operator="equal">
      <formula>"NST7"</formula>
    </cfRule>
  </conditionalFormatting>
  <conditionalFormatting sqref="Z4">
    <cfRule type="cellIs" dxfId="342" priority="20" operator="equal">
      <formula>"NST7"</formula>
    </cfRule>
    <cfRule type="cellIs" dxfId="341" priority="19" operator="equal">
      <formula>"WNST7"</formula>
    </cfRule>
  </conditionalFormatting>
  <conditionalFormatting sqref="Z12">
    <cfRule type="cellIs" dxfId="340" priority="26" operator="equal">
      <formula>"NST7"</formula>
    </cfRule>
    <cfRule type="cellIs" dxfId="339" priority="25" operator="equal">
      <formula>"WNST7"</formula>
    </cfRule>
  </conditionalFormatting>
  <conditionalFormatting sqref="Z14:Z15">
    <cfRule type="cellIs" dxfId="338" priority="21" operator="equal">
      <formula>"WNST7"</formula>
    </cfRule>
    <cfRule type="cellIs" dxfId="337" priority="22" operator="equal">
      <formula>"NST7"</formula>
    </cfRule>
  </conditionalFormatting>
  <conditionalFormatting sqref="Z26">
    <cfRule type="cellIs" dxfId="336" priority="5" operator="equal">
      <formula>"WNST7"</formula>
    </cfRule>
    <cfRule type="cellIs" dxfId="335" priority="6" operator="equal">
      <formula>"NST7"</formula>
    </cfRule>
  </conditionalFormatting>
  <conditionalFormatting sqref="Z19:AA19">
    <cfRule type="cellIs" dxfId="334" priority="14" operator="equal">
      <formula>"NST7"</formula>
    </cfRule>
    <cfRule type="cellIs" dxfId="333" priority="13" operator="equal">
      <formula>"WNST7"</formula>
    </cfRule>
  </conditionalFormatting>
  <conditionalFormatting sqref="AA7">
    <cfRule type="cellIs" dxfId="332" priority="34" operator="equal">
      <formula>"NST7"</formula>
    </cfRule>
    <cfRule type="cellIs" dxfId="331" priority="33" operator="equal">
      <formula>"WNST7"</formula>
    </cfRule>
  </conditionalFormatting>
  <conditionalFormatting sqref="AA11">
    <cfRule type="cellIs" dxfId="330" priority="147" operator="equal">
      <formula>"WNST7"</formula>
    </cfRule>
    <cfRule type="cellIs" dxfId="329" priority="148" operator="equal">
      <formula>"NST7"</formula>
    </cfRule>
  </conditionalFormatting>
  <conditionalFormatting sqref="AA13">
    <cfRule type="cellIs" dxfId="328" priority="27" operator="equal">
      <formula>"WNST7"</formula>
    </cfRule>
    <cfRule type="cellIs" dxfId="327" priority="28" operator="equal">
      <formula>"NST7"</formula>
    </cfRule>
  </conditionalFormatting>
  <conditionalFormatting sqref="AA27:AD27">
    <cfRule type="cellIs" dxfId="326" priority="8" operator="equal">
      <formula>"NST7"</formula>
    </cfRule>
    <cfRule type="cellIs" dxfId="325" priority="7" operator="equal">
      <formula>"WNST7"</formula>
    </cfRule>
  </conditionalFormatting>
  <conditionalFormatting sqref="AB5">
    <cfRule type="cellIs" dxfId="324" priority="35" operator="equal">
      <formula>"WNST7"</formula>
    </cfRule>
    <cfRule type="cellIs" dxfId="323" priority="36" operator="equal">
      <formula>"NST7"</formula>
    </cfRule>
  </conditionalFormatting>
  <conditionalFormatting sqref="AB10">
    <cfRule type="cellIs" dxfId="322" priority="29" operator="equal">
      <formula>"WNST7"</formula>
    </cfRule>
    <cfRule type="cellIs" dxfId="321" priority="30" operator="equal">
      <formula>"NST7"</formula>
    </cfRule>
  </conditionalFormatting>
  <conditionalFormatting sqref="AB20">
    <cfRule type="cellIs" dxfId="320" priority="12" operator="equal">
      <formula>"NST7"</formula>
    </cfRule>
    <cfRule type="cellIs" dxfId="319" priority="11" operator="equal">
      <formula>"WNST7"</formula>
    </cfRule>
  </conditionalFormatting>
  <conditionalFormatting sqref="AB17:AC17">
    <cfRule type="cellIs" dxfId="318" priority="40" operator="equal">
      <formula>"NST7"</formula>
    </cfRule>
    <cfRule type="cellIs" dxfId="317" priority="39" operator="equal">
      <formula>"WNST7"</formula>
    </cfRule>
  </conditionalFormatting>
  <conditionalFormatting sqref="AC12">
    <cfRule type="cellIs" dxfId="316" priority="24" operator="equal">
      <formula>"NST7"</formula>
    </cfRule>
    <cfRule type="cellIs" dxfId="315" priority="23" operator="equal">
      <formula>"WNST7"</formula>
    </cfRule>
  </conditionalFormatting>
  <conditionalFormatting sqref="AC21">
    <cfRule type="cellIs" dxfId="314" priority="10" operator="equal">
      <formula>"NST7"</formula>
    </cfRule>
    <cfRule type="cellIs" dxfId="313" priority="9" operator="equal">
      <formula>"WNST7"</formula>
    </cfRule>
  </conditionalFormatting>
  <conditionalFormatting sqref="AC24">
    <cfRule type="cellIs" dxfId="312" priority="3" operator="equal">
      <formula>"WNST7"</formula>
    </cfRule>
    <cfRule type="cellIs" dxfId="311" priority="4" operator="equal">
      <formula>"NST7"</formula>
    </cfRule>
  </conditionalFormatting>
  <conditionalFormatting sqref="AC4:AD4">
    <cfRule type="cellIs" dxfId="310" priority="18" operator="equal">
      <formula>"NST7"</formula>
    </cfRule>
    <cfRule type="cellIs" dxfId="309" priority="17" operator="equal">
      <formula>"WNST7"</formula>
    </cfRule>
  </conditionalFormatting>
  <conditionalFormatting sqref="AD18">
    <cfRule type="cellIs" dxfId="308" priority="16" operator="equal">
      <formula>"NST7"</formula>
    </cfRule>
    <cfRule type="cellIs" dxfId="307" priority="15" operator="equal">
      <formula>"WNST7"</formula>
    </cfRule>
  </conditionalFormatting>
  <conditionalFormatting sqref="AF15:XFD15 A15:A16">
    <cfRule type="cellIs" dxfId="306" priority="335" operator="equal">
      <formula>"WNST7"</formula>
    </cfRule>
  </conditionalFormatting>
  <pageMargins left="0.7" right="0.7" top="0.75" bottom="0.75" header="0.3" footer="0.3"/>
  <pageSetup paperSize="9"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808B5-AA97-4F9C-9401-6436AE2B3295}">
  <dimension ref="A1:AF37"/>
  <sheetViews>
    <sheetView zoomScale="70" zoomScaleNormal="70" workbookViewId="0">
      <pane xSplit="1" topLeftCell="L1" activePane="topRight" state="frozen"/>
      <selection pane="topRight" activeCell="AF13" sqref="AF13"/>
    </sheetView>
  </sheetViews>
  <sheetFormatPr defaultRowHeight="14.5" x14ac:dyDescent="0.35"/>
  <cols>
    <col min="1" max="1" width="21.7265625" customWidth="1"/>
    <col min="2" max="30" width="8.7265625" customWidth="1"/>
    <col min="31" max="32" width="6.81640625" bestFit="1" customWidth="1"/>
  </cols>
  <sheetData>
    <row r="1" spans="1:32" x14ac:dyDescent="0.35">
      <c r="A1" s="1"/>
      <c r="B1" s="2" t="str">
        <f t="shared" ref="B1:AF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</row>
    <row r="2" spans="1:32" x14ac:dyDescent="0.35">
      <c r="A2" s="95" t="s">
        <v>0</v>
      </c>
      <c r="B2" s="29">
        <v>45627</v>
      </c>
      <c r="C2" s="29">
        <v>45628</v>
      </c>
      <c r="D2" s="29">
        <v>45629</v>
      </c>
      <c r="E2" s="29">
        <v>45630</v>
      </c>
      <c r="F2" s="29">
        <v>45631</v>
      </c>
      <c r="G2" s="29">
        <v>45632</v>
      </c>
      <c r="H2" s="29">
        <v>45633</v>
      </c>
      <c r="I2" s="29">
        <v>45634</v>
      </c>
      <c r="J2" s="29">
        <v>45635</v>
      </c>
      <c r="K2" s="29">
        <v>45636</v>
      </c>
      <c r="L2" s="29">
        <v>45637</v>
      </c>
      <c r="M2" s="29">
        <v>45638</v>
      </c>
      <c r="N2" s="29">
        <v>45639</v>
      </c>
      <c r="O2" s="29">
        <v>45640</v>
      </c>
      <c r="P2" s="29">
        <v>45641</v>
      </c>
      <c r="Q2" s="29">
        <v>45642</v>
      </c>
      <c r="R2" s="29">
        <v>45643</v>
      </c>
      <c r="S2" s="29">
        <v>45644</v>
      </c>
      <c r="T2" s="29">
        <v>45645</v>
      </c>
      <c r="U2" s="29">
        <v>45646</v>
      </c>
      <c r="V2" s="29">
        <v>45647</v>
      </c>
      <c r="W2" s="29">
        <v>45648</v>
      </c>
      <c r="X2" s="29">
        <v>45649</v>
      </c>
      <c r="Y2" s="29">
        <v>45650</v>
      </c>
      <c r="Z2" s="29">
        <v>45651</v>
      </c>
      <c r="AA2" s="29">
        <v>45652</v>
      </c>
      <c r="AB2" s="29">
        <v>45653</v>
      </c>
      <c r="AC2" s="29">
        <v>45654</v>
      </c>
      <c r="AD2" s="29">
        <v>45655</v>
      </c>
      <c r="AE2" s="29">
        <v>45656</v>
      </c>
      <c r="AF2" s="29">
        <v>45657</v>
      </c>
    </row>
    <row r="3" spans="1:32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x14ac:dyDescent="0.35">
      <c r="A4" s="165" t="s">
        <v>9</v>
      </c>
      <c r="B4" s="114" t="s">
        <v>4</v>
      </c>
      <c r="C4" s="25" t="s">
        <v>310</v>
      </c>
      <c r="D4" s="25" t="s">
        <v>310</v>
      </c>
      <c r="E4" s="122" t="s">
        <v>5</v>
      </c>
      <c r="F4" s="122" t="s">
        <v>5</v>
      </c>
      <c r="G4" s="122" t="s">
        <v>5</v>
      </c>
      <c r="H4" s="114" t="s">
        <v>4</v>
      </c>
      <c r="I4" s="114" t="s">
        <v>4</v>
      </c>
      <c r="J4" s="122" t="s">
        <v>5</v>
      </c>
      <c r="K4" s="122" t="s">
        <v>5</v>
      </c>
      <c r="L4" s="122" t="s">
        <v>5</v>
      </c>
      <c r="M4" s="25" t="s">
        <v>310</v>
      </c>
      <c r="N4" s="25" t="s">
        <v>310</v>
      </c>
      <c r="O4" s="114" t="s">
        <v>4</v>
      </c>
      <c r="P4" s="25" t="s">
        <v>3</v>
      </c>
      <c r="Q4" s="25" t="s">
        <v>310</v>
      </c>
      <c r="R4" s="25" t="s">
        <v>310</v>
      </c>
      <c r="S4" s="25" t="s">
        <v>310</v>
      </c>
      <c r="T4" s="25" t="s">
        <v>310</v>
      </c>
      <c r="U4" s="25" t="s">
        <v>310</v>
      </c>
      <c r="V4" s="122" t="s">
        <v>5</v>
      </c>
      <c r="W4" s="122" t="s">
        <v>5</v>
      </c>
      <c r="X4" s="122" t="s">
        <v>5</v>
      </c>
      <c r="Y4" s="122" t="s">
        <v>5</v>
      </c>
      <c r="Z4" s="122" t="s">
        <v>5</v>
      </c>
      <c r="AA4" s="25" t="s">
        <v>310</v>
      </c>
      <c r="AB4" s="25" t="s">
        <v>310</v>
      </c>
      <c r="AC4" s="114" t="s">
        <v>4</v>
      </c>
      <c r="AD4" s="114" t="s">
        <v>4</v>
      </c>
      <c r="AE4" s="19" t="s">
        <v>41</v>
      </c>
      <c r="AF4" s="25" t="s">
        <v>310</v>
      </c>
    </row>
    <row r="5" spans="1:32" x14ac:dyDescent="0.35">
      <c r="A5" s="165" t="s">
        <v>21</v>
      </c>
      <c r="B5" s="25" t="s">
        <v>3</v>
      </c>
      <c r="C5" s="116" t="s">
        <v>2</v>
      </c>
      <c r="D5" s="116" t="s">
        <v>2</v>
      </c>
      <c r="E5" s="25" t="s">
        <v>310</v>
      </c>
      <c r="F5" s="25" t="s">
        <v>310</v>
      </c>
      <c r="G5" s="25" t="s">
        <v>310</v>
      </c>
      <c r="H5" s="25" t="s">
        <v>3</v>
      </c>
      <c r="I5" s="114" t="s">
        <v>4</v>
      </c>
      <c r="J5" s="25" t="s">
        <v>310</v>
      </c>
      <c r="K5" s="25" t="s">
        <v>310</v>
      </c>
      <c r="L5" s="25" t="s">
        <v>310</v>
      </c>
      <c r="M5" s="116" t="s">
        <v>2</v>
      </c>
      <c r="N5" s="116" t="s">
        <v>2</v>
      </c>
      <c r="O5" s="25" t="s">
        <v>3</v>
      </c>
      <c r="P5" s="114" t="s">
        <v>4</v>
      </c>
      <c r="Q5" s="122" t="s">
        <v>5</v>
      </c>
      <c r="R5" s="122" t="s">
        <v>5</v>
      </c>
      <c r="S5" s="122" t="s">
        <v>5</v>
      </c>
      <c r="T5" s="122" t="s">
        <v>5</v>
      </c>
      <c r="U5" s="25" t="s">
        <v>310</v>
      </c>
      <c r="V5" s="25" t="s">
        <v>3</v>
      </c>
      <c r="W5" s="25" t="s">
        <v>3</v>
      </c>
      <c r="X5" s="25" t="s">
        <v>310</v>
      </c>
      <c r="Y5" s="25" t="s">
        <v>310</v>
      </c>
      <c r="Z5" s="25" t="s">
        <v>310</v>
      </c>
      <c r="AA5" s="25" t="s">
        <v>310</v>
      </c>
      <c r="AB5" s="122" t="s">
        <v>5</v>
      </c>
      <c r="AC5" s="122" t="s">
        <v>4</v>
      </c>
      <c r="AD5" s="122" t="s">
        <v>4</v>
      </c>
      <c r="AE5" s="122" t="s">
        <v>5</v>
      </c>
      <c r="AF5" s="122" t="s">
        <v>5</v>
      </c>
    </row>
    <row r="6" spans="1:32" x14ac:dyDescent="0.35">
      <c r="A6" s="141" t="s">
        <v>22</v>
      </c>
      <c r="B6" s="25" t="s">
        <v>3</v>
      </c>
      <c r="C6" s="25" t="s">
        <v>310</v>
      </c>
      <c r="D6" s="25" t="s">
        <v>310</v>
      </c>
      <c r="E6" s="25" t="s">
        <v>310</v>
      </c>
      <c r="F6" s="25" t="s">
        <v>310</v>
      </c>
      <c r="G6" s="116" t="s">
        <v>2</v>
      </c>
      <c r="H6" s="114" t="s">
        <v>4</v>
      </c>
      <c r="I6" s="25" t="s">
        <v>3</v>
      </c>
      <c r="J6" s="25" t="s">
        <v>310</v>
      </c>
      <c r="K6" s="25" t="s">
        <v>310</v>
      </c>
      <c r="L6" s="25" t="s">
        <v>310</v>
      </c>
      <c r="M6" s="122" t="s">
        <v>5</v>
      </c>
      <c r="N6" s="122" t="s">
        <v>5</v>
      </c>
      <c r="O6" s="25" t="s">
        <v>3</v>
      </c>
      <c r="P6" s="25" t="s">
        <v>3</v>
      </c>
      <c r="Q6" s="25" t="s">
        <v>310</v>
      </c>
      <c r="R6" s="25" t="s">
        <v>310</v>
      </c>
      <c r="S6" s="25" t="s">
        <v>310</v>
      </c>
      <c r="T6" s="25" t="s">
        <v>310</v>
      </c>
      <c r="U6" s="116" t="s">
        <v>2</v>
      </c>
      <c r="V6" s="25" t="s">
        <v>3</v>
      </c>
      <c r="W6" s="114" t="s">
        <v>4</v>
      </c>
      <c r="X6" s="25" t="s">
        <v>310</v>
      </c>
      <c r="Y6" s="25" t="s">
        <v>310</v>
      </c>
      <c r="Z6" s="116" t="s">
        <v>2</v>
      </c>
      <c r="AA6" s="116" t="s">
        <v>2</v>
      </c>
      <c r="AB6" s="25" t="s">
        <v>310</v>
      </c>
      <c r="AC6" s="25" t="s">
        <v>3</v>
      </c>
      <c r="AD6" s="25" t="s">
        <v>3</v>
      </c>
      <c r="AE6" s="25" t="s">
        <v>310</v>
      </c>
      <c r="AF6" s="116" t="s">
        <v>2</v>
      </c>
    </row>
    <row r="7" spans="1:32" x14ac:dyDescent="0.35">
      <c r="A7" s="141" t="s">
        <v>98</v>
      </c>
      <c r="B7" s="19" t="s">
        <v>42</v>
      </c>
      <c r="C7" s="116" t="s">
        <v>2</v>
      </c>
      <c r="D7" s="122" t="s">
        <v>5</v>
      </c>
      <c r="E7" s="25" t="s">
        <v>310</v>
      </c>
      <c r="F7" s="209" t="s">
        <v>16</v>
      </c>
      <c r="G7" s="25" t="s">
        <v>310</v>
      </c>
      <c r="H7" s="25" t="s">
        <v>3</v>
      </c>
      <c r="I7" s="114" t="s">
        <v>4</v>
      </c>
      <c r="J7" s="25" t="s">
        <v>310</v>
      </c>
      <c r="K7" s="25" t="s">
        <v>310</v>
      </c>
      <c r="L7" s="116" t="s">
        <v>2</v>
      </c>
      <c r="M7" s="25" t="s">
        <v>310</v>
      </c>
      <c r="N7" s="25" t="s">
        <v>310</v>
      </c>
      <c r="O7" s="209" t="s">
        <v>30</v>
      </c>
      <c r="P7" s="114" t="s">
        <v>4</v>
      </c>
      <c r="Q7" s="25" t="s">
        <v>310</v>
      </c>
      <c r="R7" s="116" t="s">
        <v>2</v>
      </c>
      <c r="S7" s="25" t="s">
        <v>310</v>
      </c>
      <c r="T7" s="25" t="s">
        <v>310</v>
      </c>
      <c r="U7" s="25" t="s">
        <v>310</v>
      </c>
      <c r="V7" s="114" t="s">
        <v>4</v>
      </c>
      <c r="W7" s="25" t="s">
        <v>3</v>
      </c>
      <c r="X7" s="25" t="s">
        <v>310</v>
      </c>
      <c r="Y7" s="25" t="s">
        <v>310</v>
      </c>
      <c r="Z7" s="25" t="s">
        <v>310</v>
      </c>
      <c r="AA7" s="116" t="s">
        <v>2</v>
      </c>
      <c r="AB7" s="19" t="s">
        <v>41</v>
      </c>
      <c r="AC7" s="19" t="s">
        <v>42</v>
      </c>
      <c r="AD7" s="19" t="s">
        <v>42</v>
      </c>
      <c r="AE7" s="25" t="s">
        <v>310</v>
      </c>
      <c r="AF7" s="25" t="s">
        <v>310</v>
      </c>
    </row>
    <row r="8" spans="1:32" x14ac:dyDescent="0.35">
      <c r="A8" s="141" t="s">
        <v>308</v>
      </c>
      <c r="B8" s="114" t="s">
        <v>4</v>
      </c>
      <c r="C8" s="25" t="s">
        <v>310</v>
      </c>
      <c r="D8" s="25" t="s">
        <v>310</v>
      </c>
      <c r="E8" s="116" t="s">
        <v>2</v>
      </c>
      <c r="F8" s="25" t="s">
        <v>310</v>
      </c>
      <c r="G8" s="25" t="s">
        <v>310</v>
      </c>
      <c r="H8" s="114" t="s">
        <v>4</v>
      </c>
      <c r="I8" s="114" t="s">
        <v>4</v>
      </c>
      <c r="J8" s="209" t="s">
        <v>16</v>
      </c>
      <c r="K8" s="209" t="s">
        <v>16</v>
      </c>
      <c r="L8" s="25" t="s">
        <v>310</v>
      </c>
      <c r="M8" s="25" t="s">
        <v>310</v>
      </c>
      <c r="N8" s="25" t="s">
        <v>310</v>
      </c>
      <c r="O8" s="114" t="s">
        <v>4</v>
      </c>
      <c r="P8" s="114" t="s">
        <v>4</v>
      </c>
      <c r="Q8" s="25" t="s">
        <v>310</v>
      </c>
      <c r="R8" s="25" t="s">
        <v>310</v>
      </c>
      <c r="S8" s="25" t="s">
        <v>310</v>
      </c>
      <c r="T8" s="122" t="s">
        <v>5</v>
      </c>
      <c r="U8" s="122" t="s">
        <v>5</v>
      </c>
      <c r="V8" s="122" t="s">
        <v>5</v>
      </c>
      <c r="W8" s="114" t="s">
        <v>4</v>
      </c>
      <c r="X8" s="122" t="s">
        <v>5</v>
      </c>
      <c r="Y8" s="122" t="s">
        <v>5</v>
      </c>
      <c r="Z8" s="122" t="s">
        <v>5</v>
      </c>
      <c r="AA8" s="122" t="s">
        <v>5</v>
      </c>
      <c r="AB8" s="122" t="s">
        <v>5</v>
      </c>
      <c r="AC8" s="122" t="s">
        <v>4</v>
      </c>
      <c r="AD8" s="114" t="s">
        <v>4</v>
      </c>
      <c r="AE8" s="122" t="s">
        <v>5</v>
      </c>
      <c r="AF8" s="122" t="s">
        <v>5</v>
      </c>
    </row>
    <row r="10" spans="1:32" x14ac:dyDescent="0.35">
      <c r="A10" s="165" t="s">
        <v>95</v>
      </c>
      <c r="B10" s="114" t="s">
        <v>4</v>
      </c>
      <c r="C10" s="116" t="s">
        <v>2</v>
      </c>
      <c r="D10" s="16" t="s">
        <v>10</v>
      </c>
      <c r="E10" s="16" t="s">
        <v>10</v>
      </c>
      <c r="F10" s="16" t="s">
        <v>10</v>
      </c>
      <c r="G10" s="16" t="s">
        <v>10</v>
      </c>
      <c r="H10" s="16" t="s">
        <v>11</v>
      </c>
      <c r="I10" s="114" t="s">
        <v>4</v>
      </c>
      <c r="J10" s="116" t="s">
        <v>2</v>
      </c>
      <c r="K10" s="16" t="s">
        <v>10</v>
      </c>
      <c r="L10" s="16" t="s">
        <v>10</v>
      </c>
      <c r="M10" s="16" t="s">
        <v>10</v>
      </c>
      <c r="N10" s="16" t="s">
        <v>10</v>
      </c>
      <c r="O10" s="114" t="s">
        <v>4</v>
      </c>
      <c r="P10" s="114" t="s">
        <v>4</v>
      </c>
      <c r="Q10" s="122" t="s">
        <v>5</v>
      </c>
      <c r="R10" s="122" t="s">
        <v>5</v>
      </c>
      <c r="S10" s="122" t="s">
        <v>5</v>
      </c>
      <c r="T10" s="16" t="s">
        <v>10</v>
      </c>
      <c r="U10" s="16" t="s">
        <v>10</v>
      </c>
      <c r="V10" s="16" t="s">
        <v>11</v>
      </c>
      <c r="W10" s="16" t="s">
        <v>11</v>
      </c>
      <c r="X10" s="116" t="s">
        <v>2</v>
      </c>
      <c r="Y10" s="116" t="s">
        <v>2</v>
      </c>
      <c r="Z10" s="16" t="s">
        <v>10</v>
      </c>
      <c r="AA10" s="16" t="s">
        <v>10</v>
      </c>
      <c r="AB10" s="16" t="s">
        <v>10</v>
      </c>
      <c r="AC10" s="16" t="s">
        <v>11</v>
      </c>
      <c r="AD10" s="122" t="s">
        <v>4</v>
      </c>
      <c r="AE10" s="122" t="s">
        <v>5</v>
      </c>
      <c r="AF10" s="122" t="s">
        <v>5</v>
      </c>
    </row>
    <row r="11" spans="1:32" x14ac:dyDescent="0.35">
      <c r="A11" s="165" t="s">
        <v>69</v>
      </c>
      <c r="B11" s="16" t="s">
        <v>11</v>
      </c>
      <c r="C11" s="16" t="s">
        <v>10</v>
      </c>
      <c r="D11" s="122" t="s">
        <v>5</v>
      </c>
      <c r="E11" s="122" t="s">
        <v>5</v>
      </c>
      <c r="F11" s="122" t="s">
        <v>5</v>
      </c>
      <c r="G11" s="122" t="s">
        <v>5</v>
      </c>
      <c r="H11" s="122" t="s">
        <v>5</v>
      </c>
      <c r="I11" s="122" t="s">
        <v>5</v>
      </c>
      <c r="J11" s="16" t="s">
        <v>10</v>
      </c>
      <c r="K11" s="16" t="s">
        <v>10</v>
      </c>
      <c r="L11" s="16" t="s">
        <v>10</v>
      </c>
      <c r="M11" s="16" t="s">
        <v>10</v>
      </c>
      <c r="N11" s="116" t="s">
        <v>2</v>
      </c>
      <c r="O11" s="16" t="s">
        <v>11</v>
      </c>
      <c r="P11" s="16" t="s">
        <v>11</v>
      </c>
      <c r="Q11" s="16" t="s">
        <v>10</v>
      </c>
      <c r="R11" s="16" t="s">
        <v>10</v>
      </c>
      <c r="S11" s="16" t="s">
        <v>10</v>
      </c>
      <c r="T11" s="116" t="s">
        <v>2</v>
      </c>
      <c r="U11" s="116" t="s">
        <v>2</v>
      </c>
      <c r="V11" s="114" t="s">
        <v>4</v>
      </c>
      <c r="W11" s="16" t="s">
        <v>11</v>
      </c>
      <c r="X11" s="16" t="s">
        <v>10</v>
      </c>
      <c r="Y11" s="16" t="s">
        <v>10</v>
      </c>
      <c r="Z11" s="16" t="s">
        <v>10</v>
      </c>
      <c r="AA11" s="16" t="s">
        <v>10</v>
      </c>
      <c r="AB11" s="116" t="s">
        <v>2</v>
      </c>
      <c r="AC11" s="114" t="s">
        <v>4</v>
      </c>
      <c r="AD11" s="16" t="s">
        <v>11</v>
      </c>
      <c r="AE11" s="16" t="s">
        <v>10</v>
      </c>
      <c r="AF11" s="116" t="s">
        <v>2</v>
      </c>
    </row>
    <row r="12" spans="1:32" x14ac:dyDescent="0.35">
      <c r="A12" s="141" t="s">
        <v>71</v>
      </c>
      <c r="B12" s="114" t="s">
        <v>4</v>
      </c>
      <c r="C12" s="116" t="s">
        <v>2</v>
      </c>
      <c r="D12" s="16" t="s">
        <v>10</v>
      </c>
      <c r="E12" s="16" t="s">
        <v>10</v>
      </c>
      <c r="F12" s="16" t="s">
        <v>10</v>
      </c>
      <c r="G12" s="16" t="s">
        <v>10</v>
      </c>
      <c r="H12" s="114" t="s">
        <v>4</v>
      </c>
      <c r="I12" s="16" t="s">
        <v>11</v>
      </c>
      <c r="J12" s="122" t="s">
        <v>5</v>
      </c>
      <c r="K12" s="122" t="s">
        <v>5</v>
      </c>
      <c r="L12" s="122" t="s">
        <v>5</v>
      </c>
      <c r="M12" s="122" t="s">
        <v>5</v>
      </c>
      <c r="N12" s="122" t="s">
        <v>5</v>
      </c>
      <c r="O12" s="16" t="s">
        <v>11</v>
      </c>
      <c r="P12" s="16" t="s">
        <v>11</v>
      </c>
      <c r="Q12" s="116" t="s">
        <v>2</v>
      </c>
      <c r="R12" s="116" t="s">
        <v>2</v>
      </c>
      <c r="S12" s="16" t="s">
        <v>10</v>
      </c>
      <c r="T12" s="16" t="s">
        <v>10</v>
      </c>
      <c r="U12" s="16" t="s">
        <v>10</v>
      </c>
      <c r="V12" s="16" t="s">
        <v>11</v>
      </c>
      <c r="W12" s="114" t="s">
        <v>4</v>
      </c>
      <c r="X12" s="16" t="s">
        <v>10</v>
      </c>
      <c r="Y12" s="16" t="s">
        <v>10</v>
      </c>
      <c r="Z12" s="116" t="s">
        <v>2</v>
      </c>
      <c r="AA12" s="116" t="s">
        <v>2</v>
      </c>
      <c r="AB12" s="16" t="s">
        <v>10</v>
      </c>
      <c r="AC12" s="16" t="s">
        <v>11</v>
      </c>
      <c r="AD12" s="16" t="s">
        <v>11</v>
      </c>
      <c r="AE12" s="16" t="s">
        <v>10</v>
      </c>
      <c r="AF12" s="16" t="s">
        <v>10</v>
      </c>
    </row>
    <row r="13" spans="1:32" x14ac:dyDescent="0.35">
      <c r="A13" s="141" t="s">
        <v>149</v>
      </c>
      <c r="B13" s="16" t="s">
        <v>11</v>
      </c>
      <c r="C13" s="16" t="s">
        <v>10</v>
      </c>
      <c r="D13" s="16" t="s">
        <v>10</v>
      </c>
      <c r="E13" s="16" t="s">
        <v>10</v>
      </c>
      <c r="F13" s="116" t="s">
        <v>2</v>
      </c>
      <c r="G13" s="116" t="s">
        <v>2</v>
      </c>
      <c r="H13" s="16" t="s">
        <v>11</v>
      </c>
      <c r="I13" s="16" t="s">
        <v>11</v>
      </c>
      <c r="J13" s="16" t="s">
        <v>10</v>
      </c>
      <c r="K13" s="16" t="s">
        <v>10</v>
      </c>
      <c r="L13" s="16" t="s">
        <v>10</v>
      </c>
      <c r="M13" s="116" t="s">
        <v>2</v>
      </c>
      <c r="N13" s="16" t="s">
        <v>10</v>
      </c>
      <c r="O13" s="16" t="s">
        <v>11</v>
      </c>
      <c r="P13" s="114" t="s">
        <v>4</v>
      </c>
      <c r="Q13" s="16" t="s">
        <v>10</v>
      </c>
      <c r="R13" s="16" t="s">
        <v>10</v>
      </c>
      <c r="S13" s="122" t="s">
        <v>5</v>
      </c>
      <c r="T13" s="122" t="s">
        <v>5</v>
      </c>
      <c r="U13" s="122" t="s">
        <v>5</v>
      </c>
      <c r="V13" s="16" t="s">
        <v>11</v>
      </c>
      <c r="W13" s="114" t="s">
        <v>4</v>
      </c>
      <c r="X13" s="16" t="s">
        <v>10</v>
      </c>
      <c r="Y13" s="16" t="s">
        <v>10</v>
      </c>
      <c r="Z13" s="16" t="s">
        <v>10</v>
      </c>
      <c r="AA13" s="16" t="s">
        <v>10</v>
      </c>
      <c r="AB13" s="16" t="s">
        <v>10</v>
      </c>
      <c r="AC13" s="114" t="s">
        <v>4</v>
      </c>
      <c r="AD13" s="114" t="s">
        <v>4</v>
      </c>
      <c r="AE13" s="19" t="s">
        <v>41</v>
      </c>
      <c r="AF13" s="209" t="s">
        <v>16</v>
      </c>
    </row>
    <row r="14" spans="1:32" x14ac:dyDescent="0.35">
      <c r="A14" s="254" t="s">
        <v>326</v>
      </c>
      <c r="B14" s="16" t="s">
        <v>11</v>
      </c>
      <c r="C14" s="16" t="s">
        <v>10</v>
      </c>
      <c r="D14" s="116" t="s">
        <v>2</v>
      </c>
      <c r="E14" s="116" t="s">
        <v>2</v>
      </c>
      <c r="F14" s="16" t="s">
        <v>10</v>
      </c>
      <c r="G14" s="16" t="s">
        <v>10</v>
      </c>
      <c r="H14" s="16" t="s">
        <v>11</v>
      </c>
      <c r="I14" s="16" t="s">
        <v>11</v>
      </c>
      <c r="J14" s="16" t="s">
        <v>10</v>
      </c>
      <c r="K14" s="116" t="s">
        <v>2</v>
      </c>
      <c r="L14" s="116" t="s">
        <v>2</v>
      </c>
      <c r="M14" s="16" t="s">
        <v>10</v>
      </c>
      <c r="N14" s="16" t="s">
        <v>10</v>
      </c>
      <c r="O14" s="114" t="s">
        <v>4</v>
      </c>
      <c r="P14" s="114" t="s">
        <v>4</v>
      </c>
      <c r="Q14" s="16" t="s">
        <v>10</v>
      </c>
      <c r="R14" s="16" t="s">
        <v>10</v>
      </c>
      <c r="S14" s="16" t="s">
        <v>10</v>
      </c>
      <c r="T14" s="16" t="s">
        <v>10</v>
      </c>
      <c r="U14" s="16" t="s">
        <v>10</v>
      </c>
      <c r="V14" s="122" t="s">
        <v>5</v>
      </c>
      <c r="W14" s="122" t="s">
        <v>4</v>
      </c>
      <c r="X14" s="122" t="s">
        <v>5</v>
      </c>
      <c r="Y14" s="122" t="s">
        <v>5</v>
      </c>
      <c r="Z14" s="122" t="s">
        <v>5</v>
      </c>
      <c r="AA14" s="122" t="s">
        <v>5</v>
      </c>
      <c r="AB14" s="122" t="s">
        <v>5</v>
      </c>
      <c r="AC14" s="122" t="s">
        <v>4</v>
      </c>
      <c r="AD14" s="16" t="s">
        <v>11</v>
      </c>
      <c r="AE14" s="16" t="s">
        <v>10</v>
      </c>
      <c r="AF14" s="16" t="s">
        <v>10</v>
      </c>
    </row>
    <row r="16" spans="1:32" x14ac:dyDescent="0.35">
      <c r="A16" s="165" t="s">
        <v>1</v>
      </c>
      <c r="B16" s="19" t="s">
        <v>42</v>
      </c>
      <c r="C16" s="116" t="s">
        <v>2</v>
      </c>
      <c r="D16" s="19" t="s">
        <v>41</v>
      </c>
      <c r="E16" s="19" t="s">
        <v>41</v>
      </c>
      <c r="F16" s="19" t="s">
        <v>41</v>
      </c>
      <c r="G16" s="116" t="s">
        <v>2</v>
      </c>
      <c r="H16" s="19" t="s">
        <v>42</v>
      </c>
      <c r="I16" s="19" t="s">
        <v>42</v>
      </c>
      <c r="J16" s="116" t="s">
        <v>2</v>
      </c>
      <c r="K16" s="19" t="s">
        <v>41</v>
      </c>
      <c r="L16" s="19" t="s">
        <v>41</v>
      </c>
      <c r="M16" s="116" t="s">
        <v>2</v>
      </c>
      <c r="N16" s="116" t="s">
        <v>2</v>
      </c>
      <c r="O16" s="19" t="s">
        <v>42</v>
      </c>
      <c r="P16" s="19" t="s">
        <v>42</v>
      </c>
      <c r="Q16" s="122" t="s">
        <v>5</v>
      </c>
      <c r="R16" s="122" t="s">
        <v>5</v>
      </c>
      <c r="S16" s="122" t="s">
        <v>5</v>
      </c>
      <c r="T16" s="19" t="s">
        <v>41</v>
      </c>
      <c r="U16" s="116" t="s">
        <v>2</v>
      </c>
      <c r="V16" s="19" t="s">
        <v>42</v>
      </c>
      <c r="W16" s="19" t="s">
        <v>42</v>
      </c>
      <c r="X16" s="116" t="s">
        <v>2</v>
      </c>
      <c r="Y16" s="19" t="s">
        <v>41</v>
      </c>
      <c r="Z16" s="19" t="s">
        <v>41</v>
      </c>
      <c r="AA16" s="19" t="s">
        <v>41</v>
      </c>
      <c r="AB16" s="19" t="s">
        <v>41</v>
      </c>
      <c r="AC16" s="19" t="s">
        <v>42</v>
      </c>
      <c r="AD16" s="19" t="s">
        <v>42</v>
      </c>
      <c r="AE16" s="116" t="s">
        <v>2</v>
      </c>
      <c r="AF16" s="16" t="s">
        <v>10</v>
      </c>
    </row>
    <row r="17" spans="1:32" x14ac:dyDescent="0.35">
      <c r="A17" s="165" t="s">
        <v>43</v>
      </c>
      <c r="B17" s="114" t="s">
        <v>4</v>
      </c>
      <c r="C17" s="122" t="s">
        <v>5</v>
      </c>
      <c r="D17" s="122" t="s">
        <v>5</v>
      </c>
      <c r="E17" s="122" t="s">
        <v>5</v>
      </c>
      <c r="F17" s="122" t="s">
        <v>5</v>
      </c>
      <c r="G17" s="122" t="s">
        <v>5</v>
      </c>
      <c r="H17" s="114" t="s">
        <v>4</v>
      </c>
      <c r="I17" s="114" t="s">
        <v>4</v>
      </c>
      <c r="J17" s="122" t="s">
        <v>5</v>
      </c>
      <c r="K17" s="122" t="s">
        <v>5</v>
      </c>
      <c r="L17" s="19" t="s">
        <v>41</v>
      </c>
      <c r="M17" s="19" t="s">
        <v>41</v>
      </c>
      <c r="N17" s="19" t="s">
        <v>41</v>
      </c>
      <c r="O17" s="114" t="s">
        <v>4</v>
      </c>
      <c r="P17" s="19" t="s">
        <v>42</v>
      </c>
      <c r="Q17" s="116" t="s">
        <v>2</v>
      </c>
      <c r="R17" s="19" t="s">
        <v>41</v>
      </c>
      <c r="S17" s="19" t="s">
        <v>41</v>
      </c>
      <c r="T17" s="19" t="s">
        <v>41</v>
      </c>
      <c r="U17" s="19" t="s">
        <v>41</v>
      </c>
      <c r="V17" s="19" t="s">
        <v>42</v>
      </c>
      <c r="W17" s="114" t="s">
        <v>4</v>
      </c>
      <c r="X17" s="19" t="s">
        <v>41</v>
      </c>
      <c r="Y17" s="19" t="s">
        <v>41</v>
      </c>
      <c r="Z17" s="209" t="s">
        <v>16</v>
      </c>
      <c r="AA17" s="116" t="s">
        <v>2</v>
      </c>
      <c r="AB17" s="116" t="s">
        <v>2</v>
      </c>
      <c r="AC17" s="114" t="s">
        <v>4</v>
      </c>
      <c r="AD17" s="25" t="s">
        <v>3</v>
      </c>
      <c r="AE17" s="25" t="s">
        <v>310</v>
      </c>
      <c r="AF17" s="19" t="s">
        <v>41</v>
      </c>
    </row>
    <row r="18" spans="1:32" x14ac:dyDescent="0.35">
      <c r="A18" s="141" t="s">
        <v>68</v>
      </c>
      <c r="B18" s="114" t="s">
        <v>4</v>
      </c>
      <c r="C18" s="19" t="s">
        <v>41</v>
      </c>
      <c r="D18" s="19" t="s">
        <v>41</v>
      </c>
      <c r="E18" s="19" t="s">
        <v>41</v>
      </c>
      <c r="F18" s="116" t="s">
        <v>2</v>
      </c>
      <c r="G18" s="19" t="s">
        <v>41</v>
      </c>
      <c r="H18" s="114" t="s">
        <v>4</v>
      </c>
      <c r="I18" s="25" t="s">
        <v>3</v>
      </c>
      <c r="J18" s="19" t="s">
        <v>41</v>
      </c>
      <c r="K18" s="19" t="s">
        <v>41</v>
      </c>
      <c r="L18" s="116" t="s">
        <v>2</v>
      </c>
      <c r="M18" s="19" t="s">
        <v>41</v>
      </c>
      <c r="N18" s="19" t="s">
        <v>41</v>
      </c>
      <c r="O18" s="19" t="s">
        <v>42</v>
      </c>
      <c r="P18" s="114" t="s">
        <v>4</v>
      </c>
      <c r="Q18" s="19" t="s">
        <v>41</v>
      </c>
      <c r="R18" s="19" t="s">
        <v>41</v>
      </c>
      <c r="S18" s="19" t="s">
        <v>41</v>
      </c>
      <c r="T18" s="122" t="s">
        <v>5</v>
      </c>
      <c r="U18" s="122" t="s">
        <v>5</v>
      </c>
      <c r="V18" s="122" t="s">
        <v>5</v>
      </c>
      <c r="W18" s="122" t="s">
        <v>4</v>
      </c>
      <c r="X18" s="122" t="s">
        <v>5</v>
      </c>
      <c r="Y18" s="122" t="s">
        <v>5</v>
      </c>
      <c r="Z18" s="122" t="s">
        <v>5</v>
      </c>
      <c r="AA18" s="19" t="s">
        <v>41</v>
      </c>
      <c r="AB18" s="19" t="s">
        <v>41</v>
      </c>
      <c r="AC18" s="25" t="s">
        <v>3</v>
      </c>
      <c r="AD18" s="114" t="s">
        <v>4</v>
      </c>
      <c r="AE18" s="19" t="s">
        <v>41</v>
      </c>
      <c r="AF18" s="19" t="s">
        <v>41</v>
      </c>
    </row>
    <row r="19" spans="1:32" x14ac:dyDescent="0.35">
      <c r="A19" s="141" t="s">
        <v>60</v>
      </c>
      <c r="B19" s="114" t="s">
        <v>4</v>
      </c>
      <c r="C19" s="19" t="s">
        <v>41</v>
      </c>
      <c r="D19" s="116" t="s">
        <v>2</v>
      </c>
      <c r="E19" s="19" t="s">
        <v>41</v>
      </c>
      <c r="F19" s="19" t="s">
        <v>41</v>
      </c>
      <c r="G19" s="19" t="s">
        <v>41</v>
      </c>
      <c r="H19" s="19" t="s">
        <v>42</v>
      </c>
      <c r="I19" s="19" t="s">
        <v>42</v>
      </c>
      <c r="J19" s="19" t="s">
        <v>41</v>
      </c>
      <c r="K19" s="116" t="s">
        <v>2</v>
      </c>
      <c r="L19" s="116" t="s">
        <v>2</v>
      </c>
      <c r="M19" s="19" t="s">
        <v>41</v>
      </c>
      <c r="N19" s="19" t="s">
        <v>41</v>
      </c>
      <c r="O19" s="114" t="s">
        <v>4</v>
      </c>
      <c r="P19" s="114" t="s">
        <v>4</v>
      </c>
      <c r="Q19" s="19" t="s">
        <v>41</v>
      </c>
      <c r="R19" s="19" t="s">
        <v>41</v>
      </c>
      <c r="S19" s="116" t="s">
        <v>2</v>
      </c>
      <c r="T19" s="19" t="s">
        <v>41</v>
      </c>
      <c r="U19" s="19" t="s">
        <v>41</v>
      </c>
      <c r="V19" s="114" t="s">
        <v>4</v>
      </c>
      <c r="W19" s="19" t="s">
        <v>42</v>
      </c>
      <c r="X19" s="19" t="s">
        <v>41</v>
      </c>
      <c r="Y19" s="122" t="s">
        <v>5</v>
      </c>
      <c r="Z19" s="122" t="s">
        <v>5</v>
      </c>
      <c r="AA19" s="122" t="s">
        <v>5</v>
      </c>
      <c r="AB19" s="122" t="s">
        <v>5</v>
      </c>
      <c r="AC19" s="122" t="s">
        <v>4</v>
      </c>
      <c r="AD19" s="122" t="s">
        <v>4</v>
      </c>
      <c r="AE19" s="122" t="s">
        <v>5</v>
      </c>
      <c r="AF19" s="122" t="s">
        <v>5</v>
      </c>
    </row>
    <row r="20" spans="1:32" x14ac:dyDescent="0.35">
      <c r="A20" s="141" t="s">
        <v>152</v>
      </c>
      <c r="B20" s="114" t="s">
        <v>4</v>
      </c>
      <c r="C20" s="19" t="s">
        <v>41</v>
      </c>
      <c r="D20" s="19" t="s">
        <v>41</v>
      </c>
      <c r="E20" s="116" t="s">
        <v>2</v>
      </c>
      <c r="F20" s="19" t="s">
        <v>41</v>
      </c>
      <c r="G20" s="19" t="s">
        <v>41</v>
      </c>
      <c r="H20" s="209" t="s">
        <v>30</v>
      </c>
      <c r="I20" s="114" t="s">
        <v>4</v>
      </c>
      <c r="J20" s="19" t="s">
        <v>41</v>
      </c>
      <c r="K20" s="19" t="s">
        <v>41</v>
      </c>
      <c r="L20" s="19" t="s">
        <v>41</v>
      </c>
      <c r="M20" s="209" t="s">
        <v>16</v>
      </c>
      <c r="N20" s="116" t="s">
        <v>2</v>
      </c>
      <c r="O20" s="114" t="s">
        <v>4</v>
      </c>
      <c r="P20" s="19" t="s">
        <v>42</v>
      </c>
      <c r="Q20" s="19" t="s">
        <v>41</v>
      </c>
      <c r="R20" s="116" t="s">
        <v>2</v>
      </c>
      <c r="S20" s="19" t="s">
        <v>41</v>
      </c>
      <c r="T20" s="209" t="s">
        <v>16</v>
      </c>
      <c r="U20" s="19" t="s">
        <v>41</v>
      </c>
      <c r="V20" s="209" t="s">
        <v>30</v>
      </c>
      <c r="W20" s="114" t="s">
        <v>4</v>
      </c>
      <c r="X20" s="19" t="s">
        <v>41</v>
      </c>
      <c r="Y20" s="19" t="s">
        <v>41</v>
      </c>
      <c r="Z20" s="19" t="s">
        <v>41</v>
      </c>
      <c r="AA20" s="19" t="s">
        <v>41</v>
      </c>
      <c r="AB20" s="25" t="s">
        <v>310</v>
      </c>
      <c r="AC20" s="122" t="s">
        <v>4</v>
      </c>
      <c r="AD20" s="122" t="s">
        <v>4</v>
      </c>
      <c r="AE20" s="122" t="s">
        <v>5</v>
      </c>
      <c r="AF20" s="122" t="s">
        <v>5</v>
      </c>
    </row>
    <row r="23" spans="1:32" x14ac:dyDescent="0.35">
      <c r="A23" s="264" t="s">
        <v>350</v>
      </c>
    </row>
    <row r="24" spans="1:32" x14ac:dyDescent="0.35">
      <c r="A24" s="141" t="s">
        <v>347</v>
      </c>
      <c r="B24" s="25" t="s">
        <v>3</v>
      </c>
      <c r="C24" s="116" t="s">
        <v>2</v>
      </c>
      <c r="D24" s="116" t="s">
        <v>2</v>
      </c>
      <c r="E24" s="19" t="s">
        <v>41</v>
      </c>
      <c r="F24" s="19" t="s">
        <v>41</v>
      </c>
      <c r="G24" s="19" t="s">
        <v>41</v>
      </c>
      <c r="H24" s="19" t="s">
        <v>42</v>
      </c>
      <c r="I24" s="19" t="s">
        <v>42</v>
      </c>
      <c r="J24" s="116" t="s">
        <v>2</v>
      </c>
      <c r="K24" s="116" t="s">
        <v>2</v>
      </c>
      <c r="L24" s="19" t="s">
        <v>41</v>
      </c>
      <c r="M24" s="19" t="s">
        <v>41</v>
      </c>
      <c r="N24" s="19" t="s">
        <v>41</v>
      </c>
      <c r="O24" s="19" t="s">
        <v>42</v>
      </c>
      <c r="P24" s="114" t="s">
        <v>4</v>
      </c>
      <c r="Q24" s="16" t="s">
        <v>10</v>
      </c>
      <c r="R24" s="16" t="s">
        <v>10</v>
      </c>
      <c r="S24" s="16" t="s">
        <v>10</v>
      </c>
      <c r="T24" s="16" t="s">
        <v>10</v>
      </c>
      <c r="U24" s="16" t="s">
        <v>10</v>
      </c>
      <c r="V24" s="114" t="s">
        <v>4</v>
      </c>
      <c r="W24" s="209" t="s">
        <v>30</v>
      </c>
      <c r="X24" s="209" t="s">
        <v>16</v>
      </c>
      <c r="Y24" s="19" t="s">
        <v>41</v>
      </c>
      <c r="Z24" s="19" t="s">
        <v>41</v>
      </c>
      <c r="AA24" s="116" t="s">
        <v>2</v>
      </c>
      <c r="AB24" s="209" t="s">
        <v>16</v>
      </c>
      <c r="AC24" s="209" t="s">
        <v>30</v>
      </c>
      <c r="AD24" s="114" t="s">
        <v>4</v>
      </c>
      <c r="AE24" s="25" t="s">
        <v>310</v>
      </c>
      <c r="AF24" s="25" t="s">
        <v>310</v>
      </c>
    </row>
    <row r="25" spans="1:32" x14ac:dyDescent="0.35">
      <c r="A25" s="141" t="s">
        <v>348</v>
      </c>
      <c r="B25" s="19" t="s">
        <v>42</v>
      </c>
      <c r="C25" s="19" t="s">
        <v>41</v>
      </c>
      <c r="D25" s="19" t="s">
        <v>41</v>
      </c>
      <c r="E25" s="209" t="s">
        <v>16</v>
      </c>
      <c r="F25" s="116" t="s">
        <v>2</v>
      </c>
      <c r="G25" s="116" t="s">
        <v>2</v>
      </c>
      <c r="H25" s="25" t="s">
        <v>3</v>
      </c>
      <c r="I25" s="25" t="s">
        <v>3</v>
      </c>
      <c r="J25" s="19" t="s">
        <v>41</v>
      </c>
      <c r="K25" s="19" t="s">
        <v>41</v>
      </c>
      <c r="L25" s="16" t="s">
        <v>10</v>
      </c>
      <c r="M25" s="116" t="s">
        <v>2</v>
      </c>
      <c r="N25" s="116" t="s">
        <v>2</v>
      </c>
      <c r="O25" s="25" t="s">
        <v>3</v>
      </c>
      <c r="P25" s="25" t="s">
        <v>3</v>
      </c>
      <c r="Q25" s="25" t="s">
        <v>310</v>
      </c>
      <c r="R25" s="25" t="s">
        <v>310</v>
      </c>
      <c r="S25" s="116" t="s">
        <v>2</v>
      </c>
      <c r="T25" s="19" t="s">
        <v>41</v>
      </c>
      <c r="U25" s="25" t="s">
        <v>310</v>
      </c>
      <c r="V25" s="25" t="s">
        <v>3</v>
      </c>
      <c r="W25" s="114" t="s">
        <v>4</v>
      </c>
      <c r="X25" s="16" t="s">
        <v>10</v>
      </c>
      <c r="Y25" s="16" t="s">
        <v>10</v>
      </c>
      <c r="Z25" s="16" t="s">
        <v>10</v>
      </c>
      <c r="AA25" s="16" t="s">
        <v>10</v>
      </c>
      <c r="AB25" s="16" t="s">
        <v>10</v>
      </c>
      <c r="AC25" s="114" t="s">
        <v>4</v>
      </c>
      <c r="AD25" s="114" t="s">
        <v>4</v>
      </c>
      <c r="AE25" s="19" t="s">
        <v>41</v>
      </c>
      <c r="AF25" s="19" t="s">
        <v>41</v>
      </c>
    </row>
    <row r="26" spans="1:32" x14ac:dyDescent="0.35">
      <c r="A26" s="141" t="s">
        <v>351</v>
      </c>
      <c r="B26" s="114" t="s">
        <v>4</v>
      </c>
      <c r="C26" s="16" t="s">
        <v>10</v>
      </c>
      <c r="D26" s="16" t="s">
        <v>10</v>
      </c>
      <c r="E26" s="16" t="s">
        <v>10</v>
      </c>
      <c r="F26" s="16" t="s">
        <v>10</v>
      </c>
      <c r="G26" s="16" t="s">
        <v>10</v>
      </c>
      <c r="H26" s="114" t="s">
        <v>4</v>
      </c>
      <c r="I26" s="114" t="s">
        <v>4</v>
      </c>
      <c r="J26" s="25" t="s">
        <v>310</v>
      </c>
      <c r="K26" s="25" t="s">
        <v>310</v>
      </c>
      <c r="L26" s="25" t="s">
        <v>310</v>
      </c>
      <c r="M26" s="25" t="s">
        <v>310</v>
      </c>
      <c r="N26" s="25" t="s">
        <v>310</v>
      </c>
      <c r="O26" s="122" t="s">
        <v>5</v>
      </c>
      <c r="P26" s="122" t="s">
        <v>5</v>
      </c>
      <c r="Q26" s="122" t="s">
        <v>5</v>
      </c>
      <c r="R26" s="122" t="s">
        <v>5</v>
      </c>
      <c r="S26" s="122" t="s">
        <v>5</v>
      </c>
      <c r="T26" s="122" t="s">
        <v>5</v>
      </c>
      <c r="U26" s="122" t="s">
        <v>5</v>
      </c>
      <c r="V26" s="122" t="s">
        <v>5</v>
      </c>
      <c r="W26" s="122" t="s">
        <v>4</v>
      </c>
      <c r="X26" s="122" t="s">
        <v>5</v>
      </c>
      <c r="Y26" s="122" t="s">
        <v>5</v>
      </c>
      <c r="Z26" s="122" t="s">
        <v>5</v>
      </c>
      <c r="AA26" s="122" t="s">
        <v>5</v>
      </c>
      <c r="AB26" s="122" t="s">
        <v>5</v>
      </c>
      <c r="AC26" s="122" t="s">
        <v>4</v>
      </c>
      <c r="AD26" s="122" t="s">
        <v>4</v>
      </c>
      <c r="AE26" s="122" t="s">
        <v>5</v>
      </c>
      <c r="AF26" s="122" t="s">
        <v>5</v>
      </c>
    </row>
    <row r="27" spans="1:32" x14ac:dyDescent="0.35">
      <c r="A27" s="141" t="s">
        <v>349</v>
      </c>
      <c r="B27" s="114" t="s">
        <v>4</v>
      </c>
      <c r="C27" s="25" t="s">
        <v>310</v>
      </c>
      <c r="D27" s="25" t="s">
        <v>310</v>
      </c>
      <c r="E27" s="25" t="s">
        <v>310</v>
      </c>
      <c r="F27" s="25" t="s">
        <v>310</v>
      </c>
      <c r="G27" s="25" t="s">
        <v>310</v>
      </c>
      <c r="H27" s="114" t="s">
        <v>4</v>
      </c>
      <c r="I27" s="16" t="s">
        <v>11</v>
      </c>
      <c r="J27" s="16" t="s">
        <v>10</v>
      </c>
      <c r="K27" s="16" t="s">
        <v>10</v>
      </c>
      <c r="L27" s="116" t="s">
        <v>2</v>
      </c>
      <c r="M27" s="16" t="s">
        <v>10</v>
      </c>
      <c r="N27" s="16" t="s">
        <v>10</v>
      </c>
      <c r="O27" s="114" t="s">
        <v>4</v>
      </c>
      <c r="P27" s="19" t="s">
        <v>42</v>
      </c>
      <c r="Q27" s="19" t="s">
        <v>41</v>
      </c>
      <c r="R27" s="19" t="s">
        <v>41</v>
      </c>
      <c r="S27" s="19" t="s">
        <v>41</v>
      </c>
      <c r="T27" s="116" t="s">
        <v>2</v>
      </c>
      <c r="U27" s="19" t="s">
        <v>41</v>
      </c>
      <c r="V27" s="19" t="s">
        <v>42</v>
      </c>
      <c r="W27" s="114" t="s">
        <v>4</v>
      </c>
      <c r="X27" s="116" t="s">
        <v>2</v>
      </c>
      <c r="Y27" s="25" t="s">
        <v>310</v>
      </c>
      <c r="Z27" s="25" t="s">
        <v>310</v>
      </c>
      <c r="AA27" s="25" t="s">
        <v>310</v>
      </c>
      <c r="AB27" s="116" t="s">
        <v>2</v>
      </c>
      <c r="AC27" s="114" t="s">
        <v>4</v>
      </c>
      <c r="AD27" s="209" t="s">
        <v>30</v>
      </c>
      <c r="AE27" s="16" t="s">
        <v>10</v>
      </c>
      <c r="AF27" s="16" t="s">
        <v>10</v>
      </c>
    </row>
    <row r="29" spans="1:32" x14ac:dyDescent="0.35">
      <c r="A29" s="128" t="s">
        <v>125</v>
      </c>
      <c r="B29">
        <f>COUNTIF(B4:B21,"*WMS")</f>
        <v>2</v>
      </c>
      <c r="C29">
        <f>COUNTIF(C4:C21,"*MSF3")</f>
        <v>3</v>
      </c>
      <c r="D29">
        <f>COUNTIF(D4:D21,"*MSF3")</f>
        <v>3</v>
      </c>
      <c r="E29">
        <f>COUNTIF(E4:E21,"*MSF3")</f>
        <v>3</v>
      </c>
      <c r="F29">
        <f>COUNTIF(F4:F21,"*MSF3")</f>
        <v>3</v>
      </c>
      <c r="G29">
        <f>COUNTIF(G4:G21,"*MSF3")</f>
        <v>3</v>
      </c>
      <c r="H29">
        <f>COUNTIF(H4:H21,"*WMS")</f>
        <v>2</v>
      </c>
      <c r="I29">
        <f>COUNTIF(I4:I21,"*WMS")</f>
        <v>2</v>
      </c>
      <c r="J29">
        <f>COUNTIF(J4:J21,"*MSF3")</f>
        <v>3</v>
      </c>
      <c r="K29">
        <f>COUNTIF(K4:K21,"*MSF3")</f>
        <v>3</v>
      </c>
      <c r="L29">
        <f>COUNTIF(L4:L21,"*MSF3")</f>
        <v>3</v>
      </c>
      <c r="M29">
        <f>COUNTIF(M4:M21,"*MSF3")</f>
        <v>3</v>
      </c>
      <c r="N29">
        <f>COUNTIF(N4:N21,"*MSF3")</f>
        <v>3</v>
      </c>
      <c r="O29">
        <f>COUNTIF(O4:O21,"*WMS")</f>
        <v>2</v>
      </c>
      <c r="P29">
        <f>COUNTIF(P4:P21,"*WMS")</f>
        <v>2</v>
      </c>
      <c r="Q29">
        <f>COUNTIF(Q4:Q21,"*MSF3")</f>
        <v>4</v>
      </c>
      <c r="R29">
        <f>COUNTIF(R4:R21,"*MSF3")</f>
        <v>3</v>
      </c>
      <c r="S29">
        <f>COUNTIF(S4:S21,"*MSF3")</f>
        <v>4</v>
      </c>
      <c r="T29">
        <f>COUNTIF(T4:T21,"*MSF3")</f>
        <v>3</v>
      </c>
      <c r="U29">
        <f>COUNTIF(U4:U21,"*MSF3")</f>
        <v>3</v>
      </c>
      <c r="V29">
        <f>COUNTIF(V4:V21,"*WMS")</f>
        <v>2</v>
      </c>
      <c r="W29">
        <f>COUNTIF(W4:W21,"*WMS")</f>
        <v>2</v>
      </c>
      <c r="X29">
        <f>COUNTIF(X4:X21,"*MSF3")</f>
        <v>3</v>
      </c>
      <c r="Y29">
        <f>COUNTIF(Y4:Y21,"*MSF3")</f>
        <v>3</v>
      </c>
      <c r="Z29">
        <f>COUNTIF(Z4:Z21,"*MSF3")</f>
        <v>2</v>
      </c>
      <c r="AA29">
        <f>COUNTIF(AA4:AA21,"*MSF3")</f>
        <v>2</v>
      </c>
      <c r="AB29">
        <f>COUNTIF(AB4:AB21,"*MSF3")</f>
        <v>3</v>
      </c>
      <c r="AC29">
        <f>COUNTIF(AC4:AC21,"*WMS")</f>
        <v>2</v>
      </c>
      <c r="AD29">
        <f>COUNTIF(AD5:AD21,"*WMS")</f>
        <v>2</v>
      </c>
      <c r="AE29">
        <f>COUNTIF(AE4:AE21,"*MSF3")</f>
        <v>3</v>
      </c>
      <c r="AF29">
        <f>COUNTIF(AF4:AF21,"*MSF3")</f>
        <v>2</v>
      </c>
    </row>
    <row r="30" spans="1:32" x14ac:dyDescent="0.35">
      <c r="A30" s="128" t="s">
        <v>126</v>
      </c>
      <c r="B30">
        <f t="shared" ref="B30:H30" si="1">COUNTIF(B4:B21,"*ASS1")</f>
        <v>2</v>
      </c>
      <c r="C30">
        <f t="shared" si="1"/>
        <v>3</v>
      </c>
      <c r="D30">
        <f t="shared" si="1"/>
        <v>3</v>
      </c>
      <c r="E30">
        <f t="shared" si="1"/>
        <v>3</v>
      </c>
      <c r="F30">
        <f t="shared" si="1"/>
        <v>3</v>
      </c>
      <c r="G30">
        <f t="shared" si="1"/>
        <v>3</v>
      </c>
      <c r="H30">
        <f t="shared" si="1"/>
        <v>2</v>
      </c>
      <c r="I30">
        <f t="shared" ref="I30:AC30" si="2">COUNTIF(I4:I21,"*ASS1")</f>
        <v>2</v>
      </c>
      <c r="J30">
        <f t="shared" si="2"/>
        <v>3</v>
      </c>
      <c r="K30">
        <f t="shared" si="2"/>
        <v>3</v>
      </c>
      <c r="L30">
        <f t="shared" si="2"/>
        <v>3</v>
      </c>
      <c r="M30">
        <f t="shared" si="2"/>
        <v>3</v>
      </c>
      <c r="N30">
        <f t="shared" si="2"/>
        <v>3</v>
      </c>
      <c r="O30">
        <f t="shared" si="2"/>
        <v>2</v>
      </c>
      <c r="P30">
        <f>COUNTIF(P4:P21,"*ASS1")</f>
        <v>3</v>
      </c>
      <c r="Q30">
        <f t="shared" si="2"/>
        <v>3</v>
      </c>
      <c r="R30">
        <f t="shared" si="2"/>
        <v>3</v>
      </c>
      <c r="S30">
        <f t="shared" si="2"/>
        <v>3</v>
      </c>
      <c r="T30">
        <f t="shared" si="2"/>
        <v>3</v>
      </c>
      <c r="U30">
        <f t="shared" si="2"/>
        <v>3</v>
      </c>
      <c r="V30">
        <f t="shared" si="2"/>
        <v>2</v>
      </c>
      <c r="W30">
        <f t="shared" si="2"/>
        <v>2</v>
      </c>
      <c r="X30">
        <f t="shared" si="2"/>
        <v>3</v>
      </c>
      <c r="Y30">
        <f t="shared" si="2"/>
        <v>3</v>
      </c>
      <c r="Z30">
        <f t="shared" si="2"/>
        <v>2</v>
      </c>
      <c r="AA30">
        <f t="shared" si="2"/>
        <v>3</v>
      </c>
      <c r="AB30">
        <f t="shared" si="2"/>
        <v>3</v>
      </c>
      <c r="AC30">
        <f t="shared" si="2"/>
        <v>2</v>
      </c>
      <c r="AD30">
        <f>COUNTIF(AD5:AD21,"*ASS1")</f>
        <v>2</v>
      </c>
      <c r="AE30">
        <f t="shared" ref="AE30:AF30" si="3">COUNTIF(AE4:AE21,"*ASS1")</f>
        <v>3</v>
      </c>
      <c r="AF30">
        <f t="shared" si="3"/>
        <v>2</v>
      </c>
    </row>
    <row r="31" spans="1:32" x14ac:dyDescent="0.35">
      <c r="A31" s="128" t="s">
        <v>127</v>
      </c>
      <c r="B31">
        <f t="shared" ref="B31:H31" si="4">COUNTIF(B4:B21,"*NST7")</f>
        <v>3</v>
      </c>
      <c r="C31">
        <f t="shared" si="4"/>
        <v>3</v>
      </c>
      <c r="D31">
        <f t="shared" si="4"/>
        <v>3</v>
      </c>
      <c r="E31">
        <f t="shared" si="4"/>
        <v>3</v>
      </c>
      <c r="F31">
        <f t="shared" si="4"/>
        <v>3</v>
      </c>
      <c r="G31">
        <f t="shared" si="4"/>
        <v>3</v>
      </c>
      <c r="H31">
        <f t="shared" si="4"/>
        <v>3</v>
      </c>
      <c r="I31">
        <f t="shared" ref="I31:AC31" si="5">COUNTIF(I4:I21,"*NST7")</f>
        <v>3</v>
      </c>
      <c r="J31">
        <f t="shared" si="5"/>
        <v>3</v>
      </c>
      <c r="K31">
        <f t="shared" si="5"/>
        <v>3</v>
      </c>
      <c r="L31">
        <f t="shared" si="5"/>
        <v>3</v>
      </c>
      <c r="M31">
        <f t="shared" si="5"/>
        <v>3</v>
      </c>
      <c r="N31">
        <f t="shared" si="5"/>
        <v>3</v>
      </c>
      <c r="O31">
        <f t="shared" si="5"/>
        <v>3</v>
      </c>
      <c r="P31">
        <f>COUNTIF(P4:P21,"*NST7")</f>
        <v>2</v>
      </c>
      <c r="Q31">
        <f t="shared" si="5"/>
        <v>3</v>
      </c>
      <c r="R31">
        <f t="shared" si="5"/>
        <v>3</v>
      </c>
      <c r="S31">
        <f t="shared" si="5"/>
        <v>3</v>
      </c>
      <c r="T31">
        <f t="shared" si="5"/>
        <v>3</v>
      </c>
      <c r="U31">
        <f t="shared" si="5"/>
        <v>3</v>
      </c>
      <c r="V31">
        <f t="shared" si="5"/>
        <v>3</v>
      </c>
      <c r="W31">
        <f t="shared" si="5"/>
        <v>2</v>
      </c>
      <c r="X31">
        <f t="shared" si="5"/>
        <v>3</v>
      </c>
      <c r="Y31">
        <f t="shared" si="5"/>
        <v>3</v>
      </c>
      <c r="Z31">
        <f t="shared" si="5"/>
        <v>3</v>
      </c>
      <c r="AA31">
        <f t="shared" si="5"/>
        <v>3</v>
      </c>
      <c r="AB31">
        <f t="shared" si="5"/>
        <v>3</v>
      </c>
      <c r="AC31">
        <f t="shared" si="5"/>
        <v>2</v>
      </c>
      <c r="AD31">
        <f>COUNTIF(AD5:AD21,"*NST7")</f>
        <v>3</v>
      </c>
      <c r="AE31">
        <f t="shared" ref="AE31:AF31" si="6">COUNTIF(AE4:AE21,"*NST7")</f>
        <v>3</v>
      </c>
      <c r="AF31">
        <f t="shared" si="6"/>
        <v>3</v>
      </c>
    </row>
    <row r="32" spans="1:32" x14ac:dyDescent="0.35">
      <c r="A32" s="128" t="s">
        <v>128</v>
      </c>
      <c r="B32">
        <f t="shared" ref="B32:H32" si="7">COUNTIF(B4:B21,"*GS")</f>
        <v>0</v>
      </c>
      <c r="C32">
        <f t="shared" si="7"/>
        <v>0</v>
      </c>
      <c r="D32">
        <f t="shared" si="7"/>
        <v>0</v>
      </c>
      <c r="E32">
        <f t="shared" si="7"/>
        <v>0</v>
      </c>
      <c r="F32">
        <f t="shared" si="7"/>
        <v>1</v>
      </c>
      <c r="G32">
        <f t="shared" si="7"/>
        <v>0</v>
      </c>
      <c r="H32">
        <f t="shared" si="7"/>
        <v>1</v>
      </c>
      <c r="I32">
        <f t="shared" ref="I32:AC32" si="8">COUNTIF(I4:I21,"*GS")</f>
        <v>0</v>
      </c>
      <c r="J32">
        <f t="shared" si="8"/>
        <v>1</v>
      </c>
      <c r="K32">
        <f t="shared" si="8"/>
        <v>1</v>
      </c>
      <c r="L32">
        <f t="shared" si="8"/>
        <v>0</v>
      </c>
      <c r="M32">
        <f t="shared" si="8"/>
        <v>1</v>
      </c>
      <c r="N32">
        <f t="shared" si="8"/>
        <v>0</v>
      </c>
      <c r="O32">
        <f t="shared" si="8"/>
        <v>1</v>
      </c>
      <c r="P32">
        <f>COUNTIF(P4:P21,"*GS")</f>
        <v>0</v>
      </c>
      <c r="Q32">
        <f t="shared" si="8"/>
        <v>0</v>
      </c>
      <c r="R32">
        <f t="shared" si="8"/>
        <v>0</v>
      </c>
      <c r="S32">
        <f t="shared" si="8"/>
        <v>0</v>
      </c>
      <c r="T32">
        <f t="shared" si="8"/>
        <v>1</v>
      </c>
      <c r="U32">
        <f t="shared" si="8"/>
        <v>0</v>
      </c>
      <c r="V32">
        <f t="shared" si="8"/>
        <v>1</v>
      </c>
      <c r="W32">
        <f t="shared" si="8"/>
        <v>0</v>
      </c>
      <c r="X32">
        <f t="shared" si="8"/>
        <v>0</v>
      </c>
      <c r="Y32">
        <f t="shared" si="8"/>
        <v>0</v>
      </c>
      <c r="Z32">
        <f t="shared" si="8"/>
        <v>1</v>
      </c>
      <c r="AA32">
        <f t="shared" si="8"/>
        <v>0</v>
      </c>
      <c r="AB32">
        <f t="shared" si="8"/>
        <v>0</v>
      </c>
      <c r="AC32">
        <f t="shared" si="8"/>
        <v>0</v>
      </c>
      <c r="AD32">
        <f>COUNTIF(AD5:AD21,"*GS")</f>
        <v>0</v>
      </c>
      <c r="AE32">
        <f t="shared" ref="AE32:AF32" si="9">COUNTIF(AE4:AE21,"*GS")</f>
        <v>0</v>
      </c>
      <c r="AF32">
        <f t="shared" si="9"/>
        <v>1</v>
      </c>
    </row>
    <row r="33" spans="1:32" x14ac:dyDescent="0.35">
      <c r="A33" s="128" t="s">
        <v>129</v>
      </c>
      <c r="B33">
        <f>COUNTIF(B4:B21,"WO")</f>
        <v>8</v>
      </c>
      <c r="C33">
        <f>COUNTIF(C4:C21,"C")</f>
        <v>5</v>
      </c>
      <c r="D33">
        <f>COUNTIF(D4:D21,"C")</f>
        <v>3</v>
      </c>
      <c r="E33">
        <f>COUNTIF(E4:E21,"C")</f>
        <v>3</v>
      </c>
      <c r="F33">
        <f>COUNTIF(F4:F21,"C")</f>
        <v>2</v>
      </c>
      <c r="G33">
        <f>COUNTIF(G4:G21,"C")</f>
        <v>3</v>
      </c>
      <c r="H33">
        <f>COUNTIF(H4:H21,"WO")</f>
        <v>6</v>
      </c>
      <c r="I33">
        <f>COUNTIF(I4:I21,"WO")</f>
        <v>7</v>
      </c>
      <c r="J33">
        <f>COUNTIF(J4:J21,"C")</f>
        <v>2</v>
      </c>
      <c r="K33">
        <f>COUNTIF(K4:K21,"C")</f>
        <v>2</v>
      </c>
      <c r="L33">
        <f>COUNTIF(L4:L21,"C")</f>
        <v>4</v>
      </c>
      <c r="M33">
        <f>COUNTIF(M4:M21,"C")</f>
        <v>3</v>
      </c>
      <c r="N33">
        <f>COUNTIF(N4:N21,"C")</f>
        <v>4</v>
      </c>
      <c r="O33">
        <f>COUNTIF(O4:O21,"WO")</f>
        <v>7</v>
      </c>
      <c r="P33">
        <f>COUNTIF(P4:P21,"WO")</f>
        <v>8</v>
      </c>
      <c r="Q33">
        <f>COUNTIF(Q4:Q21,"C")</f>
        <v>2</v>
      </c>
      <c r="R33">
        <f>COUNTIF(R4:R21,"C")</f>
        <v>3</v>
      </c>
      <c r="S33">
        <f>COUNTIF(S4:S21,"C")</f>
        <v>1</v>
      </c>
      <c r="T33">
        <f>COUNTIF(T4:T21,"C")</f>
        <v>1</v>
      </c>
      <c r="U33">
        <f>COUNTIF(U4:U21,"C")</f>
        <v>3</v>
      </c>
      <c r="V33">
        <f>COUNTIF(V4:V21,"WO")</f>
        <v>3</v>
      </c>
      <c r="W33">
        <f>COUNTIF(W4:W21,"WO")</f>
        <v>8</v>
      </c>
      <c r="X33">
        <f>COUNTIF(X4:X21,"C")</f>
        <v>2</v>
      </c>
      <c r="Y33">
        <f>COUNTIF(Y4:Y21,"C")</f>
        <v>1</v>
      </c>
      <c r="Z33">
        <f>COUNTIF(Z4:Z21,"C")</f>
        <v>2</v>
      </c>
      <c r="AA33">
        <f>COUNTIF(AA4:AA21,"C")</f>
        <v>4</v>
      </c>
      <c r="AB33">
        <f>COUNTIF(AB4:AB21,"C")</f>
        <v>2</v>
      </c>
      <c r="AC33">
        <f>COUNTIF(AC4:AC21,"WO")</f>
        <v>9</v>
      </c>
      <c r="AD33">
        <f>COUNTIF(AD5:AD21,"WO")</f>
        <v>7</v>
      </c>
      <c r="AE33">
        <f>COUNTIF(AE4:AE21,"C")</f>
        <v>1</v>
      </c>
      <c r="AF33">
        <f>COUNTIF(AF4:AF21,"C")</f>
        <v>2</v>
      </c>
    </row>
    <row r="34" spans="1:32" x14ac:dyDescent="0.35">
      <c r="A34" s="128" t="s">
        <v>130</v>
      </c>
      <c r="B34">
        <f t="shared" ref="B34:H34" si="10">COUNTIF(B4:B21,"PL")</f>
        <v>0</v>
      </c>
      <c r="C34">
        <f t="shared" si="10"/>
        <v>1</v>
      </c>
      <c r="D34">
        <f t="shared" si="10"/>
        <v>3</v>
      </c>
      <c r="E34">
        <f t="shared" si="10"/>
        <v>3</v>
      </c>
      <c r="F34">
        <f t="shared" si="10"/>
        <v>3</v>
      </c>
      <c r="G34">
        <f t="shared" si="10"/>
        <v>3</v>
      </c>
      <c r="H34">
        <f t="shared" si="10"/>
        <v>1</v>
      </c>
      <c r="I34">
        <f t="shared" ref="I34:AC34" si="11">COUNTIF(I4:I21,"PL")</f>
        <v>1</v>
      </c>
      <c r="J34">
        <f t="shared" si="11"/>
        <v>3</v>
      </c>
      <c r="K34">
        <f t="shared" si="11"/>
        <v>3</v>
      </c>
      <c r="L34">
        <f t="shared" si="11"/>
        <v>2</v>
      </c>
      <c r="M34">
        <f t="shared" si="11"/>
        <v>2</v>
      </c>
      <c r="N34">
        <f t="shared" si="11"/>
        <v>2</v>
      </c>
      <c r="O34">
        <f t="shared" si="11"/>
        <v>0</v>
      </c>
      <c r="P34">
        <f>COUNTIF(P4:P21,"PL")</f>
        <v>0</v>
      </c>
      <c r="Q34">
        <f t="shared" si="11"/>
        <v>3</v>
      </c>
      <c r="R34">
        <f t="shared" si="11"/>
        <v>3</v>
      </c>
      <c r="S34">
        <f t="shared" si="11"/>
        <v>4</v>
      </c>
      <c r="T34">
        <f t="shared" si="11"/>
        <v>4</v>
      </c>
      <c r="U34">
        <f t="shared" si="11"/>
        <v>3</v>
      </c>
      <c r="V34">
        <f t="shared" si="11"/>
        <v>4</v>
      </c>
      <c r="W34">
        <f t="shared" si="11"/>
        <v>1</v>
      </c>
      <c r="X34">
        <f t="shared" si="11"/>
        <v>4</v>
      </c>
      <c r="Y34">
        <f t="shared" si="11"/>
        <v>5</v>
      </c>
      <c r="Z34">
        <f t="shared" si="11"/>
        <v>5</v>
      </c>
      <c r="AA34">
        <f t="shared" si="11"/>
        <v>3</v>
      </c>
      <c r="AB34">
        <f t="shared" si="11"/>
        <v>4</v>
      </c>
      <c r="AC34">
        <f t="shared" si="11"/>
        <v>0</v>
      </c>
      <c r="AD34">
        <f>COUNTIF(AD5:AD21,"PL")</f>
        <v>0</v>
      </c>
      <c r="AE34">
        <f t="shared" ref="AE34:AF34" si="12">COUNTIF(AE4:AE21,"PL")</f>
        <v>5</v>
      </c>
      <c r="AF34">
        <f t="shared" si="12"/>
        <v>5</v>
      </c>
    </row>
    <row r="35" spans="1:32" x14ac:dyDescent="0.35">
      <c r="A35" s="128" t="s">
        <v>33</v>
      </c>
      <c r="B35">
        <f t="shared" ref="B35:H35" si="13">COUNTIF(B4:B21,"UPL")</f>
        <v>0</v>
      </c>
      <c r="C35">
        <f t="shared" si="13"/>
        <v>0</v>
      </c>
      <c r="D35">
        <f t="shared" si="13"/>
        <v>0</v>
      </c>
      <c r="E35">
        <f t="shared" si="13"/>
        <v>0</v>
      </c>
      <c r="F35">
        <f t="shared" si="13"/>
        <v>0</v>
      </c>
      <c r="G35">
        <f t="shared" si="13"/>
        <v>0</v>
      </c>
      <c r="H35">
        <f t="shared" si="13"/>
        <v>0</v>
      </c>
      <c r="I35">
        <f t="shared" ref="I35:AC35" si="14">COUNTIF(I4:I21,"UPL")</f>
        <v>0</v>
      </c>
      <c r="J35">
        <f t="shared" si="14"/>
        <v>0</v>
      </c>
      <c r="K35">
        <f t="shared" si="14"/>
        <v>0</v>
      </c>
      <c r="L35">
        <f t="shared" si="14"/>
        <v>0</v>
      </c>
      <c r="M35">
        <f t="shared" si="14"/>
        <v>0</v>
      </c>
      <c r="N35">
        <f t="shared" si="14"/>
        <v>0</v>
      </c>
      <c r="O35">
        <f t="shared" si="14"/>
        <v>0</v>
      </c>
      <c r="P35">
        <f>COUNTIF(P4:P21,"UPL")</f>
        <v>0</v>
      </c>
      <c r="Q35">
        <f t="shared" si="14"/>
        <v>0</v>
      </c>
      <c r="R35">
        <f t="shared" si="14"/>
        <v>0</v>
      </c>
      <c r="S35">
        <f t="shared" si="14"/>
        <v>0</v>
      </c>
      <c r="T35">
        <f t="shared" si="14"/>
        <v>0</v>
      </c>
      <c r="U35">
        <f t="shared" si="14"/>
        <v>0</v>
      </c>
      <c r="V35">
        <f t="shared" si="14"/>
        <v>0</v>
      </c>
      <c r="W35">
        <f t="shared" si="14"/>
        <v>0</v>
      </c>
      <c r="X35">
        <f t="shared" si="14"/>
        <v>0</v>
      </c>
      <c r="Y35">
        <f t="shared" si="14"/>
        <v>0</v>
      </c>
      <c r="Z35">
        <f t="shared" si="14"/>
        <v>0</v>
      </c>
      <c r="AA35">
        <f t="shared" si="14"/>
        <v>0</v>
      </c>
      <c r="AB35">
        <f t="shared" si="14"/>
        <v>0</v>
      </c>
      <c r="AC35">
        <f t="shared" si="14"/>
        <v>0</v>
      </c>
      <c r="AD35">
        <f>COUNTIF(AD5:AD21,"UPL")</f>
        <v>0</v>
      </c>
      <c r="AE35">
        <f t="shared" ref="AE35:AF35" si="15">COUNTIF(AE4:AE21,"UPL")</f>
        <v>0</v>
      </c>
      <c r="AF35">
        <f t="shared" si="15"/>
        <v>0</v>
      </c>
    </row>
    <row r="36" spans="1:32" x14ac:dyDescent="0.35">
      <c r="A36" s="128" t="s">
        <v>141</v>
      </c>
      <c r="B36">
        <f t="shared" ref="B36:H36" si="16">COUNTIF(B4:B21,"H")</f>
        <v>0</v>
      </c>
      <c r="C36">
        <f t="shared" si="16"/>
        <v>0</v>
      </c>
      <c r="D36">
        <f t="shared" si="16"/>
        <v>0</v>
      </c>
      <c r="E36">
        <f t="shared" si="16"/>
        <v>0</v>
      </c>
      <c r="F36">
        <f t="shared" si="16"/>
        <v>0</v>
      </c>
      <c r="G36">
        <f t="shared" si="16"/>
        <v>0</v>
      </c>
      <c r="H36">
        <f t="shared" si="16"/>
        <v>0</v>
      </c>
      <c r="I36">
        <f t="shared" ref="I36:AC36" si="17">COUNTIF(I4:I21,"H")</f>
        <v>0</v>
      </c>
      <c r="J36">
        <f t="shared" si="17"/>
        <v>0</v>
      </c>
      <c r="K36">
        <f t="shared" si="17"/>
        <v>0</v>
      </c>
      <c r="L36">
        <f t="shared" si="17"/>
        <v>0</v>
      </c>
      <c r="M36">
        <f t="shared" si="17"/>
        <v>0</v>
      </c>
      <c r="N36">
        <f t="shared" si="17"/>
        <v>0</v>
      </c>
      <c r="O36">
        <f t="shared" si="17"/>
        <v>0</v>
      </c>
      <c r="P36">
        <f>COUNTIF(P4:P21,"H")</f>
        <v>0</v>
      </c>
      <c r="Q36">
        <f t="shared" si="17"/>
        <v>0</v>
      </c>
      <c r="R36">
        <f t="shared" si="17"/>
        <v>0</v>
      </c>
      <c r="S36">
        <f t="shared" si="17"/>
        <v>0</v>
      </c>
      <c r="T36">
        <f t="shared" si="17"/>
        <v>0</v>
      </c>
      <c r="U36">
        <f t="shared" si="17"/>
        <v>0</v>
      </c>
      <c r="V36">
        <f t="shared" si="17"/>
        <v>0</v>
      </c>
      <c r="W36">
        <f t="shared" si="17"/>
        <v>0</v>
      </c>
      <c r="X36">
        <f t="shared" si="17"/>
        <v>0</v>
      </c>
      <c r="Y36">
        <f t="shared" si="17"/>
        <v>0</v>
      </c>
      <c r="Z36">
        <f t="shared" si="17"/>
        <v>0</v>
      </c>
      <c r="AA36">
        <f t="shared" si="17"/>
        <v>0</v>
      </c>
      <c r="AB36">
        <f t="shared" si="17"/>
        <v>0</v>
      </c>
      <c r="AC36">
        <f t="shared" si="17"/>
        <v>0</v>
      </c>
      <c r="AD36">
        <f>COUNTIF(AD5:AD21,"H")</f>
        <v>0</v>
      </c>
      <c r="AE36">
        <f t="shared" ref="AE36:AF36" si="18">COUNTIF(AE4:AE21,"H")</f>
        <v>0</v>
      </c>
      <c r="AF36">
        <f t="shared" si="18"/>
        <v>0</v>
      </c>
    </row>
    <row r="37" spans="1:32" x14ac:dyDescent="0.35">
      <c r="A37" s="128" t="s">
        <v>131</v>
      </c>
      <c r="B37" s="129">
        <f t="shared" ref="B37:H37" si="19">SUM(B29:B36)</f>
        <v>15</v>
      </c>
      <c r="C37" s="129">
        <f t="shared" si="19"/>
        <v>15</v>
      </c>
      <c r="D37" s="129">
        <f t="shared" si="19"/>
        <v>15</v>
      </c>
      <c r="E37" s="129">
        <f t="shared" si="19"/>
        <v>15</v>
      </c>
      <c r="F37" s="129">
        <f t="shared" si="19"/>
        <v>15</v>
      </c>
      <c r="G37" s="129">
        <f t="shared" si="19"/>
        <v>15</v>
      </c>
      <c r="H37" s="129">
        <f t="shared" si="19"/>
        <v>15</v>
      </c>
      <c r="I37" s="129">
        <f t="shared" ref="I37:AD37" si="20">SUM(I29:I36)</f>
        <v>15</v>
      </c>
      <c r="J37" s="129">
        <f t="shared" si="20"/>
        <v>15</v>
      </c>
      <c r="K37" s="129">
        <f t="shared" si="20"/>
        <v>15</v>
      </c>
      <c r="L37" s="129">
        <f t="shared" si="20"/>
        <v>15</v>
      </c>
      <c r="M37" s="129">
        <f t="shared" si="20"/>
        <v>15</v>
      </c>
      <c r="N37" s="129">
        <f t="shared" si="20"/>
        <v>15</v>
      </c>
      <c r="O37" s="129">
        <f t="shared" si="20"/>
        <v>15</v>
      </c>
      <c r="P37" s="129">
        <f t="shared" si="20"/>
        <v>15</v>
      </c>
      <c r="Q37" s="129">
        <f t="shared" si="20"/>
        <v>15</v>
      </c>
      <c r="R37" s="129">
        <f t="shared" si="20"/>
        <v>15</v>
      </c>
      <c r="S37" s="129">
        <f t="shared" si="20"/>
        <v>15</v>
      </c>
      <c r="T37" s="129">
        <f t="shared" si="20"/>
        <v>15</v>
      </c>
      <c r="U37" s="129">
        <f t="shared" si="20"/>
        <v>15</v>
      </c>
      <c r="V37" s="129">
        <f t="shared" si="20"/>
        <v>15</v>
      </c>
      <c r="W37" s="129">
        <f t="shared" si="20"/>
        <v>15</v>
      </c>
      <c r="X37" s="129">
        <f t="shared" si="20"/>
        <v>15</v>
      </c>
      <c r="Y37" s="129">
        <f t="shared" si="20"/>
        <v>15</v>
      </c>
      <c r="Z37" s="129">
        <f t="shared" si="20"/>
        <v>15</v>
      </c>
      <c r="AA37" s="129">
        <f t="shared" si="20"/>
        <v>15</v>
      </c>
      <c r="AB37" s="129">
        <f t="shared" si="20"/>
        <v>15</v>
      </c>
      <c r="AC37" s="129">
        <f t="shared" si="20"/>
        <v>15</v>
      </c>
      <c r="AD37" s="129">
        <f t="shared" si="20"/>
        <v>14</v>
      </c>
      <c r="AE37" s="129">
        <f t="shared" ref="AE37:AF37" si="21">SUM(AE29:AE36)</f>
        <v>15</v>
      </c>
      <c r="AF37" s="129">
        <f t="shared" si="21"/>
        <v>15</v>
      </c>
    </row>
  </sheetData>
  <phoneticPr fontId="25" type="noConversion"/>
  <conditionalFormatting sqref="A14:A15">
    <cfRule type="cellIs" dxfId="305" priority="450" operator="equal">
      <formula>"NST7"</formula>
    </cfRule>
  </conditionalFormatting>
  <conditionalFormatting sqref="A23">
    <cfRule type="cellIs" dxfId="304" priority="448" operator="equal">
      <formula>"NST7"</formula>
    </cfRule>
    <cfRule type="cellIs" dxfId="303" priority="447" operator="equal">
      <formula>"WNST7"</formula>
    </cfRule>
  </conditionalFormatting>
  <conditionalFormatting sqref="B29:AF32">
    <cfRule type="cellIs" dxfId="302" priority="172" operator="lessThan">
      <formula>3</formula>
    </cfRule>
  </conditionalFormatting>
  <conditionalFormatting sqref="B29:AF37 A14:A15 AG14:XFD15 B15:AF15">
    <cfRule type="cellIs" dxfId="301" priority="449" operator="equal">
      <formula>"WNST7"</formula>
    </cfRule>
  </conditionalFormatting>
  <conditionalFormatting sqref="C7">
    <cfRule type="cellIs" dxfId="300" priority="102" operator="equal">
      <formula>"NST7"</formula>
    </cfRule>
    <cfRule type="cellIs" dxfId="299" priority="101" operator="equal">
      <formula>"WNST7"</formula>
    </cfRule>
  </conditionalFormatting>
  <conditionalFormatting sqref="C10">
    <cfRule type="cellIs" dxfId="298" priority="354" operator="equal">
      <formula>"NST7"</formula>
    </cfRule>
    <cfRule type="cellIs" dxfId="297" priority="353" operator="equal">
      <formula>"WNST7"</formula>
    </cfRule>
  </conditionalFormatting>
  <conditionalFormatting sqref="C12">
    <cfRule type="cellIs" dxfId="296" priority="350" operator="equal">
      <formula>"NST7"</formula>
    </cfRule>
    <cfRule type="cellIs" dxfId="295" priority="349" operator="equal">
      <formula>"WNST7"</formula>
    </cfRule>
  </conditionalFormatting>
  <conditionalFormatting sqref="C16">
    <cfRule type="cellIs" dxfId="294" priority="362" operator="equal">
      <formula>"NST7"</formula>
    </cfRule>
    <cfRule type="cellIs" dxfId="293" priority="361" operator="equal">
      <formula>"WNST7"</formula>
    </cfRule>
  </conditionalFormatting>
  <conditionalFormatting sqref="C5:D5">
    <cfRule type="cellIs" dxfId="292" priority="304" operator="equal">
      <formula>"NST7"</formula>
    </cfRule>
    <cfRule type="cellIs" dxfId="291" priority="303" operator="equal">
      <formula>"WNST7"</formula>
    </cfRule>
  </conditionalFormatting>
  <conditionalFormatting sqref="C24:D24">
    <cfRule type="cellIs" dxfId="290" priority="115" operator="equal">
      <formula>"WNST7"</formula>
    </cfRule>
    <cfRule type="cellIs" dxfId="289" priority="116" operator="equal">
      <formula>"NST7"</formula>
    </cfRule>
  </conditionalFormatting>
  <conditionalFormatting sqref="C26:G26">
    <cfRule type="cellIs" dxfId="288" priority="105" operator="equal">
      <formula>"WNST7"</formula>
    </cfRule>
    <cfRule type="cellIs" dxfId="287" priority="106" operator="equal">
      <formula>"NST7"</formula>
    </cfRule>
  </conditionalFormatting>
  <conditionalFormatting sqref="D19">
    <cfRule type="cellIs" dxfId="286" priority="299" operator="equal">
      <formula>"WNST7"</formula>
    </cfRule>
    <cfRule type="cellIs" dxfId="285" priority="300" operator="equal">
      <formula>"NST7"</formula>
    </cfRule>
  </conditionalFormatting>
  <conditionalFormatting sqref="D14:E14">
    <cfRule type="cellIs" dxfId="284" priority="346" operator="equal">
      <formula>"NST7"</formula>
    </cfRule>
    <cfRule type="cellIs" dxfId="283" priority="345" operator="equal">
      <formula>"WNST7"</formula>
    </cfRule>
  </conditionalFormatting>
  <conditionalFormatting sqref="E8">
    <cfRule type="cellIs" dxfId="282" priority="301" operator="equal">
      <formula>"WNST7"</formula>
    </cfRule>
    <cfRule type="cellIs" dxfId="281" priority="302" operator="equal">
      <formula>"NST7"</formula>
    </cfRule>
  </conditionalFormatting>
  <conditionalFormatting sqref="E20">
    <cfRule type="cellIs" dxfId="280" priority="95" operator="equal">
      <formula>"WNST7"</formula>
    </cfRule>
    <cfRule type="cellIs" dxfId="279" priority="96" operator="equal">
      <formula>"NST7"</formula>
    </cfRule>
  </conditionalFormatting>
  <conditionalFormatting sqref="E25:G25">
    <cfRule type="cellIs" dxfId="278" priority="52" operator="equal">
      <formula>"NST7"</formula>
    </cfRule>
    <cfRule type="cellIs" dxfId="277" priority="51" operator="equal">
      <formula>"WNST7"</formula>
    </cfRule>
  </conditionalFormatting>
  <conditionalFormatting sqref="F7">
    <cfRule type="cellIs" dxfId="276" priority="99" operator="equal">
      <formula>"WNST7"</formula>
    </cfRule>
    <cfRule type="cellIs" dxfId="275" priority="100" operator="equal">
      <formula>"NST7"</formula>
    </cfRule>
  </conditionalFormatting>
  <conditionalFormatting sqref="F18">
    <cfRule type="cellIs" dxfId="274" priority="297" operator="equal">
      <formula>"WNST7"</formula>
    </cfRule>
    <cfRule type="cellIs" dxfId="273" priority="298" operator="equal">
      <formula>"NST7"</formula>
    </cfRule>
  </conditionalFormatting>
  <conditionalFormatting sqref="F13:G13">
    <cfRule type="cellIs" dxfId="272" priority="348" operator="equal">
      <formula>"NST7"</formula>
    </cfRule>
    <cfRule type="cellIs" dxfId="271" priority="347" operator="equal">
      <formula>"WNST7"</formula>
    </cfRule>
  </conditionalFormatting>
  <conditionalFormatting sqref="G6">
    <cfRule type="cellIs" dxfId="270" priority="321" operator="equal">
      <formula>"WNST7"</formula>
    </cfRule>
    <cfRule type="cellIs" dxfId="269" priority="322" operator="equal">
      <formula>"NST7"</formula>
    </cfRule>
  </conditionalFormatting>
  <conditionalFormatting sqref="G16">
    <cfRule type="cellIs" dxfId="268" priority="359" operator="equal">
      <formula>"WNST7"</formula>
    </cfRule>
    <cfRule type="cellIs" dxfId="267" priority="360" operator="equal">
      <formula>"NST7"</formula>
    </cfRule>
  </conditionalFormatting>
  <conditionalFormatting sqref="H20">
    <cfRule type="cellIs" dxfId="266" priority="94" operator="equal">
      <formula>"NST7"</formula>
    </cfRule>
    <cfRule type="cellIs" dxfId="265" priority="93" operator="equal">
      <formula>"WNST7"</formula>
    </cfRule>
  </conditionalFormatting>
  <conditionalFormatting sqref="I27:N27">
    <cfRule type="cellIs" dxfId="264" priority="77" operator="equal">
      <formula>"WNST7"</formula>
    </cfRule>
    <cfRule type="cellIs" dxfId="263" priority="78" operator="equal">
      <formula>"NST7"</formula>
    </cfRule>
  </conditionalFormatting>
  <conditionalFormatting sqref="J10">
    <cfRule type="cellIs" dxfId="262" priority="352" operator="equal">
      <formula>"NST7"</formula>
    </cfRule>
    <cfRule type="cellIs" dxfId="261" priority="351" operator="equal">
      <formula>"WNST7"</formula>
    </cfRule>
  </conditionalFormatting>
  <conditionalFormatting sqref="J16">
    <cfRule type="cellIs" dxfId="260" priority="33" operator="equal">
      <formula>"WNST7"</formula>
    </cfRule>
    <cfRule type="cellIs" dxfId="259" priority="34" operator="equal">
      <formula>"NST7"</formula>
    </cfRule>
  </conditionalFormatting>
  <conditionalFormatting sqref="J8:K8">
    <cfRule type="cellIs" dxfId="258" priority="196" operator="equal">
      <formula>"NST7"</formula>
    </cfRule>
    <cfRule type="cellIs" dxfId="257" priority="195" operator="equal">
      <formula>"WNST7"</formula>
    </cfRule>
  </conditionalFormatting>
  <conditionalFormatting sqref="J24:K24">
    <cfRule type="cellIs" dxfId="256" priority="265" operator="equal">
      <formula>"WNST7"</formula>
    </cfRule>
    <cfRule type="cellIs" dxfId="255" priority="266" operator="equal">
      <formula>"NST7"</formula>
    </cfRule>
  </conditionalFormatting>
  <conditionalFormatting sqref="K14:L14">
    <cfRule type="cellIs" dxfId="254" priority="344" operator="equal">
      <formula>"NST7"</formula>
    </cfRule>
    <cfRule type="cellIs" dxfId="253" priority="343" operator="equal">
      <formula>"WNST7"</formula>
    </cfRule>
  </conditionalFormatting>
  <conditionalFormatting sqref="K19:L19">
    <cfRule type="cellIs" dxfId="252" priority="199" operator="equal">
      <formula>"WNST7"</formula>
    </cfRule>
    <cfRule type="cellIs" dxfId="251" priority="200" operator="equal">
      <formula>"NST7"</formula>
    </cfRule>
  </conditionalFormatting>
  <conditionalFormatting sqref="K7:M7">
    <cfRule type="cellIs" dxfId="250" priority="209" operator="equal">
      <formula>"WNST7"</formula>
    </cfRule>
    <cfRule type="cellIs" dxfId="249" priority="210" operator="equal">
      <formula>"NST7"</formula>
    </cfRule>
  </conditionalFormatting>
  <conditionalFormatting sqref="L18">
    <cfRule type="cellIs" dxfId="248" priority="291" operator="equal">
      <formula>"WNST7"</formula>
    </cfRule>
    <cfRule type="cellIs" dxfId="247" priority="292" operator="equal">
      <formula>"NST7"</formula>
    </cfRule>
  </conditionalFormatting>
  <conditionalFormatting sqref="L25:N25">
    <cfRule type="cellIs" dxfId="246" priority="79" operator="equal">
      <formula>"WNST7"</formula>
    </cfRule>
    <cfRule type="cellIs" dxfId="245" priority="80" operator="equal">
      <formula>"NST7"</formula>
    </cfRule>
  </conditionalFormatting>
  <conditionalFormatting sqref="M13">
    <cfRule type="cellIs" dxfId="244" priority="342" operator="equal">
      <formula>"NST7"</formula>
    </cfRule>
    <cfRule type="cellIs" dxfId="243" priority="341" operator="equal">
      <formula>"WNST7"</formula>
    </cfRule>
  </conditionalFormatting>
  <conditionalFormatting sqref="M5:N5">
    <cfRule type="cellIs" dxfId="242" priority="320" operator="equal">
      <formula>"NST7"</formula>
    </cfRule>
    <cfRule type="cellIs" dxfId="241" priority="319" operator="equal">
      <formula>"WNST7"</formula>
    </cfRule>
  </conditionalFormatting>
  <conditionalFormatting sqref="M16:N16">
    <cfRule type="cellIs" dxfId="240" priority="23" operator="equal">
      <formula>"WNST7"</formula>
    </cfRule>
    <cfRule type="cellIs" dxfId="239" priority="24" operator="equal">
      <formula>"NST7"</formula>
    </cfRule>
  </conditionalFormatting>
  <conditionalFormatting sqref="M20:N20">
    <cfRule type="cellIs" dxfId="238" priority="49" operator="equal">
      <formula>"WNST7"</formula>
    </cfRule>
    <cfRule type="cellIs" dxfId="237" priority="50" operator="equal">
      <formula>"NST7"</formula>
    </cfRule>
  </conditionalFormatting>
  <conditionalFormatting sqref="N11">
    <cfRule type="cellIs" dxfId="236" priority="92" operator="equal">
      <formula>"NST7"</formula>
    </cfRule>
    <cfRule type="cellIs" dxfId="235" priority="91" operator="equal">
      <formula>"WNST7"</formula>
    </cfRule>
  </conditionalFormatting>
  <conditionalFormatting sqref="O7">
    <cfRule type="cellIs" dxfId="234" priority="75" operator="equal">
      <formula>"WNST7"</formula>
    </cfRule>
    <cfRule type="cellIs" dxfId="233" priority="76" operator="equal">
      <formula>"NST7"</formula>
    </cfRule>
  </conditionalFormatting>
  <conditionalFormatting sqref="Q17">
    <cfRule type="cellIs" dxfId="232" priority="279" operator="equal">
      <formula>"WNST7"</formula>
    </cfRule>
    <cfRule type="cellIs" dxfId="231" priority="280" operator="equal">
      <formula>"NST7"</formula>
    </cfRule>
  </conditionalFormatting>
  <conditionalFormatting sqref="Q12:R12">
    <cfRule type="cellIs" dxfId="230" priority="81" operator="equal">
      <formula>"WNST7"</formula>
    </cfRule>
    <cfRule type="cellIs" dxfId="229" priority="82" operator="equal">
      <formula>"NST7"</formula>
    </cfRule>
  </conditionalFormatting>
  <conditionalFormatting sqref="Q24:U24">
    <cfRule type="cellIs" dxfId="228" priority="247" operator="equal">
      <formula>"WNST7"</formula>
    </cfRule>
    <cfRule type="cellIs" dxfId="227" priority="248" operator="equal">
      <formula>"NST7"</formula>
    </cfRule>
  </conditionalFormatting>
  <conditionalFormatting sqref="R7">
    <cfRule type="cellIs" dxfId="226" priority="30" operator="equal">
      <formula>"NST7"</formula>
    </cfRule>
    <cfRule type="cellIs" dxfId="225" priority="29" operator="equal">
      <formula>"WNST7"</formula>
    </cfRule>
  </conditionalFormatting>
  <conditionalFormatting sqref="R20">
    <cfRule type="cellIs" dxfId="224" priority="64" operator="equal">
      <formula>"NST7"</formula>
    </cfRule>
    <cfRule type="cellIs" dxfId="223" priority="63" operator="equal">
      <formula>"WNST7"</formula>
    </cfRule>
  </conditionalFormatting>
  <conditionalFormatting sqref="S19">
    <cfRule type="cellIs" dxfId="222" priority="290" operator="equal">
      <formula>"NST7"</formula>
    </cfRule>
    <cfRule type="cellIs" dxfId="221" priority="289" operator="equal">
      <formula>"WNST7"</formula>
    </cfRule>
  </conditionalFormatting>
  <conditionalFormatting sqref="S25">
    <cfRule type="cellIs" dxfId="220" priority="123" operator="equal">
      <formula>"WNST7"</formula>
    </cfRule>
    <cfRule type="cellIs" dxfId="219" priority="124" operator="equal">
      <formula>"NST7"</formula>
    </cfRule>
  </conditionalFormatting>
  <conditionalFormatting sqref="T20">
    <cfRule type="cellIs" dxfId="218" priority="19" operator="equal">
      <formula>"WNST7"</formula>
    </cfRule>
    <cfRule type="cellIs" dxfId="217" priority="20" operator="equal">
      <formula>"NST7"</formula>
    </cfRule>
  </conditionalFormatting>
  <conditionalFormatting sqref="T27">
    <cfRule type="cellIs" dxfId="216" priority="119" operator="equal">
      <formula>"WNST7"</formula>
    </cfRule>
    <cfRule type="cellIs" dxfId="215" priority="120" operator="equal">
      <formula>"NST7"</formula>
    </cfRule>
  </conditionalFormatting>
  <conditionalFormatting sqref="T11:U11">
    <cfRule type="cellIs" dxfId="214" priority="83" operator="equal">
      <formula>"WNST7"</formula>
    </cfRule>
    <cfRule type="cellIs" dxfId="213" priority="84" operator="equal">
      <formula>"NST7"</formula>
    </cfRule>
  </conditionalFormatting>
  <conditionalFormatting sqref="U6">
    <cfRule type="cellIs" dxfId="212" priority="22" operator="equal">
      <formula>"NST7"</formula>
    </cfRule>
    <cfRule type="cellIs" dxfId="211" priority="21" operator="equal">
      <formula>"WNST7"</formula>
    </cfRule>
  </conditionalFormatting>
  <conditionalFormatting sqref="U16">
    <cfRule type="cellIs" dxfId="210" priority="366" operator="equal">
      <formula>"NST7"</formula>
    </cfRule>
    <cfRule type="cellIs" dxfId="209" priority="365" operator="equal">
      <formula>"WNST7"</formula>
    </cfRule>
  </conditionalFormatting>
  <conditionalFormatting sqref="V20">
    <cfRule type="cellIs" dxfId="208" priority="73" operator="equal">
      <formula>"WNST7"</formula>
    </cfRule>
    <cfRule type="cellIs" dxfId="207" priority="74" operator="equal">
      <formula>"NST7"</formula>
    </cfRule>
  </conditionalFormatting>
  <conditionalFormatting sqref="W24:X24">
    <cfRule type="cellIs" dxfId="206" priority="37" operator="equal">
      <formula>"WNST7"</formula>
    </cfRule>
    <cfRule type="cellIs" dxfId="205" priority="38" operator="equal">
      <formula>"NST7"</formula>
    </cfRule>
  </conditionalFormatting>
  <conditionalFormatting sqref="X16">
    <cfRule type="cellIs" dxfId="204" priority="357" operator="equal">
      <formula>"WNST7"</formula>
    </cfRule>
    <cfRule type="cellIs" dxfId="203" priority="358" operator="equal">
      <formula>"NST7"</formula>
    </cfRule>
  </conditionalFormatting>
  <conditionalFormatting sqref="X27">
    <cfRule type="cellIs" dxfId="202" priority="229" operator="equal">
      <formula>"WNST7"</formula>
    </cfRule>
    <cfRule type="cellIs" dxfId="201" priority="230" operator="equal">
      <formula>"NST7"</formula>
    </cfRule>
  </conditionalFormatting>
  <conditionalFormatting sqref="X10:Y10">
    <cfRule type="cellIs" dxfId="200" priority="337" operator="equal">
      <formula>"WNST7"</formula>
    </cfRule>
    <cfRule type="cellIs" dxfId="199" priority="338" operator="equal">
      <formula>"NST7"</formula>
    </cfRule>
  </conditionalFormatting>
  <conditionalFormatting sqref="X25:AB25">
    <cfRule type="cellIs" dxfId="198" priority="245" operator="equal">
      <formula>"WNST7"</formula>
    </cfRule>
    <cfRule type="cellIs" dxfId="197" priority="246" operator="equal">
      <formula>"NST7"</formula>
    </cfRule>
  </conditionalFormatting>
  <conditionalFormatting sqref="Z6:AA6">
    <cfRule type="cellIs" dxfId="196" priority="286" operator="equal">
      <formula>"NST7"</formula>
    </cfRule>
    <cfRule type="cellIs" dxfId="195" priority="285" operator="equal">
      <formula>"WNST7"</formula>
    </cfRule>
  </conditionalFormatting>
  <conditionalFormatting sqref="Z12:AA12">
    <cfRule type="cellIs" dxfId="194" priority="331" operator="equal">
      <formula>"WNST7"</formula>
    </cfRule>
    <cfRule type="cellIs" dxfId="193" priority="332" operator="equal">
      <formula>"NST7"</formula>
    </cfRule>
  </conditionalFormatting>
  <conditionalFormatting sqref="Z17:AB17">
    <cfRule type="cellIs" dxfId="192" priority="13" operator="equal">
      <formula>"WNST7"</formula>
    </cfRule>
    <cfRule type="cellIs" dxfId="191" priority="14" operator="equal">
      <formula>"NST7"</formula>
    </cfRule>
  </conditionalFormatting>
  <conditionalFormatting sqref="AA7">
    <cfRule type="cellIs" dxfId="190" priority="312" operator="equal">
      <formula>"NST7"</formula>
    </cfRule>
    <cfRule type="cellIs" dxfId="189" priority="311" operator="equal">
      <formula>"WNST7"</formula>
    </cfRule>
  </conditionalFormatting>
  <conditionalFormatting sqref="AA24:AC24">
    <cfRule type="cellIs" dxfId="188" priority="5" operator="equal">
      <formula>"WNST7"</formula>
    </cfRule>
    <cfRule type="cellIs" dxfId="187" priority="6" operator="equal">
      <formula>"NST7"</formula>
    </cfRule>
  </conditionalFormatting>
  <conditionalFormatting sqref="AB11">
    <cfRule type="cellIs" dxfId="186" priority="336" operator="equal">
      <formula>"NST7"</formula>
    </cfRule>
    <cfRule type="cellIs" dxfId="185" priority="335" operator="equal">
      <formula>"WNST7"</formula>
    </cfRule>
  </conditionalFormatting>
  <conditionalFormatting sqref="AB27">
    <cfRule type="cellIs" dxfId="184" priority="252" operator="equal">
      <formula>"NST7"</formula>
    </cfRule>
    <cfRule type="cellIs" dxfId="183" priority="251" operator="equal">
      <formula>"WNST7"</formula>
    </cfRule>
  </conditionalFormatting>
  <conditionalFormatting sqref="AD27:AF27">
    <cfRule type="cellIs" dxfId="182" priority="58" operator="equal">
      <formula>"NST7"</formula>
    </cfRule>
    <cfRule type="cellIs" dxfId="181" priority="57" operator="equal">
      <formula>"WNST7"</formula>
    </cfRule>
  </conditionalFormatting>
  <conditionalFormatting sqref="AE16">
    <cfRule type="cellIs" dxfId="180" priority="7" operator="equal">
      <formula>"WNST7"</formula>
    </cfRule>
    <cfRule type="cellIs" dxfId="179" priority="8" operator="equal">
      <formula>"NST7"</formula>
    </cfRule>
  </conditionalFormatting>
  <conditionalFormatting sqref="AF6">
    <cfRule type="cellIs" dxfId="178" priority="32" operator="equal">
      <formula>"NST7"</formula>
    </cfRule>
    <cfRule type="cellIs" dxfId="177" priority="31" operator="equal">
      <formula>"WNST7"</formula>
    </cfRule>
  </conditionalFormatting>
  <conditionalFormatting sqref="AF11">
    <cfRule type="cellIs" dxfId="176" priority="3" operator="equal">
      <formula>"WNST7"</formula>
    </cfRule>
    <cfRule type="cellIs" dxfId="175" priority="4" operator="equal">
      <formula>"NST7"</formula>
    </cfRule>
  </conditionalFormatting>
  <conditionalFormatting sqref="AF13">
    <cfRule type="cellIs" dxfId="174" priority="1" operator="equal">
      <formula>"WNST7"</formula>
    </cfRule>
    <cfRule type="cellIs" dxfId="173" priority="2" operator="equal">
      <formula>"NST7"</formula>
    </cfRule>
  </conditionalFormatting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2875-56D3-45FE-B59C-B4321AF1C5C9}">
  <dimension ref="A1:AF36"/>
  <sheetViews>
    <sheetView zoomScale="60" zoomScaleNormal="60" workbookViewId="0">
      <pane xSplit="1" topLeftCell="B1" activePane="topRight" state="frozen"/>
      <selection pane="topRight" activeCell="D16" sqref="D16"/>
    </sheetView>
  </sheetViews>
  <sheetFormatPr defaultRowHeight="14.5" x14ac:dyDescent="0.35"/>
  <cols>
    <col min="1" max="1" width="22.453125" customWidth="1"/>
    <col min="2" max="2" width="8.7265625" customWidth="1"/>
  </cols>
  <sheetData>
    <row r="1" spans="1:32" x14ac:dyDescent="0.35">
      <c r="A1" s="1"/>
      <c r="B1" s="2" t="str">
        <f t="shared" ref="B1:AF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</row>
    <row r="2" spans="1:32" x14ac:dyDescent="0.35">
      <c r="A2" s="95" t="s">
        <v>0</v>
      </c>
      <c r="B2" s="29">
        <v>45658</v>
      </c>
      <c r="C2" s="29">
        <v>45659</v>
      </c>
      <c r="D2" s="29">
        <v>45660</v>
      </c>
      <c r="E2" s="29">
        <v>45661</v>
      </c>
      <c r="F2" s="29">
        <v>45662</v>
      </c>
      <c r="G2" s="29">
        <v>45663</v>
      </c>
      <c r="H2" s="29">
        <v>45664</v>
      </c>
      <c r="I2" s="29">
        <v>45665</v>
      </c>
      <c r="J2" s="29">
        <v>45666</v>
      </c>
      <c r="K2" s="29">
        <v>45667</v>
      </c>
      <c r="L2" s="29">
        <v>45668</v>
      </c>
      <c r="M2" s="29">
        <v>45669</v>
      </c>
      <c r="N2" s="29">
        <v>45670</v>
      </c>
      <c r="O2" s="29">
        <v>45671</v>
      </c>
      <c r="P2" s="29">
        <v>45672</v>
      </c>
      <c r="Q2" s="29">
        <v>45673</v>
      </c>
      <c r="R2" s="29">
        <v>45674</v>
      </c>
      <c r="S2" s="29">
        <v>45675</v>
      </c>
      <c r="T2" s="29">
        <v>45676</v>
      </c>
      <c r="U2" s="29">
        <v>45677</v>
      </c>
      <c r="V2" s="29">
        <v>45678</v>
      </c>
      <c r="W2" s="29">
        <v>45679</v>
      </c>
      <c r="X2" s="29">
        <v>45680</v>
      </c>
      <c r="Y2" s="29">
        <v>45681</v>
      </c>
      <c r="Z2" s="29">
        <v>45682</v>
      </c>
      <c r="AA2" s="29">
        <v>45683</v>
      </c>
      <c r="AB2" s="29">
        <v>45684</v>
      </c>
      <c r="AC2" s="29">
        <v>45685</v>
      </c>
      <c r="AD2" s="29">
        <v>45686</v>
      </c>
      <c r="AE2" s="29">
        <v>45687</v>
      </c>
      <c r="AF2" s="29">
        <v>45688</v>
      </c>
    </row>
    <row r="3" spans="1:32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x14ac:dyDescent="0.35">
      <c r="A4" s="165" t="s">
        <v>1</v>
      </c>
      <c r="B4" s="16" t="s">
        <v>11</v>
      </c>
      <c r="C4" s="16" t="s">
        <v>10</v>
      </c>
      <c r="D4" s="16" t="s">
        <v>10</v>
      </c>
      <c r="E4" s="16" t="s">
        <v>11</v>
      </c>
      <c r="F4" s="122" t="s">
        <v>4</v>
      </c>
      <c r="G4" s="122" t="s">
        <v>5</v>
      </c>
      <c r="H4" s="122" t="s">
        <v>5</v>
      </c>
      <c r="I4" s="122" t="s">
        <v>5</v>
      </c>
      <c r="J4" s="122" t="s">
        <v>5</v>
      </c>
      <c r="K4" s="122" t="s">
        <v>5</v>
      </c>
      <c r="L4" s="122" t="s">
        <v>4</v>
      </c>
      <c r="M4" s="122" t="s">
        <v>4</v>
      </c>
      <c r="N4" s="16" t="s">
        <v>10</v>
      </c>
      <c r="O4" s="16" t="s">
        <v>10</v>
      </c>
      <c r="P4" s="16" t="s">
        <v>10</v>
      </c>
      <c r="Q4" s="16" t="s">
        <v>10</v>
      </c>
      <c r="R4" s="16" t="s">
        <v>10</v>
      </c>
      <c r="S4" s="114" t="s">
        <v>4</v>
      </c>
      <c r="T4" s="16" t="s">
        <v>11</v>
      </c>
      <c r="U4" s="16" t="s">
        <v>10</v>
      </c>
      <c r="V4" s="16" t="s">
        <v>10</v>
      </c>
      <c r="W4" s="16" t="s">
        <v>10</v>
      </c>
      <c r="X4" s="116" t="s">
        <v>2</v>
      </c>
      <c r="Y4" s="16" t="s">
        <v>10</v>
      </c>
      <c r="Z4" s="16" t="s">
        <v>11</v>
      </c>
      <c r="AA4" s="16" t="s">
        <v>11</v>
      </c>
      <c r="AB4" s="122" t="s">
        <v>5</v>
      </c>
      <c r="AC4" s="16" t="s">
        <v>10</v>
      </c>
      <c r="AD4" s="16" t="s">
        <v>10</v>
      </c>
      <c r="AE4" s="122" t="s">
        <v>5</v>
      </c>
      <c r="AF4" s="122" t="s">
        <v>5</v>
      </c>
    </row>
    <row r="5" spans="1:32" x14ac:dyDescent="0.35">
      <c r="A5" s="165" t="s">
        <v>21</v>
      </c>
      <c r="B5" s="16" t="s">
        <v>11</v>
      </c>
      <c r="C5" s="16" t="s">
        <v>10</v>
      </c>
      <c r="D5" s="116" t="s">
        <v>2</v>
      </c>
      <c r="E5" s="114" t="s">
        <v>4</v>
      </c>
      <c r="F5" s="16" t="s">
        <v>11</v>
      </c>
      <c r="G5" s="16" t="s">
        <v>10</v>
      </c>
      <c r="H5" s="16" t="s">
        <v>10</v>
      </c>
      <c r="I5" s="16" t="s">
        <v>10</v>
      </c>
      <c r="J5" s="16" t="s">
        <v>10</v>
      </c>
      <c r="K5" s="116" t="s">
        <v>2</v>
      </c>
      <c r="L5" s="16" t="s">
        <v>11</v>
      </c>
      <c r="M5" s="16" t="s">
        <v>11</v>
      </c>
      <c r="N5" s="16" t="s">
        <v>10</v>
      </c>
      <c r="O5" s="122" t="s">
        <v>5</v>
      </c>
      <c r="P5" s="122" t="s">
        <v>5</v>
      </c>
      <c r="Q5" s="122" t="s">
        <v>5</v>
      </c>
      <c r="R5" s="16" t="s">
        <v>10</v>
      </c>
      <c r="S5" s="16" t="s">
        <v>11</v>
      </c>
      <c r="T5" s="16" t="s">
        <v>11</v>
      </c>
      <c r="U5" s="116" t="s">
        <v>2</v>
      </c>
      <c r="V5" s="16" t="s">
        <v>10</v>
      </c>
      <c r="W5" s="16" t="s">
        <v>10</v>
      </c>
      <c r="X5" s="16" t="s">
        <v>10</v>
      </c>
      <c r="Y5" s="16" t="s">
        <v>10</v>
      </c>
      <c r="Z5" s="114" t="s">
        <v>4</v>
      </c>
      <c r="AA5" s="114" t="s">
        <v>4</v>
      </c>
      <c r="AB5" s="16" t="s">
        <v>10</v>
      </c>
      <c r="AC5" s="16" t="s">
        <v>10</v>
      </c>
      <c r="AD5" s="16" t="s">
        <v>10</v>
      </c>
      <c r="AE5" s="16" t="s">
        <v>10</v>
      </c>
      <c r="AF5" s="16" t="s">
        <v>10</v>
      </c>
    </row>
    <row r="6" spans="1:32" x14ac:dyDescent="0.35">
      <c r="A6" s="141" t="s">
        <v>22</v>
      </c>
      <c r="B6" s="230" t="s">
        <v>37</v>
      </c>
      <c r="C6" s="16" t="s">
        <v>10</v>
      </c>
      <c r="D6" s="16" t="s">
        <v>10</v>
      </c>
      <c r="E6" s="16" t="s">
        <v>11</v>
      </c>
      <c r="F6" s="114" t="s">
        <v>4</v>
      </c>
      <c r="G6" s="16" t="s">
        <v>10</v>
      </c>
      <c r="H6" s="16" t="s">
        <v>10</v>
      </c>
      <c r="I6" s="16" t="s">
        <v>10</v>
      </c>
      <c r="J6" s="16" t="s">
        <v>10</v>
      </c>
      <c r="K6" s="16" t="s">
        <v>10</v>
      </c>
      <c r="L6" s="16" t="s">
        <v>11</v>
      </c>
      <c r="M6" s="114" t="s">
        <v>4</v>
      </c>
      <c r="N6" s="122" t="s">
        <v>5</v>
      </c>
      <c r="O6" s="122" t="s">
        <v>5</v>
      </c>
      <c r="P6" s="16" t="s">
        <v>10</v>
      </c>
      <c r="Q6" s="16" t="s">
        <v>10</v>
      </c>
      <c r="R6" s="122" t="s">
        <v>5</v>
      </c>
      <c r="S6" s="122" t="s">
        <v>4</v>
      </c>
      <c r="T6" s="122" t="s">
        <v>4</v>
      </c>
      <c r="U6" s="16" t="s">
        <v>10</v>
      </c>
      <c r="V6" s="16" t="s">
        <v>10</v>
      </c>
      <c r="W6" s="116" t="s">
        <v>2</v>
      </c>
      <c r="X6" s="16" t="s">
        <v>10</v>
      </c>
      <c r="Y6" s="116" t="s">
        <v>2</v>
      </c>
      <c r="Z6" s="16" t="s">
        <v>11</v>
      </c>
      <c r="AA6" s="16" t="s">
        <v>11</v>
      </c>
      <c r="AB6" s="16" t="s">
        <v>10</v>
      </c>
      <c r="AC6" s="122" t="s">
        <v>5</v>
      </c>
      <c r="AD6" s="122" t="s">
        <v>5</v>
      </c>
      <c r="AE6" s="16" t="s">
        <v>10</v>
      </c>
      <c r="AF6" s="16" t="s">
        <v>10</v>
      </c>
    </row>
    <row r="7" spans="1:32" x14ac:dyDescent="0.35">
      <c r="A7" s="141" t="s">
        <v>98</v>
      </c>
      <c r="B7" s="230" t="s">
        <v>37</v>
      </c>
      <c r="C7" s="122" t="s">
        <v>5</v>
      </c>
      <c r="D7" s="16" t="s">
        <v>10</v>
      </c>
      <c r="E7" s="114" t="s">
        <v>4</v>
      </c>
      <c r="F7" s="16" t="s">
        <v>11</v>
      </c>
      <c r="G7" s="16" t="s">
        <v>10</v>
      </c>
      <c r="H7" s="16" t="s">
        <v>10</v>
      </c>
      <c r="I7" s="16" t="s">
        <v>10</v>
      </c>
      <c r="J7" s="116" t="s">
        <v>2</v>
      </c>
      <c r="K7" s="16" t="s">
        <v>10</v>
      </c>
      <c r="L7" s="114" t="s">
        <v>4</v>
      </c>
      <c r="M7" s="16" t="s">
        <v>11</v>
      </c>
      <c r="N7" s="16" t="s">
        <v>10</v>
      </c>
      <c r="O7" s="16" t="s">
        <v>10</v>
      </c>
      <c r="P7" s="16" t="s">
        <v>10</v>
      </c>
      <c r="Q7" s="116" t="s">
        <v>2</v>
      </c>
      <c r="R7" s="116" t="s">
        <v>2</v>
      </c>
      <c r="S7" s="16" t="s">
        <v>11</v>
      </c>
      <c r="T7" s="16" t="s">
        <v>11</v>
      </c>
      <c r="U7" s="16" t="s">
        <v>10</v>
      </c>
      <c r="V7" s="116" t="s">
        <v>2</v>
      </c>
      <c r="W7" s="16" t="s">
        <v>10</v>
      </c>
      <c r="X7" s="16" t="s">
        <v>10</v>
      </c>
      <c r="Y7" s="16" t="s">
        <v>10</v>
      </c>
      <c r="Z7" s="114" t="s">
        <v>4</v>
      </c>
      <c r="AA7" s="16" t="s">
        <v>11</v>
      </c>
      <c r="AB7" s="16" t="s">
        <v>10</v>
      </c>
      <c r="AC7" s="116" t="s">
        <v>2</v>
      </c>
      <c r="AD7" s="16" t="s">
        <v>10</v>
      </c>
      <c r="AE7" s="16" t="s">
        <v>10</v>
      </c>
      <c r="AF7" s="16" t="s">
        <v>10</v>
      </c>
    </row>
    <row r="9" spans="1:32" x14ac:dyDescent="0.35">
      <c r="A9" s="165" t="s">
        <v>95</v>
      </c>
      <c r="B9" s="230" t="s">
        <v>37</v>
      </c>
      <c r="C9" s="122" t="s">
        <v>5</v>
      </c>
      <c r="D9" s="122" t="s">
        <v>5</v>
      </c>
      <c r="E9" s="19" t="s">
        <v>42</v>
      </c>
      <c r="F9" s="19" t="s">
        <v>42</v>
      </c>
      <c r="G9" s="122" t="s">
        <v>5</v>
      </c>
      <c r="H9" s="122" t="s">
        <v>5</v>
      </c>
      <c r="I9" s="19" t="s">
        <v>41</v>
      </c>
      <c r="J9" s="19" t="s">
        <v>41</v>
      </c>
      <c r="K9" s="16" t="s">
        <v>10</v>
      </c>
      <c r="L9" s="114" t="s">
        <v>4</v>
      </c>
      <c r="M9" s="19" t="s">
        <v>42</v>
      </c>
      <c r="N9" s="19" t="s">
        <v>41</v>
      </c>
      <c r="O9" s="19" t="s">
        <v>41</v>
      </c>
      <c r="P9" s="19" t="s">
        <v>41</v>
      </c>
      <c r="Q9" s="122" t="s">
        <v>5</v>
      </c>
      <c r="R9" s="122" t="s">
        <v>5</v>
      </c>
      <c r="S9" s="122" t="s">
        <v>4</v>
      </c>
      <c r="T9" s="122" t="s">
        <v>4</v>
      </c>
      <c r="U9" s="19" t="s">
        <v>41</v>
      </c>
      <c r="V9" s="19" t="s">
        <v>41</v>
      </c>
      <c r="W9" s="19" t="s">
        <v>41</v>
      </c>
      <c r="X9" s="19" t="s">
        <v>41</v>
      </c>
      <c r="Y9" s="116" t="s">
        <v>2</v>
      </c>
      <c r="Z9" s="114" t="s">
        <v>4</v>
      </c>
      <c r="AA9" s="19" t="s">
        <v>42</v>
      </c>
      <c r="AB9" s="19" t="s">
        <v>41</v>
      </c>
      <c r="AC9" s="19" t="s">
        <v>41</v>
      </c>
      <c r="AD9" s="19" t="s">
        <v>41</v>
      </c>
      <c r="AE9" s="116" t="s">
        <v>2</v>
      </c>
      <c r="AF9" s="116" t="s">
        <v>2</v>
      </c>
    </row>
    <row r="10" spans="1:32" x14ac:dyDescent="0.35">
      <c r="A10" s="165" t="s">
        <v>79</v>
      </c>
      <c r="B10" s="19" t="s">
        <v>42</v>
      </c>
      <c r="C10" s="19" t="s">
        <v>41</v>
      </c>
      <c r="D10" s="19" t="s">
        <v>41</v>
      </c>
      <c r="E10" s="122" t="s">
        <v>4</v>
      </c>
      <c r="F10" s="122" t="s">
        <v>4</v>
      </c>
      <c r="G10" s="19" t="s">
        <v>41</v>
      </c>
      <c r="H10" s="116" t="s">
        <v>2</v>
      </c>
      <c r="I10" s="19" t="s">
        <v>41</v>
      </c>
      <c r="J10" s="19" t="s">
        <v>41</v>
      </c>
      <c r="K10" s="19" t="s">
        <v>41</v>
      </c>
      <c r="L10" s="19" t="s">
        <v>42</v>
      </c>
      <c r="M10" s="114" t="s">
        <v>4</v>
      </c>
      <c r="N10" s="116" t="s">
        <v>2</v>
      </c>
      <c r="O10" s="19" t="s">
        <v>41</v>
      </c>
      <c r="P10" s="19" t="s">
        <v>41</v>
      </c>
      <c r="Q10" s="19" t="s">
        <v>41</v>
      </c>
      <c r="R10" s="19" t="s">
        <v>41</v>
      </c>
      <c r="S10" s="19" t="s">
        <v>42</v>
      </c>
      <c r="T10" s="19" t="s">
        <v>42</v>
      </c>
      <c r="U10" s="116" t="s">
        <v>2</v>
      </c>
      <c r="V10" s="116" t="s">
        <v>2</v>
      </c>
      <c r="W10" s="19" t="s">
        <v>41</v>
      </c>
      <c r="X10" s="19" t="s">
        <v>41</v>
      </c>
      <c r="Y10" s="19" t="s">
        <v>41</v>
      </c>
      <c r="Z10" s="19" t="s">
        <v>42</v>
      </c>
      <c r="AA10" s="114" t="s">
        <v>4</v>
      </c>
      <c r="AB10" s="116" t="s">
        <v>2</v>
      </c>
      <c r="AC10" s="19" t="s">
        <v>41</v>
      </c>
      <c r="AD10" s="19" t="s">
        <v>41</v>
      </c>
      <c r="AE10" s="19" t="s">
        <v>41</v>
      </c>
      <c r="AF10" s="19" t="s">
        <v>41</v>
      </c>
    </row>
    <row r="11" spans="1:32" x14ac:dyDescent="0.35">
      <c r="A11" s="141" t="s">
        <v>71</v>
      </c>
      <c r="B11" s="230" t="s">
        <v>37</v>
      </c>
      <c r="C11" s="116" t="s">
        <v>2</v>
      </c>
      <c r="D11" s="19" t="s">
        <v>41</v>
      </c>
      <c r="E11" s="19" t="s">
        <v>42</v>
      </c>
      <c r="F11" s="114" t="s">
        <v>4</v>
      </c>
      <c r="G11" s="116" t="s">
        <v>2</v>
      </c>
      <c r="H11" s="19" t="s">
        <v>41</v>
      </c>
      <c r="I11" s="19" t="s">
        <v>41</v>
      </c>
      <c r="J11" s="19" t="s">
        <v>41</v>
      </c>
      <c r="K11" s="19" t="s">
        <v>41</v>
      </c>
      <c r="L11" s="114" t="s">
        <v>4</v>
      </c>
      <c r="M11" s="19" t="s">
        <v>42</v>
      </c>
      <c r="N11" s="19" t="s">
        <v>41</v>
      </c>
      <c r="O11" s="19" t="s">
        <v>41</v>
      </c>
      <c r="P11" s="122" t="s">
        <v>5</v>
      </c>
      <c r="Q11" s="122" t="s">
        <v>5</v>
      </c>
      <c r="R11" s="19" t="s">
        <v>41</v>
      </c>
      <c r="S11" s="19" t="s">
        <v>42</v>
      </c>
      <c r="T11" s="19" t="s">
        <v>42</v>
      </c>
      <c r="U11" s="19" t="s">
        <v>41</v>
      </c>
      <c r="V11" s="19" t="s">
        <v>41</v>
      </c>
      <c r="W11" s="116" t="s">
        <v>2</v>
      </c>
      <c r="X11" s="116" t="s">
        <v>2</v>
      </c>
      <c r="Y11" s="19" t="s">
        <v>41</v>
      </c>
      <c r="Z11" s="19" t="s">
        <v>42</v>
      </c>
      <c r="AA11" s="114" t="s">
        <v>4</v>
      </c>
      <c r="AB11" s="19" t="s">
        <v>41</v>
      </c>
      <c r="AC11" s="19" t="s">
        <v>41</v>
      </c>
      <c r="AD11" s="116" t="s">
        <v>2</v>
      </c>
      <c r="AE11" s="19" t="s">
        <v>41</v>
      </c>
      <c r="AF11" s="19" t="s">
        <v>41</v>
      </c>
    </row>
    <row r="12" spans="1:32" x14ac:dyDescent="0.35">
      <c r="A12" s="141" t="s">
        <v>152</v>
      </c>
      <c r="B12" s="19" t="s">
        <v>42</v>
      </c>
      <c r="C12" s="19" t="s">
        <v>41</v>
      </c>
      <c r="D12" s="116" t="s">
        <v>2</v>
      </c>
      <c r="E12" s="114" t="s">
        <v>4</v>
      </c>
      <c r="F12" s="19" t="s">
        <v>42</v>
      </c>
      <c r="G12" s="19" t="s">
        <v>41</v>
      </c>
      <c r="H12" s="19" t="s">
        <v>41</v>
      </c>
      <c r="I12" s="19" t="s">
        <v>41</v>
      </c>
      <c r="J12" s="116" t="s">
        <v>2</v>
      </c>
      <c r="K12" s="19" t="s">
        <v>41</v>
      </c>
      <c r="L12" s="19" t="s">
        <v>42</v>
      </c>
      <c r="M12" s="114" t="s">
        <v>4</v>
      </c>
      <c r="N12" s="19" t="s">
        <v>41</v>
      </c>
      <c r="O12" s="116" t="s">
        <v>2</v>
      </c>
      <c r="P12" s="19" t="s">
        <v>41</v>
      </c>
      <c r="Q12" s="19" t="s">
        <v>41</v>
      </c>
      <c r="R12" s="19" t="s">
        <v>41</v>
      </c>
      <c r="S12" s="114" t="s">
        <v>4</v>
      </c>
      <c r="T12" s="114" t="s">
        <v>4</v>
      </c>
      <c r="U12" s="19" t="s">
        <v>41</v>
      </c>
      <c r="V12" s="19" t="s">
        <v>41</v>
      </c>
      <c r="W12" s="19" t="s">
        <v>41</v>
      </c>
      <c r="X12" s="116" t="s">
        <v>2</v>
      </c>
      <c r="Y12" s="19" t="s">
        <v>41</v>
      </c>
      <c r="Z12" s="114" t="s">
        <v>4</v>
      </c>
      <c r="AA12" s="19" t="s">
        <v>42</v>
      </c>
      <c r="AB12" s="19" t="s">
        <v>41</v>
      </c>
      <c r="AC12" s="116" t="s">
        <v>2</v>
      </c>
      <c r="AD12" s="19" t="s">
        <v>41</v>
      </c>
      <c r="AE12" s="19" t="s">
        <v>41</v>
      </c>
      <c r="AF12" s="19" t="s">
        <v>41</v>
      </c>
    </row>
    <row r="13" spans="1:32" x14ac:dyDescent="0.35">
      <c r="A13" s="254" t="s">
        <v>364</v>
      </c>
      <c r="B13" s="230" t="s">
        <v>37</v>
      </c>
      <c r="C13" s="19" t="s">
        <v>41</v>
      </c>
      <c r="D13" s="19" t="s">
        <v>41</v>
      </c>
      <c r="E13" s="209" t="s">
        <v>30</v>
      </c>
      <c r="F13" s="114" t="s">
        <v>4</v>
      </c>
      <c r="G13" s="19" t="s">
        <v>41</v>
      </c>
      <c r="H13" s="19" t="s">
        <v>41</v>
      </c>
      <c r="I13" s="116" t="s">
        <v>2</v>
      </c>
      <c r="J13" s="19" t="s">
        <v>41</v>
      </c>
      <c r="K13" s="209" t="s">
        <v>16</v>
      </c>
      <c r="L13" s="209" t="s">
        <v>30</v>
      </c>
      <c r="M13" s="114" t="s">
        <v>4</v>
      </c>
      <c r="N13" s="209" t="s">
        <v>16</v>
      </c>
      <c r="O13" s="209" t="s">
        <v>16</v>
      </c>
      <c r="P13" s="209" t="s">
        <v>16</v>
      </c>
      <c r="Q13" s="19" t="s">
        <v>41</v>
      </c>
      <c r="R13" s="209" t="s">
        <v>16</v>
      </c>
      <c r="S13" s="114" t="s">
        <v>4</v>
      </c>
      <c r="T13" s="114" t="s">
        <v>4</v>
      </c>
      <c r="U13" s="19" t="s">
        <v>41</v>
      </c>
      <c r="V13" s="19" t="s">
        <v>41</v>
      </c>
      <c r="W13" s="19" t="s">
        <v>41</v>
      </c>
      <c r="X13" s="19" t="s">
        <v>41</v>
      </c>
      <c r="Y13" s="209" t="s">
        <v>16</v>
      </c>
      <c r="Z13" s="114" t="s">
        <v>4</v>
      </c>
      <c r="AA13" s="114" t="s">
        <v>4</v>
      </c>
      <c r="AB13" s="19" t="s">
        <v>41</v>
      </c>
      <c r="AC13" s="19" t="s">
        <v>41</v>
      </c>
      <c r="AD13" s="19" t="s">
        <v>41</v>
      </c>
      <c r="AE13" s="19" t="s">
        <v>41</v>
      </c>
      <c r="AF13" s="19" t="s">
        <v>41</v>
      </c>
    </row>
    <row r="15" spans="1:32" x14ac:dyDescent="0.35">
      <c r="A15" s="165" t="s">
        <v>9</v>
      </c>
      <c r="B15" s="230" t="s">
        <v>37</v>
      </c>
      <c r="C15" s="25" t="s">
        <v>310</v>
      </c>
      <c r="D15" s="25" t="s">
        <v>310</v>
      </c>
      <c r="E15" s="25" t="s">
        <v>3</v>
      </c>
      <c r="F15" s="114" t="s">
        <v>4</v>
      </c>
      <c r="G15" s="116" t="s">
        <v>2</v>
      </c>
      <c r="H15" s="25" t="s">
        <v>310</v>
      </c>
      <c r="I15" s="25" t="s">
        <v>310</v>
      </c>
      <c r="J15" s="25" t="s">
        <v>310</v>
      </c>
      <c r="K15" s="122" t="s">
        <v>5</v>
      </c>
      <c r="L15" s="122" t="s">
        <v>4</v>
      </c>
      <c r="M15" s="122" t="s">
        <v>4</v>
      </c>
      <c r="N15" s="122" t="s">
        <v>5</v>
      </c>
      <c r="O15" s="122" t="s">
        <v>5</v>
      </c>
      <c r="P15" s="25" t="s">
        <v>310</v>
      </c>
      <c r="Q15" s="25" t="s">
        <v>310</v>
      </c>
      <c r="R15" s="116" t="s">
        <v>2</v>
      </c>
      <c r="S15" s="25" t="s">
        <v>3</v>
      </c>
      <c r="T15" s="25" t="s">
        <v>3</v>
      </c>
      <c r="U15" s="25" t="s">
        <v>310</v>
      </c>
      <c r="V15" s="25" t="s">
        <v>310</v>
      </c>
      <c r="W15" s="116" t="s">
        <v>2</v>
      </c>
      <c r="X15" s="116" t="s">
        <v>2</v>
      </c>
      <c r="Y15" s="25" t="s">
        <v>310</v>
      </c>
      <c r="Z15" s="25" t="s">
        <v>3</v>
      </c>
      <c r="AA15" s="25" t="s">
        <v>3</v>
      </c>
      <c r="AB15" s="25" t="s">
        <v>310</v>
      </c>
      <c r="AC15" s="25" t="s">
        <v>310</v>
      </c>
      <c r="AD15" s="122" t="s">
        <v>5</v>
      </c>
      <c r="AE15" s="122" t="s">
        <v>5</v>
      </c>
      <c r="AF15" s="122" t="s">
        <v>5</v>
      </c>
    </row>
    <row r="16" spans="1:32" x14ac:dyDescent="0.35">
      <c r="A16" s="165" t="s">
        <v>43</v>
      </c>
      <c r="B16" s="25" t="s">
        <v>3</v>
      </c>
      <c r="C16" s="25" t="s">
        <v>310</v>
      </c>
      <c r="D16" s="116" t="s">
        <v>2</v>
      </c>
      <c r="E16" s="114" t="s">
        <v>4</v>
      </c>
      <c r="F16" s="25" t="s">
        <v>3</v>
      </c>
      <c r="G16" s="25" t="s">
        <v>310</v>
      </c>
      <c r="H16" s="25" t="s">
        <v>310</v>
      </c>
      <c r="I16" s="25" t="s">
        <v>310</v>
      </c>
      <c r="J16" s="116" t="s">
        <v>2</v>
      </c>
      <c r="K16" s="25" t="s">
        <v>310</v>
      </c>
      <c r="L16" s="25" t="s">
        <v>3</v>
      </c>
      <c r="M16" s="25" t="s">
        <v>3</v>
      </c>
      <c r="N16" s="25" t="s">
        <v>310</v>
      </c>
      <c r="O16" s="25" t="s">
        <v>310</v>
      </c>
      <c r="P16" s="116" t="s">
        <v>2</v>
      </c>
      <c r="Q16" s="25" t="s">
        <v>310</v>
      </c>
      <c r="R16" s="25" t="s">
        <v>310</v>
      </c>
      <c r="S16" s="114" t="s">
        <v>4</v>
      </c>
      <c r="T16" s="114" t="s">
        <v>4</v>
      </c>
      <c r="U16" s="25" t="s">
        <v>310</v>
      </c>
      <c r="V16" s="25" t="s">
        <v>310</v>
      </c>
      <c r="W16" s="25" t="s">
        <v>310</v>
      </c>
      <c r="X16" s="25" t="s">
        <v>310</v>
      </c>
      <c r="Y16" s="25" t="s">
        <v>310</v>
      </c>
      <c r="Z16" s="25" t="s">
        <v>3</v>
      </c>
      <c r="AA16" s="114" t="s">
        <v>4</v>
      </c>
      <c r="AB16" s="116" t="s">
        <v>2</v>
      </c>
      <c r="AC16" s="25" t="s">
        <v>310</v>
      </c>
      <c r="AD16" s="25" t="s">
        <v>310</v>
      </c>
      <c r="AE16" s="25" t="s">
        <v>310</v>
      </c>
      <c r="AF16" s="25" t="s">
        <v>310</v>
      </c>
    </row>
    <row r="17" spans="1:32" x14ac:dyDescent="0.35">
      <c r="A17" s="141" t="s">
        <v>68</v>
      </c>
      <c r="B17" s="230" t="s">
        <v>37</v>
      </c>
      <c r="C17" s="122" t="s">
        <v>5</v>
      </c>
      <c r="D17" s="122" t="s">
        <v>5</v>
      </c>
      <c r="E17" s="122" t="s">
        <v>5</v>
      </c>
      <c r="F17" s="25" t="s">
        <v>3</v>
      </c>
      <c r="G17" s="25" t="s">
        <v>310</v>
      </c>
      <c r="H17" s="116" t="s">
        <v>2</v>
      </c>
      <c r="I17" s="25" t="s">
        <v>310</v>
      </c>
      <c r="J17" s="25" t="s">
        <v>310</v>
      </c>
      <c r="K17" s="25" t="s">
        <v>310</v>
      </c>
      <c r="L17" s="25" t="s">
        <v>3</v>
      </c>
      <c r="M17" s="122" t="s">
        <v>5</v>
      </c>
      <c r="N17" s="122" t="s">
        <v>5</v>
      </c>
      <c r="O17" s="122" t="s">
        <v>5</v>
      </c>
      <c r="P17" s="122" t="s">
        <v>5</v>
      </c>
      <c r="Q17" s="122" t="s">
        <v>5</v>
      </c>
      <c r="R17" s="25" t="s">
        <v>310</v>
      </c>
      <c r="S17" s="25" t="s">
        <v>3</v>
      </c>
      <c r="T17" s="114" t="s">
        <v>4</v>
      </c>
      <c r="U17" s="25" t="s">
        <v>310</v>
      </c>
      <c r="V17" s="25" t="s">
        <v>310</v>
      </c>
      <c r="W17" s="25" t="s">
        <v>310</v>
      </c>
      <c r="X17" s="25" t="s">
        <v>310</v>
      </c>
      <c r="Y17" s="116" t="s">
        <v>2</v>
      </c>
      <c r="Z17" s="114" t="s">
        <v>4</v>
      </c>
      <c r="AA17" s="25" t="s">
        <v>3</v>
      </c>
      <c r="AB17" s="25" t="s">
        <v>310</v>
      </c>
      <c r="AC17" s="116" t="s">
        <v>2</v>
      </c>
      <c r="AD17" s="25" t="s">
        <v>310</v>
      </c>
      <c r="AE17" s="25" t="s">
        <v>310</v>
      </c>
      <c r="AF17" s="25" t="s">
        <v>310</v>
      </c>
    </row>
    <row r="18" spans="1:32" x14ac:dyDescent="0.35">
      <c r="A18" s="141" t="s">
        <v>60</v>
      </c>
      <c r="B18" s="25" t="s">
        <v>3</v>
      </c>
      <c r="C18" s="25" t="s">
        <v>310</v>
      </c>
      <c r="D18" s="25" t="s">
        <v>310</v>
      </c>
      <c r="E18" s="25" t="s">
        <v>3</v>
      </c>
      <c r="F18" s="114" t="s">
        <v>4</v>
      </c>
      <c r="G18" s="25" t="s">
        <v>310</v>
      </c>
      <c r="H18" s="25" t="s">
        <v>310</v>
      </c>
      <c r="I18" s="116" t="s">
        <v>2</v>
      </c>
      <c r="J18" s="25" t="s">
        <v>310</v>
      </c>
      <c r="K18" s="116" t="s">
        <v>2</v>
      </c>
      <c r="L18" s="114" t="s">
        <v>4</v>
      </c>
      <c r="M18" s="25" t="s">
        <v>3</v>
      </c>
      <c r="N18" s="25" t="s">
        <v>310</v>
      </c>
      <c r="O18" s="25" t="s">
        <v>310</v>
      </c>
      <c r="P18" s="25" t="s">
        <v>310</v>
      </c>
      <c r="Q18" s="25" t="s">
        <v>310</v>
      </c>
      <c r="R18" s="116" t="s">
        <v>2</v>
      </c>
      <c r="S18" s="114" t="s">
        <v>4</v>
      </c>
      <c r="T18" s="25" t="s">
        <v>3</v>
      </c>
      <c r="U18" s="25" t="s">
        <v>310</v>
      </c>
      <c r="V18" s="122" t="s">
        <v>5</v>
      </c>
      <c r="W18" s="122" t="s">
        <v>5</v>
      </c>
      <c r="X18" s="122" t="s">
        <v>5</v>
      </c>
      <c r="Y18" s="122" t="s">
        <v>5</v>
      </c>
      <c r="Z18" s="122" t="s">
        <v>4</v>
      </c>
      <c r="AA18" s="114" t="s">
        <v>4</v>
      </c>
      <c r="AB18" s="25" t="s">
        <v>310</v>
      </c>
      <c r="AC18" s="25" t="s">
        <v>310</v>
      </c>
      <c r="AD18" s="116" t="s">
        <v>2</v>
      </c>
      <c r="AE18" s="25" t="s">
        <v>310</v>
      </c>
      <c r="AF18" s="25" t="s">
        <v>310</v>
      </c>
    </row>
    <row r="19" spans="1:32" x14ac:dyDescent="0.35">
      <c r="A19" s="141" t="s">
        <v>149</v>
      </c>
      <c r="B19" s="230" t="s">
        <v>37</v>
      </c>
      <c r="C19" s="25" t="s">
        <v>310</v>
      </c>
      <c r="D19" s="25" t="s">
        <v>310</v>
      </c>
      <c r="E19" s="114" t="s">
        <v>4</v>
      </c>
      <c r="F19" s="114" t="s">
        <v>4</v>
      </c>
      <c r="G19" s="25" t="s">
        <v>310</v>
      </c>
      <c r="H19" s="25" t="s">
        <v>310</v>
      </c>
      <c r="I19" s="25" t="s">
        <v>310</v>
      </c>
      <c r="J19" s="25" t="s">
        <v>310</v>
      </c>
      <c r="K19" s="25" t="s">
        <v>310</v>
      </c>
      <c r="L19" s="114" t="s">
        <v>4</v>
      </c>
      <c r="M19" s="114" t="s">
        <v>4</v>
      </c>
      <c r="N19" s="25" t="s">
        <v>310</v>
      </c>
      <c r="O19" s="25" t="s">
        <v>310</v>
      </c>
      <c r="P19" s="25" t="s">
        <v>310</v>
      </c>
      <c r="Q19" s="116" t="s">
        <v>2</v>
      </c>
      <c r="R19" s="25" t="s">
        <v>310</v>
      </c>
      <c r="S19" s="209" t="s">
        <v>30</v>
      </c>
      <c r="T19" s="114" t="s">
        <v>4</v>
      </c>
      <c r="U19" s="116" t="s">
        <v>2</v>
      </c>
      <c r="V19" s="25" t="s">
        <v>310</v>
      </c>
      <c r="W19" s="25" t="s">
        <v>310</v>
      </c>
      <c r="X19" s="25" t="s">
        <v>310</v>
      </c>
      <c r="Y19" s="25" t="s">
        <v>310</v>
      </c>
      <c r="Z19" s="209" t="s">
        <v>30</v>
      </c>
      <c r="AA19" s="114" t="s">
        <v>4</v>
      </c>
      <c r="AB19" s="116" t="s">
        <v>2</v>
      </c>
      <c r="AC19" s="25" t="s">
        <v>310</v>
      </c>
      <c r="AD19" s="25" t="s">
        <v>310</v>
      </c>
      <c r="AE19" s="116" t="s">
        <v>2</v>
      </c>
      <c r="AF19" s="25" t="s">
        <v>310</v>
      </c>
    </row>
    <row r="22" spans="1:32" x14ac:dyDescent="0.35">
      <c r="A22" s="264" t="s">
        <v>350</v>
      </c>
    </row>
    <row r="23" spans="1:32" x14ac:dyDescent="0.35">
      <c r="A23" s="141" t="s">
        <v>347</v>
      </c>
      <c r="B23" s="25" t="s">
        <v>3</v>
      </c>
      <c r="C23" s="25" t="s">
        <v>310</v>
      </c>
      <c r="D23" s="25" t="s">
        <v>310</v>
      </c>
      <c r="E23" s="122" t="s">
        <v>4</v>
      </c>
      <c r="F23" s="122" t="s">
        <v>4</v>
      </c>
      <c r="G23" s="16" t="s">
        <v>10</v>
      </c>
      <c r="H23" s="16" t="s">
        <v>10</v>
      </c>
      <c r="I23" s="16" t="s">
        <v>10</v>
      </c>
      <c r="J23" s="16" t="s">
        <v>10</v>
      </c>
      <c r="K23" s="116" t="s">
        <v>2</v>
      </c>
      <c r="L23" s="114" t="s">
        <v>4</v>
      </c>
      <c r="M23" s="122" t="s">
        <v>4</v>
      </c>
      <c r="N23" s="19" t="s">
        <v>41</v>
      </c>
      <c r="O23" s="19" t="s">
        <v>41</v>
      </c>
      <c r="P23" s="116" t="s">
        <v>2</v>
      </c>
      <c r="Q23" s="19" t="s">
        <v>41</v>
      </c>
      <c r="R23" s="19" t="s">
        <v>41</v>
      </c>
      <c r="S23" s="19" t="s">
        <v>42</v>
      </c>
      <c r="T23" s="114" t="s">
        <v>4</v>
      </c>
      <c r="U23" s="116" t="s">
        <v>2</v>
      </c>
      <c r="V23" s="209" t="s">
        <v>16</v>
      </c>
      <c r="W23" s="25" t="s">
        <v>310</v>
      </c>
      <c r="X23" s="19" t="s">
        <v>41</v>
      </c>
      <c r="Y23" s="116" t="s">
        <v>2</v>
      </c>
      <c r="Z23" s="25" t="s">
        <v>3</v>
      </c>
      <c r="AA23" s="114" t="s">
        <v>4</v>
      </c>
      <c r="AB23" s="25" t="s">
        <v>310</v>
      </c>
      <c r="AC23" s="25" t="s">
        <v>310</v>
      </c>
      <c r="AD23" s="116" t="s">
        <v>2</v>
      </c>
      <c r="AE23" s="19" t="s">
        <v>41</v>
      </c>
      <c r="AF23" s="19" t="s">
        <v>41</v>
      </c>
    </row>
    <row r="24" spans="1:32" x14ac:dyDescent="0.35">
      <c r="A24" s="141" t="s">
        <v>348</v>
      </c>
      <c r="B24" s="19" t="s">
        <v>42</v>
      </c>
      <c r="C24" s="19" t="s">
        <v>41</v>
      </c>
      <c r="D24" s="19" t="s">
        <v>41</v>
      </c>
      <c r="E24" s="19" t="s">
        <v>42</v>
      </c>
      <c r="F24" s="114" t="s">
        <v>4</v>
      </c>
      <c r="G24" s="116" t="s">
        <v>2</v>
      </c>
      <c r="H24" s="25" t="s">
        <v>310</v>
      </c>
      <c r="I24" s="25" t="s">
        <v>310</v>
      </c>
      <c r="J24" s="25" t="s">
        <v>310</v>
      </c>
      <c r="K24" s="25" t="s">
        <v>310</v>
      </c>
      <c r="L24" s="25" t="s">
        <v>3</v>
      </c>
      <c r="M24" s="114" t="s">
        <v>4</v>
      </c>
      <c r="N24" s="16" t="s">
        <v>10</v>
      </c>
      <c r="O24" s="16" t="s">
        <v>10</v>
      </c>
      <c r="P24" s="122" t="s">
        <v>5</v>
      </c>
      <c r="Q24" s="122" t="s">
        <v>5</v>
      </c>
      <c r="R24" s="122" t="s">
        <v>5</v>
      </c>
      <c r="S24" s="122" t="s">
        <v>5</v>
      </c>
      <c r="T24" s="122" t="s">
        <v>5</v>
      </c>
      <c r="U24" s="16" t="s">
        <v>10</v>
      </c>
      <c r="V24" s="16" t="s">
        <v>10</v>
      </c>
      <c r="W24" s="16" t="s">
        <v>10</v>
      </c>
      <c r="X24" s="16" t="s">
        <v>10</v>
      </c>
      <c r="Y24" s="16" t="s">
        <v>10</v>
      </c>
      <c r="Z24" s="114" t="s">
        <v>4</v>
      </c>
      <c r="AA24" s="114" t="s">
        <v>4</v>
      </c>
      <c r="AB24" s="19" t="s">
        <v>41</v>
      </c>
      <c r="AC24" s="19" t="s">
        <v>41</v>
      </c>
      <c r="AD24" s="19" t="s">
        <v>41</v>
      </c>
      <c r="AE24" s="25" t="s">
        <v>310</v>
      </c>
      <c r="AF24" s="116" t="s">
        <v>2</v>
      </c>
    </row>
    <row r="25" spans="1:32" x14ac:dyDescent="0.35">
      <c r="A25" s="141" t="s">
        <v>351</v>
      </c>
      <c r="B25" s="230" t="s">
        <v>37</v>
      </c>
      <c r="C25" s="122" t="s">
        <v>5</v>
      </c>
      <c r="D25" s="122" t="s">
        <v>5</v>
      </c>
      <c r="E25" s="122" t="s">
        <v>4</v>
      </c>
      <c r="F25" s="122" t="s">
        <v>4</v>
      </c>
      <c r="G25" s="19" t="s">
        <v>41</v>
      </c>
      <c r="H25" s="19" t="s">
        <v>41</v>
      </c>
      <c r="I25" s="19" t="s">
        <v>41</v>
      </c>
      <c r="J25" s="19" t="s">
        <v>41</v>
      </c>
      <c r="K25" s="116" t="s">
        <v>2</v>
      </c>
      <c r="L25" s="19" t="s">
        <v>42</v>
      </c>
      <c r="M25" s="209" t="s">
        <v>30</v>
      </c>
      <c r="N25" s="25" t="s">
        <v>310</v>
      </c>
      <c r="O25" s="116" t="s">
        <v>2</v>
      </c>
      <c r="P25" s="16" t="s">
        <v>10</v>
      </c>
      <c r="Q25" s="16" t="s">
        <v>10</v>
      </c>
      <c r="R25" s="16" t="s">
        <v>10</v>
      </c>
      <c r="S25" s="114" t="s">
        <v>4</v>
      </c>
      <c r="T25" s="209" t="s">
        <v>30</v>
      </c>
      <c r="U25" s="25" t="s">
        <v>310</v>
      </c>
      <c r="V25" s="25" t="s">
        <v>310</v>
      </c>
      <c r="W25" s="116" t="s">
        <v>2</v>
      </c>
      <c r="X25" s="25" t="s">
        <v>310</v>
      </c>
      <c r="Y25" s="25" t="s">
        <v>310</v>
      </c>
      <c r="Z25" s="114" t="s">
        <v>4</v>
      </c>
      <c r="AA25" s="114" t="s">
        <v>4</v>
      </c>
      <c r="AB25" s="16" t="s">
        <v>10</v>
      </c>
      <c r="AC25" s="16" t="s">
        <v>10</v>
      </c>
      <c r="AD25" s="16" t="s">
        <v>10</v>
      </c>
      <c r="AE25" s="16" t="s">
        <v>10</v>
      </c>
      <c r="AF25" s="16" t="s">
        <v>10</v>
      </c>
    </row>
    <row r="26" spans="1:32" x14ac:dyDescent="0.35">
      <c r="A26" s="141" t="s">
        <v>349</v>
      </c>
      <c r="B26" s="16" t="s">
        <v>11</v>
      </c>
      <c r="C26" s="16" t="s">
        <v>10</v>
      </c>
      <c r="D26" s="116" t="s">
        <v>2</v>
      </c>
      <c r="E26" s="114" t="s">
        <v>4</v>
      </c>
      <c r="F26" s="209" t="s">
        <v>30</v>
      </c>
      <c r="G26" s="25" t="s">
        <v>310</v>
      </c>
      <c r="H26" s="116" t="s">
        <v>2</v>
      </c>
      <c r="I26" s="116" t="s">
        <v>2</v>
      </c>
      <c r="J26" s="16" t="s">
        <v>10</v>
      </c>
      <c r="K26" s="16" t="s">
        <v>10</v>
      </c>
      <c r="L26" s="122" t="s">
        <v>4</v>
      </c>
      <c r="M26" s="122" t="s">
        <v>4</v>
      </c>
      <c r="N26" s="122" t="s">
        <v>5</v>
      </c>
      <c r="O26" s="122" t="s">
        <v>5</v>
      </c>
      <c r="P26" s="19" t="s">
        <v>41</v>
      </c>
      <c r="Q26" s="25" t="s">
        <v>310</v>
      </c>
      <c r="R26" s="25" t="s">
        <v>310</v>
      </c>
      <c r="S26" s="25" t="s">
        <v>3</v>
      </c>
      <c r="T26" s="122" t="s">
        <v>5</v>
      </c>
      <c r="U26" s="19" t="s">
        <v>41</v>
      </c>
      <c r="V26" s="19" t="s">
        <v>41</v>
      </c>
      <c r="W26" s="19" t="s">
        <v>41</v>
      </c>
      <c r="X26" s="116" t="s">
        <v>2</v>
      </c>
      <c r="Y26" s="19" t="s">
        <v>41</v>
      </c>
      <c r="Z26" s="19" t="s">
        <v>42</v>
      </c>
      <c r="AA26" s="209" t="s">
        <v>30</v>
      </c>
      <c r="AB26" s="116" t="s">
        <v>2</v>
      </c>
      <c r="AC26" s="116" t="s">
        <v>2</v>
      </c>
      <c r="AD26" s="25" t="s">
        <v>310</v>
      </c>
      <c r="AE26" s="209" t="s">
        <v>16</v>
      </c>
      <c r="AF26" s="25" t="s">
        <v>310</v>
      </c>
    </row>
    <row r="28" spans="1:32" x14ac:dyDescent="0.35">
      <c r="A28" s="128" t="s">
        <v>125</v>
      </c>
      <c r="B28">
        <f>COUNTIF(B4:B20,"*WMS")</f>
        <v>2</v>
      </c>
      <c r="C28">
        <f>COUNTIF(C4:C20,"*WMS")</f>
        <v>0</v>
      </c>
      <c r="D28">
        <f>COUNTIF(D4:D20,"*MSF3")</f>
        <v>3</v>
      </c>
      <c r="E28">
        <f>COUNTIF(E4:E20,"*MSF3")</f>
        <v>0</v>
      </c>
      <c r="F28">
        <f>COUNTIF(F4:F20,"*MSF3")</f>
        <v>0</v>
      </c>
      <c r="G28">
        <f>COUNTIF(G4:G20,"*MSF3")</f>
        <v>4</v>
      </c>
      <c r="H28">
        <f>COUNTIF(H4:H20,"*MSF3")</f>
        <v>4</v>
      </c>
      <c r="I28">
        <f>COUNTIF(I4:I20,"*WMS")</f>
        <v>0</v>
      </c>
      <c r="J28">
        <f>COUNTIF(J4:J20,"*WMS")</f>
        <v>0</v>
      </c>
      <c r="K28">
        <f>COUNTIF(K4:K20,"*MSF3")</f>
        <v>3</v>
      </c>
      <c r="L28">
        <f>COUNTIF(L4:L20,"*MSF3")</f>
        <v>0</v>
      </c>
      <c r="M28">
        <f>COUNTIF(M4:M20,"*MSF3")</f>
        <v>0</v>
      </c>
      <c r="N28">
        <f>COUNTIF(N4:N20,"*MSF3")</f>
        <v>3</v>
      </c>
      <c r="O28">
        <f>COUNTIF(O4:O20,"*MSF3")</f>
        <v>3</v>
      </c>
      <c r="P28">
        <f>COUNTIF(P4:P20,"*WMS")</f>
        <v>0</v>
      </c>
      <c r="Q28">
        <f>COUNTIF(Q4:Q20,"*WMS")</f>
        <v>0</v>
      </c>
      <c r="R28">
        <f>COUNTIF(R4:R20,"*MSF3")</f>
        <v>3</v>
      </c>
      <c r="S28">
        <f>COUNTIF(S4:S20,"*MSF3")</f>
        <v>0</v>
      </c>
      <c r="T28">
        <f>COUNTIF(T4:T20,"*MSF3")</f>
        <v>0</v>
      </c>
      <c r="U28">
        <f>COUNTIF(U4:U20,"*MSF3")</f>
        <v>4</v>
      </c>
      <c r="V28">
        <f>COUNTIF(V4:V20,"*MSF3")</f>
        <v>4</v>
      </c>
      <c r="W28">
        <f>COUNTIF(W4:W20,"*WMS")</f>
        <v>0</v>
      </c>
      <c r="X28">
        <f>COUNTIF(X4:X20,"*WMS")</f>
        <v>0</v>
      </c>
      <c r="Y28">
        <f>COUNTIF(Y4:Y20,"*MSF3")</f>
        <v>3</v>
      </c>
      <c r="Z28">
        <f>COUNTIF(Z4:Z20,"*MSF3")</f>
        <v>0</v>
      </c>
      <c r="AA28">
        <f>COUNTIF(AA4:AA20,"*MSF3")</f>
        <v>0</v>
      </c>
      <c r="AB28">
        <f>COUNTIF(AB4:AB20,"*MSF3")</f>
        <v>3</v>
      </c>
      <c r="AC28">
        <f>COUNTIF(AC4:AC20,"*MSF3")</f>
        <v>4</v>
      </c>
      <c r="AD28">
        <f>COUNTIF(AD4:AD20,"*WMS")</f>
        <v>0</v>
      </c>
      <c r="AE28">
        <f>COUNTIF(AE4:AE20,"*WMS")</f>
        <v>0</v>
      </c>
      <c r="AF28">
        <f>COUNTIF(AF4:AF20,"*MSF3")</f>
        <v>4</v>
      </c>
    </row>
    <row r="29" spans="1:32" x14ac:dyDescent="0.35">
      <c r="A29" s="128" t="s">
        <v>126</v>
      </c>
      <c r="B29">
        <f t="shared" ref="B29:AF29" si="1">COUNTIF(B4:B20,"*ASS1")</f>
        <v>2</v>
      </c>
      <c r="C29">
        <f t="shared" si="1"/>
        <v>3</v>
      </c>
      <c r="D29">
        <f t="shared" si="1"/>
        <v>3</v>
      </c>
      <c r="E29">
        <f t="shared" si="1"/>
        <v>2</v>
      </c>
      <c r="F29">
        <f t="shared" si="1"/>
        <v>2</v>
      </c>
      <c r="G29">
        <f t="shared" si="1"/>
        <v>3</v>
      </c>
      <c r="H29">
        <f t="shared" si="1"/>
        <v>3</v>
      </c>
      <c r="I29">
        <f t="shared" si="1"/>
        <v>4</v>
      </c>
      <c r="J29">
        <f t="shared" si="1"/>
        <v>4</v>
      </c>
      <c r="K29">
        <f t="shared" si="1"/>
        <v>3</v>
      </c>
      <c r="L29">
        <f t="shared" si="1"/>
        <v>2</v>
      </c>
      <c r="M29">
        <f t="shared" si="1"/>
        <v>2</v>
      </c>
      <c r="N29">
        <f t="shared" si="1"/>
        <v>3</v>
      </c>
      <c r="O29">
        <f t="shared" si="1"/>
        <v>3</v>
      </c>
      <c r="P29">
        <f t="shared" si="1"/>
        <v>3</v>
      </c>
      <c r="Q29">
        <f t="shared" si="1"/>
        <v>3</v>
      </c>
      <c r="R29">
        <f t="shared" si="1"/>
        <v>3</v>
      </c>
      <c r="S29">
        <f t="shared" si="1"/>
        <v>2</v>
      </c>
      <c r="T29">
        <f t="shared" si="1"/>
        <v>2</v>
      </c>
      <c r="U29">
        <f t="shared" si="1"/>
        <v>4</v>
      </c>
      <c r="V29">
        <f t="shared" si="1"/>
        <v>4</v>
      </c>
      <c r="W29">
        <f t="shared" si="1"/>
        <v>4</v>
      </c>
      <c r="X29">
        <f t="shared" si="1"/>
        <v>3</v>
      </c>
      <c r="Y29">
        <f t="shared" si="1"/>
        <v>3</v>
      </c>
      <c r="Z29">
        <f t="shared" si="1"/>
        <v>2</v>
      </c>
      <c r="AA29">
        <f t="shared" si="1"/>
        <v>2</v>
      </c>
      <c r="AB29">
        <f t="shared" si="1"/>
        <v>4</v>
      </c>
      <c r="AC29">
        <f t="shared" si="1"/>
        <v>4</v>
      </c>
      <c r="AD29">
        <f t="shared" si="1"/>
        <v>4</v>
      </c>
      <c r="AE29">
        <f t="shared" si="1"/>
        <v>4</v>
      </c>
      <c r="AF29">
        <f t="shared" si="1"/>
        <v>4</v>
      </c>
    </row>
    <row r="30" spans="1:32" x14ac:dyDescent="0.35">
      <c r="A30" s="128" t="s">
        <v>127</v>
      </c>
      <c r="B30">
        <f t="shared" ref="B30:AF30" si="2">COUNTIF(B4:B20,"*NST7")</f>
        <v>2</v>
      </c>
      <c r="C30">
        <f t="shared" si="2"/>
        <v>3</v>
      </c>
      <c r="D30">
        <f t="shared" si="2"/>
        <v>3</v>
      </c>
      <c r="E30">
        <f t="shared" si="2"/>
        <v>2</v>
      </c>
      <c r="F30">
        <f t="shared" si="2"/>
        <v>2</v>
      </c>
      <c r="G30">
        <f t="shared" si="2"/>
        <v>3</v>
      </c>
      <c r="H30">
        <f t="shared" si="2"/>
        <v>3</v>
      </c>
      <c r="I30">
        <f t="shared" si="2"/>
        <v>3</v>
      </c>
      <c r="J30">
        <f t="shared" si="2"/>
        <v>2</v>
      </c>
      <c r="K30">
        <f t="shared" si="2"/>
        <v>3</v>
      </c>
      <c r="L30">
        <f t="shared" si="2"/>
        <v>2</v>
      </c>
      <c r="M30">
        <f t="shared" si="2"/>
        <v>2</v>
      </c>
      <c r="N30">
        <f t="shared" si="2"/>
        <v>3</v>
      </c>
      <c r="O30">
        <f t="shared" si="2"/>
        <v>2</v>
      </c>
      <c r="P30">
        <f t="shared" si="2"/>
        <v>3</v>
      </c>
      <c r="Q30">
        <f t="shared" si="2"/>
        <v>2</v>
      </c>
      <c r="R30">
        <f t="shared" si="2"/>
        <v>2</v>
      </c>
      <c r="S30">
        <f t="shared" si="2"/>
        <v>2</v>
      </c>
      <c r="T30">
        <f t="shared" si="2"/>
        <v>3</v>
      </c>
      <c r="U30">
        <f t="shared" si="2"/>
        <v>3</v>
      </c>
      <c r="V30">
        <f t="shared" si="2"/>
        <v>3</v>
      </c>
      <c r="W30">
        <f t="shared" si="2"/>
        <v>3</v>
      </c>
      <c r="X30">
        <f t="shared" si="2"/>
        <v>3</v>
      </c>
      <c r="Y30">
        <f t="shared" si="2"/>
        <v>3</v>
      </c>
      <c r="Z30">
        <f t="shared" si="2"/>
        <v>2</v>
      </c>
      <c r="AA30">
        <f t="shared" si="2"/>
        <v>3</v>
      </c>
      <c r="AB30">
        <f t="shared" si="2"/>
        <v>3</v>
      </c>
      <c r="AC30">
        <f t="shared" si="2"/>
        <v>2</v>
      </c>
      <c r="AD30">
        <f t="shared" si="2"/>
        <v>3</v>
      </c>
      <c r="AE30">
        <f t="shared" si="2"/>
        <v>3</v>
      </c>
      <c r="AF30">
        <f t="shared" si="2"/>
        <v>3</v>
      </c>
    </row>
    <row r="31" spans="1:32" x14ac:dyDescent="0.35">
      <c r="A31" s="128" t="s">
        <v>128</v>
      </c>
      <c r="B31">
        <f t="shared" ref="B31:AF31" si="3">COUNTIF(B4:B20,"*GS")</f>
        <v>0</v>
      </c>
      <c r="C31">
        <f t="shared" si="3"/>
        <v>0</v>
      </c>
      <c r="D31">
        <f t="shared" si="3"/>
        <v>0</v>
      </c>
      <c r="E31">
        <f t="shared" si="3"/>
        <v>1</v>
      </c>
      <c r="F31">
        <f t="shared" si="3"/>
        <v>0</v>
      </c>
      <c r="G31">
        <f t="shared" si="3"/>
        <v>0</v>
      </c>
      <c r="H31">
        <f t="shared" si="3"/>
        <v>0</v>
      </c>
      <c r="I31">
        <f t="shared" si="3"/>
        <v>0</v>
      </c>
      <c r="J31">
        <f t="shared" si="3"/>
        <v>0</v>
      </c>
      <c r="K31">
        <f t="shared" si="3"/>
        <v>1</v>
      </c>
      <c r="L31">
        <f t="shared" si="3"/>
        <v>1</v>
      </c>
      <c r="M31">
        <f t="shared" si="3"/>
        <v>0</v>
      </c>
      <c r="N31">
        <f t="shared" si="3"/>
        <v>1</v>
      </c>
      <c r="O31">
        <f t="shared" si="3"/>
        <v>1</v>
      </c>
      <c r="P31">
        <f t="shared" si="3"/>
        <v>1</v>
      </c>
      <c r="Q31">
        <f t="shared" si="3"/>
        <v>0</v>
      </c>
      <c r="R31">
        <f t="shared" si="3"/>
        <v>1</v>
      </c>
      <c r="S31">
        <f t="shared" si="3"/>
        <v>1</v>
      </c>
      <c r="T31">
        <f t="shared" si="3"/>
        <v>0</v>
      </c>
      <c r="U31">
        <f t="shared" si="3"/>
        <v>0</v>
      </c>
      <c r="V31">
        <f t="shared" si="3"/>
        <v>0</v>
      </c>
      <c r="W31">
        <f t="shared" si="3"/>
        <v>0</v>
      </c>
      <c r="X31">
        <f t="shared" si="3"/>
        <v>0</v>
      </c>
      <c r="Y31">
        <f t="shared" si="3"/>
        <v>1</v>
      </c>
      <c r="Z31">
        <f t="shared" si="3"/>
        <v>1</v>
      </c>
      <c r="AA31">
        <f t="shared" si="3"/>
        <v>0</v>
      </c>
      <c r="AB31">
        <f t="shared" si="3"/>
        <v>0</v>
      </c>
      <c r="AC31">
        <f t="shared" si="3"/>
        <v>0</v>
      </c>
      <c r="AD31">
        <f t="shared" si="3"/>
        <v>0</v>
      </c>
      <c r="AE31">
        <f t="shared" si="3"/>
        <v>0</v>
      </c>
      <c r="AF31">
        <f t="shared" si="3"/>
        <v>0</v>
      </c>
    </row>
    <row r="32" spans="1:32" x14ac:dyDescent="0.35">
      <c r="A32" s="128" t="s">
        <v>129</v>
      </c>
      <c r="B32">
        <f>COUNTIF(B4:B20,"WO")</f>
        <v>0</v>
      </c>
      <c r="C32">
        <f>COUNTIF(C4:C20,"WO")</f>
        <v>0</v>
      </c>
      <c r="D32">
        <f>COUNTIF(D4:D20,"C")</f>
        <v>3</v>
      </c>
      <c r="E32">
        <f>COUNTIF(E4:E20,"C")</f>
        <v>0</v>
      </c>
      <c r="F32">
        <f>COUNTIF(F4:F20,"C")</f>
        <v>0</v>
      </c>
      <c r="G32">
        <f>COUNTIF(G4:G20,"C")</f>
        <v>2</v>
      </c>
      <c r="H32">
        <f>COUNTIF(H4:H20,"C")</f>
        <v>2</v>
      </c>
      <c r="I32">
        <f>COUNTIF(I4:I20,"WO")</f>
        <v>0</v>
      </c>
      <c r="J32">
        <f>COUNTIF(J4:J20,"WO")</f>
        <v>0</v>
      </c>
      <c r="K32">
        <f>COUNTIF(K4:K20,"C")</f>
        <v>2</v>
      </c>
      <c r="L32">
        <f>COUNTIF(L4:L20,"C")</f>
        <v>0</v>
      </c>
      <c r="M32">
        <f>COUNTIF(M4:M20,"C")</f>
        <v>0</v>
      </c>
      <c r="N32">
        <f>COUNTIF(N4:N20,"C")</f>
        <v>1</v>
      </c>
      <c r="O32">
        <f>COUNTIF(O4:O20,"C")</f>
        <v>1</v>
      </c>
      <c r="P32">
        <f>COUNTIF(P4:P20,"WO")</f>
        <v>0</v>
      </c>
      <c r="Q32">
        <f>COUNTIF(Q4:Q20,"WO")</f>
        <v>0</v>
      </c>
      <c r="R32">
        <f>COUNTIF(R4:R20,"C")</f>
        <v>3</v>
      </c>
      <c r="S32">
        <f>COUNTIF(S4:S20,"C")</f>
        <v>0</v>
      </c>
      <c r="T32">
        <f>COUNTIF(T4:T20,"C")</f>
        <v>0</v>
      </c>
      <c r="U32">
        <f>COUNTIF(U4:U20,"C")</f>
        <v>3</v>
      </c>
      <c r="V32">
        <f>COUNTIF(V4:V20,"C")</f>
        <v>2</v>
      </c>
      <c r="W32">
        <f>COUNTIF(W4:W20,"WO")</f>
        <v>0</v>
      </c>
      <c r="X32">
        <f>COUNTIF(X4:X20,"WO")</f>
        <v>0</v>
      </c>
      <c r="Y32">
        <f>COUNTIF(Y4:Y20,"C")</f>
        <v>3</v>
      </c>
      <c r="Z32">
        <f>COUNTIF(Z4:Z20,"C")</f>
        <v>0</v>
      </c>
      <c r="AA32">
        <f>COUNTIF(AA4:AA20,"C")</f>
        <v>0</v>
      </c>
      <c r="AB32">
        <f>COUNTIF(AB4:AB20,"C")</f>
        <v>3</v>
      </c>
      <c r="AC32">
        <f>COUNTIF(AC4:AC20,"C")</f>
        <v>3</v>
      </c>
      <c r="AD32">
        <f>COUNTIF(AD4:AD20,"WO")</f>
        <v>0</v>
      </c>
      <c r="AE32">
        <f>COUNTIF(AE4:AE20,"WO")</f>
        <v>0</v>
      </c>
      <c r="AF32">
        <f>COUNTIF(AF4:AF20,"C")</f>
        <v>1</v>
      </c>
    </row>
    <row r="33" spans="1:32" x14ac:dyDescent="0.35">
      <c r="A33" s="128" t="s">
        <v>130</v>
      </c>
      <c r="B33">
        <f t="shared" ref="B33:AF33" si="4">COUNTIF(B4:B20,"PL")</f>
        <v>0</v>
      </c>
      <c r="C33">
        <f t="shared" si="4"/>
        <v>3</v>
      </c>
      <c r="D33">
        <f t="shared" si="4"/>
        <v>2</v>
      </c>
      <c r="E33">
        <f t="shared" si="4"/>
        <v>1</v>
      </c>
      <c r="F33">
        <f t="shared" si="4"/>
        <v>0</v>
      </c>
      <c r="G33">
        <f t="shared" si="4"/>
        <v>2</v>
      </c>
      <c r="H33">
        <f t="shared" si="4"/>
        <v>2</v>
      </c>
      <c r="I33">
        <f t="shared" si="4"/>
        <v>1</v>
      </c>
      <c r="J33">
        <f t="shared" si="4"/>
        <v>1</v>
      </c>
      <c r="K33">
        <f t="shared" si="4"/>
        <v>2</v>
      </c>
      <c r="L33">
        <f t="shared" si="4"/>
        <v>0</v>
      </c>
      <c r="M33">
        <f t="shared" si="4"/>
        <v>1</v>
      </c>
      <c r="N33">
        <f t="shared" si="4"/>
        <v>3</v>
      </c>
      <c r="O33">
        <f t="shared" si="4"/>
        <v>4</v>
      </c>
      <c r="P33">
        <f t="shared" si="4"/>
        <v>3</v>
      </c>
      <c r="Q33">
        <f t="shared" si="4"/>
        <v>4</v>
      </c>
      <c r="R33">
        <f t="shared" si="4"/>
        <v>2</v>
      </c>
      <c r="S33">
        <f t="shared" si="4"/>
        <v>0</v>
      </c>
      <c r="T33">
        <f t="shared" si="4"/>
        <v>0</v>
      </c>
      <c r="U33">
        <f t="shared" si="4"/>
        <v>0</v>
      </c>
      <c r="V33">
        <f t="shared" si="4"/>
        <v>1</v>
      </c>
      <c r="W33">
        <f t="shared" si="4"/>
        <v>1</v>
      </c>
      <c r="X33">
        <f t="shared" si="4"/>
        <v>1</v>
      </c>
      <c r="Y33">
        <f t="shared" si="4"/>
        <v>1</v>
      </c>
      <c r="Z33">
        <f t="shared" si="4"/>
        <v>0</v>
      </c>
      <c r="AA33">
        <f t="shared" si="4"/>
        <v>0</v>
      </c>
      <c r="AB33">
        <f t="shared" si="4"/>
        <v>1</v>
      </c>
      <c r="AC33">
        <f t="shared" si="4"/>
        <v>1</v>
      </c>
      <c r="AD33">
        <f t="shared" si="4"/>
        <v>2</v>
      </c>
      <c r="AE33">
        <f t="shared" si="4"/>
        <v>2</v>
      </c>
      <c r="AF33">
        <f t="shared" si="4"/>
        <v>2</v>
      </c>
    </row>
    <row r="34" spans="1:32" x14ac:dyDescent="0.35">
      <c r="A34" s="128" t="s">
        <v>33</v>
      </c>
      <c r="B34">
        <f t="shared" ref="B34:AF34" si="5">COUNTIF(B4:B20,"UPL")</f>
        <v>0</v>
      </c>
      <c r="C34">
        <f t="shared" si="5"/>
        <v>0</v>
      </c>
      <c r="D34">
        <f t="shared" si="5"/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0</v>
      </c>
      <c r="J34">
        <f t="shared" si="5"/>
        <v>0</v>
      </c>
      <c r="K34">
        <f t="shared" si="5"/>
        <v>0</v>
      </c>
      <c r="L34">
        <f t="shared" si="5"/>
        <v>0</v>
      </c>
      <c r="M34">
        <f t="shared" si="5"/>
        <v>0</v>
      </c>
      <c r="N34">
        <f t="shared" si="5"/>
        <v>0</v>
      </c>
      <c r="O34">
        <f t="shared" si="5"/>
        <v>0</v>
      </c>
      <c r="P34">
        <f t="shared" si="5"/>
        <v>0</v>
      </c>
      <c r="Q34">
        <f t="shared" si="5"/>
        <v>0</v>
      </c>
      <c r="R34">
        <f t="shared" si="5"/>
        <v>0</v>
      </c>
      <c r="S34">
        <f t="shared" si="5"/>
        <v>0</v>
      </c>
      <c r="T34">
        <f t="shared" si="5"/>
        <v>0</v>
      </c>
      <c r="U34">
        <f t="shared" si="5"/>
        <v>0</v>
      </c>
      <c r="V34">
        <f t="shared" si="5"/>
        <v>0</v>
      </c>
      <c r="W34">
        <f t="shared" si="5"/>
        <v>0</v>
      </c>
      <c r="X34">
        <f t="shared" si="5"/>
        <v>0</v>
      </c>
      <c r="Y34">
        <f t="shared" si="5"/>
        <v>0</v>
      </c>
      <c r="Z34">
        <f t="shared" si="5"/>
        <v>0</v>
      </c>
      <c r="AA34">
        <f t="shared" si="5"/>
        <v>0</v>
      </c>
      <c r="AB34">
        <f t="shared" si="5"/>
        <v>0</v>
      </c>
      <c r="AC34">
        <f t="shared" si="5"/>
        <v>0</v>
      </c>
      <c r="AD34">
        <f t="shared" si="5"/>
        <v>0</v>
      </c>
      <c r="AE34">
        <f t="shared" si="5"/>
        <v>0</v>
      </c>
      <c r="AF34">
        <f t="shared" si="5"/>
        <v>0</v>
      </c>
    </row>
    <row r="35" spans="1:32" x14ac:dyDescent="0.35">
      <c r="A35" s="128" t="s">
        <v>141</v>
      </c>
      <c r="B35">
        <f t="shared" ref="B35:AF35" si="6">COUNTIF(B4:B20,"H")</f>
        <v>8</v>
      </c>
      <c r="C35">
        <f t="shared" si="6"/>
        <v>0</v>
      </c>
      <c r="D35">
        <f t="shared" si="6"/>
        <v>0</v>
      </c>
      <c r="E35">
        <f t="shared" si="6"/>
        <v>0</v>
      </c>
      <c r="F35">
        <f t="shared" si="6"/>
        <v>0</v>
      </c>
      <c r="G35">
        <f t="shared" si="6"/>
        <v>0</v>
      </c>
      <c r="H35">
        <f t="shared" si="6"/>
        <v>0</v>
      </c>
      <c r="I35">
        <f t="shared" si="6"/>
        <v>0</v>
      </c>
      <c r="J35">
        <f t="shared" si="6"/>
        <v>0</v>
      </c>
      <c r="K35">
        <f t="shared" si="6"/>
        <v>0</v>
      </c>
      <c r="L35">
        <f t="shared" si="6"/>
        <v>0</v>
      </c>
      <c r="M35">
        <f t="shared" si="6"/>
        <v>0</v>
      </c>
      <c r="N35">
        <f t="shared" si="6"/>
        <v>0</v>
      </c>
      <c r="O35">
        <f t="shared" si="6"/>
        <v>0</v>
      </c>
      <c r="P35">
        <f t="shared" si="6"/>
        <v>0</v>
      </c>
      <c r="Q35">
        <f t="shared" si="6"/>
        <v>0</v>
      </c>
      <c r="R35">
        <f t="shared" si="6"/>
        <v>0</v>
      </c>
      <c r="S35">
        <f t="shared" si="6"/>
        <v>0</v>
      </c>
      <c r="T35">
        <f t="shared" si="6"/>
        <v>0</v>
      </c>
      <c r="U35">
        <f t="shared" si="6"/>
        <v>0</v>
      </c>
      <c r="V35">
        <f t="shared" si="6"/>
        <v>0</v>
      </c>
      <c r="W35">
        <f t="shared" si="6"/>
        <v>0</v>
      </c>
      <c r="X35">
        <f t="shared" si="6"/>
        <v>0</v>
      </c>
      <c r="Y35">
        <f t="shared" si="6"/>
        <v>0</v>
      </c>
      <c r="Z35">
        <f t="shared" si="6"/>
        <v>0</v>
      </c>
      <c r="AA35">
        <f t="shared" si="6"/>
        <v>0</v>
      </c>
      <c r="AB35">
        <f t="shared" si="6"/>
        <v>0</v>
      </c>
      <c r="AC35">
        <f t="shared" si="6"/>
        <v>0</v>
      </c>
      <c r="AD35">
        <f t="shared" si="6"/>
        <v>0</v>
      </c>
      <c r="AE35">
        <f t="shared" si="6"/>
        <v>0</v>
      </c>
      <c r="AF35">
        <f t="shared" si="6"/>
        <v>0</v>
      </c>
    </row>
    <row r="36" spans="1:32" x14ac:dyDescent="0.35">
      <c r="A36" s="128" t="s">
        <v>131</v>
      </c>
      <c r="B36" s="129">
        <f t="shared" ref="B36" si="7">SUM(B28:B35)</f>
        <v>14</v>
      </c>
      <c r="C36" s="129">
        <f t="shared" ref="C36:AF36" si="8">SUM(C28:C35)</f>
        <v>9</v>
      </c>
      <c r="D36" s="129">
        <f t="shared" si="8"/>
        <v>14</v>
      </c>
      <c r="E36" s="129">
        <f t="shared" si="8"/>
        <v>6</v>
      </c>
      <c r="F36" s="129">
        <f t="shared" si="8"/>
        <v>4</v>
      </c>
      <c r="G36" s="129">
        <f t="shared" si="8"/>
        <v>14</v>
      </c>
      <c r="H36" s="129">
        <f t="shared" si="8"/>
        <v>14</v>
      </c>
      <c r="I36" s="129">
        <f t="shared" si="8"/>
        <v>8</v>
      </c>
      <c r="J36" s="129">
        <f t="shared" si="8"/>
        <v>7</v>
      </c>
      <c r="K36" s="129">
        <f t="shared" si="8"/>
        <v>14</v>
      </c>
      <c r="L36" s="129">
        <f t="shared" si="8"/>
        <v>5</v>
      </c>
      <c r="M36" s="129">
        <f t="shared" si="8"/>
        <v>5</v>
      </c>
      <c r="N36" s="129">
        <f t="shared" si="8"/>
        <v>14</v>
      </c>
      <c r="O36" s="129">
        <f t="shared" si="8"/>
        <v>14</v>
      </c>
      <c r="P36" s="129">
        <f t="shared" si="8"/>
        <v>10</v>
      </c>
      <c r="Q36" s="129">
        <f t="shared" si="8"/>
        <v>9</v>
      </c>
      <c r="R36" s="129">
        <f t="shared" si="8"/>
        <v>14</v>
      </c>
      <c r="S36" s="129">
        <f t="shared" si="8"/>
        <v>5</v>
      </c>
      <c r="T36" s="129">
        <f t="shared" si="8"/>
        <v>5</v>
      </c>
      <c r="U36" s="129">
        <f t="shared" si="8"/>
        <v>14</v>
      </c>
      <c r="V36" s="129">
        <f t="shared" si="8"/>
        <v>14</v>
      </c>
      <c r="W36" s="129">
        <f t="shared" si="8"/>
        <v>8</v>
      </c>
      <c r="X36" s="129">
        <f t="shared" si="8"/>
        <v>7</v>
      </c>
      <c r="Y36" s="129">
        <f t="shared" si="8"/>
        <v>14</v>
      </c>
      <c r="Z36" s="129">
        <f t="shared" si="8"/>
        <v>5</v>
      </c>
      <c r="AA36" s="129">
        <f t="shared" si="8"/>
        <v>5</v>
      </c>
      <c r="AB36" s="129">
        <f t="shared" si="8"/>
        <v>14</v>
      </c>
      <c r="AC36" s="129">
        <f t="shared" si="8"/>
        <v>14</v>
      </c>
      <c r="AD36" s="129">
        <f t="shared" si="8"/>
        <v>9</v>
      </c>
      <c r="AE36" s="129">
        <f t="shared" si="8"/>
        <v>9</v>
      </c>
      <c r="AF36" s="129">
        <f t="shared" si="8"/>
        <v>14</v>
      </c>
    </row>
  </sheetData>
  <phoneticPr fontId="25" type="noConversion"/>
  <conditionalFormatting sqref="A13:A14">
    <cfRule type="cellIs" dxfId="172" priority="589" operator="equal">
      <formula>"NST7"</formula>
    </cfRule>
  </conditionalFormatting>
  <conditionalFormatting sqref="A22">
    <cfRule type="cellIs" dxfId="171" priority="587" operator="equal">
      <formula>"NST7"</formula>
    </cfRule>
    <cfRule type="cellIs" dxfId="170" priority="586" operator="equal">
      <formula>"WNST7"</formula>
    </cfRule>
  </conditionalFormatting>
  <conditionalFormatting sqref="B6:B7">
    <cfRule type="cellIs" dxfId="169" priority="169" operator="equal">
      <formula>"WNST7"</formula>
    </cfRule>
    <cfRule type="cellIs" dxfId="168" priority="170" operator="equal">
      <formula>"NST7"</formula>
    </cfRule>
  </conditionalFormatting>
  <conditionalFormatting sqref="B9">
    <cfRule type="cellIs" dxfId="167" priority="24" operator="equal">
      <formula>"NST7"</formula>
    </cfRule>
    <cfRule type="cellIs" dxfId="166" priority="23" operator="equal">
      <formula>"WNST7"</formula>
    </cfRule>
  </conditionalFormatting>
  <conditionalFormatting sqref="B13">
    <cfRule type="cellIs" dxfId="165" priority="197" operator="equal">
      <formula>"WNST7"</formula>
    </cfRule>
    <cfRule type="cellIs" dxfId="164" priority="198" operator="equal">
      <formula>"NST7"</formula>
    </cfRule>
  </conditionalFormatting>
  <conditionalFormatting sqref="B15">
    <cfRule type="cellIs" dxfId="163" priority="204" operator="equal">
      <formula>"NST7"</formula>
    </cfRule>
    <cfRule type="cellIs" dxfId="162" priority="203" operator="equal">
      <formula>"WNST7"</formula>
    </cfRule>
  </conditionalFormatting>
  <conditionalFormatting sqref="B17">
    <cfRule type="cellIs" dxfId="161" priority="183" operator="equal">
      <formula>"WNST7"</formula>
    </cfRule>
    <cfRule type="cellIs" dxfId="160" priority="184" operator="equal">
      <formula>"NST7"</formula>
    </cfRule>
  </conditionalFormatting>
  <conditionalFormatting sqref="B19">
    <cfRule type="cellIs" dxfId="159" priority="194" operator="equal">
      <formula>"NST7"</formula>
    </cfRule>
    <cfRule type="cellIs" dxfId="158" priority="193" operator="equal">
      <formula>"WNST7"</formula>
    </cfRule>
  </conditionalFormatting>
  <conditionalFormatting sqref="B25">
    <cfRule type="cellIs" dxfId="157" priority="196" operator="equal">
      <formula>"NST7"</formula>
    </cfRule>
    <cfRule type="cellIs" dxfId="156" priority="195" operator="equal">
      <formula>"WNST7"</formula>
    </cfRule>
  </conditionalFormatting>
  <conditionalFormatting sqref="B11:C11">
    <cfRule type="cellIs" dxfId="155" priority="20" operator="equal">
      <formula>"NST7"</formula>
    </cfRule>
    <cfRule type="cellIs" dxfId="154" priority="19" operator="equal">
      <formula>"WNST7"</formula>
    </cfRule>
  </conditionalFormatting>
  <conditionalFormatting sqref="B28:AF31">
    <cfRule type="cellIs" dxfId="153" priority="478" operator="lessThan">
      <formula>3</formula>
    </cfRule>
  </conditionalFormatting>
  <conditionalFormatting sqref="B28:AF36 A13:A14 AG13:XFD14">
    <cfRule type="cellIs" dxfId="152" priority="588" operator="equal">
      <formula>"WNST7"</formula>
    </cfRule>
  </conditionalFormatting>
  <conditionalFormatting sqref="C26:D26 F26">
    <cfRule type="cellIs" dxfId="151" priority="188" operator="equal">
      <formula>"NST7"</formula>
    </cfRule>
    <cfRule type="cellIs" dxfId="150" priority="187" operator="equal">
      <formula>"WNST7"</formula>
    </cfRule>
  </conditionalFormatting>
  <conditionalFormatting sqref="D5">
    <cfRule type="cellIs" dxfId="149" priority="213" operator="equal">
      <formula>"WNST7"</formula>
    </cfRule>
    <cfRule type="cellIs" dxfId="148" priority="214" operator="equal">
      <formula>"NST7"</formula>
    </cfRule>
  </conditionalFormatting>
  <conditionalFormatting sqref="D12">
    <cfRule type="cellIs" dxfId="147" priority="164" operator="equal">
      <formula>"NST7"</formula>
    </cfRule>
    <cfRule type="cellIs" dxfId="146" priority="163" operator="equal">
      <formula>"WNST7"</formula>
    </cfRule>
  </conditionalFormatting>
  <conditionalFormatting sqref="D16">
    <cfRule type="cellIs" dxfId="145" priority="73" operator="equal">
      <formula>"WNST7"</formula>
    </cfRule>
    <cfRule type="cellIs" dxfId="144" priority="74" operator="equal">
      <formula>"NST7"</formula>
    </cfRule>
  </conditionalFormatting>
  <conditionalFormatting sqref="E13">
    <cfRule type="cellIs" dxfId="143" priority="87" operator="equal">
      <formula>"WNST7"</formula>
    </cfRule>
    <cfRule type="cellIs" dxfId="142" priority="88" operator="equal">
      <formula>"NST7"</formula>
    </cfRule>
  </conditionalFormatting>
  <conditionalFormatting sqref="G11">
    <cfRule type="cellIs" dxfId="141" priority="36" operator="equal">
      <formula>"NST7"</formula>
    </cfRule>
    <cfRule type="cellIs" dxfId="140" priority="35" operator="equal">
      <formula>"WNST7"</formula>
    </cfRule>
  </conditionalFormatting>
  <conditionalFormatting sqref="G15">
    <cfRule type="cellIs" dxfId="139" priority="2" operator="equal">
      <formula>"NST7"</formula>
    </cfRule>
    <cfRule type="cellIs" dxfId="138" priority="1" operator="equal">
      <formula>"WNST7"</formula>
    </cfRule>
  </conditionalFormatting>
  <conditionalFormatting sqref="G24">
    <cfRule type="cellIs" dxfId="137" priority="296" operator="equal">
      <formula>"NST7"</formula>
    </cfRule>
    <cfRule type="cellIs" dxfId="136" priority="295" operator="equal">
      <formula>"WNST7"</formula>
    </cfRule>
  </conditionalFormatting>
  <conditionalFormatting sqref="G23:K23">
    <cfRule type="cellIs" dxfId="135" priority="28" operator="equal">
      <formula>"NST7"</formula>
    </cfRule>
    <cfRule type="cellIs" dxfId="134" priority="27" operator="equal">
      <formula>"WNST7"</formula>
    </cfRule>
  </conditionalFormatting>
  <conditionalFormatting sqref="H10">
    <cfRule type="cellIs" dxfId="133" priority="16" operator="equal">
      <formula>"NST7"</formula>
    </cfRule>
    <cfRule type="cellIs" dxfId="132" priority="15" operator="equal">
      <formula>"WNST7"</formula>
    </cfRule>
  </conditionalFormatting>
  <conditionalFormatting sqref="H17">
    <cfRule type="cellIs" dxfId="131" priority="104" operator="equal">
      <formula>"NST7"</formula>
    </cfRule>
    <cfRule type="cellIs" dxfId="130" priority="103" operator="equal">
      <formula>"WNST7"</formula>
    </cfRule>
  </conditionalFormatting>
  <conditionalFormatting sqref="H26:J26">
    <cfRule type="cellIs" dxfId="129" priority="227" operator="equal">
      <formula>"WNST7"</formula>
    </cfRule>
    <cfRule type="cellIs" dxfId="128" priority="228" operator="equal">
      <formula>"NST7"</formula>
    </cfRule>
  </conditionalFormatting>
  <conditionalFormatting sqref="I13">
    <cfRule type="cellIs" dxfId="127" priority="139" operator="equal">
      <formula>"WNST7"</formula>
    </cfRule>
    <cfRule type="cellIs" dxfId="126" priority="140" operator="equal">
      <formula>"NST7"</formula>
    </cfRule>
  </conditionalFormatting>
  <conditionalFormatting sqref="I18">
    <cfRule type="cellIs" dxfId="125" priority="14" operator="equal">
      <formula>"NST7"</formula>
    </cfRule>
    <cfRule type="cellIs" dxfId="124" priority="13" operator="equal">
      <formula>"WNST7"</formula>
    </cfRule>
  </conditionalFormatting>
  <conditionalFormatting sqref="J7">
    <cfRule type="cellIs" dxfId="123" priority="219" operator="equal">
      <formula>"WNST7"</formula>
    </cfRule>
    <cfRule type="cellIs" dxfId="122" priority="220" operator="equal">
      <formula>"NST7"</formula>
    </cfRule>
  </conditionalFormatting>
  <conditionalFormatting sqref="J12">
    <cfRule type="cellIs" dxfId="121" priority="157" operator="equal">
      <formula>"WNST7"</formula>
    </cfRule>
    <cfRule type="cellIs" dxfId="120" priority="158" operator="equal">
      <formula>"NST7"</formula>
    </cfRule>
  </conditionalFormatting>
  <conditionalFormatting sqref="J16">
    <cfRule type="cellIs" dxfId="119" priority="26" operator="equal">
      <formula>"NST7"</formula>
    </cfRule>
    <cfRule type="cellIs" dxfId="118" priority="25" operator="equal">
      <formula>"WNST7"</formula>
    </cfRule>
  </conditionalFormatting>
  <conditionalFormatting sqref="K5">
    <cfRule type="cellIs" dxfId="117" priority="217" operator="equal">
      <formula>"WNST7"</formula>
    </cfRule>
    <cfRule type="cellIs" dxfId="116" priority="218" operator="equal">
      <formula>"NST7"</formula>
    </cfRule>
  </conditionalFormatting>
  <conditionalFormatting sqref="K18">
    <cfRule type="cellIs" dxfId="115" priority="11" operator="equal">
      <formula>"WNST7"</formula>
    </cfRule>
    <cfRule type="cellIs" dxfId="114" priority="12" operator="equal">
      <formula>"NST7"</formula>
    </cfRule>
  </conditionalFormatting>
  <conditionalFormatting sqref="K25:K26">
    <cfRule type="cellIs" dxfId="113" priority="209" operator="equal">
      <formula>"WNST7"</formula>
    </cfRule>
    <cfRule type="cellIs" dxfId="112" priority="210" operator="equal">
      <formula>"NST7"</formula>
    </cfRule>
  </conditionalFormatting>
  <conditionalFormatting sqref="K13:L13">
    <cfRule type="cellIs" dxfId="111" priority="9" operator="equal">
      <formula>"WNST7"</formula>
    </cfRule>
    <cfRule type="cellIs" dxfId="110" priority="10" operator="equal">
      <formula>"NST7"</formula>
    </cfRule>
  </conditionalFormatting>
  <conditionalFormatting sqref="M25">
    <cfRule type="cellIs" dxfId="109" priority="288" operator="equal">
      <formula>"NST7"</formula>
    </cfRule>
    <cfRule type="cellIs" dxfId="108" priority="287" operator="equal">
      <formula>"WNST7"</formula>
    </cfRule>
  </conditionalFormatting>
  <conditionalFormatting sqref="N10">
    <cfRule type="cellIs" dxfId="107" priority="144" operator="equal">
      <formula>"NST7"</formula>
    </cfRule>
    <cfRule type="cellIs" dxfId="106" priority="143" operator="equal">
      <formula>"WNST7"</formula>
    </cfRule>
  </conditionalFormatting>
  <conditionalFormatting sqref="N24">
    <cfRule type="cellIs" dxfId="105" priority="274" operator="equal">
      <formula>"NST7"</formula>
    </cfRule>
    <cfRule type="cellIs" dxfId="104" priority="273" operator="equal">
      <formula>"WNST7"</formula>
    </cfRule>
  </conditionalFormatting>
  <conditionalFormatting sqref="N13:P13">
    <cfRule type="cellIs" dxfId="103" priority="64" operator="equal">
      <formula>"NST7"</formula>
    </cfRule>
    <cfRule type="cellIs" dxfId="102" priority="63" operator="equal">
      <formula>"WNST7"</formula>
    </cfRule>
  </conditionalFormatting>
  <conditionalFormatting sqref="O12">
    <cfRule type="cellIs" dxfId="101" priority="124" operator="equal">
      <formula>"NST7"</formula>
    </cfRule>
    <cfRule type="cellIs" dxfId="100" priority="123" operator="equal">
      <formula>"WNST7"</formula>
    </cfRule>
  </conditionalFormatting>
  <conditionalFormatting sqref="O24:O25">
    <cfRule type="cellIs" dxfId="99" priority="270" operator="equal">
      <formula>"NST7"</formula>
    </cfRule>
    <cfRule type="cellIs" dxfId="98" priority="269" operator="equal">
      <formula>"WNST7"</formula>
    </cfRule>
  </conditionalFormatting>
  <conditionalFormatting sqref="P16">
    <cfRule type="cellIs" dxfId="97" priority="191" operator="equal">
      <formula>"WNST7"</formula>
    </cfRule>
    <cfRule type="cellIs" dxfId="96" priority="192" operator="equal">
      <formula>"NST7"</formula>
    </cfRule>
  </conditionalFormatting>
  <conditionalFormatting sqref="P23">
    <cfRule type="cellIs" dxfId="95" priority="29" operator="equal">
      <formula>"WNST7"</formula>
    </cfRule>
    <cfRule type="cellIs" dxfId="94" priority="30" operator="equal">
      <formula>"NST7"</formula>
    </cfRule>
  </conditionalFormatting>
  <conditionalFormatting sqref="P25:R25">
    <cfRule type="cellIs" dxfId="93" priority="282" operator="equal">
      <formula>"NST7"</formula>
    </cfRule>
    <cfRule type="cellIs" dxfId="92" priority="281" operator="equal">
      <formula>"WNST7"</formula>
    </cfRule>
  </conditionalFormatting>
  <conditionalFormatting sqref="Q19">
    <cfRule type="cellIs" dxfId="91" priority="79" operator="equal">
      <formula>"WNST7"</formula>
    </cfRule>
    <cfRule type="cellIs" dxfId="90" priority="80" operator="equal">
      <formula>"NST7"</formula>
    </cfRule>
  </conditionalFormatting>
  <conditionalFormatting sqref="Q7:R7">
    <cfRule type="cellIs" dxfId="89" priority="215" operator="equal">
      <formula>"WNST7"</formula>
    </cfRule>
    <cfRule type="cellIs" dxfId="88" priority="216" operator="equal">
      <formula>"NST7"</formula>
    </cfRule>
  </conditionalFormatting>
  <conditionalFormatting sqref="R13">
    <cfRule type="cellIs" dxfId="87" priority="5" operator="equal">
      <formula>"WNST7"</formula>
    </cfRule>
    <cfRule type="cellIs" dxfId="86" priority="6" operator="equal">
      <formula>"NST7"</formula>
    </cfRule>
  </conditionalFormatting>
  <conditionalFormatting sqref="R15">
    <cfRule type="cellIs" dxfId="85" priority="229" operator="equal">
      <formula>"WNST7"</formula>
    </cfRule>
    <cfRule type="cellIs" dxfId="84" priority="230" operator="equal">
      <formula>"NST7"</formula>
    </cfRule>
  </conditionalFormatting>
  <conditionalFormatting sqref="R18">
    <cfRule type="cellIs" dxfId="83" priority="7" operator="equal">
      <formula>"WNST7"</formula>
    </cfRule>
    <cfRule type="cellIs" dxfId="82" priority="8" operator="equal">
      <formula>"NST7"</formula>
    </cfRule>
  </conditionalFormatting>
  <conditionalFormatting sqref="S19">
    <cfRule type="cellIs" dxfId="81" priority="93" operator="equal">
      <formula>"WNST7"</formula>
    </cfRule>
    <cfRule type="cellIs" dxfId="80" priority="94" operator="equal">
      <formula>"NST7"</formula>
    </cfRule>
  </conditionalFormatting>
  <conditionalFormatting sqref="T25">
    <cfRule type="cellIs" dxfId="79" priority="261" operator="equal">
      <formula>"WNST7"</formula>
    </cfRule>
    <cfRule type="cellIs" dxfId="78" priority="262" operator="equal">
      <formula>"NST7"</formula>
    </cfRule>
  </conditionalFormatting>
  <conditionalFormatting sqref="U5">
    <cfRule type="cellIs" dxfId="77" priority="176" operator="equal">
      <formula>"NST7"</formula>
    </cfRule>
    <cfRule type="cellIs" dxfId="76" priority="175" operator="equal">
      <formula>"WNST7"</formula>
    </cfRule>
  </conditionalFormatting>
  <conditionalFormatting sqref="U19">
    <cfRule type="cellIs" dxfId="75" priority="92" operator="equal">
      <formula>"NST7"</formula>
    </cfRule>
    <cfRule type="cellIs" dxfId="74" priority="91" operator="equal">
      <formula>"WNST7"</formula>
    </cfRule>
  </conditionalFormatting>
  <conditionalFormatting sqref="U10:V10">
    <cfRule type="cellIs" dxfId="73" priority="131" operator="equal">
      <formula>"WNST7"</formula>
    </cfRule>
    <cfRule type="cellIs" dxfId="72" priority="132" operator="equal">
      <formula>"NST7"</formula>
    </cfRule>
  </conditionalFormatting>
  <conditionalFormatting sqref="U23:V23">
    <cfRule type="cellIs" dxfId="71" priority="259" operator="equal">
      <formula>"WNST7"</formula>
    </cfRule>
    <cfRule type="cellIs" dxfId="70" priority="260" operator="equal">
      <formula>"NST7"</formula>
    </cfRule>
  </conditionalFormatting>
  <conditionalFormatting sqref="U24:Y24">
    <cfRule type="cellIs" dxfId="69" priority="276" operator="equal">
      <formula>"NST7"</formula>
    </cfRule>
    <cfRule type="cellIs" dxfId="68" priority="275" operator="equal">
      <formula>"WNST7"</formula>
    </cfRule>
  </conditionalFormatting>
  <conditionalFormatting sqref="V7">
    <cfRule type="cellIs" dxfId="67" priority="168" operator="equal">
      <formula>"NST7"</formula>
    </cfRule>
    <cfRule type="cellIs" dxfId="66" priority="167" operator="equal">
      <formula>"WNST7"</formula>
    </cfRule>
  </conditionalFormatting>
  <conditionalFormatting sqref="W6">
    <cfRule type="cellIs" dxfId="65" priority="173" operator="equal">
      <formula>"WNST7"</formula>
    </cfRule>
    <cfRule type="cellIs" dxfId="64" priority="174" operator="equal">
      <formula>"NST7"</formula>
    </cfRule>
  </conditionalFormatting>
  <conditionalFormatting sqref="W25">
    <cfRule type="cellIs" dxfId="63" priority="263" operator="equal">
      <formula>"WNST7"</formula>
    </cfRule>
    <cfRule type="cellIs" dxfId="62" priority="264" operator="equal">
      <formula>"NST7"</formula>
    </cfRule>
  </conditionalFormatting>
  <conditionalFormatting sqref="W11:X11">
    <cfRule type="cellIs" dxfId="61" priority="121" operator="equal">
      <formula>"WNST7"</formula>
    </cfRule>
    <cfRule type="cellIs" dxfId="60" priority="122" operator="equal">
      <formula>"NST7"</formula>
    </cfRule>
  </conditionalFormatting>
  <conditionalFormatting sqref="W15:X15">
    <cfRule type="cellIs" dxfId="59" priority="233" operator="equal">
      <formula>"WNST7"</formula>
    </cfRule>
    <cfRule type="cellIs" dxfId="58" priority="234" operator="equal">
      <formula>"NST7"</formula>
    </cfRule>
  </conditionalFormatting>
  <conditionalFormatting sqref="X4">
    <cfRule type="cellIs" dxfId="57" priority="207" operator="equal">
      <formula>"WNST7"</formula>
    </cfRule>
    <cfRule type="cellIs" dxfId="56" priority="208" operator="equal">
      <formula>"NST7"</formula>
    </cfRule>
  </conditionalFormatting>
  <conditionalFormatting sqref="X12">
    <cfRule type="cellIs" dxfId="55" priority="120" operator="equal">
      <formula>"NST7"</formula>
    </cfRule>
    <cfRule type="cellIs" dxfId="54" priority="119" operator="equal">
      <formula>"WNST7"</formula>
    </cfRule>
  </conditionalFormatting>
  <conditionalFormatting sqref="X26">
    <cfRule type="cellIs" dxfId="53" priority="266" operator="equal">
      <formula>"NST7"</formula>
    </cfRule>
    <cfRule type="cellIs" dxfId="52" priority="265" operator="equal">
      <formula>"WNST7"</formula>
    </cfRule>
  </conditionalFormatting>
  <conditionalFormatting sqref="Y6">
    <cfRule type="cellIs" dxfId="51" priority="3" operator="equal">
      <formula>"WNST7"</formula>
    </cfRule>
    <cfRule type="cellIs" dxfId="50" priority="4" operator="equal">
      <formula>"NST7"</formula>
    </cfRule>
  </conditionalFormatting>
  <conditionalFormatting sqref="Y9">
    <cfRule type="cellIs" dxfId="49" priority="149" operator="equal">
      <formula>"WNST7"</formula>
    </cfRule>
    <cfRule type="cellIs" dxfId="48" priority="150" operator="equal">
      <formula>"NST7"</formula>
    </cfRule>
  </conditionalFormatting>
  <conditionalFormatting sqref="Y13">
    <cfRule type="cellIs" dxfId="47" priority="46" operator="equal">
      <formula>"NST7"</formula>
    </cfRule>
    <cfRule type="cellIs" dxfId="46" priority="45" operator="equal">
      <formula>"WNST7"</formula>
    </cfRule>
  </conditionalFormatting>
  <conditionalFormatting sqref="Y17">
    <cfRule type="cellIs" dxfId="45" priority="99" operator="equal">
      <formula>"WNST7"</formula>
    </cfRule>
    <cfRule type="cellIs" dxfId="44" priority="100" operator="equal">
      <formula>"NST7"</formula>
    </cfRule>
  </conditionalFormatting>
  <conditionalFormatting sqref="Y23">
    <cfRule type="cellIs" dxfId="43" priority="257" operator="equal">
      <formula>"WNST7"</formula>
    </cfRule>
    <cfRule type="cellIs" dxfId="42" priority="258" operator="equal">
      <formula>"NST7"</formula>
    </cfRule>
  </conditionalFormatting>
  <conditionalFormatting sqref="Z19">
    <cfRule type="cellIs" dxfId="41" priority="90" operator="equal">
      <formula>"NST7"</formula>
    </cfRule>
    <cfRule type="cellIs" dxfId="40" priority="89" operator="equal">
      <formula>"WNST7"</formula>
    </cfRule>
  </conditionalFormatting>
  <conditionalFormatting sqref="AA26:AC26">
    <cfRule type="cellIs" dxfId="39" priority="70" operator="equal">
      <formula>"NST7"</formula>
    </cfRule>
    <cfRule type="cellIs" dxfId="38" priority="69" operator="equal">
      <formula>"WNST7"</formula>
    </cfRule>
  </conditionalFormatting>
  <conditionalFormatting sqref="AB10">
    <cfRule type="cellIs" dxfId="37" priority="127" operator="equal">
      <formula>"WNST7"</formula>
    </cfRule>
    <cfRule type="cellIs" dxfId="36" priority="128" operator="equal">
      <formula>"NST7"</formula>
    </cfRule>
  </conditionalFormatting>
  <conditionalFormatting sqref="AB16">
    <cfRule type="cellIs" dxfId="35" priority="97" operator="equal">
      <formula>"WNST7"</formula>
    </cfRule>
    <cfRule type="cellIs" dxfId="34" priority="98" operator="equal">
      <formula>"NST7"</formula>
    </cfRule>
  </conditionalFormatting>
  <conditionalFormatting sqref="AB19">
    <cfRule type="cellIs" dxfId="33" priority="86" operator="equal">
      <formula>"NST7"</formula>
    </cfRule>
    <cfRule type="cellIs" dxfId="32" priority="85" operator="equal">
      <formula>"WNST7"</formula>
    </cfRule>
  </conditionalFormatting>
  <conditionalFormatting sqref="AB25:AF25">
    <cfRule type="cellIs" dxfId="31" priority="254" operator="equal">
      <formula>"NST7"</formula>
    </cfRule>
    <cfRule type="cellIs" dxfId="30" priority="253" operator="equal">
      <formula>"WNST7"</formula>
    </cfRule>
  </conditionalFormatting>
  <conditionalFormatting sqref="AC7">
    <cfRule type="cellIs" dxfId="29" priority="180" operator="equal">
      <formula>"NST7"</formula>
    </cfRule>
    <cfRule type="cellIs" dxfId="28" priority="179" operator="equal">
      <formula>"WNST7"</formula>
    </cfRule>
  </conditionalFormatting>
  <conditionalFormatting sqref="AC12">
    <cfRule type="cellIs" dxfId="27" priority="34" operator="equal">
      <formula>"NST7"</formula>
    </cfRule>
    <cfRule type="cellIs" dxfId="26" priority="33" operator="equal">
      <formula>"WNST7"</formula>
    </cfRule>
  </conditionalFormatting>
  <conditionalFormatting sqref="AC17">
    <cfRule type="cellIs" dxfId="25" priority="95" operator="equal">
      <formula>"WNST7"</formula>
    </cfRule>
    <cfRule type="cellIs" dxfId="24" priority="96" operator="equal">
      <formula>"NST7"</formula>
    </cfRule>
  </conditionalFormatting>
  <conditionalFormatting sqref="AD11">
    <cfRule type="cellIs" dxfId="23" priority="32" operator="equal">
      <formula>"NST7"</formula>
    </cfRule>
    <cfRule type="cellIs" dxfId="22" priority="31" operator="equal">
      <formula>"WNST7"</formula>
    </cfRule>
  </conditionalFormatting>
  <conditionalFormatting sqref="AD18">
    <cfRule type="cellIs" dxfId="21" priority="54" operator="equal">
      <formula>"NST7"</formula>
    </cfRule>
    <cfRule type="cellIs" dxfId="20" priority="53" operator="equal">
      <formula>"WNST7"</formula>
    </cfRule>
  </conditionalFormatting>
  <conditionalFormatting sqref="AD23">
    <cfRule type="cellIs" dxfId="19" priority="42" operator="equal">
      <formula>"NST7"</formula>
    </cfRule>
    <cfRule type="cellIs" dxfId="18" priority="41" operator="equal">
      <formula>"WNST7"</formula>
    </cfRule>
  </conditionalFormatting>
  <conditionalFormatting sqref="AE19">
    <cfRule type="cellIs" dxfId="17" priority="58" operator="equal">
      <formula>"NST7"</formula>
    </cfRule>
    <cfRule type="cellIs" dxfId="16" priority="57" operator="equal">
      <formula>"WNST7"</formula>
    </cfRule>
  </conditionalFormatting>
  <conditionalFormatting sqref="AE26">
    <cfRule type="cellIs" dxfId="15" priority="40" operator="equal">
      <formula>"NST7"</formula>
    </cfRule>
    <cfRule type="cellIs" dxfId="14" priority="39" operator="equal">
      <formula>"WNST7"</formula>
    </cfRule>
  </conditionalFormatting>
  <conditionalFormatting sqref="AE9:AF9">
    <cfRule type="cellIs" dxfId="13" priority="130" operator="equal">
      <formula>"NST7"</formula>
    </cfRule>
    <cfRule type="cellIs" dxfId="12" priority="129" operator="equal">
      <formula>"WNST7"</formula>
    </cfRule>
  </conditionalFormatting>
  <conditionalFormatting sqref="AF24">
    <cfRule type="cellIs" dxfId="11" priority="246" operator="equal">
      <formula>"NST7"</formula>
    </cfRule>
    <cfRule type="cellIs" dxfId="10" priority="245" operator="equal">
      <formula>"WNST7"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E0D2-A1A3-4EEA-998D-B094F8EBAD0C}">
  <dimension ref="A1:AE36"/>
  <sheetViews>
    <sheetView tabSelected="1" zoomScale="60" zoomScaleNormal="60" workbookViewId="0">
      <pane xSplit="1" topLeftCell="D1" activePane="topRight" state="frozen"/>
      <selection pane="topRight" activeCell="Y10" sqref="Y10:AA10"/>
    </sheetView>
  </sheetViews>
  <sheetFormatPr defaultRowHeight="14.5" x14ac:dyDescent="0.35"/>
  <cols>
    <col min="1" max="1" width="22.453125" customWidth="1"/>
    <col min="2" max="2" width="8.7265625" customWidth="1"/>
  </cols>
  <sheetData>
    <row r="1" spans="1:31" x14ac:dyDescent="0.35">
      <c r="A1" s="1"/>
      <c r="B1" s="2" t="str">
        <f t="shared" ref="B1:AE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</row>
    <row r="2" spans="1:31" x14ac:dyDescent="0.35">
      <c r="A2" s="95" t="s">
        <v>0</v>
      </c>
      <c r="B2" s="29">
        <v>45689</v>
      </c>
      <c r="C2" s="29">
        <v>45690</v>
      </c>
      <c r="D2" s="29">
        <v>45691</v>
      </c>
      <c r="E2" s="29">
        <v>45692</v>
      </c>
      <c r="F2" s="29">
        <v>45693</v>
      </c>
      <c r="G2" s="29">
        <v>45694</v>
      </c>
      <c r="H2" s="29">
        <v>45695</v>
      </c>
      <c r="I2" s="29">
        <v>45696</v>
      </c>
      <c r="J2" s="29">
        <v>45697</v>
      </c>
      <c r="K2" s="29">
        <v>45698</v>
      </c>
      <c r="L2" s="29">
        <v>45699</v>
      </c>
      <c r="M2" s="29">
        <v>45700</v>
      </c>
      <c r="N2" s="29">
        <v>45701</v>
      </c>
      <c r="O2" s="29">
        <v>45702</v>
      </c>
      <c r="P2" s="29">
        <v>45703</v>
      </c>
      <c r="Q2" s="29">
        <v>45704</v>
      </c>
      <c r="R2" s="29">
        <v>45705</v>
      </c>
      <c r="S2" s="29">
        <v>45706</v>
      </c>
      <c r="T2" s="29">
        <v>45707</v>
      </c>
      <c r="U2" s="29">
        <v>45708</v>
      </c>
      <c r="V2" s="29">
        <v>45709</v>
      </c>
      <c r="W2" s="29">
        <v>45710</v>
      </c>
      <c r="X2" s="29">
        <v>45711</v>
      </c>
      <c r="Y2" s="29">
        <v>45712</v>
      </c>
      <c r="Z2" s="29">
        <v>45713</v>
      </c>
      <c r="AA2" s="29">
        <v>45714</v>
      </c>
      <c r="AB2" s="29">
        <v>45715</v>
      </c>
      <c r="AC2" s="29">
        <v>45716</v>
      </c>
      <c r="AD2" s="29">
        <v>45717</v>
      </c>
      <c r="AE2" s="29">
        <v>45718</v>
      </c>
    </row>
    <row r="3" spans="1:31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35">
      <c r="A4" s="165" t="s">
        <v>1</v>
      </c>
      <c r="B4" s="122" t="s">
        <v>5</v>
      </c>
      <c r="C4" s="122" t="s">
        <v>5</v>
      </c>
      <c r="D4" s="122" t="s">
        <v>5</v>
      </c>
      <c r="E4" s="122" t="s">
        <v>5</v>
      </c>
      <c r="F4" s="122" t="s">
        <v>5</v>
      </c>
      <c r="G4" s="122" t="s">
        <v>5</v>
      </c>
      <c r="H4" s="19" t="s">
        <v>41</v>
      </c>
      <c r="O4" s="122" t="s">
        <v>5</v>
      </c>
      <c r="T4" s="122" t="s">
        <v>5</v>
      </c>
      <c r="U4" s="122" t="s">
        <v>5</v>
      </c>
      <c r="V4" s="122" t="s">
        <v>5</v>
      </c>
      <c r="W4" s="122" t="s">
        <v>5</v>
      </c>
      <c r="X4" s="122" t="s">
        <v>5</v>
      </c>
    </row>
    <row r="5" spans="1:31" x14ac:dyDescent="0.35">
      <c r="A5" s="165" t="s">
        <v>21</v>
      </c>
    </row>
    <row r="6" spans="1:31" x14ac:dyDescent="0.35">
      <c r="A6" s="141" t="s">
        <v>22</v>
      </c>
      <c r="H6" s="122" t="s">
        <v>5</v>
      </c>
      <c r="I6" s="122" t="s">
        <v>5</v>
      </c>
      <c r="J6" s="122" t="s">
        <v>5</v>
      </c>
      <c r="K6" s="122" t="s">
        <v>5</v>
      </c>
      <c r="N6" s="122" t="s">
        <v>5</v>
      </c>
      <c r="O6" s="122" t="s">
        <v>5</v>
      </c>
      <c r="P6" s="122" t="s">
        <v>5</v>
      </c>
    </row>
    <row r="7" spans="1:31" x14ac:dyDescent="0.35">
      <c r="A7" s="141" t="s">
        <v>98</v>
      </c>
    </row>
    <row r="8" spans="1:31" x14ac:dyDescent="0.35">
      <c r="A8" s="141" t="s">
        <v>60</v>
      </c>
    </row>
    <row r="10" spans="1:31" x14ac:dyDescent="0.35">
      <c r="A10" s="165" t="s">
        <v>9</v>
      </c>
      <c r="B10" s="25" t="s">
        <v>3</v>
      </c>
      <c r="C10" s="25" t="s">
        <v>3</v>
      </c>
      <c r="D10" s="25" t="s">
        <v>3</v>
      </c>
      <c r="E10" s="25" t="s">
        <v>3</v>
      </c>
      <c r="F10" s="122" t="s">
        <v>5</v>
      </c>
      <c r="G10" s="122" t="s">
        <v>5</v>
      </c>
      <c r="H10" s="122" t="s">
        <v>5</v>
      </c>
      <c r="I10" s="122" t="s">
        <v>5</v>
      </c>
      <c r="J10" s="122" t="s">
        <v>5</v>
      </c>
      <c r="K10" s="122" t="s">
        <v>5</v>
      </c>
      <c r="L10" s="122" t="s">
        <v>5</v>
      </c>
      <c r="M10" s="122" t="s">
        <v>5</v>
      </c>
      <c r="T10" s="122" t="s">
        <v>5</v>
      </c>
      <c r="U10" s="122" t="s">
        <v>5</v>
      </c>
      <c r="Y10" s="122" t="s">
        <v>5</v>
      </c>
      <c r="Z10" s="122" t="s">
        <v>5</v>
      </c>
      <c r="AA10" s="122" t="s">
        <v>5</v>
      </c>
    </row>
    <row r="11" spans="1:31" x14ac:dyDescent="0.35">
      <c r="A11" s="165" t="s">
        <v>79</v>
      </c>
    </row>
    <row r="12" spans="1:31" x14ac:dyDescent="0.35">
      <c r="A12" s="141" t="s">
        <v>71</v>
      </c>
    </row>
    <row r="13" spans="1:31" x14ac:dyDescent="0.35">
      <c r="A13" s="141" t="s">
        <v>149</v>
      </c>
    </row>
    <row r="14" spans="1:31" x14ac:dyDescent="0.35">
      <c r="A14" s="254" t="s">
        <v>364</v>
      </c>
    </row>
    <row r="16" spans="1:31" x14ac:dyDescent="0.35">
      <c r="A16" s="165" t="s">
        <v>95</v>
      </c>
      <c r="B16" s="16" t="s">
        <v>11</v>
      </c>
      <c r="K16" s="122" t="s">
        <v>5</v>
      </c>
      <c r="L16" s="122" t="s">
        <v>5</v>
      </c>
      <c r="M16" s="122" t="s">
        <v>5</v>
      </c>
      <c r="N16" s="122" t="s">
        <v>5</v>
      </c>
      <c r="O16" s="122" t="s">
        <v>5</v>
      </c>
      <c r="P16" s="122" t="s">
        <v>5</v>
      </c>
      <c r="Q16" s="122" t="s">
        <v>5</v>
      </c>
      <c r="R16" s="122" t="s">
        <v>5</v>
      </c>
    </row>
    <row r="17" spans="1:31" x14ac:dyDescent="0.35">
      <c r="A17" s="165" t="s">
        <v>43</v>
      </c>
    </row>
    <row r="18" spans="1:31" x14ac:dyDescent="0.35">
      <c r="A18" s="141" t="s">
        <v>68</v>
      </c>
    </row>
    <row r="19" spans="1:31" x14ac:dyDescent="0.35">
      <c r="A19" s="141" t="s">
        <v>152</v>
      </c>
    </row>
    <row r="22" spans="1:31" x14ac:dyDescent="0.35">
      <c r="A22" s="264" t="s">
        <v>350</v>
      </c>
    </row>
    <row r="23" spans="1:31" x14ac:dyDescent="0.35">
      <c r="A23" s="141" t="s">
        <v>347</v>
      </c>
    </row>
    <row r="24" spans="1:31" x14ac:dyDescent="0.35">
      <c r="A24" s="141" t="s">
        <v>348</v>
      </c>
    </row>
    <row r="25" spans="1:31" x14ac:dyDescent="0.35">
      <c r="A25" s="141" t="s">
        <v>351</v>
      </c>
    </row>
    <row r="26" spans="1:31" x14ac:dyDescent="0.35">
      <c r="A26" s="141" t="s">
        <v>349</v>
      </c>
    </row>
    <row r="28" spans="1:31" x14ac:dyDescent="0.35">
      <c r="A28" s="128" t="s">
        <v>125</v>
      </c>
      <c r="B28">
        <f>COUNTIF(B4:B20,"*WMS")</f>
        <v>1</v>
      </c>
      <c r="C28">
        <f>COUNTIF(C4:C20,"*WMS")</f>
        <v>1</v>
      </c>
      <c r="D28">
        <f>COUNTIF(D4:D20,"*MSF3")</f>
        <v>0</v>
      </c>
      <c r="E28">
        <f>COUNTIF(E4:E20,"*MSF3")</f>
        <v>0</v>
      </c>
      <c r="F28">
        <f>COUNTIF(F4:F20,"*MSF3")</f>
        <v>0</v>
      </c>
      <c r="G28">
        <f>COUNTIF(G4:G20,"*MSF3")</f>
        <v>0</v>
      </c>
      <c r="H28">
        <f>COUNTIF(H4:H20,"*MSF3")</f>
        <v>0</v>
      </c>
      <c r="I28">
        <f>COUNTIF(I4:I20,"*WMS")</f>
        <v>0</v>
      </c>
      <c r="J28">
        <f>COUNTIF(J4:J20,"*WMS")</f>
        <v>0</v>
      </c>
      <c r="K28">
        <f>COUNTIF(K4:K20,"*MSF3")</f>
        <v>0</v>
      </c>
      <c r="L28">
        <f>COUNTIF(L4:L20,"*MSF3")</f>
        <v>0</v>
      </c>
      <c r="M28">
        <f>COUNTIF(M4:M20,"*MSF3")</f>
        <v>0</v>
      </c>
      <c r="N28">
        <f>COUNTIF(N4:N20,"*MSF3")</f>
        <v>0</v>
      </c>
      <c r="O28">
        <f>COUNTIF(O4:O20,"*MSF3")</f>
        <v>0</v>
      </c>
      <c r="P28">
        <f>COUNTIF(P4:P20,"*WMS")</f>
        <v>0</v>
      </c>
      <c r="Q28">
        <f>COUNTIF(Q4:Q20,"*WMS")</f>
        <v>0</v>
      </c>
      <c r="R28">
        <f>COUNTIF(R4:R20,"*MSF3")</f>
        <v>0</v>
      </c>
      <c r="S28">
        <f>COUNTIF(S4:S20,"*MSF3")</f>
        <v>0</v>
      </c>
      <c r="T28">
        <f>COUNTIF(T4:T20,"*MSF3")</f>
        <v>0</v>
      </c>
      <c r="U28">
        <f>COUNTIF(U4:U20,"*MSF3")</f>
        <v>0</v>
      </c>
      <c r="V28">
        <f>COUNTIF(V4:V20,"*MSF3")</f>
        <v>0</v>
      </c>
      <c r="W28">
        <f>COUNTIF(W4:W20,"*WMS")</f>
        <v>0</v>
      </c>
      <c r="X28">
        <f>COUNTIF(X4:X20,"*WMS")</f>
        <v>0</v>
      </c>
      <c r="Y28">
        <f>COUNTIF(Y4:Y20,"*MSF3")</f>
        <v>0</v>
      </c>
      <c r="Z28">
        <f>COUNTIF(Z4:Z20,"*MSF3")</f>
        <v>0</v>
      </c>
      <c r="AA28">
        <f>COUNTIF(AA4:AA20,"*MSF3")</f>
        <v>0</v>
      </c>
      <c r="AB28">
        <f>COUNTIF(AB4:AB20,"*MSF3")</f>
        <v>0</v>
      </c>
      <c r="AC28">
        <f>COUNTIF(AC4:AC20,"*MSF3")</f>
        <v>0</v>
      </c>
      <c r="AD28">
        <f>COUNTIF(AD4:AD20,"*WMS")</f>
        <v>0</v>
      </c>
      <c r="AE28">
        <f>COUNTIF(AE4:AE20,"*WMS")</f>
        <v>0</v>
      </c>
    </row>
    <row r="29" spans="1:31" x14ac:dyDescent="0.35">
      <c r="A29" s="128" t="s">
        <v>126</v>
      </c>
      <c r="B29">
        <f t="shared" ref="B29:AE29" si="1">COUNTIF(B4:B20,"*ASS1")</f>
        <v>0</v>
      </c>
      <c r="C29">
        <f t="shared" si="1"/>
        <v>0</v>
      </c>
      <c r="D29">
        <f t="shared" si="1"/>
        <v>0</v>
      </c>
      <c r="E29">
        <f t="shared" si="1"/>
        <v>0</v>
      </c>
      <c r="F29">
        <f t="shared" si="1"/>
        <v>0</v>
      </c>
      <c r="G29">
        <f t="shared" si="1"/>
        <v>0</v>
      </c>
      <c r="H29">
        <f t="shared" si="1"/>
        <v>1</v>
      </c>
      <c r="I29">
        <f t="shared" si="1"/>
        <v>0</v>
      </c>
      <c r="J29">
        <f t="shared" si="1"/>
        <v>0</v>
      </c>
      <c r="K29">
        <f t="shared" si="1"/>
        <v>0</v>
      </c>
      <c r="L29">
        <f t="shared" si="1"/>
        <v>0</v>
      </c>
      <c r="M29">
        <f t="shared" si="1"/>
        <v>0</v>
      </c>
      <c r="N29">
        <f t="shared" si="1"/>
        <v>0</v>
      </c>
      <c r="O29">
        <f t="shared" si="1"/>
        <v>0</v>
      </c>
      <c r="P29">
        <f t="shared" si="1"/>
        <v>0</v>
      </c>
      <c r="Q29">
        <f t="shared" si="1"/>
        <v>0</v>
      </c>
      <c r="R29">
        <f t="shared" si="1"/>
        <v>0</v>
      </c>
      <c r="S29">
        <f t="shared" si="1"/>
        <v>0</v>
      </c>
      <c r="T29">
        <f t="shared" si="1"/>
        <v>0</v>
      </c>
      <c r="U29">
        <f t="shared" si="1"/>
        <v>0</v>
      </c>
      <c r="V29">
        <f t="shared" si="1"/>
        <v>0</v>
      </c>
      <c r="W29">
        <f t="shared" si="1"/>
        <v>0</v>
      </c>
      <c r="X29">
        <f t="shared" si="1"/>
        <v>0</v>
      </c>
      <c r="Y29">
        <f t="shared" si="1"/>
        <v>0</v>
      </c>
      <c r="Z29">
        <f t="shared" si="1"/>
        <v>0</v>
      </c>
      <c r="AA29">
        <f t="shared" si="1"/>
        <v>0</v>
      </c>
      <c r="AB29">
        <f t="shared" si="1"/>
        <v>0</v>
      </c>
      <c r="AC29">
        <f t="shared" si="1"/>
        <v>0</v>
      </c>
      <c r="AD29">
        <f t="shared" si="1"/>
        <v>0</v>
      </c>
      <c r="AE29">
        <f t="shared" si="1"/>
        <v>0</v>
      </c>
    </row>
    <row r="30" spans="1:31" x14ac:dyDescent="0.35">
      <c r="A30" s="128" t="s">
        <v>127</v>
      </c>
      <c r="B30">
        <f t="shared" ref="B30:AE30" si="2">COUNTIF(B4:B20,"*NST7")</f>
        <v>1</v>
      </c>
      <c r="C30">
        <f t="shared" si="2"/>
        <v>0</v>
      </c>
      <c r="D30">
        <f t="shared" si="2"/>
        <v>0</v>
      </c>
      <c r="E30">
        <f t="shared" si="2"/>
        <v>0</v>
      </c>
      <c r="F30">
        <f t="shared" si="2"/>
        <v>0</v>
      </c>
      <c r="G30">
        <f t="shared" si="2"/>
        <v>0</v>
      </c>
      <c r="H30">
        <f t="shared" si="2"/>
        <v>0</v>
      </c>
      <c r="I30">
        <f t="shared" si="2"/>
        <v>0</v>
      </c>
      <c r="J30">
        <f t="shared" si="2"/>
        <v>0</v>
      </c>
      <c r="K30">
        <f t="shared" si="2"/>
        <v>0</v>
      </c>
      <c r="L30">
        <f t="shared" si="2"/>
        <v>0</v>
      </c>
      <c r="M30">
        <f t="shared" si="2"/>
        <v>0</v>
      </c>
      <c r="N30">
        <f t="shared" si="2"/>
        <v>0</v>
      </c>
      <c r="O30">
        <f t="shared" si="2"/>
        <v>0</v>
      </c>
      <c r="P30">
        <f t="shared" si="2"/>
        <v>0</v>
      </c>
      <c r="Q30">
        <f t="shared" si="2"/>
        <v>0</v>
      </c>
      <c r="R30">
        <f t="shared" si="2"/>
        <v>0</v>
      </c>
      <c r="S30">
        <f t="shared" si="2"/>
        <v>0</v>
      </c>
      <c r="T30">
        <f t="shared" si="2"/>
        <v>0</v>
      </c>
      <c r="U30">
        <f t="shared" si="2"/>
        <v>0</v>
      </c>
      <c r="V30">
        <f t="shared" si="2"/>
        <v>0</v>
      </c>
      <c r="W30">
        <f t="shared" si="2"/>
        <v>0</v>
      </c>
      <c r="X30">
        <f t="shared" si="2"/>
        <v>0</v>
      </c>
      <c r="Y30">
        <f t="shared" si="2"/>
        <v>0</v>
      </c>
      <c r="Z30">
        <f t="shared" si="2"/>
        <v>0</v>
      </c>
      <c r="AA30">
        <f t="shared" si="2"/>
        <v>0</v>
      </c>
      <c r="AB30">
        <f t="shared" si="2"/>
        <v>0</v>
      </c>
      <c r="AC30">
        <f t="shared" si="2"/>
        <v>0</v>
      </c>
      <c r="AD30">
        <f t="shared" si="2"/>
        <v>0</v>
      </c>
      <c r="AE30">
        <f t="shared" si="2"/>
        <v>0</v>
      </c>
    </row>
    <row r="31" spans="1:31" x14ac:dyDescent="0.35">
      <c r="A31" s="128" t="s">
        <v>128</v>
      </c>
      <c r="B31">
        <f t="shared" ref="B31:AE31" si="3">COUNTIF(B4:B20,"*GS")</f>
        <v>0</v>
      </c>
      <c r="C31">
        <f t="shared" si="3"/>
        <v>0</v>
      </c>
      <c r="D31">
        <f t="shared" si="3"/>
        <v>0</v>
      </c>
      <c r="E31">
        <f t="shared" si="3"/>
        <v>0</v>
      </c>
      <c r="F31">
        <f t="shared" si="3"/>
        <v>0</v>
      </c>
      <c r="G31">
        <f t="shared" si="3"/>
        <v>0</v>
      </c>
      <c r="H31">
        <f t="shared" si="3"/>
        <v>0</v>
      </c>
      <c r="I31">
        <f t="shared" si="3"/>
        <v>0</v>
      </c>
      <c r="J31">
        <f t="shared" si="3"/>
        <v>0</v>
      </c>
      <c r="K31">
        <f t="shared" si="3"/>
        <v>0</v>
      </c>
      <c r="L31">
        <f t="shared" si="3"/>
        <v>0</v>
      </c>
      <c r="M31">
        <f t="shared" si="3"/>
        <v>0</v>
      </c>
      <c r="N31">
        <f t="shared" si="3"/>
        <v>0</v>
      </c>
      <c r="O31">
        <f t="shared" si="3"/>
        <v>0</v>
      </c>
      <c r="P31">
        <f t="shared" si="3"/>
        <v>0</v>
      </c>
      <c r="Q31">
        <f t="shared" si="3"/>
        <v>0</v>
      </c>
      <c r="R31">
        <f t="shared" si="3"/>
        <v>0</v>
      </c>
      <c r="S31">
        <f t="shared" si="3"/>
        <v>0</v>
      </c>
      <c r="T31">
        <f t="shared" si="3"/>
        <v>0</v>
      </c>
      <c r="U31">
        <f t="shared" si="3"/>
        <v>0</v>
      </c>
      <c r="V31">
        <f t="shared" si="3"/>
        <v>0</v>
      </c>
      <c r="W31">
        <f t="shared" si="3"/>
        <v>0</v>
      </c>
      <c r="X31">
        <f t="shared" si="3"/>
        <v>0</v>
      </c>
      <c r="Y31">
        <f t="shared" si="3"/>
        <v>0</v>
      </c>
      <c r="Z31">
        <f t="shared" si="3"/>
        <v>0</v>
      </c>
      <c r="AA31">
        <f t="shared" si="3"/>
        <v>0</v>
      </c>
      <c r="AB31">
        <f t="shared" si="3"/>
        <v>0</v>
      </c>
      <c r="AC31">
        <f t="shared" si="3"/>
        <v>0</v>
      </c>
      <c r="AD31">
        <f t="shared" si="3"/>
        <v>0</v>
      </c>
      <c r="AE31">
        <f t="shared" si="3"/>
        <v>0</v>
      </c>
    </row>
    <row r="32" spans="1:31" x14ac:dyDescent="0.35">
      <c r="A32" s="128" t="s">
        <v>129</v>
      </c>
      <c r="B32">
        <f>COUNTIF(B4:B20,"WO")</f>
        <v>0</v>
      </c>
      <c r="C32">
        <f>COUNTIF(C4:C20,"WO")</f>
        <v>0</v>
      </c>
      <c r="D32">
        <f>COUNTIF(D4:D20,"C")</f>
        <v>0</v>
      </c>
      <c r="E32">
        <f>COUNTIF(E4:E20,"C")</f>
        <v>0</v>
      </c>
      <c r="F32">
        <f>COUNTIF(F4:F20,"C")</f>
        <v>0</v>
      </c>
      <c r="G32">
        <f>COUNTIF(G4:G20,"C")</f>
        <v>0</v>
      </c>
      <c r="H32">
        <f>COUNTIF(H4:H20,"C")</f>
        <v>0</v>
      </c>
      <c r="I32">
        <f>COUNTIF(I4:I20,"WO")</f>
        <v>0</v>
      </c>
      <c r="J32">
        <f>COUNTIF(J4:J20,"WO")</f>
        <v>0</v>
      </c>
      <c r="K32">
        <f>COUNTIF(K4:K20,"C")</f>
        <v>0</v>
      </c>
      <c r="L32">
        <f>COUNTIF(L4:L20,"C")</f>
        <v>0</v>
      </c>
      <c r="M32">
        <f>COUNTIF(M4:M20,"C")</f>
        <v>0</v>
      </c>
      <c r="N32">
        <f>COUNTIF(N4:N20,"C")</f>
        <v>0</v>
      </c>
      <c r="O32">
        <f>COUNTIF(O4:O20,"C")</f>
        <v>0</v>
      </c>
      <c r="P32">
        <f>COUNTIF(P4:P20,"WO")</f>
        <v>0</v>
      </c>
      <c r="Q32">
        <f>COUNTIF(Q4:Q20,"WO")</f>
        <v>0</v>
      </c>
      <c r="R32">
        <f>COUNTIF(R4:R20,"C")</f>
        <v>0</v>
      </c>
      <c r="S32">
        <f>COUNTIF(S4:S20,"C")</f>
        <v>0</v>
      </c>
      <c r="T32">
        <f>COUNTIF(T4:T20,"C")</f>
        <v>0</v>
      </c>
      <c r="U32">
        <f>COUNTIF(U4:U20,"C")</f>
        <v>0</v>
      </c>
      <c r="V32">
        <f>COUNTIF(V4:V20,"C")</f>
        <v>0</v>
      </c>
      <c r="W32">
        <f>COUNTIF(W4:W20,"WO")</f>
        <v>0</v>
      </c>
      <c r="X32">
        <f>COUNTIF(X4:X20,"WO")</f>
        <v>0</v>
      </c>
      <c r="Y32">
        <f>COUNTIF(Y4:Y20,"C")</f>
        <v>0</v>
      </c>
      <c r="Z32">
        <f>COUNTIF(Z4:Z20,"C")</f>
        <v>0</v>
      </c>
      <c r="AA32">
        <f>COUNTIF(AA4:AA20,"C")</f>
        <v>0</v>
      </c>
      <c r="AB32">
        <f>COUNTIF(AB4:AB20,"C")</f>
        <v>0</v>
      </c>
      <c r="AC32">
        <f>COUNTIF(AC4:AC20,"C")</f>
        <v>0</v>
      </c>
      <c r="AD32">
        <f>COUNTIF(AD4:AD20,"WO")</f>
        <v>0</v>
      </c>
      <c r="AE32">
        <f>COUNTIF(AE4:AE20,"WO")</f>
        <v>0</v>
      </c>
    </row>
    <row r="33" spans="1:31" x14ac:dyDescent="0.35">
      <c r="A33" s="128" t="s">
        <v>130</v>
      </c>
      <c r="B33">
        <f t="shared" ref="B33:AE33" si="4">COUNTIF(B4:B20,"PL")</f>
        <v>1</v>
      </c>
      <c r="C33">
        <f t="shared" si="4"/>
        <v>1</v>
      </c>
      <c r="D33">
        <f t="shared" si="4"/>
        <v>1</v>
      </c>
      <c r="E33">
        <f t="shared" si="4"/>
        <v>1</v>
      </c>
      <c r="F33">
        <f t="shared" si="4"/>
        <v>2</v>
      </c>
      <c r="G33">
        <f t="shared" si="4"/>
        <v>2</v>
      </c>
      <c r="H33">
        <f t="shared" si="4"/>
        <v>2</v>
      </c>
      <c r="I33">
        <f t="shared" si="4"/>
        <v>2</v>
      </c>
      <c r="J33">
        <f t="shared" si="4"/>
        <v>2</v>
      </c>
      <c r="K33">
        <f t="shared" si="4"/>
        <v>3</v>
      </c>
      <c r="L33">
        <f t="shared" si="4"/>
        <v>2</v>
      </c>
      <c r="M33">
        <f t="shared" si="4"/>
        <v>2</v>
      </c>
      <c r="N33">
        <f t="shared" si="4"/>
        <v>2</v>
      </c>
      <c r="O33">
        <f t="shared" si="4"/>
        <v>3</v>
      </c>
      <c r="P33">
        <f t="shared" si="4"/>
        <v>2</v>
      </c>
      <c r="Q33">
        <f t="shared" si="4"/>
        <v>1</v>
      </c>
      <c r="R33">
        <f t="shared" si="4"/>
        <v>1</v>
      </c>
      <c r="S33">
        <f t="shared" si="4"/>
        <v>0</v>
      </c>
      <c r="T33">
        <f t="shared" si="4"/>
        <v>2</v>
      </c>
      <c r="U33">
        <f t="shared" si="4"/>
        <v>2</v>
      </c>
      <c r="V33">
        <f t="shared" si="4"/>
        <v>1</v>
      </c>
      <c r="W33">
        <f t="shared" si="4"/>
        <v>1</v>
      </c>
      <c r="X33">
        <f t="shared" si="4"/>
        <v>1</v>
      </c>
      <c r="Y33">
        <f t="shared" si="4"/>
        <v>1</v>
      </c>
      <c r="Z33">
        <f t="shared" si="4"/>
        <v>1</v>
      </c>
      <c r="AA33">
        <f t="shared" si="4"/>
        <v>1</v>
      </c>
      <c r="AB33">
        <f t="shared" si="4"/>
        <v>0</v>
      </c>
      <c r="AC33">
        <f t="shared" si="4"/>
        <v>0</v>
      </c>
      <c r="AD33">
        <f t="shared" si="4"/>
        <v>0</v>
      </c>
      <c r="AE33">
        <f t="shared" si="4"/>
        <v>0</v>
      </c>
    </row>
    <row r="34" spans="1:31" x14ac:dyDescent="0.35">
      <c r="A34" s="128" t="s">
        <v>33</v>
      </c>
      <c r="B34">
        <f t="shared" ref="B34:AE34" si="5">COUNTIF(B4:B20,"UPL")</f>
        <v>0</v>
      </c>
      <c r="C34">
        <f t="shared" si="5"/>
        <v>0</v>
      </c>
      <c r="D34">
        <f t="shared" si="5"/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0</v>
      </c>
      <c r="J34">
        <f t="shared" si="5"/>
        <v>0</v>
      </c>
      <c r="K34">
        <f t="shared" si="5"/>
        <v>0</v>
      </c>
      <c r="L34">
        <f t="shared" si="5"/>
        <v>0</v>
      </c>
      <c r="M34">
        <f t="shared" si="5"/>
        <v>0</v>
      </c>
      <c r="N34">
        <f t="shared" si="5"/>
        <v>0</v>
      </c>
      <c r="O34">
        <f t="shared" si="5"/>
        <v>0</v>
      </c>
      <c r="P34">
        <f t="shared" si="5"/>
        <v>0</v>
      </c>
      <c r="Q34">
        <f t="shared" si="5"/>
        <v>0</v>
      </c>
      <c r="R34">
        <f t="shared" si="5"/>
        <v>0</v>
      </c>
      <c r="S34">
        <f t="shared" si="5"/>
        <v>0</v>
      </c>
      <c r="T34">
        <f t="shared" si="5"/>
        <v>0</v>
      </c>
      <c r="U34">
        <f t="shared" si="5"/>
        <v>0</v>
      </c>
      <c r="V34">
        <f t="shared" si="5"/>
        <v>0</v>
      </c>
      <c r="W34">
        <f t="shared" si="5"/>
        <v>0</v>
      </c>
      <c r="X34">
        <f t="shared" si="5"/>
        <v>0</v>
      </c>
      <c r="Y34">
        <f t="shared" si="5"/>
        <v>0</v>
      </c>
      <c r="Z34">
        <f t="shared" si="5"/>
        <v>0</v>
      </c>
      <c r="AA34">
        <f t="shared" si="5"/>
        <v>0</v>
      </c>
      <c r="AB34">
        <f t="shared" si="5"/>
        <v>0</v>
      </c>
      <c r="AC34">
        <f t="shared" si="5"/>
        <v>0</v>
      </c>
      <c r="AD34">
        <f t="shared" si="5"/>
        <v>0</v>
      </c>
      <c r="AE34">
        <f t="shared" si="5"/>
        <v>0</v>
      </c>
    </row>
    <row r="35" spans="1:31" x14ac:dyDescent="0.35">
      <c r="A35" s="128" t="s">
        <v>141</v>
      </c>
      <c r="B35">
        <f t="shared" ref="B35:AE35" si="6">COUNTIF(B4:B20,"H")</f>
        <v>0</v>
      </c>
      <c r="C35">
        <f t="shared" si="6"/>
        <v>0</v>
      </c>
      <c r="D35">
        <f t="shared" si="6"/>
        <v>0</v>
      </c>
      <c r="E35">
        <f t="shared" si="6"/>
        <v>0</v>
      </c>
      <c r="F35">
        <f t="shared" si="6"/>
        <v>0</v>
      </c>
      <c r="G35">
        <f t="shared" si="6"/>
        <v>0</v>
      </c>
      <c r="H35">
        <f t="shared" si="6"/>
        <v>0</v>
      </c>
      <c r="I35">
        <f t="shared" si="6"/>
        <v>0</v>
      </c>
      <c r="J35">
        <f t="shared" si="6"/>
        <v>0</v>
      </c>
      <c r="K35">
        <f t="shared" si="6"/>
        <v>0</v>
      </c>
      <c r="L35">
        <f t="shared" si="6"/>
        <v>0</v>
      </c>
      <c r="M35">
        <f t="shared" si="6"/>
        <v>0</v>
      </c>
      <c r="N35">
        <f t="shared" si="6"/>
        <v>0</v>
      </c>
      <c r="O35">
        <f t="shared" si="6"/>
        <v>0</v>
      </c>
      <c r="P35">
        <f t="shared" si="6"/>
        <v>0</v>
      </c>
      <c r="Q35">
        <f t="shared" si="6"/>
        <v>0</v>
      </c>
      <c r="R35">
        <f t="shared" si="6"/>
        <v>0</v>
      </c>
      <c r="S35">
        <f t="shared" si="6"/>
        <v>0</v>
      </c>
      <c r="T35">
        <f t="shared" si="6"/>
        <v>0</v>
      </c>
      <c r="U35">
        <f t="shared" si="6"/>
        <v>0</v>
      </c>
      <c r="V35">
        <f t="shared" si="6"/>
        <v>0</v>
      </c>
      <c r="W35">
        <f t="shared" si="6"/>
        <v>0</v>
      </c>
      <c r="X35">
        <f t="shared" si="6"/>
        <v>0</v>
      </c>
      <c r="Y35">
        <f t="shared" si="6"/>
        <v>0</v>
      </c>
      <c r="Z35">
        <f t="shared" si="6"/>
        <v>0</v>
      </c>
      <c r="AA35">
        <f t="shared" si="6"/>
        <v>0</v>
      </c>
      <c r="AB35">
        <f t="shared" si="6"/>
        <v>0</v>
      </c>
      <c r="AC35">
        <f t="shared" si="6"/>
        <v>0</v>
      </c>
      <c r="AD35">
        <f t="shared" si="6"/>
        <v>0</v>
      </c>
      <c r="AE35">
        <f t="shared" si="6"/>
        <v>0</v>
      </c>
    </row>
    <row r="36" spans="1:31" x14ac:dyDescent="0.35">
      <c r="A36" s="128" t="s">
        <v>131</v>
      </c>
      <c r="B36" s="129">
        <f t="shared" ref="B36" si="7">SUM(B28:B35)</f>
        <v>3</v>
      </c>
      <c r="C36" s="129">
        <f t="shared" ref="C36:AE36" si="8">SUM(C28:C35)</f>
        <v>2</v>
      </c>
      <c r="D36" s="129">
        <f t="shared" si="8"/>
        <v>1</v>
      </c>
      <c r="E36" s="129">
        <f t="shared" si="8"/>
        <v>1</v>
      </c>
      <c r="F36" s="129">
        <f t="shared" si="8"/>
        <v>2</v>
      </c>
      <c r="G36" s="129">
        <f t="shared" si="8"/>
        <v>2</v>
      </c>
      <c r="H36" s="129">
        <f t="shared" si="8"/>
        <v>3</v>
      </c>
      <c r="I36" s="129">
        <f t="shared" si="8"/>
        <v>2</v>
      </c>
      <c r="J36" s="129">
        <f t="shared" si="8"/>
        <v>2</v>
      </c>
      <c r="K36" s="129">
        <f t="shared" si="8"/>
        <v>3</v>
      </c>
      <c r="L36" s="129">
        <f t="shared" si="8"/>
        <v>2</v>
      </c>
      <c r="M36" s="129">
        <f t="shared" si="8"/>
        <v>2</v>
      </c>
      <c r="N36" s="129">
        <f t="shared" si="8"/>
        <v>2</v>
      </c>
      <c r="O36" s="129">
        <f t="shared" si="8"/>
        <v>3</v>
      </c>
      <c r="P36" s="129">
        <f t="shared" si="8"/>
        <v>2</v>
      </c>
      <c r="Q36" s="129">
        <f t="shared" si="8"/>
        <v>1</v>
      </c>
      <c r="R36" s="129">
        <f t="shared" si="8"/>
        <v>1</v>
      </c>
      <c r="S36" s="129">
        <f t="shared" si="8"/>
        <v>0</v>
      </c>
      <c r="T36" s="129">
        <f t="shared" si="8"/>
        <v>2</v>
      </c>
      <c r="U36" s="129">
        <f t="shared" si="8"/>
        <v>2</v>
      </c>
      <c r="V36" s="129">
        <f t="shared" si="8"/>
        <v>1</v>
      </c>
      <c r="W36" s="129">
        <f t="shared" si="8"/>
        <v>1</v>
      </c>
      <c r="X36" s="129">
        <f t="shared" si="8"/>
        <v>1</v>
      </c>
      <c r="Y36" s="129">
        <f t="shared" si="8"/>
        <v>1</v>
      </c>
      <c r="Z36" s="129">
        <f t="shared" si="8"/>
        <v>1</v>
      </c>
      <c r="AA36" s="129">
        <f t="shared" si="8"/>
        <v>1</v>
      </c>
      <c r="AB36" s="129">
        <f t="shared" si="8"/>
        <v>0</v>
      </c>
      <c r="AC36" s="129">
        <f t="shared" si="8"/>
        <v>0</v>
      </c>
      <c r="AD36" s="129">
        <f t="shared" si="8"/>
        <v>0</v>
      </c>
      <c r="AE36" s="129">
        <f t="shared" si="8"/>
        <v>0</v>
      </c>
    </row>
  </sheetData>
  <conditionalFormatting sqref="A14:A15">
    <cfRule type="cellIs" dxfId="9" priority="11" operator="equal">
      <formula>"WNST7"</formula>
    </cfRule>
    <cfRule type="cellIs" dxfId="8" priority="12" operator="equal">
      <formula>"NST7"</formula>
    </cfRule>
  </conditionalFormatting>
  <conditionalFormatting sqref="A22">
    <cfRule type="cellIs" dxfId="7" priority="100" operator="equal">
      <formula>"WNST7"</formula>
    </cfRule>
    <cfRule type="cellIs" dxfId="6" priority="101" operator="equal">
      <formula>"NST7"</formula>
    </cfRule>
  </conditionalFormatting>
  <conditionalFormatting sqref="B28:AE31">
    <cfRule type="cellIs" dxfId="5" priority="99" operator="lessThan">
      <formula>3</formula>
    </cfRule>
  </conditionalFormatting>
  <conditionalFormatting sqref="B28:AE36 AF14:XFD15">
    <cfRule type="cellIs" dxfId="4" priority="102" operator="equal">
      <formula>"WNST7"</formula>
    </cfRule>
  </conditionalFormatting>
  <conditionalFormatting sqref="E13">
    <cfRule type="cellIs" dxfId="3" priority="87" operator="equal">
      <formula>"WNST7"</formula>
    </cfRule>
    <cfRule type="cellIs" dxfId="2" priority="88" operator="equal">
      <formula>"NST7"</formula>
    </cfRule>
  </conditionalFormatting>
  <conditionalFormatting sqref="K11">
    <cfRule type="cellIs" dxfId="1" priority="27" operator="equal">
      <formula>"WNST7"</formula>
    </cfRule>
    <cfRule type="cellIs" dxfId="0" priority="28" operator="equal">
      <formula>"NST7"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1" filterMode="1"/>
  <dimension ref="A1:G59"/>
  <sheetViews>
    <sheetView topLeftCell="A31" workbookViewId="0">
      <selection activeCell="G40" sqref="G40"/>
    </sheetView>
  </sheetViews>
  <sheetFormatPr defaultRowHeight="14.5" x14ac:dyDescent="0.35"/>
  <cols>
    <col min="1" max="1" width="30.1796875" customWidth="1"/>
    <col min="6" max="6" width="12" customWidth="1"/>
    <col min="7" max="7" width="74.1796875" customWidth="1"/>
  </cols>
  <sheetData>
    <row r="1" spans="1:7" x14ac:dyDescent="0.35">
      <c r="A1" s="190" t="s">
        <v>160</v>
      </c>
      <c r="B1" s="190" t="s">
        <v>161</v>
      </c>
      <c r="C1" s="190" t="s">
        <v>162</v>
      </c>
      <c r="D1" s="190" t="s">
        <v>163</v>
      </c>
      <c r="E1" s="190" t="s">
        <v>164</v>
      </c>
      <c r="F1" s="191" t="s">
        <v>165</v>
      </c>
      <c r="G1" s="191" t="s">
        <v>166</v>
      </c>
    </row>
    <row r="2" spans="1:7" ht="15" hidden="1" thickBot="1" x14ac:dyDescent="0.4">
      <c r="A2" s="177" t="s">
        <v>167</v>
      </c>
      <c r="B2" s="178" t="s">
        <v>168</v>
      </c>
      <c r="C2" s="179">
        <v>46166124</v>
      </c>
      <c r="D2" s="180" t="s">
        <v>169</v>
      </c>
      <c r="E2" s="179">
        <v>0.01</v>
      </c>
      <c r="F2" s="181" t="s">
        <v>170</v>
      </c>
      <c r="G2" s="182"/>
    </row>
    <row r="3" spans="1:7" hidden="1" x14ac:dyDescent="0.35">
      <c r="A3" s="184" t="s">
        <v>171</v>
      </c>
      <c r="B3" s="185" t="s">
        <v>172</v>
      </c>
      <c r="C3" s="186">
        <v>46104334</v>
      </c>
      <c r="D3" s="187" t="s">
        <v>169</v>
      </c>
      <c r="E3" s="186">
        <v>0.28999999999999998</v>
      </c>
      <c r="F3" s="188" t="s">
        <v>173</v>
      </c>
      <c r="G3" s="189"/>
    </row>
    <row r="4" spans="1:7" x14ac:dyDescent="0.35">
      <c r="A4" s="192" t="s">
        <v>174</v>
      </c>
      <c r="B4" s="193" t="s">
        <v>175</v>
      </c>
      <c r="C4" s="194">
        <v>46122670</v>
      </c>
      <c r="D4" s="192" t="s">
        <v>169</v>
      </c>
      <c r="E4" s="194">
        <v>0.51</v>
      </c>
      <c r="F4" s="195" t="s">
        <v>176</v>
      </c>
      <c r="G4" s="196" t="s">
        <v>279</v>
      </c>
    </row>
    <row r="5" spans="1:7" ht="15" hidden="1" thickBot="1" x14ac:dyDescent="0.4">
      <c r="A5" s="177" t="s">
        <v>177</v>
      </c>
      <c r="B5" s="178" t="s">
        <v>178</v>
      </c>
      <c r="C5" s="179">
        <v>46151517</v>
      </c>
      <c r="D5" s="180" t="s">
        <v>169</v>
      </c>
      <c r="E5" s="179">
        <v>1</v>
      </c>
      <c r="F5" s="181" t="s">
        <v>170</v>
      </c>
      <c r="G5" s="182"/>
    </row>
    <row r="6" spans="1:7" hidden="1" x14ac:dyDescent="0.35">
      <c r="A6" s="184" t="s">
        <v>179</v>
      </c>
      <c r="B6" s="185" t="s">
        <v>180</v>
      </c>
      <c r="C6" s="186">
        <v>46075122</v>
      </c>
      <c r="D6" s="187" t="s">
        <v>169</v>
      </c>
      <c r="E6" s="186">
        <v>1.3733333329999999</v>
      </c>
      <c r="F6" s="188" t="s">
        <v>170</v>
      </c>
      <c r="G6" s="189"/>
    </row>
    <row r="7" spans="1:7" x14ac:dyDescent="0.35">
      <c r="A7" s="192" t="s">
        <v>181</v>
      </c>
      <c r="B7" s="193" t="s">
        <v>103</v>
      </c>
      <c r="C7" s="194">
        <v>46122508</v>
      </c>
      <c r="D7" s="192" t="s">
        <v>169</v>
      </c>
      <c r="E7" s="194">
        <v>2.08</v>
      </c>
      <c r="F7" s="195" t="s">
        <v>176</v>
      </c>
      <c r="G7" t="s">
        <v>282</v>
      </c>
    </row>
    <row r="8" spans="1:7" ht="28.5" hidden="1" thickBot="1" x14ac:dyDescent="0.4">
      <c r="A8" s="177" t="s">
        <v>182</v>
      </c>
      <c r="B8" s="178" t="s">
        <v>183</v>
      </c>
      <c r="C8" s="179">
        <v>46082663</v>
      </c>
      <c r="D8" s="180" t="s">
        <v>169</v>
      </c>
      <c r="E8" s="179">
        <v>2.08</v>
      </c>
      <c r="F8" s="181" t="s">
        <v>184</v>
      </c>
      <c r="G8" s="182"/>
    </row>
    <row r="9" spans="1:7" ht="28.5" hidden="1" thickBot="1" x14ac:dyDescent="0.4">
      <c r="A9" s="177" t="s">
        <v>185</v>
      </c>
      <c r="B9" s="178" t="s">
        <v>186</v>
      </c>
      <c r="C9" s="179">
        <v>46090140</v>
      </c>
      <c r="D9" s="180" t="s">
        <v>169</v>
      </c>
      <c r="E9" s="179">
        <v>2.08</v>
      </c>
      <c r="F9" s="181" t="s">
        <v>184</v>
      </c>
      <c r="G9" s="182"/>
    </row>
    <row r="10" spans="1:7" ht="15" hidden="1" thickBot="1" x14ac:dyDescent="0.4">
      <c r="A10" s="177" t="s">
        <v>187</v>
      </c>
      <c r="B10" s="178" t="s">
        <v>188</v>
      </c>
      <c r="C10" s="179">
        <v>46100597</v>
      </c>
      <c r="D10" s="180" t="s">
        <v>169</v>
      </c>
      <c r="E10" s="179">
        <v>2.58</v>
      </c>
      <c r="F10" s="181" t="s">
        <v>66</v>
      </c>
      <c r="G10" s="182"/>
    </row>
    <row r="11" spans="1:7" ht="28" hidden="1" x14ac:dyDescent="0.35">
      <c r="A11" s="184" t="s">
        <v>189</v>
      </c>
      <c r="B11" s="185" t="s">
        <v>190</v>
      </c>
      <c r="C11" s="186">
        <v>46089665</v>
      </c>
      <c r="D11" s="187" t="s">
        <v>169</v>
      </c>
      <c r="E11" s="186">
        <v>2.66</v>
      </c>
      <c r="F11" s="188" t="s">
        <v>184</v>
      </c>
      <c r="G11" s="189"/>
    </row>
    <row r="12" spans="1:7" ht="56" x14ac:dyDescent="0.35">
      <c r="A12" s="192" t="s">
        <v>191</v>
      </c>
      <c r="B12" s="193" t="s">
        <v>133</v>
      </c>
      <c r="C12" s="194">
        <v>46226182</v>
      </c>
      <c r="D12" s="192" t="s">
        <v>169</v>
      </c>
      <c r="E12" s="194">
        <v>2.88</v>
      </c>
      <c r="F12" s="195" t="s">
        <v>176</v>
      </c>
      <c r="G12" s="196" t="s">
        <v>292</v>
      </c>
    </row>
    <row r="13" spans="1:7" x14ac:dyDescent="0.35">
      <c r="A13" s="192" t="s">
        <v>192</v>
      </c>
      <c r="B13" s="193" t="s">
        <v>102</v>
      </c>
      <c r="C13" s="194">
        <v>46103795</v>
      </c>
      <c r="D13" s="192" t="s">
        <v>169</v>
      </c>
      <c r="E13" s="194">
        <v>3.08</v>
      </c>
      <c r="F13" s="195" t="s">
        <v>176</v>
      </c>
      <c r="G13" s="196" t="s">
        <v>283</v>
      </c>
    </row>
    <row r="14" spans="1:7" ht="15" hidden="1" thickBot="1" x14ac:dyDescent="0.4">
      <c r="A14" s="177" t="s">
        <v>193</v>
      </c>
      <c r="B14" s="178" t="s">
        <v>194</v>
      </c>
      <c r="C14" s="179">
        <v>1413701</v>
      </c>
      <c r="D14" s="180" t="s">
        <v>169</v>
      </c>
      <c r="E14" s="179">
        <v>3.1766666720000001</v>
      </c>
      <c r="F14" s="181" t="s">
        <v>195</v>
      </c>
      <c r="G14" s="182"/>
    </row>
    <row r="15" spans="1:7" ht="28.5" hidden="1" thickBot="1" x14ac:dyDescent="0.4">
      <c r="A15" s="177" t="s">
        <v>196</v>
      </c>
      <c r="B15" s="178" t="s">
        <v>197</v>
      </c>
      <c r="C15" s="179">
        <v>46122601</v>
      </c>
      <c r="D15" s="180" t="s">
        <v>169</v>
      </c>
      <c r="E15" s="179">
        <v>3.56</v>
      </c>
      <c r="F15" s="181" t="s">
        <v>198</v>
      </c>
      <c r="G15" s="182"/>
    </row>
    <row r="16" spans="1:7" hidden="1" x14ac:dyDescent="0.35">
      <c r="A16" s="184" t="s">
        <v>199</v>
      </c>
      <c r="B16" s="185" t="s">
        <v>200</v>
      </c>
      <c r="C16" s="186">
        <v>46026921</v>
      </c>
      <c r="D16" s="187" t="s">
        <v>169</v>
      </c>
      <c r="E16" s="186">
        <v>3.6233333330000002</v>
      </c>
      <c r="F16" s="188" t="s">
        <v>170</v>
      </c>
      <c r="G16" s="189"/>
    </row>
    <row r="17" spans="1:7" ht="42" x14ac:dyDescent="0.35">
      <c r="A17" s="192" t="s">
        <v>201</v>
      </c>
      <c r="B17" s="193" t="s">
        <v>55</v>
      </c>
      <c r="C17" s="194">
        <v>1116709</v>
      </c>
      <c r="D17" s="192" t="s">
        <v>169</v>
      </c>
      <c r="E17" s="194">
        <v>4.12</v>
      </c>
      <c r="F17" s="195" t="s">
        <v>176</v>
      </c>
      <c r="G17" s="196" t="s">
        <v>280</v>
      </c>
    </row>
    <row r="18" spans="1:7" x14ac:dyDescent="0.35">
      <c r="A18" s="192" t="s">
        <v>202</v>
      </c>
      <c r="B18" s="193" t="s">
        <v>203</v>
      </c>
      <c r="C18" s="194">
        <v>904589</v>
      </c>
      <c r="D18" s="192" t="s">
        <v>169</v>
      </c>
      <c r="E18" s="194">
        <v>4.12</v>
      </c>
      <c r="F18" s="195" t="s">
        <v>176</v>
      </c>
      <c r="G18" s="196" t="s">
        <v>281</v>
      </c>
    </row>
    <row r="19" spans="1:7" ht="15" hidden="1" thickBot="1" x14ac:dyDescent="0.4">
      <c r="A19" s="177" t="s">
        <v>204</v>
      </c>
      <c r="B19" s="178" t="s">
        <v>205</v>
      </c>
      <c r="C19" s="179">
        <v>46032355</v>
      </c>
      <c r="D19" s="180" t="s">
        <v>169</v>
      </c>
      <c r="E19" s="179">
        <v>4.16</v>
      </c>
      <c r="F19" s="181" t="s">
        <v>170</v>
      </c>
      <c r="G19" s="182"/>
    </row>
    <row r="20" spans="1:7" hidden="1" x14ac:dyDescent="0.35">
      <c r="A20" s="184" t="s">
        <v>206</v>
      </c>
      <c r="B20" s="185" t="s">
        <v>207</v>
      </c>
      <c r="C20" s="186">
        <v>1405753</v>
      </c>
      <c r="D20" s="187" t="s">
        <v>169</v>
      </c>
      <c r="E20" s="186">
        <v>4.24</v>
      </c>
      <c r="F20" s="188" t="s">
        <v>173</v>
      </c>
      <c r="G20" s="189"/>
    </row>
    <row r="21" spans="1:7" ht="28" x14ac:dyDescent="0.35">
      <c r="A21" s="192" t="s">
        <v>208</v>
      </c>
      <c r="B21" s="193" t="s">
        <v>59</v>
      </c>
      <c r="C21" s="194">
        <v>1448435</v>
      </c>
      <c r="D21" s="192" t="s">
        <v>169</v>
      </c>
      <c r="E21" s="194">
        <v>4.58</v>
      </c>
      <c r="F21" s="195" t="s">
        <v>176</v>
      </c>
      <c r="G21" s="196" t="s">
        <v>290</v>
      </c>
    </row>
    <row r="22" spans="1:7" ht="28" hidden="1" x14ac:dyDescent="0.35">
      <c r="A22" s="184" t="s">
        <v>209</v>
      </c>
      <c r="B22" s="185" t="s">
        <v>210</v>
      </c>
      <c r="C22" s="186">
        <v>46049377</v>
      </c>
      <c r="D22" s="187" t="s">
        <v>169</v>
      </c>
      <c r="E22" s="186">
        <v>4.8766666670000003</v>
      </c>
      <c r="F22" s="188" t="s">
        <v>211</v>
      </c>
      <c r="G22" s="189"/>
    </row>
    <row r="23" spans="1:7" ht="72.5" x14ac:dyDescent="0.35">
      <c r="A23" s="192" t="s">
        <v>212</v>
      </c>
      <c r="B23" s="193" t="s">
        <v>65</v>
      </c>
      <c r="C23" s="194">
        <v>46029952</v>
      </c>
      <c r="D23" s="192" t="s">
        <v>169</v>
      </c>
      <c r="E23" s="194">
        <v>4.8899999999999997</v>
      </c>
      <c r="F23" s="195" t="s">
        <v>176</v>
      </c>
      <c r="G23" s="197" t="s">
        <v>286</v>
      </c>
    </row>
    <row r="24" spans="1:7" ht="28.5" hidden="1" thickBot="1" x14ac:dyDescent="0.4">
      <c r="A24" s="177" t="s">
        <v>213</v>
      </c>
      <c r="B24" s="178" t="s">
        <v>214</v>
      </c>
      <c r="C24" s="179">
        <v>1370995</v>
      </c>
      <c r="D24" s="180" t="s">
        <v>169</v>
      </c>
      <c r="E24" s="179">
        <v>4.91</v>
      </c>
      <c r="F24" s="181" t="s">
        <v>184</v>
      </c>
    </row>
    <row r="25" spans="1:7" ht="15" hidden="1" thickBot="1" x14ac:dyDescent="0.4">
      <c r="A25" s="177" t="s">
        <v>215</v>
      </c>
      <c r="B25" s="178" t="s">
        <v>216</v>
      </c>
      <c r="C25" s="179">
        <v>1448485</v>
      </c>
      <c r="D25" s="180" t="s">
        <v>169</v>
      </c>
      <c r="E25" s="179">
        <v>4.93</v>
      </c>
      <c r="F25" s="181" t="s">
        <v>173</v>
      </c>
      <c r="G25" t="s">
        <v>284</v>
      </c>
    </row>
    <row r="26" spans="1:7" hidden="1" x14ac:dyDescent="0.35">
      <c r="A26" s="184" t="s">
        <v>217</v>
      </c>
      <c r="B26" s="185" t="s">
        <v>218</v>
      </c>
      <c r="C26" s="186">
        <v>46067295</v>
      </c>
      <c r="D26" s="187" t="s">
        <v>169</v>
      </c>
      <c r="E26" s="186">
        <v>5.86</v>
      </c>
      <c r="F26" s="188" t="s">
        <v>66</v>
      </c>
    </row>
    <row r="27" spans="1:7" x14ac:dyDescent="0.35">
      <c r="A27" s="192" t="s">
        <v>219</v>
      </c>
      <c r="B27" s="193" t="s">
        <v>67</v>
      </c>
      <c r="C27" s="194">
        <v>46045351</v>
      </c>
      <c r="D27" s="192" t="s">
        <v>169</v>
      </c>
      <c r="E27" s="194">
        <v>6.12</v>
      </c>
      <c r="F27" s="195" t="s">
        <v>176</v>
      </c>
      <c r="G27" t="s">
        <v>285</v>
      </c>
    </row>
    <row r="28" spans="1:7" x14ac:dyDescent="0.35">
      <c r="A28" s="192" t="s">
        <v>220</v>
      </c>
      <c r="B28" s="193" t="s">
        <v>58</v>
      </c>
      <c r="C28" s="194">
        <v>1358209</v>
      </c>
      <c r="D28" s="192" t="s">
        <v>169</v>
      </c>
      <c r="E28" s="194">
        <v>6.176388889</v>
      </c>
      <c r="F28" s="195" t="s">
        <v>176</v>
      </c>
      <c r="G28" s="196" t="s">
        <v>281</v>
      </c>
    </row>
    <row r="29" spans="1:7" ht="15" hidden="1" thickBot="1" x14ac:dyDescent="0.4">
      <c r="A29" s="177" t="s">
        <v>221</v>
      </c>
      <c r="B29" s="178" t="s">
        <v>222</v>
      </c>
      <c r="C29" s="179">
        <v>1370303</v>
      </c>
      <c r="D29" s="180" t="s">
        <v>169</v>
      </c>
      <c r="E29" s="179">
        <v>6.18</v>
      </c>
      <c r="F29" s="181" t="s">
        <v>173</v>
      </c>
      <c r="G29" s="182"/>
    </row>
    <row r="30" spans="1:7" hidden="1" x14ac:dyDescent="0.35">
      <c r="A30" s="184" t="s">
        <v>223</v>
      </c>
      <c r="B30" s="185" t="s">
        <v>224</v>
      </c>
      <c r="C30" s="186">
        <v>1370847</v>
      </c>
      <c r="D30" s="187" t="s">
        <v>169</v>
      </c>
      <c r="E30" s="186">
        <v>6.61</v>
      </c>
      <c r="F30" s="188" t="s">
        <v>170</v>
      </c>
      <c r="G30" s="189"/>
    </row>
    <row r="31" spans="1:7" ht="280" x14ac:dyDescent="0.35">
      <c r="A31" s="192" t="s">
        <v>225</v>
      </c>
      <c r="B31" s="193" t="s">
        <v>101</v>
      </c>
      <c r="C31" s="194">
        <v>46075393</v>
      </c>
      <c r="D31" s="192" t="s">
        <v>169</v>
      </c>
      <c r="E31" s="194">
        <v>6.68</v>
      </c>
      <c r="F31" s="195" t="s">
        <v>176</v>
      </c>
      <c r="G31" s="196" t="s">
        <v>287</v>
      </c>
    </row>
    <row r="32" spans="1:7" ht="15" hidden="1" thickBot="1" x14ac:dyDescent="0.4">
      <c r="A32" s="177" t="s">
        <v>226</v>
      </c>
      <c r="B32" s="178" t="s">
        <v>227</v>
      </c>
      <c r="C32" s="179">
        <v>1455259</v>
      </c>
      <c r="D32" s="180" t="s">
        <v>169</v>
      </c>
      <c r="E32" s="179">
        <v>7.01</v>
      </c>
      <c r="F32" s="181" t="s">
        <v>170</v>
      </c>
      <c r="G32" s="182"/>
    </row>
    <row r="33" spans="1:7" ht="15" hidden="1" thickBot="1" x14ac:dyDescent="0.4">
      <c r="A33" s="177" t="s">
        <v>228</v>
      </c>
      <c r="B33" s="178" t="s">
        <v>229</v>
      </c>
      <c r="C33" s="179">
        <v>1234100</v>
      </c>
      <c r="D33" s="180" t="s">
        <v>169</v>
      </c>
      <c r="E33" s="179">
        <v>7.11</v>
      </c>
      <c r="F33" s="181" t="s">
        <v>66</v>
      </c>
      <c r="G33" s="182"/>
    </row>
    <row r="34" spans="1:7" ht="15" hidden="1" thickBot="1" x14ac:dyDescent="0.4">
      <c r="A34" s="177" t="s">
        <v>230</v>
      </c>
      <c r="B34" s="178" t="s">
        <v>231</v>
      </c>
      <c r="C34" s="179">
        <v>46165030</v>
      </c>
      <c r="D34" s="180" t="s">
        <v>169</v>
      </c>
      <c r="E34" s="179">
        <v>7.70388889</v>
      </c>
      <c r="F34" s="181" t="s">
        <v>170</v>
      </c>
      <c r="G34" s="182"/>
    </row>
    <row r="35" spans="1:7" ht="28.5" hidden="1" thickBot="1" x14ac:dyDescent="0.4">
      <c r="A35" s="177" t="s">
        <v>232</v>
      </c>
      <c r="B35" s="178" t="s">
        <v>233</v>
      </c>
      <c r="C35" s="179">
        <v>46052203</v>
      </c>
      <c r="D35" s="180" t="s">
        <v>169</v>
      </c>
      <c r="E35" s="179">
        <v>7.846666667</v>
      </c>
      <c r="F35" s="181" t="s">
        <v>198</v>
      </c>
      <c r="G35" s="182"/>
    </row>
    <row r="36" spans="1:7" ht="28.5" hidden="1" thickBot="1" x14ac:dyDescent="0.4">
      <c r="A36" s="177" t="s">
        <v>234</v>
      </c>
      <c r="B36" s="178" t="s">
        <v>235</v>
      </c>
      <c r="C36" s="179">
        <v>46047593</v>
      </c>
      <c r="D36" s="180" t="s">
        <v>169</v>
      </c>
      <c r="E36" s="179">
        <v>8.1950000000000003</v>
      </c>
      <c r="F36" s="181" t="s">
        <v>198</v>
      </c>
      <c r="G36" s="182"/>
    </row>
    <row r="37" spans="1:7" ht="15" hidden="1" thickBot="1" x14ac:dyDescent="0.4">
      <c r="A37" s="177" t="s">
        <v>236</v>
      </c>
      <c r="B37" s="178" t="s">
        <v>237</v>
      </c>
      <c r="C37" s="179">
        <v>46029956</v>
      </c>
      <c r="D37" s="180" t="s">
        <v>169</v>
      </c>
      <c r="E37" s="179">
        <v>10.326111109999999</v>
      </c>
      <c r="F37" s="181" t="s">
        <v>173</v>
      </c>
      <c r="G37" s="182"/>
    </row>
    <row r="38" spans="1:7" ht="15" hidden="1" thickBot="1" x14ac:dyDescent="0.4">
      <c r="A38" s="177" t="s">
        <v>238</v>
      </c>
      <c r="B38" s="178" t="s">
        <v>239</v>
      </c>
      <c r="C38" s="179">
        <v>46122096</v>
      </c>
      <c r="D38" s="180" t="s">
        <v>169</v>
      </c>
      <c r="E38" s="179">
        <v>11.30666667</v>
      </c>
      <c r="F38" s="181" t="s">
        <v>173</v>
      </c>
      <c r="G38" s="182"/>
    </row>
    <row r="39" spans="1:7" hidden="1" x14ac:dyDescent="0.35">
      <c r="A39" s="184" t="s">
        <v>240</v>
      </c>
      <c r="B39" s="185" t="s">
        <v>241</v>
      </c>
      <c r="C39" s="186">
        <v>46193476</v>
      </c>
      <c r="D39" s="187" t="s">
        <v>169</v>
      </c>
      <c r="E39" s="186">
        <v>11.37</v>
      </c>
      <c r="F39" s="188" t="s">
        <v>173</v>
      </c>
      <c r="G39" s="189"/>
    </row>
    <row r="40" spans="1:7" x14ac:dyDescent="0.35">
      <c r="A40" s="192" t="s">
        <v>242</v>
      </c>
      <c r="B40" s="193" t="s">
        <v>63</v>
      </c>
      <c r="C40" s="194">
        <v>46027125</v>
      </c>
      <c r="D40" s="192" t="s">
        <v>169</v>
      </c>
      <c r="E40" s="194">
        <v>14.42</v>
      </c>
      <c r="F40" s="195" t="s">
        <v>176</v>
      </c>
      <c r="G40" s="196" t="s">
        <v>291</v>
      </c>
    </row>
    <row r="41" spans="1:7" ht="15" hidden="1" thickBot="1" x14ac:dyDescent="0.4">
      <c r="A41" s="177" t="s">
        <v>243</v>
      </c>
      <c r="B41" s="178" t="s">
        <v>244</v>
      </c>
      <c r="C41" s="179">
        <v>46080369</v>
      </c>
      <c r="D41" s="180" t="s">
        <v>169</v>
      </c>
      <c r="E41" s="179">
        <v>15.08</v>
      </c>
      <c r="F41" s="181" t="s">
        <v>195</v>
      </c>
      <c r="G41" s="182"/>
    </row>
    <row r="42" spans="1:7" ht="15" hidden="1" thickBot="1" x14ac:dyDescent="0.4">
      <c r="A42" s="177" t="s">
        <v>245</v>
      </c>
      <c r="B42" s="178" t="s">
        <v>246</v>
      </c>
      <c r="C42" s="179">
        <v>46075133</v>
      </c>
      <c r="D42" s="180" t="s">
        <v>169</v>
      </c>
      <c r="E42" s="179">
        <v>16.708888890000001</v>
      </c>
      <c r="F42" s="181" t="s">
        <v>195</v>
      </c>
      <c r="G42" s="182"/>
    </row>
    <row r="43" spans="1:7" ht="15" hidden="1" thickBot="1" x14ac:dyDescent="0.4">
      <c r="A43" s="177" t="s">
        <v>247</v>
      </c>
      <c r="B43" s="178" t="s">
        <v>248</v>
      </c>
      <c r="C43" s="179">
        <v>46102785</v>
      </c>
      <c r="D43" s="180" t="s">
        <v>169</v>
      </c>
      <c r="E43" s="179">
        <v>17.07638889</v>
      </c>
      <c r="F43" s="181" t="s">
        <v>195</v>
      </c>
      <c r="G43" s="182"/>
    </row>
    <row r="44" spans="1:7" ht="28.5" hidden="1" thickBot="1" x14ac:dyDescent="0.4">
      <c r="A44" s="177" t="s">
        <v>249</v>
      </c>
      <c r="B44" s="178" t="s">
        <v>250</v>
      </c>
      <c r="C44" s="179">
        <v>46052461</v>
      </c>
      <c r="D44" s="180" t="s">
        <v>169</v>
      </c>
      <c r="E44" s="179">
        <v>17.396944439999999</v>
      </c>
      <c r="F44" s="181" t="s">
        <v>198</v>
      </c>
      <c r="G44" s="182"/>
    </row>
    <row r="45" spans="1:7" ht="28.5" hidden="1" thickBot="1" x14ac:dyDescent="0.4">
      <c r="A45" s="177" t="s">
        <v>251</v>
      </c>
      <c r="B45" s="178" t="s">
        <v>252</v>
      </c>
      <c r="C45" s="179">
        <v>46122915</v>
      </c>
      <c r="D45" s="180" t="s">
        <v>169</v>
      </c>
      <c r="E45" s="179">
        <v>17.603611109999999</v>
      </c>
      <c r="F45" s="181" t="s">
        <v>198</v>
      </c>
      <c r="G45" s="182"/>
    </row>
    <row r="46" spans="1:7" ht="15" hidden="1" thickBot="1" x14ac:dyDescent="0.4">
      <c r="A46" s="177" t="s">
        <v>253</v>
      </c>
      <c r="B46" s="178" t="s">
        <v>254</v>
      </c>
      <c r="C46" s="179">
        <v>46201375</v>
      </c>
      <c r="D46" s="180" t="s">
        <v>169</v>
      </c>
      <c r="E46" s="179">
        <v>24.843611110000001</v>
      </c>
      <c r="F46" s="181" t="s">
        <v>195</v>
      </c>
      <c r="G46" s="182"/>
    </row>
    <row r="47" spans="1:7" hidden="1" x14ac:dyDescent="0.35">
      <c r="A47" s="184" t="s">
        <v>255</v>
      </c>
      <c r="B47" s="185" t="s">
        <v>256</v>
      </c>
      <c r="C47" s="186">
        <v>46126198</v>
      </c>
      <c r="D47" s="187" t="s">
        <v>169</v>
      </c>
      <c r="E47" s="186">
        <v>25.53194444</v>
      </c>
      <c r="F47" s="188" t="s">
        <v>170</v>
      </c>
      <c r="G47" s="189"/>
    </row>
    <row r="48" spans="1:7" ht="126" x14ac:dyDescent="0.35">
      <c r="A48" s="192" t="s">
        <v>257</v>
      </c>
      <c r="B48" s="193" t="s">
        <v>258</v>
      </c>
      <c r="C48" s="194">
        <v>46140494</v>
      </c>
      <c r="D48" s="192" t="s">
        <v>169</v>
      </c>
      <c r="E48" s="194">
        <v>26.09</v>
      </c>
      <c r="F48" s="195" t="s">
        <v>176</v>
      </c>
      <c r="G48" s="196" t="s">
        <v>288</v>
      </c>
    </row>
    <row r="49" spans="1:7" hidden="1" x14ac:dyDescent="0.35">
      <c r="A49" s="184" t="s">
        <v>259</v>
      </c>
      <c r="B49" s="185" t="s">
        <v>260</v>
      </c>
      <c r="C49" s="186">
        <v>46046501</v>
      </c>
      <c r="D49" s="187" t="s">
        <v>169</v>
      </c>
      <c r="E49" s="186">
        <v>29.730833329999999</v>
      </c>
      <c r="F49" s="188" t="s">
        <v>66</v>
      </c>
      <c r="G49" s="189"/>
    </row>
    <row r="50" spans="1:7" ht="238" x14ac:dyDescent="0.35">
      <c r="A50" s="192" t="s">
        <v>261</v>
      </c>
      <c r="B50" s="193" t="s">
        <v>262</v>
      </c>
      <c r="C50" s="194">
        <v>46041450</v>
      </c>
      <c r="D50" s="192" t="s">
        <v>169</v>
      </c>
      <c r="E50" s="194">
        <v>32.173611110000003</v>
      </c>
      <c r="F50" s="195" t="s">
        <v>176</v>
      </c>
      <c r="G50" s="196" t="s">
        <v>289</v>
      </c>
    </row>
    <row r="51" spans="1:7" ht="15" hidden="1" thickBot="1" x14ac:dyDescent="0.4">
      <c r="A51" s="177" t="s">
        <v>263</v>
      </c>
      <c r="B51" s="178" t="s">
        <v>264</v>
      </c>
      <c r="C51" s="179">
        <v>46122919</v>
      </c>
      <c r="D51" s="180" t="s">
        <v>169</v>
      </c>
      <c r="E51" s="179">
        <v>34.21</v>
      </c>
      <c r="F51" s="181" t="s">
        <v>170</v>
      </c>
      <c r="G51" s="182"/>
    </row>
    <row r="52" spans="1:7" ht="15" hidden="1" thickBot="1" x14ac:dyDescent="0.4">
      <c r="A52" s="177" t="s">
        <v>265</v>
      </c>
      <c r="B52" s="178" t="s">
        <v>266</v>
      </c>
      <c r="C52" s="179">
        <v>46140484</v>
      </c>
      <c r="D52" s="180" t="s">
        <v>169</v>
      </c>
      <c r="E52" s="179">
        <v>35.07</v>
      </c>
      <c r="F52" s="181" t="s">
        <v>170</v>
      </c>
      <c r="G52" s="182"/>
    </row>
    <row r="53" spans="1:7" ht="28.5" hidden="1" thickBot="1" x14ac:dyDescent="0.4">
      <c r="A53" s="177" t="s">
        <v>267</v>
      </c>
      <c r="B53" s="178" t="s">
        <v>268</v>
      </c>
      <c r="C53" s="179">
        <v>46140386</v>
      </c>
      <c r="D53" s="180" t="s">
        <v>169</v>
      </c>
      <c r="E53" s="179">
        <v>39.513055549999997</v>
      </c>
      <c r="F53" s="181" t="s">
        <v>198</v>
      </c>
      <c r="G53" s="182"/>
    </row>
    <row r="54" spans="1:7" ht="15" hidden="1" thickBot="1" x14ac:dyDescent="0.4">
      <c r="A54" s="177" t="s">
        <v>269</v>
      </c>
      <c r="B54" s="178" t="s">
        <v>270</v>
      </c>
      <c r="C54" s="179">
        <v>46215266</v>
      </c>
      <c r="D54" s="180" t="s">
        <v>169</v>
      </c>
      <c r="E54" s="179">
        <v>40.182499999999997</v>
      </c>
      <c r="F54" s="181" t="s">
        <v>66</v>
      </c>
      <c r="G54" s="182"/>
    </row>
    <row r="55" spans="1:7" ht="15" hidden="1" thickBot="1" x14ac:dyDescent="0.4">
      <c r="A55" s="177" t="s">
        <v>271</v>
      </c>
      <c r="B55" s="178" t="s">
        <v>272</v>
      </c>
      <c r="C55" s="179">
        <v>46122095</v>
      </c>
      <c r="D55" s="180" t="s">
        <v>169</v>
      </c>
      <c r="E55" s="179">
        <v>40.32</v>
      </c>
      <c r="F55" s="181" t="s">
        <v>173</v>
      </c>
      <c r="G55" s="182"/>
    </row>
    <row r="56" spans="1:7" ht="15" hidden="1" thickBot="1" x14ac:dyDescent="0.4">
      <c r="A56" s="177" t="s">
        <v>273</v>
      </c>
      <c r="B56" s="178" t="s">
        <v>274</v>
      </c>
      <c r="C56" s="179">
        <v>46047028</v>
      </c>
      <c r="D56" s="180" t="s">
        <v>169</v>
      </c>
      <c r="E56" s="179">
        <v>40.82</v>
      </c>
      <c r="F56" s="181" t="s">
        <v>66</v>
      </c>
      <c r="G56" s="182"/>
    </row>
    <row r="57" spans="1:7" ht="15" hidden="1" thickBot="1" x14ac:dyDescent="0.4">
      <c r="A57" s="177" t="s">
        <v>275</v>
      </c>
      <c r="B57" s="178" t="s">
        <v>276</v>
      </c>
      <c r="C57" s="179">
        <v>46172671</v>
      </c>
      <c r="D57" s="180" t="s">
        <v>169</v>
      </c>
      <c r="E57" s="179">
        <v>46.42</v>
      </c>
      <c r="F57" s="181" t="s">
        <v>66</v>
      </c>
      <c r="G57" s="182"/>
    </row>
    <row r="58" spans="1:7" ht="15" hidden="1" thickBot="1" x14ac:dyDescent="0.4">
      <c r="A58" s="177" t="s">
        <v>277</v>
      </c>
      <c r="B58" s="178" t="s">
        <v>278</v>
      </c>
      <c r="C58" s="179">
        <v>46046598</v>
      </c>
      <c r="D58" s="180" t="s">
        <v>169</v>
      </c>
      <c r="E58" s="179">
        <v>46.826666670000002</v>
      </c>
      <c r="F58" s="181" t="s">
        <v>66</v>
      </c>
      <c r="G58" s="182"/>
    </row>
    <row r="59" spans="1:7" x14ac:dyDescent="0.35">
      <c r="A59" s="183"/>
    </row>
  </sheetData>
  <autoFilter ref="A1:G58" xr:uid="{00000000-0009-0000-0000-000024000000}">
    <filterColumn colId="5">
      <filters>
        <filter val="Saif/Rakesh"/>
      </filters>
    </filterColumn>
  </autoFilter>
  <hyperlinks>
    <hyperlink ref="B2" r:id="rId1" display="mailto:pragati.acharya@capgemini.com" xr:uid="{00000000-0004-0000-2400-000000000000}"/>
    <hyperlink ref="B3" r:id="rId2" display="mailto:harish.pralhad-ram-jat@capgemini.com" xr:uid="{00000000-0004-0000-2400-000001000000}"/>
    <hyperlink ref="B4" r:id="rId3" display="mailto:suraj-diwakar.athargade@capgemini.com" xr:uid="{00000000-0004-0000-2400-000002000000}"/>
    <hyperlink ref="B5" r:id="rId4" display="mailto:akshay.newaskar@capgemini.com" xr:uid="{00000000-0004-0000-2400-000003000000}"/>
    <hyperlink ref="B6" r:id="rId5" display="mailto:malhar-anand.sadhu@capgemini.com" xr:uid="{00000000-0004-0000-2400-000004000000}"/>
    <hyperlink ref="B7" r:id="rId6" display="mailto:shubham.a.mahajan@capgemini.com" xr:uid="{00000000-0004-0000-2400-000005000000}"/>
    <hyperlink ref="B8" r:id="rId7" display="mailto:ganesh-venkata-sri-sai-anish.palepu@capgemini.com" xr:uid="{00000000-0004-0000-2400-000006000000}"/>
    <hyperlink ref="B9" r:id="rId8" display="mailto:agnel.raja@capgemini.com" xr:uid="{00000000-0004-0000-2400-000007000000}"/>
    <hyperlink ref="B10" r:id="rId9" display="mailto:swapnalatha.tarala@capgemini.com" xr:uid="{00000000-0004-0000-2400-000008000000}"/>
    <hyperlink ref="B11" r:id="rId10" display="mailto:dharmesh-chandulal.patil@capgemini.com" xr:uid="{00000000-0004-0000-2400-000009000000}"/>
    <hyperlink ref="B12" r:id="rId11" display="mailto:mahesh.halkanche@capgemini.com" xr:uid="{00000000-0004-0000-2400-00000A000000}"/>
    <hyperlink ref="B13" r:id="rId12" display="mailto:munish.kumar@capgemini.com" xr:uid="{00000000-0004-0000-2400-00000B000000}"/>
    <hyperlink ref="B14" r:id="rId13" display="mailto:tapan.a.swain@capgemini.com" xr:uid="{00000000-0004-0000-2400-00000C000000}"/>
    <hyperlink ref="B15" r:id="rId14" display="mailto:komal.pawoolkar@capgemini.com" xr:uid="{00000000-0004-0000-2400-00000D000000}"/>
    <hyperlink ref="B16" r:id="rId15" display="mailto:gowtham.bathula@capgemini.com" xr:uid="{00000000-0004-0000-2400-00000E000000}"/>
    <hyperlink ref="B17" r:id="rId16" display="mailto:rakesh.b.r@capgemini.com" xr:uid="{00000000-0004-0000-2400-00000F000000}"/>
    <hyperlink ref="B18" r:id="rId17" display="mailto:saifullah.shaikh@capgemini.com" xr:uid="{00000000-0004-0000-2400-000010000000}"/>
    <hyperlink ref="B19" r:id="rId18" display="mailto:magham.bhavana@capgemini.com" xr:uid="{00000000-0004-0000-2400-000011000000}"/>
    <hyperlink ref="B20" r:id="rId19" display="mailto:ajay-kumar.annam@capgemini.com" xr:uid="{00000000-0004-0000-2400-000012000000}"/>
    <hyperlink ref="B21" r:id="rId20" display="mailto:avdhoot.potnis@capgemini.com" xr:uid="{00000000-0004-0000-2400-000013000000}"/>
    <hyperlink ref="B22" r:id="rId21" display="mailto:seeram.meghana@capgemini.com" xr:uid="{00000000-0004-0000-2400-000014000000}"/>
    <hyperlink ref="B23" r:id="rId22" display="mailto:gayathri.h.s@capgemini.com" xr:uid="{00000000-0004-0000-2400-000015000000}"/>
    <hyperlink ref="B24" r:id="rId23" display="mailto:rishab.srivastava@capgemini.com" xr:uid="{00000000-0004-0000-2400-000016000000}"/>
    <hyperlink ref="B25" r:id="rId24" display="mailto:jyoti.gawade@capgemini.com" xr:uid="{00000000-0004-0000-2400-000017000000}"/>
    <hyperlink ref="B26" r:id="rId25" display="mailto:sakshi.a.rawat@capgemini.com" xr:uid="{00000000-0004-0000-2400-000018000000}"/>
    <hyperlink ref="B27" r:id="rId26" display="mailto:ashutosh.a.pattnaik@capgemini.com" xr:uid="{00000000-0004-0000-2400-000019000000}"/>
    <hyperlink ref="B28" r:id="rId27" display="mailto:somshekhar.dixit@capgemini.com" xr:uid="{00000000-0004-0000-2400-00001A000000}"/>
    <hyperlink ref="B29" r:id="rId28" display="mailto:vaishnavi.a.d@capgemini.com" xr:uid="{00000000-0004-0000-2400-00001B000000}"/>
    <hyperlink ref="B30" r:id="rId29" display="mailto:rohit.b.shinde@capgemini.com" xr:uid="{00000000-0004-0000-2400-00001C000000}"/>
    <hyperlink ref="B31" r:id="rId30" display="mailto:sneha.santoshrao-navade@capgemini.com" xr:uid="{00000000-0004-0000-2400-00001D000000}"/>
    <hyperlink ref="B32" r:id="rId31" display="mailto:sowmya.j-s@capgemini.com" xr:uid="{00000000-0004-0000-2400-00001E000000}"/>
    <hyperlink ref="B33" r:id="rId32" display="mailto:sneha.ovhal@capgemini.com" xr:uid="{00000000-0004-0000-2400-00001F000000}"/>
    <hyperlink ref="B34" r:id="rId33" display="mailto:seshadri-babu.ballipakula@capgemini.com" xr:uid="{00000000-0004-0000-2400-000020000000}"/>
    <hyperlink ref="B35" r:id="rId34" display="mailto:khushi.singhania@capgemini.com" xr:uid="{00000000-0004-0000-2400-000021000000}"/>
    <hyperlink ref="B36" r:id="rId35" display="mailto:harshika.gadekar@capgemini.com" xr:uid="{00000000-0004-0000-2400-000022000000}"/>
    <hyperlink ref="B37" r:id="rId36" display="mailto:sruthi.p@capgemini.com" xr:uid="{00000000-0004-0000-2400-000023000000}"/>
    <hyperlink ref="B38" r:id="rId37" display="mailto:pavan.garlapati@capgemini.com" xr:uid="{00000000-0004-0000-2400-000024000000}"/>
    <hyperlink ref="B39" r:id="rId38" display="mailto:niteesh.arra@capgemini.com" xr:uid="{00000000-0004-0000-2400-000025000000}"/>
    <hyperlink ref="B40" r:id="rId39" display="mailto:venkata.lakili@capgemini.com" xr:uid="{00000000-0004-0000-2400-000026000000}"/>
    <hyperlink ref="B41" r:id="rId40" display="mailto:ruth.angeleena-thoodi@capgemini.com" xr:uid="{00000000-0004-0000-2400-000027000000}"/>
    <hyperlink ref="B42" r:id="rId41" display="mailto:namrata.khot@capgemini.com" xr:uid="{00000000-0004-0000-2400-000028000000}"/>
    <hyperlink ref="B43" r:id="rId42" display="mailto:harshada.gaikwad@capgemini.com" xr:uid="{00000000-0004-0000-2400-000029000000}"/>
    <hyperlink ref="B44" r:id="rId43" display="mailto:mousmi-jitendra.dave@capgemini.com" xr:uid="{00000000-0004-0000-2400-00002A000000}"/>
    <hyperlink ref="B45" r:id="rId44" display="mailto:harpreet.g.singh@capgemini.com" xr:uid="{00000000-0004-0000-2400-00002B000000}"/>
    <hyperlink ref="B46" r:id="rId45" display="mailto:syed-mohd.ali-faraz@capgemini.com" xr:uid="{00000000-0004-0000-2400-00002C000000}"/>
    <hyperlink ref="B47" r:id="rId46" display="mailto:sneha.a.katta@capgemini.com" xr:uid="{00000000-0004-0000-2400-00002D000000}"/>
    <hyperlink ref="B48" r:id="rId47" display="mailto:akhila.b.v@capgemini.com" xr:uid="{00000000-0004-0000-2400-00002E000000}"/>
    <hyperlink ref="B49" r:id="rId48" display="mailto:sanika-sunil.khawate@capgemini.com" xr:uid="{00000000-0004-0000-2400-00002F000000}"/>
    <hyperlink ref="B50" r:id="rId49" display="mailto:sreekanth.reddy-munagala@capgemini.com" xr:uid="{00000000-0004-0000-2400-000030000000}"/>
    <hyperlink ref="B51" r:id="rId50" display="mailto:shoyebshah.ashkan@capgemini.com" xr:uid="{00000000-0004-0000-2400-000031000000}"/>
    <hyperlink ref="B52" r:id="rId51" display="mailto:naveen-kumar-goud.angol@capgemini.com" xr:uid="{00000000-0004-0000-2400-000032000000}"/>
    <hyperlink ref="B53" r:id="rId52" display="mailto:ashish.g.yadav@capgemini.com" xr:uid="{00000000-0004-0000-2400-000033000000}"/>
    <hyperlink ref="B54" r:id="rId53" display="mailto:pranit-chandrakant.janvade@capgemini.com" xr:uid="{00000000-0004-0000-2400-000034000000}"/>
    <hyperlink ref="B55" r:id="rId54" display="mailto:sri-sai-akhileswar.vejendla@capgemini.com" xr:uid="{00000000-0004-0000-2400-000035000000}"/>
    <hyperlink ref="B56" r:id="rId55" display="mailto:shraddha-santosh.gavli@capgemini.com" xr:uid="{00000000-0004-0000-2400-000036000000}"/>
    <hyperlink ref="B57" r:id="rId56" display="mailto:snehal-rajendra.kulkarni@capgemini.com" xr:uid="{00000000-0004-0000-2400-000037000000}"/>
    <hyperlink ref="B58" r:id="rId57" display="mailto:tanvi.agarwal@capgemini.com" xr:uid="{00000000-0004-0000-2400-000038000000}"/>
  </hyperlinks>
  <pageMargins left="0.7" right="0.7" top="0.75" bottom="0.75" header="0.3" footer="0.3"/>
  <pageSetup paperSize="9" orientation="portrait" verticalDpi="0" r:id="rId58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14E9-F564-4FB0-8587-3ADAB8627BB9}">
  <dimension ref="A1:P16"/>
  <sheetViews>
    <sheetView zoomScale="70" zoomScaleNormal="70" workbookViewId="0">
      <pane xSplit="2" topLeftCell="C1" activePane="topRight" state="frozen"/>
      <selection activeCell="B1" sqref="B1"/>
      <selection pane="topRight" activeCell="J20" sqref="J20"/>
    </sheetView>
  </sheetViews>
  <sheetFormatPr defaultRowHeight="14.5" x14ac:dyDescent="0.35"/>
  <cols>
    <col min="1" max="1" width="10.453125" bestFit="1" customWidth="1"/>
    <col min="2" max="2" width="18.453125" bestFit="1" customWidth="1"/>
    <col min="3" max="3" width="29.54296875" bestFit="1" customWidth="1"/>
    <col min="4" max="4" width="11.36328125" bestFit="1" customWidth="1"/>
    <col min="5" max="5" width="14" bestFit="1" customWidth="1"/>
    <col min="6" max="6" width="16.54296875" bestFit="1" customWidth="1"/>
    <col min="7" max="7" width="17.7265625" bestFit="1" customWidth="1"/>
    <col min="8" max="8" width="18.453125" bestFit="1" customWidth="1"/>
    <col min="9" max="9" width="13" bestFit="1" customWidth="1"/>
    <col min="10" max="10" width="14.453125" bestFit="1" customWidth="1"/>
    <col min="11" max="11" width="9.08984375" bestFit="1" customWidth="1"/>
    <col min="14" max="14" width="16.1796875" bestFit="1" customWidth="1"/>
    <col min="15" max="15" width="25.26953125" bestFit="1" customWidth="1"/>
  </cols>
  <sheetData>
    <row r="1" spans="1:16" ht="34.5" x14ac:dyDescent="0.35">
      <c r="A1" s="277" t="s">
        <v>75</v>
      </c>
      <c r="B1" s="277" t="s">
        <v>76</v>
      </c>
      <c r="C1" s="277" t="s">
        <v>327</v>
      </c>
      <c r="D1" s="277" t="s">
        <v>328</v>
      </c>
      <c r="E1" s="277" t="s">
        <v>329</v>
      </c>
      <c r="F1" s="261" t="s">
        <v>330</v>
      </c>
      <c r="G1" s="260" t="s">
        <v>331</v>
      </c>
      <c r="H1" s="276" t="s">
        <v>332</v>
      </c>
      <c r="I1" s="276" t="s">
        <v>333</v>
      </c>
      <c r="J1" s="276" t="s">
        <v>36</v>
      </c>
      <c r="K1" s="276" t="s">
        <v>137</v>
      </c>
      <c r="L1" s="255" t="s">
        <v>334</v>
      </c>
      <c r="M1" s="255" t="s">
        <v>335</v>
      </c>
      <c r="N1" s="277" t="s">
        <v>336</v>
      </c>
      <c r="O1" s="261" t="s">
        <v>337</v>
      </c>
      <c r="P1" s="278" t="s">
        <v>338</v>
      </c>
    </row>
    <row r="2" spans="1:16" x14ac:dyDescent="0.35">
      <c r="A2" s="277"/>
      <c r="B2" s="277"/>
      <c r="C2" s="277"/>
      <c r="D2" s="277"/>
      <c r="E2" s="277"/>
      <c r="F2" s="261" t="s">
        <v>353</v>
      </c>
      <c r="G2" s="260" t="s">
        <v>339</v>
      </c>
      <c r="H2" s="276"/>
      <c r="I2" s="276"/>
      <c r="J2" s="276"/>
      <c r="K2" s="276"/>
      <c r="L2" s="255" t="s">
        <v>340</v>
      </c>
      <c r="M2" s="255" t="s">
        <v>340</v>
      </c>
      <c r="N2" s="277"/>
      <c r="O2" s="261" t="s">
        <v>341</v>
      </c>
      <c r="P2" s="278"/>
    </row>
    <row r="3" spans="1:16" x14ac:dyDescent="0.35">
      <c r="A3" s="268" t="s">
        <v>53</v>
      </c>
      <c r="B3" s="1" t="s">
        <v>9</v>
      </c>
      <c r="C3" s="1" t="s">
        <v>342</v>
      </c>
      <c r="D3" s="1" t="s">
        <v>159</v>
      </c>
      <c r="E3" s="1" t="s">
        <v>84</v>
      </c>
      <c r="F3" s="1">
        <v>22</v>
      </c>
      <c r="G3" s="1">
        <v>0</v>
      </c>
      <c r="H3" s="1">
        <v>0</v>
      </c>
      <c r="I3" s="1">
        <v>1</v>
      </c>
      <c r="J3" s="1">
        <v>0</v>
      </c>
      <c r="K3">
        <v>21</v>
      </c>
      <c r="L3" s="1">
        <v>0</v>
      </c>
      <c r="M3" s="1">
        <v>0</v>
      </c>
      <c r="N3" s="1">
        <v>9</v>
      </c>
      <c r="O3" s="1" t="s">
        <v>343</v>
      </c>
      <c r="P3" s="256">
        <f>SUM(G3:N3)</f>
        <v>31</v>
      </c>
    </row>
    <row r="4" spans="1:16" x14ac:dyDescent="0.35">
      <c r="A4" s="268">
        <v>46027125</v>
      </c>
      <c r="B4" s="1" t="s">
        <v>21</v>
      </c>
      <c r="C4" s="1" t="s">
        <v>342</v>
      </c>
      <c r="D4" s="1" t="s">
        <v>159</v>
      </c>
      <c r="E4" s="1" t="s">
        <v>106</v>
      </c>
      <c r="F4" s="1">
        <v>22</v>
      </c>
      <c r="G4" s="1">
        <v>0</v>
      </c>
      <c r="H4" s="1">
        <v>0</v>
      </c>
      <c r="I4" s="1">
        <v>0</v>
      </c>
      <c r="J4" s="1">
        <v>0</v>
      </c>
      <c r="K4">
        <v>24</v>
      </c>
      <c r="L4" s="1">
        <v>0</v>
      </c>
      <c r="M4" s="1">
        <v>0</v>
      </c>
      <c r="N4" s="1">
        <v>7</v>
      </c>
      <c r="O4" s="1" t="s">
        <v>343</v>
      </c>
      <c r="P4" s="256">
        <f t="shared" ref="P4:P8" si="0">SUM(G4:N4)</f>
        <v>31</v>
      </c>
    </row>
    <row r="5" spans="1:16" x14ac:dyDescent="0.35">
      <c r="A5" s="268">
        <v>46029952</v>
      </c>
      <c r="B5" s="1" t="s">
        <v>22</v>
      </c>
      <c r="C5" s="1" t="s">
        <v>342</v>
      </c>
      <c r="D5" s="1" t="s">
        <v>159</v>
      </c>
      <c r="E5" s="1" t="s">
        <v>142</v>
      </c>
      <c r="F5" s="1">
        <v>22</v>
      </c>
      <c r="G5" s="1">
        <v>0</v>
      </c>
      <c r="H5" s="1">
        <v>0</v>
      </c>
      <c r="I5" s="1">
        <v>3</v>
      </c>
      <c r="J5" s="1">
        <v>0</v>
      </c>
      <c r="K5">
        <v>20</v>
      </c>
      <c r="L5" s="1">
        <v>0</v>
      </c>
      <c r="M5" s="1">
        <v>0</v>
      </c>
      <c r="N5" s="1">
        <v>8</v>
      </c>
      <c r="O5" s="1" t="s">
        <v>343</v>
      </c>
      <c r="P5" s="256">
        <f t="shared" si="0"/>
        <v>31</v>
      </c>
    </row>
    <row r="6" spans="1:16" x14ac:dyDescent="0.35">
      <c r="A6" s="268">
        <v>46075393</v>
      </c>
      <c r="B6" s="1" t="s">
        <v>70</v>
      </c>
      <c r="C6" s="1" t="s">
        <v>342</v>
      </c>
      <c r="D6" s="1" t="s">
        <v>159</v>
      </c>
      <c r="E6" s="1" t="s">
        <v>84</v>
      </c>
      <c r="F6" s="1">
        <v>22</v>
      </c>
      <c r="G6" s="1">
        <v>0</v>
      </c>
      <c r="H6" s="1">
        <v>0</v>
      </c>
      <c r="I6" s="1">
        <v>1</v>
      </c>
      <c r="J6" s="1">
        <v>1</v>
      </c>
      <c r="K6">
        <v>20</v>
      </c>
      <c r="L6" s="1">
        <v>0</v>
      </c>
      <c r="M6" s="1">
        <v>0</v>
      </c>
      <c r="N6" s="1">
        <v>9</v>
      </c>
      <c r="O6" s="1" t="s">
        <v>343</v>
      </c>
      <c r="P6" s="256">
        <f t="shared" si="0"/>
        <v>31</v>
      </c>
    </row>
    <row r="7" spans="1:16" x14ac:dyDescent="0.35">
      <c r="A7" s="268">
        <v>46080403</v>
      </c>
      <c r="B7" s="1" t="s">
        <v>326</v>
      </c>
      <c r="C7" s="1" t="s">
        <v>342</v>
      </c>
      <c r="D7" s="1" t="s">
        <v>159</v>
      </c>
      <c r="E7" s="1" t="s">
        <v>84</v>
      </c>
      <c r="F7" s="1">
        <v>22</v>
      </c>
      <c r="G7" s="1">
        <v>0</v>
      </c>
      <c r="H7" s="1">
        <v>0</v>
      </c>
      <c r="I7" s="1">
        <v>0</v>
      </c>
      <c r="J7" s="1">
        <v>1</v>
      </c>
      <c r="K7">
        <v>22</v>
      </c>
      <c r="L7" s="1">
        <v>0</v>
      </c>
      <c r="M7" s="1">
        <v>0</v>
      </c>
      <c r="N7" s="1">
        <v>8</v>
      </c>
      <c r="O7" s="1" t="s">
        <v>343</v>
      </c>
      <c r="P7" s="256">
        <f t="shared" si="0"/>
        <v>31</v>
      </c>
    </row>
    <row r="8" spans="1:16" x14ac:dyDescent="0.35">
      <c r="A8" s="268">
        <v>160587</v>
      </c>
      <c r="B8" s="1" t="s">
        <v>347</v>
      </c>
      <c r="C8" s="1" t="s">
        <v>342</v>
      </c>
      <c r="D8" s="1" t="s">
        <v>159</v>
      </c>
      <c r="E8" s="1" t="s">
        <v>356</v>
      </c>
      <c r="F8" s="1">
        <v>22</v>
      </c>
      <c r="G8" s="1">
        <v>0</v>
      </c>
      <c r="H8" s="1">
        <v>3</v>
      </c>
      <c r="I8" s="1">
        <v>9</v>
      </c>
      <c r="J8" s="1">
        <v>1</v>
      </c>
      <c r="K8" s="1">
        <v>10</v>
      </c>
      <c r="L8" s="1">
        <v>2</v>
      </c>
      <c r="M8" s="1">
        <v>0</v>
      </c>
      <c r="N8" s="1">
        <v>6</v>
      </c>
      <c r="O8" s="1" t="s">
        <v>343</v>
      </c>
      <c r="P8" s="256">
        <f t="shared" si="0"/>
        <v>31</v>
      </c>
    </row>
    <row r="9" spans="1:16" ht="15" thickBo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34.5" x14ac:dyDescent="0.35">
      <c r="A10" s="279" t="s">
        <v>75</v>
      </c>
      <c r="B10" s="277" t="s">
        <v>76</v>
      </c>
      <c r="C10" s="277" t="s">
        <v>327</v>
      </c>
      <c r="D10" s="277" t="s">
        <v>328</v>
      </c>
      <c r="E10" s="277" t="s">
        <v>329</v>
      </c>
      <c r="F10" s="261" t="s">
        <v>330</v>
      </c>
      <c r="G10" s="260" t="s">
        <v>331</v>
      </c>
      <c r="H10" s="276" t="s">
        <v>332</v>
      </c>
      <c r="I10" s="276" t="s">
        <v>333</v>
      </c>
      <c r="J10" s="276" t="s">
        <v>36</v>
      </c>
      <c r="K10" s="276" t="s">
        <v>137</v>
      </c>
      <c r="L10" s="255" t="s">
        <v>334</v>
      </c>
      <c r="M10" s="255" t="s">
        <v>335</v>
      </c>
      <c r="N10" s="277" t="s">
        <v>336</v>
      </c>
      <c r="O10" s="261" t="s">
        <v>337</v>
      </c>
      <c r="P10" s="278" t="s">
        <v>338</v>
      </c>
    </row>
    <row r="11" spans="1:16" ht="15" thickBot="1" x14ac:dyDescent="0.4">
      <c r="A11" s="280"/>
      <c r="B11" s="277"/>
      <c r="C11" s="277"/>
      <c r="D11" s="277"/>
      <c r="E11" s="277"/>
      <c r="F11" s="261" t="s">
        <v>354</v>
      </c>
      <c r="G11" s="260" t="s">
        <v>339</v>
      </c>
      <c r="H11" s="276"/>
      <c r="I11" s="276"/>
      <c r="J11" s="276"/>
      <c r="K11" s="276"/>
      <c r="L11" s="255" t="s">
        <v>340</v>
      </c>
      <c r="M11" s="255" t="s">
        <v>340</v>
      </c>
      <c r="N11" s="277"/>
      <c r="O11" s="261" t="s">
        <v>341</v>
      </c>
      <c r="P11" s="278"/>
    </row>
    <row r="12" spans="1:16" x14ac:dyDescent="0.35">
      <c r="A12" s="267" t="s">
        <v>53</v>
      </c>
      <c r="B12" s="1" t="s">
        <v>9</v>
      </c>
      <c r="C12" s="1" t="s">
        <v>342</v>
      </c>
      <c r="D12" s="1" t="s">
        <v>159</v>
      </c>
      <c r="E12" s="1" t="s">
        <v>84</v>
      </c>
      <c r="F12" s="1">
        <v>21</v>
      </c>
      <c r="G12" s="1">
        <v>0</v>
      </c>
      <c r="H12" s="1">
        <v>0</v>
      </c>
      <c r="I12" s="1">
        <v>1</v>
      </c>
      <c r="J12" s="1">
        <v>0</v>
      </c>
      <c r="K12" s="1">
        <v>21</v>
      </c>
      <c r="L12" s="1">
        <v>0</v>
      </c>
      <c r="M12" s="1">
        <v>0</v>
      </c>
      <c r="N12" s="1">
        <v>8</v>
      </c>
      <c r="O12" s="1" t="s">
        <v>343</v>
      </c>
      <c r="P12" s="256">
        <f>SUM(G12:N12)</f>
        <v>30</v>
      </c>
    </row>
    <row r="13" spans="1:16" x14ac:dyDescent="0.35">
      <c r="A13" s="269">
        <v>46041450</v>
      </c>
      <c r="B13" s="1" t="s">
        <v>43</v>
      </c>
      <c r="C13" s="1" t="s">
        <v>342</v>
      </c>
      <c r="D13" s="1" t="s">
        <v>159</v>
      </c>
      <c r="E13" s="1" t="s">
        <v>106</v>
      </c>
      <c r="F13" s="1">
        <v>21</v>
      </c>
      <c r="G13" s="1">
        <v>0</v>
      </c>
      <c r="H13" s="1">
        <v>0</v>
      </c>
      <c r="I13" s="1">
        <v>0</v>
      </c>
      <c r="J13" s="1">
        <v>0</v>
      </c>
      <c r="K13" s="1">
        <v>21</v>
      </c>
      <c r="L13" s="1">
        <v>0</v>
      </c>
      <c r="M13" s="1">
        <v>0</v>
      </c>
      <c r="N13" s="1">
        <v>8</v>
      </c>
      <c r="O13" s="1" t="s">
        <v>343</v>
      </c>
      <c r="P13" s="256">
        <f t="shared" ref="P13:P16" si="1">SUM(G13:N13)</f>
        <v>29</v>
      </c>
    </row>
    <row r="14" spans="1:16" x14ac:dyDescent="0.35">
      <c r="A14" s="269">
        <v>46103795</v>
      </c>
      <c r="B14" s="1" t="s">
        <v>68</v>
      </c>
      <c r="C14" s="1" t="s">
        <v>342</v>
      </c>
      <c r="D14" s="1" t="s">
        <v>159</v>
      </c>
      <c r="E14" s="1" t="s">
        <v>143</v>
      </c>
      <c r="F14" s="1">
        <v>21</v>
      </c>
      <c r="G14" s="1">
        <v>0</v>
      </c>
      <c r="H14" s="1">
        <v>0</v>
      </c>
      <c r="I14" s="1">
        <v>0</v>
      </c>
      <c r="J14" s="1">
        <v>0</v>
      </c>
      <c r="K14" s="1">
        <v>22</v>
      </c>
      <c r="L14" s="1">
        <v>0</v>
      </c>
      <c r="M14" s="1">
        <v>0</v>
      </c>
      <c r="N14" s="1">
        <v>8</v>
      </c>
      <c r="O14" s="1" t="s">
        <v>343</v>
      </c>
      <c r="P14" s="256">
        <f t="shared" si="1"/>
        <v>30</v>
      </c>
    </row>
    <row r="15" spans="1:16" x14ac:dyDescent="0.35">
      <c r="A15" s="269">
        <v>46051834</v>
      </c>
      <c r="B15" s="1" t="s">
        <v>60</v>
      </c>
      <c r="C15" s="1" t="s">
        <v>342</v>
      </c>
      <c r="D15" s="1" t="s">
        <v>159</v>
      </c>
      <c r="E15" s="1" t="s">
        <v>92</v>
      </c>
      <c r="F15" s="1">
        <v>21</v>
      </c>
      <c r="G15" s="1">
        <v>0</v>
      </c>
      <c r="H15" s="1">
        <v>0</v>
      </c>
      <c r="I15" s="1">
        <v>4</v>
      </c>
      <c r="J15" s="1">
        <v>0</v>
      </c>
      <c r="K15" s="1">
        <v>19</v>
      </c>
      <c r="L15" s="1">
        <v>0</v>
      </c>
      <c r="M15" s="1">
        <v>0</v>
      </c>
      <c r="N15" s="1">
        <v>7</v>
      </c>
      <c r="O15" s="1" t="s">
        <v>343</v>
      </c>
      <c r="P15" s="256">
        <f t="shared" si="1"/>
        <v>30</v>
      </c>
    </row>
    <row r="16" spans="1:16" x14ac:dyDescent="0.35">
      <c r="A16" s="269">
        <v>46272580</v>
      </c>
      <c r="B16" s="1" t="s">
        <v>152</v>
      </c>
      <c r="C16" s="1" t="s">
        <v>342</v>
      </c>
      <c r="D16" s="1" t="s">
        <v>159</v>
      </c>
      <c r="E16" s="1" t="s">
        <v>84</v>
      </c>
      <c r="F16" s="1">
        <v>21</v>
      </c>
      <c r="G16" s="1">
        <v>0</v>
      </c>
      <c r="H16" s="1">
        <v>0</v>
      </c>
      <c r="I16" s="1">
        <v>6</v>
      </c>
      <c r="J16" s="1">
        <v>0</v>
      </c>
      <c r="K16" s="1">
        <v>16</v>
      </c>
      <c r="L16" s="1">
        <v>0</v>
      </c>
      <c r="M16" s="1">
        <v>0</v>
      </c>
      <c r="N16" s="1">
        <v>8</v>
      </c>
      <c r="O16" s="1" t="s">
        <v>343</v>
      </c>
      <c r="P16" s="256">
        <f t="shared" si="1"/>
        <v>30</v>
      </c>
    </row>
  </sheetData>
  <mergeCells count="22">
    <mergeCell ref="A10:A11"/>
    <mergeCell ref="B10:B11"/>
    <mergeCell ref="C10:C11"/>
    <mergeCell ref="D10:D11"/>
    <mergeCell ref="E10:E11"/>
    <mergeCell ref="H10:H11"/>
    <mergeCell ref="I10:I11"/>
    <mergeCell ref="J10:J11"/>
    <mergeCell ref="K10:K11"/>
    <mergeCell ref="N10:N11"/>
    <mergeCell ref="P10:P11"/>
    <mergeCell ref="I1:I2"/>
    <mergeCell ref="J1:J2"/>
    <mergeCell ref="K1:K2"/>
    <mergeCell ref="N1:N2"/>
    <mergeCell ref="P1:P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3"/>
  <dimension ref="A1:K21"/>
  <sheetViews>
    <sheetView workbookViewId="0">
      <selection activeCell="G24" sqref="G24"/>
    </sheetView>
  </sheetViews>
  <sheetFormatPr defaultRowHeight="14.5" x14ac:dyDescent="0.35"/>
  <cols>
    <col min="1" max="1" width="8.81640625" bestFit="1" customWidth="1"/>
    <col min="2" max="2" width="9.08984375" customWidth="1"/>
    <col min="3" max="3" width="16.7265625" bestFit="1" customWidth="1"/>
    <col min="4" max="4" width="38.08984375" bestFit="1" customWidth="1"/>
    <col min="5" max="5" width="22" bestFit="1" customWidth="1"/>
    <col min="8" max="8" width="16.7265625" bestFit="1" customWidth="1"/>
    <col min="9" max="9" width="10.81640625" bestFit="1" customWidth="1"/>
    <col min="10" max="10" width="18.90625" bestFit="1" customWidth="1"/>
  </cols>
  <sheetData>
    <row r="1" spans="1:11" x14ac:dyDescent="0.35">
      <c r="A1" s="201" t="s">
        <v>146</v>
      </c>
      <c r="B1" s="201" t="s">
        <v>147</v>
      </c>
      <c r="C1" s="201" t="s">
        <v>104</v>
      </c>
      <c r="D1" s="201" t="s">
        <v>51</v>
      </c>
      <c r="E1" s="201" t="s">
        <v>73</v>
      </c>
      <c r="F1" s="201" t="s">
        <v>302</v>
      </c>
      <c r="G1" s="201" t="s">
        <v>158</v>
      </c>
      <c r="H1" s="201" t="s">
        <v>303</v>
      </c>
      <c r="I1" s="201" t="s">
        <v>294</v>
      </c>
      <c r="J1" s="201" t="s">
        <v>295</v>
      </c>
      <c r="K1" s="198"/>
    </row>
    <row r="2" spans="1:11" x14ac:dyDescent="0.35">
      <c r="A2" s="199">
        <v>46140494</v>
      </c>
      <c r="B2" s="199">
        <v>46140494</v>
      </c>
      <c r="C2" s="199" t="s">
        <v>149</v>
      </c>
      <c r="D2" s="200" t="s">
        <v>258</v>
      </c>
      <c r="E2" s="199" t="s">
        <v>296</v>
      </c>
      <c r="F2" s="199" t="s">
        <v>106</v>
      </c>
      <c r="G2" s="199" t="s">
        <v>159</v>
      </c>
      <c r="H2" s="199" t="s">
        <v>95</v>
      </c>
      <c r="I2" s="199">
        <v>9133977919</v>
      </c>
      <c r="J2" s="199">
        <v>7036416453</v>
      </c>
      <c r="K2" s="198"/>
    </row>
    <row r="3" spans="1:11" x14ac:dyDescent="0.35">
      <c r="A3" s="199">
        <v>46045351</v>
      </c>
      <c r="B3" s="199">
        <v>46045351</v>
      </c>
      <c r="C3" s="199" t="s">
        <v>79</v>
      </c>
      <c r="D3" s="200" t="s">
        <v>67</v>
      </c>
      <c r="E3" s="199" t="s">
        <v>296</v>
      </c>
      <c r="F3" s="199" t="s">
        <v>80</v>
      </c>
      <c r="G3" s="199" t="s">
        <v>159</v>
      </c>
      <c r="H3" s="199" t="s">
        <v>297</v>
      </c>
      <c r="I3" s="199">
        <v>9124745800</v>
      </c>
      <c r="J3" s="199">
        <v>9124745800</v>
      </c>
      <c r="K3" s="198"/>
    </row>
    <row r="4" spans="1:11" x14ac:dyDescent="0.35">
      <c r="A4" s="199">
        <v>46029952</v>
      </c>
      <c r="B4" s="199">
        <v>46029952</v>
      </c>
      <c r="C4" s="199" t="s">
        <v>22</v>
      </c>
      <c r="D4" s="200" t="s">
        <v>65</v>
      </c>
      <c r="E4" s="199" t="s">
        <v>296</v>
      </c>
      <c r="F4" s="199" t="s">
        <v>142</v>
      </c>
      <c r="G4" s="199" t="s">
        <v>159</v>
      </c>
      <c r="H4" s="199" t="s">
        <v>1</v>
      </c>
      <c r="I4" s="199">
        <v>7548824282</v>
      </c>
      <c r="J4" s="199">
        <v>9942645747</v>
      </c>
      <c r="K4" s="198"/>
    </row>
    <row r="5" spans="1:11" x14ac:dyDescent="0.35">
      <c r="A5" s="199">
        <v>46051834</v>
      </c>
      <c r="B5" s="199">
        <v>46051834</v>
      </c>
      <c r="C5" s="199" t="s">
        <v>60</v>
      </c>
      <c r="D5" s="200" t="s">
        <v>61</v>
      </c>
      <c r="E5" s="199" t="s">
        <v>296</v>
      </c>
      <c r="F5" s="199" t="s">
        <v>107</v>
      </c>
      <c r="G5" s="199" t="s">
        <v>159</v>
      </c>
      <c r="H5" s="199" t="s">
        <v>297</v>
      </c>
      <c r="I5" s="199">
        <v>7715892899</v>
      </c>
      <c r="J5" s="199">
        <v>9619395567</v>
      </c>
      <c r="K5" s="198"/>
    </row>
    <row r="6" spans="1:11" x14ac:dyDescent="0.35">
      <c r="A6" s="199">
        <v>46226182</v>
      </c>
      <c r="B6" s="199">
        <v>46226182</v>
      </c>
      <c r="C6" s="199" t="s">
        <v>124</v>
      </c>
      <c r="D6" s="200" t="s">
        <v>133</v>
      </c>
      <c r="E6" s="199" t="s">
        <v>132</v>
      </c>
      <c r="F6" s="199" t="s">
        <v>84</v>
      </c>
      <c r="G6" s="199" t="s">
        <v>159</v>
      </c>
      <c r="H6" s="199" t="s">
        <v>1</v>
      </c>
      <c r="I6" s="199">
        <v>9527531139</v>
      </c>
      <c r="J6" s="199">
        <v>8788101992</v>
      </c>
      <c r="K6" s="198"/>
    </row>
    <row r="7" spans="1:11" x14ac:dyDescent="0.35">
      <c r="A7" s="199">
        <v>46103795</v>
      </c>
      <c r="B7" s="199">
        <v>46103795</v>
      </c>
      <c r="C7" s="199" t="s">
        <v>68</v>
      </c>
      <c r="D7" s="200" t="s">
        <v>102</v>
      </c>
      <c r="E7" s="199" t="s">
        <v>296</v>
      </c>
      <c r="F7" s="199" t="s">
        <v>143</v>
      </c>
      <c r="G7" s="199" t="s">
        <v>159</v>
      </c>
      <c r="H7" s="199" t="s">
        <v>95</v>
      </c>
      <c r="I7" s="199">
        <v>9592860117</v>
      </c>
      <c r="J7" s="199">
        <v>7888723508</v>
      </c>
      <c r="K7" s="198"/>
    </row>
    <row r="8" spans="1:11" x14ac:dyDescent="0.35">
      <c r="A8" s="199">
        <v>1116709</v>
      </c>
      <c r="B8" s="199" t="s">
        <v>53</v>
      </c>
      <c r="C8" s="199" t="s">
        <v>9</v>
      </c>
      <c r="D8" s="200" t="s">
        <v>55</v>
      </c>
      <c r="E8" s="199" t="s">
        <v>298</v>
      </c>
      <c r="F8" s="199" t="s">
        <v>84</v>
      </c>
      <c r="G8" s="199" t="s">
        <v>159</v>
      </c>
      <c r="H8" s="199" t="s">
        <v>299</v>
      </c>
      <c r="I8" s="199">
        <v>8698730160</v>
      </c>
      <c r="J8" s="199">
        <v>8073419626</v>
      </c>
      <c r="K8" s="198"/>
    </row>
    <row r="9" spans="1:11" x14ac:dyDescent="0.35">
      <c r="A9" s="199">
        <v>904589</v>
      </c>
      <c r="B9" s="199" t="s">
        <v>52</v>
      </c>
      <c r="C9" s="199" t="s">
        <v>1</v>
      </c>
      <c r="D9" s="200" t="s">
        <v>203</v>
      </c>
      <c r="E9" s="199" t="s">
        <v>298</v>
      </c>
      <c r="F9" s="199" t="s">
        <v>84</v>
      </c>
      <c r="G9" s="199" t="s">
        <v>159</v>
      </c>
      <c r="H9" s="199" t="s">
        <v>299</v>
      </c>
      <c r="I9" s="199">
        <v>9096786494</v>
      </c>
      <c r="J9" s="199">
        <v>9763456494</v>
      </c>
      <c r="K9" s="198"/>
    </row>
    <row r="10" spans="1:11" x14ac:dyDescent="0.35">
      <c r="A10" s="199">
        <v>46122508</v>
      </c>
      <c r="B10" s="199">
        <v>46122508</v>
      </c>
      <c r="C10" s="199" t="s">
        <v>71</v>
      </c>
      <c r="D10" s="200" t="s">
        <v>103</v>
      </c>
      <c r="E10" s="199" t="s">
        <v>296</v>
      </c>
      <c r="F10" s="199" t="s">
        <v>84</v>
      </c>
      <c r="G10" s="199" t="s">
        <v>159</v>
      </c>
      <c r="H10" s="199" t="s">
        <v>95</v>
      </c>
      <c r="I10" s="199">
        <v>9406882656</v>
      </c>
      <c r="J10" s="199">
        <v>9406888945</v>
      </c>
      <c r="K10" s="198"/>
    </row>
    <row r="11" spans="1:11" x14ac:dyDescent="0.35">
      <c r="A11" s="199">
        <v>46075393</v>
      </c>
      <c r="B11" s="199">
        <v>46075393</v>
      </c>
      <c r="C11" s="199" t="s">
        <v>98</v>
      </c>
      <c r="D11" s="200" t="s">
        <v>101</v>
      </c>
      <c r="E11" s="199" t="s">
        <v>296</v>
      </c>
      <c r="F11" s="199" t="s">
        <v>84</v>
      </c>
      <c r="G11" s="199" t="s">
        <v>159</v>
      </c>
      <c r="H11" s="199" t="s">
        <v>124</v>
      </c>
      <c r="I11" s="199">
        <v>8624851012</v>
      </c>
      <c r="J11" s="199">
        <v>9022301430</v>
      </c>
      <c r="K11" s="198"/>
    </row>
    <row r="12" spans="1:11" x14ac:dyDescent="0.35">
      <c r="A12" s="199">
        <v>1358209</v>
      </c>
      <c r="B12" s="199" t="s">
        <v>56</v>
      </c>
      <c r="C12" s="199" t="s">
        <v>95</v>
      </c>
      <c r="D12" s="200" t="s">
        <v>58</v>
      </c>
      <c r="E12" s="199" t="s">
        <v>132</v>
      </c>
      <c r="F12" s="199" t="s">
        <v>143</v>
      </c>
      <c r="G12" s="199" t="s">
        <v>159</v>
      </c>
      <c r="H12" s="199" t="s">
        <v>297</v>
      </c>
      <c r="I12" s="199">
        <v>7618937019</v>
      </c>
      <c r="J12" s="199">
        <v>9140614886</v>
      </c>
      <c r="K12" s="198"/>
    </row>
    <row r="13" spans="1:11" x14ac:dyDescent="0.35">
      <c r="A13" s="199">
        <v>46041450</v>
      </c>
      <c r="B13" s="199">
        <v>46041450</v>
      </c>
      <c r="C13" s="199" t="s">
        <v>43</v>
      </c>
      <c r="D13" s="200" t="s">
        <v>64</v>
      </c>
      <c r="E13" s="199" t="s">
        <v>296</v>
      </c>
      <c r="F13" s="199" t="s">
        <v>106</v>
      </c>
      <c r="G13" s="199" t="s">
        <v>159</v>
      </c>
      <c r="H13" s="199" t="s">
        <v>297</v>
      </c>
      <c r="I13" s="199">
        <v>9492106751</v>
      </c>
      <c r="J13" s="199">
        <v>9490981533</v>
      </c>
      <c r="K13" s="198"/>
    </row>
    <row r="14" spans="1:11" x14ac:dyDescent="0.35">
      <c r="A14" s="199">
        <v>46272580</v>
      </c>
      <c r="B14" s="199">
        <v>46272580</v>
      </c>
      <c r="C14" s="199" t="s">
        <v>152</v>
      </c>
      <c r="D14" s="200" t="s">
        <v>293</v>
      </c>
      <c r="E14" s="199" t="s">
        <v>300</v>
      </c>
      <c r="F14" s="199" t="s">
        <v>84</v>
      </c>
      <c r="G14" s="199" t="s">
        <v>159</v>
      </c>
      <c r="H14" s="199" t="s">
        <v>297</v>
      </c>
      <c r="I14" s="199">
        <v>9422117321</v>
      </c>
      <c r="J14" s="199">
        <v>9322678680</v>
      </c>
      <c r="K14" s="198"/>
    </row>
    <row r="15" spans="1:11" x14ac:dyDescent="0.35">
      <c r="A15" s="199">
        <v>46027125</v>
      </c>
      <c r="B15" s="199">
        <v>46027125</v>
      </c>
      <c r="C15" s="199" t="s">
        <v>62</v>
      </c>
      <c r="D15" s="200" t="s">
        <v>63</v>
      </c>
      <c r="E15" s="199" t="s">
        <v>296</v>
      </c>
      <c r="F15" s="199" t="s">
        <v>106</v>
      </c>
      <c r="G15" s="199" t="s">
        <v>159</v>
      </c>
      <c r="H15" s="199" t="s">
        <v>1</v>
      </c>
      <c r="I15" s="199">
        <v>7569295256</v>
      </c>
      <c r="J15" s="199">
        <v>8019301623</v>
      </c>
      <c r="K15" s="198"/>
    </row>
    <row r="16" spans="1:11" x14ac:dyDescent="0.35">
      <c r="A16" s="1">
        <v>46232798</v>
      </c>
      <c r="B16" s="1">
        <v>46232798</v>
      </c>
      <c r="C16" s="199" t="s">
        <v>308</v>
      </c>
      <c r="D16" s="257" t="s">
        <v>309</v>
      </c>
      <c r="E16" s="199" t="s">
        <v>301</v>
      </c>
      <c r="F16" s="199" t="s">
        <v>84</v>
      </c>
      <c r="G16" s="199" t="s">
        <v>159</v>
      </c>
      <c r="H16" s="199" t="s">
        <v>297</v>
      </c>
      <c r="I16" s="1">
        <v>8095614980</v>
      </c>
      <c r="J16" s="1">
        <v>7996655754</v>
      </c>
    </row>
    <row r="17" spans="1:10" x14ac:dyDescent="0.35">
      <c r="A17" s="258">
        <v>46080403</v>
      </c>
      <c r="B17" s="258">
        <v>46080403</v>
      </c>
      <c r="C17" s="258" t="s">
        <v>344</v>
      </c>
      <c r="D17" s="259" t="s">
        <v>345</v>
      </c>
      <c r="E17" s="258" t="s">
        <v>300</v>
      </c>
      <c r="F17" s="258" t="s">
        <v>84</v>
      </c>
      <c r="G17" s="258" t="s">
        <v>159</v>
      </c>
      <c r="H17" s="199" t="s">
        <v>297</v>
      </c>
      <c r="I17" s="258">
        <v>9860455210</v>
      </c>
      <c r="J17" s="258">
        <v>9834092469</v>
      </c>
    </row>
    <row r="18" spans="1:10" x14ac:dyDescent="0.35">
      <c r="A18" s="245">
        <v>1369779</v>
      </c>
      <c r="B18" s="245">
        <v>160587</v>
      </c>
      <c r="C18" s="245" t="s">
        <v>352</v>
      </c>
      <c r="D18" s="245" t="s">
        <v>357</v>
      </c>
      <c r="E18" s="245" t="s">
        <v>132</v>
      </c>
      <c r="F18" s="245" t="s">
        <v>358</v>
      </c>
      <c r="G18" s="258" t="s">
        <v>159</v>
      </c>
      <c r="H18" s="245" t="s">
        <v>359</v>
      </c>
      <c r="I18" s="245">
        <v>8967522883</v>
      </c>
      <c r="J18" s="245">
        <v>9836357261</v>
      </c>
    </row>
    <row r="19" spans="1:10" x14ac:dyDescent="0.35">
      <c r="A19" s="245">
        <v>46027115</v>
      </c>
      <c r="B19" s="245">
        <v>46027115</v>
      </c>
      <c r="C19" s="245" t="s">
        <v>348</v>
      </c>
      <c r="D19" s="245" t="s">
        <v>360</v>
      </c>
      <c r="E19" s="245" t="s">
        <v>296</v>
      </c>
      <c r="F19" s="245" t="s">
        <v>361</v>
      </c>
      <c r="G19" s="258" t="s">
        <v>159</v>
      </c>
      <c r="H19" s="245" t="s">
        <v>359</v>
      </c>
      <c r="I19" s="245">
        <v>9178966065</v>
      </c>
      <c r="J19" s="245">
        <v>7735710936</v>
      </c>
    </row>
    <row r="20" spans="1:10" x14ac:dyDescent="0.35">
      <c r="A20" s="245">
        <v>46140444</v>
      </c>
      <c r="B20" s="245">
        <v>46140444</v>
      </c>
      <c r="C20" s="245" t="s">
        <v>351</v>
      </c>
      <c r="D20" s="245" t="s">
        <v>362</v>
      </c>
      <c r="E20" s="245" t="s">
        <v>296</v>
      </c>
      <c r="F20" s="245" t="s">
        <v>84</v>
      </c>
      <c r="G20" s="258" t="s">
        <v>159</v>
      </c>
      <c r="H20" s="245" t="s">
        <v>359</v>
      </c>
      <c r="I20" s="245">
        <v>7558325577</v>
      </c>
      <c r="J20" s="245">
        <v>7745865577</v>
      </c>
    </row>
    <row r="21" spans="1:10" x14ac:dyDescent="0.35">
      <c r="A21" s="245">
        <v>46070789</v>
      </c>
      <c r="B21" s="245">
        <v>46070789</v>
      </c>
      <c r="C21" s="245" t="s">
        <v>349</v>
      </c>
      <c r="D21" s="245" t="s">
        <v>363</v>
      </c>
      <c r="E21" s="245" t="s">
        <v>296</v>
      </c>
      <c r="F21" s="245" t="s">
        <v>106</v>
      </c>
      <c r="G21" s="258" t="s">
        <v>159</v>
      </c>
      <c r="H21" s="245" t="s">
        <v>359</v>
      </c>
      <c r="I21" s="245">
        <v>7675041628</v>
      </c>
      <c r="J21" s="245">
        <v>8074087153</v>
      </c>
    </row>
  </sheetData>
  <sortState xmlns:xlrd2="http://schemas.microsoft.com/office/spreadsheetml/2017/richdata2" ref="A2:J15">
    <sortCondition ref="C2:C15"/>
  </sortState>
  <hyperlinks>
    <hyperlink ref="D13" r:id="rId1" tooltip="mailto:sreekanth.reddy-mungala@capgemini.com" display="mailto:sreekanth.reddy-mungala@capgemini.com" xr:uid="{00000000-0004-0000-2600-000000000000}"/>
    <hyperlink ref="D9" r:id="rId2" tooltip="mailto:saifullah.shaikh@capgemini.com" display="mailto:saifullah.shaikh@capgemini.com" xr:uid="{00000000-0004-0000-2600-000001000000}"/>
    <hyperlink ref="D4" r:id="rId3" tooltip="mailto:gayathri.h.s@capgemini.com" display="mailto:gayathri.h.s@capgemini.com" xr:uid="{00000000-0004-0000-2600-000002000000}"/>
    <hyperlink ref="D15" r:id="rId4" tooltip="mailto:venkata.lakili@capgemini.com" display="mailto:venkata.lakili@capgemini.com" xr:uid="{00000000-0004-0000-2600-000003000000}"/>
    <hyperlink ref="D5" r:id="rId5" tooltip="mailto:kanchan-sambhaji.pathare@capgemini.com" display="mailto:kanchan-sambhaji.pathare@capgemini.com" xr:uid="{00000000-0004-0000-2600-000004000000}"/>
    <hyperlink ref="D8" r:id="rId6" tooltip="mailto:rakesh.b.r@capgemini.com" display="mailto:rakesh.b.r@capgemini.com" xr:uid="{00000000-0004-0000-2600-000006000000}"/>
    <hyperlink ref="D12" r:id="rId7" tooltip="mailto:somshekhar.dixit@capgemini.com" display="mailto:somshekhar.dixit@capgemini.com" xr:uid="{00000000-0004-0000-2600-000007000000}"/>
    <hyperlink ref="D16" r:id="rId8" tooltip="mailto:sneha.kattimani@capgemini.com" display="mailto:sneha.kattimani@capgemini.com" xr:uid="{2F3E7370-C3AD-4B6B-9C28-13857CDF42F2}"/>
  </hyperlinks>
  <pageMargins left="0.7" right="0.7" top="0.75" bottom="0.75" header="0.3" footer="0.3"/>
  <pageSetup orientation="portrait" r:id="rId9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4"/>
  <dimension ref="A1:L15"/>
  <sheetViews>
    <sheetView workbookViewId="0">
      <selection activeCell="H15" sqref="H15:L15"/>
    </sheetView>
  </sheetViews>
  <sheetFormatPr defaultRowHeight="14.5" x14ac:dyDescent="0.35"/>
  <cols>
    <col min="1" max="1" width="8.08984375" bestFit="1" customWidth="1"/>
    <col min="2" max="2" width="16.36328125" bestFit="1" customWidth="1"/>
    <col min="3" max="3" width="10.08984375" bestFit="1" customWidth="1"/>
    <col min="4" max="4" width="13.6328125" bestFit="1" customWidth="1"/>
    <col min="8" max="8" width="8.08984375" bestFit="1" customWidth="1"/>
    <col min="10" max="10" width="15.26953125" bestFit="1" customWidth="1"/>
    <col min="11" max="11" width="12.1796875" bestFit="1" customWidth="1"/>
    <col min="12" max="12" width="10.6328125" bestFit="1" customWidth="1"/>
  </cols>
  <sheetData>
    <row r="1" spans="1:12" ht="39" x14ac:dyDescent="0.35">
      <c r="A1" s="68" t="s">
        <v>75</v>
      </c>
      <c r="B1" s="68" t="s">
        <v>76</v>
      </c>
      <c r="C1" s="68" t="s">
        <v>77</v>
      </c>
      <c r="D1" s="68" t="s">
        <v>78</v>
      </c>
      <c r="E1" s="68" t="s">
        <v>105</v>
      </c>
      <c r="H1" s="176" t="s">
        <v>154</v>
      </c>
      <c r="I1" s="176" t="s">
        <v>155</v>
      </c>
      <c r="J1" s="176" t="s">
        <v>156</v>
      </c>
      <c r="K1" s="176" t="s">
        <v>157</v>
      </c>
      <c r="L1" s="176" t="s">
        <v>158</v>
      </c>
    </row>
    <row r="2" spans="1:12" ht="26" x14ac:dyDescent="0.35">
      <c r="A2" s="69">
        <v>46045351</v>
      </c>
      <c r="B2" s="69" t="s">
        <v>79</v>
      </c>
      <c r="C2" s="69" t="s">
        <v>80</v>
      </c>
      <c r="D2" s="69" t="s">
        <v>81</v>
      </c>
      <c r="E2" s="69" t="s">
        <v>80</v>
      </c>
      <c r="H2" s="73">
        <v>46045351</v>
      </c>
      <c r="I2" s="73">
        <v>46045351</v>
      </c>
      <c r="J2" s="69" t="s">
        <v>79</v>
      </c>
      <c r="K2" s="69" t="s">
        <v>80</v>
      </c>
      <c r="L2" s="69" t="s">
        <v>159</v>
      </c>
    </row>
    <row r="3" spans="1:12" x14ac:dyDescent="0.35">
      <c r="A3" s="70">
        <v>46041450</v>
      </c>
      <c r="B3" s="71" t="s">
        <v>43</v>
      </c>
      <c r="C3" s="71" t="s">
        <v>82</v>
      </c>
      <c r="D3" s="71" t="s">
        <v>83</v>
      </c>
      <c r="E3" s="71" t="s">
        <v>106</v>
      </c>
      <c r="H3" s="73">
        <v>46041450</v>
      </c>
      <c r="I3" s="73">
        <v>46041450</v>
      </c>
      <c r="J3" s="69" t="s">
        <v>43</v>
      </c>
      <c r="K3" s="69" t="s">
        <v>106</v>
      </c>
      <c r="L3" s="69" t="s">
        <v>159</v>
      </c>
    </row>
    <row r="4" spans="1:12" x14ac:dyDescent="0.35">
      <c r="A4" s="73">
        <v>904589</v>
      </c>
      <c r="B4" s="73" t="s">
        <v>1</v>
      </c>
      <c r="C4" s="73" t="s">
        <v>84</v>
      </c>
      <c r="D4" s="73" t="s">
        <v>85</v>
      </c>
      <c r="E4" s="73" t="s">
        <v>84</v>
      </c>
      <c r="H4" s="73">
        <v>904589</v>
      </c>
      <c r="I4" s="73" t="s">
        <v>52</v>
      </c>
      <c r="J4" s="69" t="s">
        <v>1</v>
      </c>
      <c r="K4" s="69" t="s">
        <v>84</v>
      </c>
      <c r="L4" s="69" t="s">
        <v>159</v>
      </c>
    </row>
    <row r="5" spans="1:12" x14ac:dyDescent="0.35">
      <c r="A5" s="73">
        <v>46029952</v>
      </c>
      <c r="B5" s="69" t="s">
        <v>22</v>
      </c>
      <c r="C5" s="69" t="s">
        <v>86</v>
      </c>
      <c r="D5" s="69" t="s">
        <v>87</v>
      </c>
      <c r="E5" s="1" t="s">
        <v>142</v>
      </c>
      <c r="H5" s="73">
        <v>46029952</v>
      </c>
      <c r="I5" s="73">
        <v>46029952</v>
      </c>
      <c r="J5" s="69" t="s">
        <v>22</v>
      </c>
      <c r="K5" s="69" t="s">
        <v>142</v>
      </c>
      <c r="L5" s="69" t="s">
        <v>159</v>
      </c>
    </row>
    <row r="6" spans="1:12" x14ac:dyDescent="0.35">
      <c r="A6" s="72">
        <v>46103795</v>
      </c>
      <c r="B6" s="71" t="s">
        <v>68</v>
      </c>
      <c r="C6" s="71" t="s">
        <v>144</v>
      </c>
      <c r="D6" s="71" t="s">
        <v>88</v>
      </c>
      <c r="E6" s="71" t="s">
        <v>143</v>
      </c>
      <c r="H6" s="73">
        <v>46103795</v>
      </c>
      <c r="I6" s="73">
        <v>46103795</v>
      </c>
      <c r="J6" s="69" t="s">
        <v>68</v>
      </c>
      <c r="K6" s="69" t="s">
        <v>143</v>
      </c>
      <c r="L6" s="69" t="s">
        <v>159</v>
      </c>
    </row>
    <row r="7" spans="1:12" ht="26" x14ac:dyDescent="0.35">
      <c r="A7" s="73">
        <v>46027125</v>
      </c>
      <c r="B7" s="73" t="s">
        <v>62</v>
      </c>
      <c r="C7" s="73" t="s">
        <v>89</v>
      </c>
      <c r="D7" s="71" t="s">
        <v>83</v>
      </c>
      <c r="E7" s="73" t="s">
        <v>106</v>
      </c>
      <c r="H7" s="73">
        <v>46027125</v>
      </c>
      <c r="I7" s="73">
        <v>46027125</v>
      </c>
      <c r="J7" s="69" t="s">
        <v>62</v>
      </c>
      <c r="K7" s="69" t="s">
        <v>106</v>
      </c>
      <c r="L7" s="69" t="s">
        <v>159</v>
      </c>
    </row>
    <row r="8" spans="1:12" x14ac:dyDescent="0.35">
      <c r="A8" s="72">
        <v>46122508</v>
      </c>
      <c r="B8" s="72" t="s">
        <v>71</v>
      </c>
      <c r="C8" s="72" t="s">
        <v>90</v>
      </c>
      <c r="D8" s="72" t="s">
        <v>91</v>
      </c>
      <c r="E8" s="72" t="s">
        <v>84</v>
      </c>
      <c r="H8" s="73">
        <v>46122508</v>
      </c>
      <c r="I8" s="73">
        <v>46122508</v>
      </c>
      <c r="J8" s="69" t="s">
        <v>71</v>
      </c>
      <c r="K8" s="69" t="s">
        <v>84</v>
      </c>
      <c r="L8" s="69" t="s">
        <v>159</v>
      </c>
    </row>
    <row r="9" spans="1:12" x14ac:dyDescent="0.35">
      <c r="A9" s="69">
        <v>46051834</v>
      </c>
      <c r="B9" s="69" t="s">
        <v>60</v>
      </c>
      <c r="C9" s="69" t="s">
        <v>92</v>
      </c>
      <c r="D9" s="69" t="s">
        <v>85</v>
      </c>
      <c r="E9" s="69" t="s">
        <v>107</v>
      </c>
      <c r="H9" s="73">
        <v>46051834</v>
      </c>
      <c r="I9" s="73">
        <v>46051834</v>
      </c>
      <c r="J9" s="69" t="s">
        <v>60</v>
      </c>
      <c r="K9" s="69" t="s">
        <v>107</v>
      </c>
      <c r="L9" s="69" t="s">
        <v>159</v>
      </c>
    </row>
    <row r="10" spans="1:12" x14ac:dyDescent="0.35">
      <c r="A10" s="69">
        <v>1116709</v>
      </c>
      <c r="B10" s="69" t="s">
        <v>54</v>
      </c>
      <c r="C10" s="69" t="s">
        <v>93</v>
      </c>
      <c r="D10" s="69" t="s">
        <v>94</v>
      </c>
      <c r="E10" s="69" t="s">
        <v>84</v>
      </c>
      <c r="H10" s="73">
        <v>1116709</v>
      </c>
      <c r="I10" s="73" t="s">
        <v>53</v>
      </c>
      <c r="J10" s="69" t="s">
        <v>54</v>
      </c>
      <c r="K10" s="69" t="s">
        <v>84</v>
      </c>
      <c r="L10" s="69" t="s">
        <v>159</v>
      </c>
    </row>
    <row r="11" spans="1:12" ht="26" x14ac:dyDescent="0.35">
      <c r="A11" s="69">
        <v>1358209</v>
      </c>
      <c r="B11" s="69" t="s">
        <v>95</v>
      </c>
      <c r="C11" s="69" t="s">
        <v>96</v>
      </c>
      <c r="D11" s="69" t="s">
        <v>97</v>
      </c>
      <c r="E11" s="69" t="s">
        <v>143</v>
      </c>
      <c r="H11" s="73">
        <v>1358209</v>
      </c>
      <c r="I11" s="73" t="s">
        <v>56</v>
      </c>
      <c r="J11" s="69" t="s">
        <v>95</v>
      </c>
      <c r="K11" s="69" t="s">
        <v>143</v>
      </c>
      <c r="L11" s="69" t="s">
        <v>159</v>
      </c>
    </row>
    <row r="12" spans="1:12" x14ac:dyDescent="0.35">
      <c r="A12" s="69">
        <v>46075393</v>
      </c>
      <c r="B12" s="69" t="s">
        <v>98</v>
      </c>
      <c r="C12" s="69" t="s">
        <v>99</v>
      </c>
      <c r="D12" s="69" t="s">
        <v>85</v>
      </c>
      <c r="E12" s="69" t="s">
        <v>84</v>
      </c>
      <c r="H12" s="73">
        <v>46075393</v>
      </c>
      <c r="I12" s="73">
        <v>46075393</v>
      </c>
      <c r="J12" s="69" t="s">
        <v>98</v>
      </c>
      <c r="K12" s="69" t="s">
        <v>84</v>
      </c>
      <c r="L12" s="69" t="s">
        <v>159</v>
      </c>
    </row>
    <row r="13" spans="1:12" x14ac:dyDescent="0.35">
      <c r="H13" s="73">
        <v>46272580</v>
      </c>
      <c r="I13" s="73">
        <v>46272580</v>
      </c>
      <c r="J13" s="69" t="s">
        <v>152</v>
      </c>
      <c r="K13" s="69" t="s">
        <v>84</v>
      </c>
      <c r="L13" s="69" t="s">
        <v>159</v>
      </c>
    </row>
    <row r="14" spans="1:12" x14ac:dyDescent="0.35">
      <c r="H14" s="73">
        <v>46140494</v>
      </c>
      <c r="I14" s="73">
        <v>46140494</v>
      </c>
      <c r="J14" s="69" t="s">
        <v>149</v>
      </c>
      <c r="K14" s="69" t="s">
        <v>106</v>
      </c>
      <c r="L14" s="69" t="s">
        <v>159</v>
      </c>
    </row>
    <row r="15" spans="1:12" x14ac:dyDescent="0.35">
      <c r="H15" s="73"/>
      <c r="I15" s="73"/>
      <c r="J15" s="69"/>
      <c r="K15" s="69"/>
      <c r="L15" s="69"/>
    </row>
  </sheetData>
  <autoFilter ref="H1:L15" xr:uid="{00000000-0009-0000-0000-000027000000}"/>
  <pageMargins left="0.7" right="0.7" top="0.75" bottom="0.75" header="0.3" footer="0.3"/>
  <pageSetup paperSize="9" orientation="portrait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BFFB-E020-4833-A65F-115A40EDCE51}">
  <dimension ref="A1:D16"/>
  <sheetViews>
    <sheetView workbookViewId="0">
      <selection activeCell="D1" sqref="D1"/>
    </sheetView>
  </sheetViews>
  <sheetFormatPr defaultRowHeight="14.5" x14ac:dyDescent="0.35"/>
  <cols>
    <col min="1" max="1" width="14.26953125" bestFit="1" customWidth="1"/>
    <col min="2" max="2" width="16" bestFit="1" customWidth="1"/>
    <col min="3" max="3" width="16.7265625" bestFit="1" customWidth="1"/>
  </cols>
  <sheetData>
    <row r="1" spans="1:4" x14ac:dyDescent="0.35">
      <c r="A1" s="201" t="s">
        <v>146</v>
      </c>
      <c r="B1" s="201" t="s">
        <v>147</v>
      </c>
      <c r="C1" s="201" t="s">
        <v>104</v>
      </c>
      <c r="D1" s="201" t="s">
        <v>313</v>
      </c>
    </row>
    <row r="2" spans="1:4" x14ac:dyDescent="0.35">
      <c r="A2" s="199">
        <v>46140494</v>
      </c>
      <c r="B2" s="199">
        <v>46140494</v>
      </c>
      <c r="C2" s="199" t="s">
        <v>149</v>
      </c>
      <c r="D2" s="1">
        <v>43.3</v>
      </c>
    </row>
    <row r="3" spans="1:4" x14ac:dyDescent="0.35">
      <c r="A3" s="199">
        <v>46045351</v>
      </c>
      <c r="B3" s="199">
        <v>46045351</v>
      </c>
      <c r="C3" s="199" t="s">
        <v>79</v>
      </c>
      <c r="D3" s="1">
        <v>9.0500000000000007</v>
      </c>
    </row>
    <row r="4" spans="1:4" x14ac:dyDescent="0.35">
      <c r="A4" s="199">
        <v>46029952</v>
      </c>
      <c r="B4" s="199">
        <v>46029952</v>
      </c>
      <c r="C4" s="199" t="s">
        <v>22</v>
      </c>
      <c r="D4" s="1">
        <v>20.92</v>
      </c>
    </row>
    <row r="5" spans="1:4" x14ac:dyDescent="0.35">
      <c r="A5" s="199">
        <v>46051834</v>
      </c>
      <c r="B5" s="199">
        <v>46051834</v>
      </c>
      <c r="C5" s="199" t="s">
        <v>60</v>
      </c>
      <c r="D5" s="1">
        <v>31.02</v>
      </c>
    </row>
    <row r="6" spans="1:4" x14ac:dyDescent="0.35">
      <c r="A6" s="199">
        <v>46226182</v>
      </c>
      <c r="B6" s="199">
        <v>46226182</v>
      </c>
      <c r="C6" s="199" t="s">
        <v>124</v>
      </c>
      <c r="D6" s="1">
        <v>21.85</v>
      </c>
    </row>
    <row r="7" spans="1:4" x14ac:dyDescent="0.35">
      <c r="A7" s="199">
        <v>46103795</v>
      </c>
      <c r="B7" s="199">
        <v>46103795</v>
      </c>
      <c r="C7" s="199" t="s">
        <v>68</v>
      </c>
      <c r="D7" s="1">
        <v>21.77</v>
      </c>
    </row>
    <row r="8" spans="1:4" x14ac:dyDescent="0.35">
      <c r="A8" s="199">
        <v>1116709</v>
      </c>
      <c r="B8" s="199" t="s">
        <v>53</v>
      </c>
      <c r="C8" s="199" t="s">
        <v>9</v>
      </c>
      <c r="D8" s="1">
        <v>164.75</v>
      </c>
    </row>
    <row r="9" spans="1:4" x14ac:dyDescent="0.35">
      <c r="A9" s="199">
        <v>904589</v>
      </c>
      <c r="B9" s="199" t="s">
        <v>52</v>
      </c>
      <c r="C9" s="199" t="s">
        <v>1</v>
      </c>
      <c r="D9" s="1">
        <v>69</v>
      </c>
    </row>
    <row r="10" spans="1:4" x14ac:dyDescent="0.35">
      <c r="A10" s="199">
        <v>46122508</v>
      </c>
      <c r="B10" s="199">
        <v>46122508</v>
      </c>
      <c r="C10" s="199" t="s">
        <v>71</v>
      </c>
      <c r="D10" s="1">
        <v>30.76</v>
      </c>
    </row>
    <row r="11" spans="1:4" x14ac:dyDescent="0.35">
      <c r="A11" s="199">
        <v>46075393</v>
      </c>
      <c r="B11" s="199">
        <v>46075393</v>
      </c>
      <c r="C11" s="199" t="s">
        <v>98</v>
      </c>
      <c r="D11" s="1">
        <v>119.07</v>
      </c>
    </row>
    <row r="12" spans="1:4" x14ac:dyDescent="0.35">
      <c r="A12" s="199">
        <v>1358209</v>
      </c>
      <c r="B12" s="199" t="s">
        <v>56</v>
      </c>
      <c r="C12" s="199" t="s">
        <v>95</v>
      </c>
      <c r="D12" s="1">
        <v>25.97</v>
      </c>
    </row>
    <row r="13" spans="1:4" x14ac:dyDescent="0.35">
      <c r="A13" s="199">
        <v>46041450</v>
      </c>
      <c r="B13" s="199">
        <v>46041450</v>
      </c>
      <c r="C13" s="199" t="s">
        <v>43</v>
      </c>
      <c r="D13" s="1">
        <v>25.61</v>
      </c>
    </row>
    <row r="14" spans="1:4" x14ac:dyDescent="0.35">
      <c r="A14" s="199">
        <v>46272580</v>
      </c>
      <c r="B14" s="199">
        <v>46272580</v>
      </c>
      <c r="C14" s="199" t="s">
        <v>152</v>
      </c>
      <c r="D14" s="1">
        <v>144.22</v>
      </c>
    </row>
    <row r="15" spans="1:4" x14ac:dyDescent="0.35">
      <c r="A15" s="199">
        <v>46027125</v>
      </c>
      <c r="B15" s="199">
        <v>46027125</v>
      </c>
      <c r="C15" s="199" t="s">
        <v>62</v>
      </c>
      <c r="D15" s="1">
        <v>25.98</v>
      </c>
    </row>
    <row r="16" spans="1:4" x14ac:dyDescent="0.35">
      <c r="A16" s="1">
        <v>46232798</v>
      </c>
      <c r="B16" s="1">
        <v>46232798</v>
      </c>
      <c r="C16" s="199" t="s">
        <v>308</v>
      </c>
      <c r="D16" s="1">
        <v>116.03</v>
      </c>
    </row>
  </sheetData>
  <autoFilter ref="A1:D16" xr:uid="{2BF8BFFB-E020-4833-A65F-115A40EDCE51}"/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EC6D-9817-4910-B348-E1C33B32B0AB}">
  <dimension ref="A1:F15"/>
  <sheetViews>
    <sheetView workbookViewId="0">
      <selection activeCell="D5" sqref="D5"/>
    </sheetView>
  </sheetViews>
  <sheetFormatPr defaultRowHeight="14.5" x14ac:dyDescent="0.35"/>
  <cols>
    <col min="1" max="1" width="16.36328125" customWidth="1"/>
    <col min="2" max="2" width="16.7265625" bestFit="1" customWidth="1"/>
    <col min="6" max="6" width="29.08984375" bestFit="1" customWidth="1"/>
  </cols>
  <sheetData>
    <row r="1" spans="1:6" x14ac:dyDescent="0.35">
      <c r="A1" s="244" t="s">
        <v>154</v>
      </c>
      <c r="B1" s="244" t="s">
        <v>76</v>
      </c>
      <c r="C1" s="244" t="s">
        <v>158</v>
      </c>
      <c r="D1" s="244" t="s">
        <v>314</v>
      </c>
      <c r="E1" s="244" t="s">
        <v>315</v>
      </c>
      <c r="F1" s="244" t="s">
        <v>316</v>
      </c>
    </row>
    <row r="2" spans="1:6" x14ac:dyDescent="0.35">
      <c r="A2" s="199">
        <v>46140494</v>
      </c>
      <c r="B2" s="245" t="s">
        <v>317</v>
      </c>
      <c r="C2" s="245" t="s">
        <v>159</v>
      </c>
      <c r="D2" s="245">
        <v>37</v>
      </c>
      <c r="E2" s="245">
        <v>3</v>
      </c>
      <c r="F2" s="245" t="s">
        <v>318</v>
      </c>
    </row>
    <row r="3" spans="1:6" x14ac:dyDescent="0.35">
      <c r="A3" s="199">
        <v>46272580</v>
      </c>
      <c r="B3" s="245" t="s">
        <v>306</v>
      </c>
      <c r="C3" s="245" t="s">
        <v>159</v>
      </c>
      <c r="D3" s="245">
        <v>32</v>
      </c>
      <c r="E3" s="245">
        <v>0</v>
      </c>
      <c r="F3" s="245" t="s">
        <v>321</v>
      </c>
    </row>
    <row r="4" spans="1:6" x14ac:dyDescent="0.35">
      <c r="A4" s="199">
        <v>46103795</v>
      </c>
      <c r="B4" s="245" t="s">
        <v>68</v>
      </c>
      <c r="C4" s="245" t="s">
        <v>159</v>
      </c>
      <c r="D4" s="245">
        <v>43</v>
      </c>
      <c r="E4" s="245">
        <v>0</v>
      </c>
      <c r="F4" s="245" t="s">
        <v>321</v>
      </c>
    </row>
    <row r="5" spans="1:6" x14ac:dyDescent="0.35">
      <c r="A5" s="199">
        <v>46075393</v>
      </c>
      <c r="B5" s="245" t="s">
        <v>98</v>
      </c>
      <c r="C5" s="245" t="s">
        <v>159</v>
      </c>
      <c r="D5" s="245">
        <v>35</v>
      </c>
      <c r="E5" s="245">
        <v>0</v>
      </c>
      <c r="F5" s="246" t="s">
        <v>321</v>
      </c>
    </row>
    <row r="6" spans="1:6" x14ac:dyDescent="0.35">
      <c r="A6" s="199">
        <v>46232798</v>
      </c>
      <c r="B6" s="245" t="s">
        <v>308</v>
      </c>
      <c r="C6" s="245" t="s">
        <v>159</v>
      </c>
      <c r="D6" s="245">
        <v>30</v>
      </c>
      <c r="E6" s="245">
        <v>0</v>
      </c>
      <c r="F6" s="245" t="s">
        <v>321</v>
      </c>
    </row>
    <row r="7" spans="1:6" x14ac:dyDescent="0.35">
      <c r="A7" s="199">
        <v>46045351</v>
      </c>
      <c r="B7" s="245" t="s">
        <v>319</v>
      </c>
      <c r="C7" s="245" t="s">
        <v>159</v>
      </c>
      <c r="D7" s="245">
        <v>39</v>
      </c>
      <c r="E7" s="245">
        <v>0</v>
      </c>
      <c r="F7" s="245" t="s">
        <v>321</v>
      </c>
    </row>
    <row r="8" spans="1:6" x14ac:dyDescent="0.35">
      <c r="A8" s="199" t="s">
        <v>320</v>
      </c>
      <c r="B8" s="245" t="s">
        <v>62</v>
      </c>
      <c r="C8" s="245" t="s">
        <v>159</v>
      </c>
      <c r="D8" s="245">
        <v>37</v>
      </c>
      <c r="E8" s="245">
        <v>0</v>
      </c>
      <c r="F8" s="245" t="s">
        <v>321</v>
      </c>
    </row>
    <row r="9" spans="1:6" x14ac:dyDescent="0.35">
      <c r="A9" s="199" t="s">
        <v>53</v>
      </c>
      <c r="B9" s="199" t="s">
        <v>9</v>
      </c>
      <c r="C9" s="245" t="s">
        <v>159</v>
      </c>
      <c r="D9" s="245">
        <v>34</v>
      </c>
      <c r="E9" s="245">
        <v>0</v>
      </c>
      <c r="F9" s="1" t="s">
        <v>321</v>
      </c>
    </row>
    <row r="10" spans="1:6" x14ac:dyDescent="0.35">
      <c r="A10" s="199" t="s">
        <v>52</v>
      </c>
      <c r="B10" s="199" t="s">
        <v>1</v>
      </c>
      <c r="C10" s="245" t="s">
        <v>159</v>
      </c>
      <c r="D10" s="245">
        <v>29</v>
      </c>
      <c r="E10" s="245">
        <v>0</v>
      </c>
      <c r="F10" s="1" t="s">
        <v>321</v>
      </c>
    </row>
    <row r="11" spans="1:6" x14ac:dyDescent="0.35">
      <c r="A11" s="199">
        <v>46051834</v>
      </c>
      <c r="B11" s="245" t="s">
        <v>60</v>
      </c>
      <c r="C11" s="245" t="s">
        <v>159</v>
      </c>
      <c r="D11" s="245">
        <v>38</v>
      </c>
      <c r="E11" s="245">
        <v>4</v>
      </c>
      <c r="F11" s="245" t="s">
        <v>322</v>
      </c>
    </row>
    <row r="12" spans="1:6" x14ac:dyDescent="0.35">
      <c r="A12" s="199">
        <v>1358209</v>
      </c>
      <c r="B12" s="1" t="s">
        <v>95</v>
      </c>
      <c r="C12" s="245" t="s">
        <v>159</v>
      </c>
      <c r="D12" s="245">
        <v>19</v>
      </c>
      <c r="E12" s="245">
        <v>2</v>
      </c>
      <c r="F12" s="1" t="s">
        <v>325</v>
      </c>
    </row>
    <row r="13" spans="1:6" x14ac:dyDescent="0.35">
      <c r="A13" s="199">
        <v>46029952</v>
      </c>
      <c r="B13" s="1" t="s">
        <v>22</v>
      </c>
      <c r="C13" s="245" t="s">
        <v>159</v>
      </c>
      <c r="D13" s="245">
        <v>40</v>
      </c>
      <c r="E13" s="245">
        <v>2</v>
      </c>
      <c r="F13" s="1" t="s">
        <v>324</v>
      </c>
    </row>
    <row r="14" spans="1:6" x14ac:dyDescent="0.35">
      <c r="A14" s="199">
        <v>46122508</v>
      </c>
      <c r="B14" s="1" t="s">
        <v>71</v>
      </c>
      <c r="C14" s="245" t="s">
        <v>159</v>
      </c>
      <c r="D14" s="245">
        <v>42</v>
      </c>
      <c r="E14" s="245">
        <v>0</v>
      </c>
      <c r="F14" s="1" t="s">
        <v>321</v>
      </c>
    </row>
    <row r="15" spans="1:6" x14ac:dyDescent="0.35">
      <c r="A15" s="199">
        <v>46041450</v>
      </c>
      <c r="B15" s="1" t="s">
        <v>43</v>
      </c>
      <c r="C15" s="245" t="s">
        <v>159</v>
      </c>
      <c r="D15" s="1">
        <v>37</v>
      </c>
      <c r="E15" s="1">
        <v>4</v>
      </c>
      <c r="F15" s="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NOV'21</vt:lpstr>
      <vt:lpstr>DEC'21</vt:lpstr>
      <vt:lpstr>Jan'22</vt:lpstr>
      <vt:lpstr>Feb'22</vt:lpstr>
      <vt:lpstr>March'22</vt:lpstr>
      <vt:lpstr>April'22</vt:lpstr>
      <vt:lpstr>May'22</vt:lpstr>
      <vt:lpstr>May_Hybrid</vt:lpstr>
      <vt:lpstr>Jun'22 </vt:lpstr>
      <vt:lpstr>July'22</vt:lpstr>
      <vt:lpstr>July'22 New</vt:lpstr>
      <vt:lpstr>Aug'22</vt:lpstr>
      <vt:lpstr>Aug'22 New</vt:lpstr>
      <vt:lpstr>Aug'22_Dipak_format</vt:lpstr>
      <vt:lpstr>Sept'22_old</vt:lpstr>
      <vt:lpstr>Sept'22</vt:lpstr>
      <vt:lpstr>Oct'22</vt:lpstr>
      <vt:lpstr>Oct'22_updated</vt:lpstr>
      <vt:lpstr>Nov'22</vt:lpstr>
      <vt:lpstr>Dec'22</vt:lpstr>
      <vt:lpstr>Jan'23</vt:lpstr>
      <vt:lpstr>Feb'23 _bkp</vt:lpstr>
      <vt:lpstr>Feb'23</vt:lpstr>
      <vt:lpstr>Mar'23</vt:lpstr>
      <vt:lpstr>Apr'23</vt:lpstr>
      <vt:lpstr>May'23</vt:lpstr>
      <vt:lpstr>Jun'23</vt:lpstr>
      <vt:lpstr>July'23</vt:lpstr>
      <vt:lpstr>Aug'23</vt:lpstr>
      <vt:lpstr>Sept'23</vt:lpstr>
      <vt:lpstr>Oct'23</vt:lpstr>
      <vt:lpstr>Nov'23</vt:lpstr>
      <vt:lpstr>Dec'23</vt:lpstr>
      <vt:lpstr>Jan'24</vt:lpstr>
      <vt:lpstr>Feb'24</vt:lpstr>
      <vt:lpstr>Mar'24</vt:lpstr>
      <vt:lpstr>Apr'24</vt:lpstr>
      <vt:lpstr>May'24</vt:lpstr>
      <vt:lpstr>June'24</vt:lpstr>
      <vt:lpstr>Jul'24</vt:lpstr>
      <vt:lpstr>Aug'24</vt:lpstr>
      <vt:lpstr>Sep'24 </vt:lpstr>
      <vt:lpstr>Oct'24</vt:lpstr>
      <vt:lpstr>Nov'24</vt:lpstr>
      <vt:lpstr>Dec'24</vt:lpstr>
      <vt:lpstr>Jan'25</vt:lpstr>
      <vt:lpstr>Feb'25</vt:lpstr>
      <vt:lpstr>60 hours</vt:lpstr>
      <vt:lpstr>BTO exception</vt:lpstr>
      <vt:lpstr>Associate_details</vt:lpstr>
      <vt:lpstr>Current location</vt:lpstr>
      <vt:lpstr>Learning hours</vt:lpstr>
      <vt:lpstr>DS details CO and leave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Shaikh, Saifullah</dc:creator>
  <cp:lastModifiedBy>R, Rakesh</cp:lastModifiedBy>
  <dcterms:created xsi:type="dcterms:W3CDTF">2021-01-17T03:52:30Z</dcterms:created>
  <dcterms:modified xsi:type="dcterms:W3CDTF">2024-12-30T11:47:13Z</dcterms:modified>
  <cp:contentStatus/>
</cp:coreProperties>
</file>