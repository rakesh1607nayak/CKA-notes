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RR13\Documents\"/>
    </mc:Choice>
  </mc:AlternateContent>
  <xr:revisionPtr revIDLastSave="0" documentId="13_ncr:1_{93B76384-7E1B-4D85-99B7-B982096F6D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ta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" i="1" l="1"/>
  <c r="AF13" i="1"/>
  <c r="AF11" i="1"/>
  <c r="AF9" i="1"/>
  <c r="AG9" i="1" s="1"/>
  <c r="AF8" i="1"/>
  <c r="AG8" i="1" s="1"/>
  <c r="AF7" i="1"/>
  <c r="AG7" i="1" s="1"/>
  <c r="AG6" i="1"/>
  <c r="AF5" i="1"/>
  <c r="AG5" i="1" s="1"/>
  <c r="AF4" i="1"/>
  <c r="AG4" i="1" s="1"/>
  <c r="AF3" i="1"/>
  <c r="AG3" i="1" s="1"/>
  <c r="AF2" i="1"/>
  <c r="AG2" i="1" s="1"/>
  <c r="AF18" i="1" l="1"/>
  <c r="AF20" i="1" s="1"/>
  <c r="AF15" i="1"/>
  <c r="AE25" i="1"/>
  <c r="AG11" i="1"/>
  <c r="AG12" i="1" s="1"/>
  <c r="W15" i="1"/>
  <c r="W17" i="1" s="1"/>
  <c r="AC6" i="1"/>
  <c r="AC5" i="1"/>
  <c r="AC2" i="1"/>
  <c r="AA15" i="1"/>
  <c r="AE17" i="1" s="1"/>
  <c r="AB13" i="1"/>
  <c r="AB11" i="1"/>
  <c r="AB9" i="1"/>
  <c r="AC9" i="1" s="1"/>
  <c r="AB8" i="1"/>
  <c r="AC8" i="1" s="1"/>
  <c r="AB7" i="1"/>
  <c r="AC7" i="1" s="1"/>
  <c r="AB5" i="1"/>
  <c r="AB4" i="1"/>
  <c r="AC4" i="1" s="1"/>
  <c r="AB3" i="1"/>
  <c r="AC3" i="1" s="1"/>
  <c r="AB2" i="1"/>
  <c r="W32" i="1"/>
  <c r="D7" i="3"/>
  <c r="G1" i="3"/>
  <c r="C4" i="3"/>
  <c r="C8" i="3" s="1"/>
  <c r="D8" i="3" s="1"/>
  <c r="D11" i="3" s="1"/>
  <c r="E11" i="3" s="1"/>
  <c r="X13" i="1"/>
  <c r="X11" i="1"/>
  <c r="X9" i="1"/>
  <c r="Y9" i="1" s="1"/>
  <c r="X8" i="1"/>
  <c r="Y8" i="1" s="1"/>
  <c r="X7" i="1"/>
  <c r="Y7" i="1" s="1"/>
  <c r="Y6" i="1"/>
  <c r="X5" i="1"/>
  <c r="Y5" i="1" s="1"/>
  <c r="X4" i="1"/>
  <c r="Y4" i="1" s="1"/>
  <c r="X3" i="1"/>
  <c r="Y3" i="1" s="1"/>
  <c r="X2" i="1"/>
  <c r="S15" i="1"/>
  <c r="T13" i="1"/>
  <c r="T11" i="1"/>
  <c r="T9" i="1"/>
  <c r="U9" i="1" s="1"/>
  <c r="T8" i="1"/>
  <c r="U8" i="1" s="1"/>
  <c r="T7" i="1"/>
  <c r="U7" i="1" s="1"/>
  <c r="U6" i="1"/>
  <c r="T5" i="1"/>
  <c r="U5" i="1" s="1"/>
  <c r="T4" i="1"/>
  <c r="U4" i="1" s="1"/>
  <c r="T3" i="1"/>
  <c r="U3" i="1" s="1"/>
  <c r="T2" i="1"/>
  <c r="Y2" i="1" l="1"/>
  <c r="Y11" i="1"/>
  <c r="Y12" i="1" s="1"/>
  <c r="AC11" i="1"/>
  <c r="AC12" i="1" s="1"/>
  <c r="W25" i="1"/>
  <c r="T18" i="1"/>
  <c r="T20" i="1" s="1"/>
  <c r="AA17" i="1"/>
  <c r="AB15" i="1"/>
  <c r="AA25" i="1"/>
  <c r="AB18" i="1"/>
  <c r="AB20" i="1" s="1"/>
  <c r="X18" i="1"/>
  <c r="X20" i="1" s="1"/>
  <c r="X15" i="1"/>
  <c r="S25" i="1"/>
  <c r="U2" i="1"/>
  <c r="T15" i="1"/>
  <c r="AA27" i="1" l="1"/>
  <c r="AB25" i="1"/>
  <c r="W27" i="1"/>
  <c r="AF25" i="1"/>
  <c r="AE27" i="1"/>
  <c r="O15" i="1"/>
  <c r="P13" i="1"/>
  <c r="P11" i="1"/>
  <c r="P9" i="1"/>
  <c r="Q9" i="1" s="1"/>
  <c r="P8" i="1"/>
  <c r="Q8" i="1" s="1"/>
  <c r="P7" i="1"/>
  <c r="Q7" i="1" s="1"/>
  <c r="Q6" i="1"/>
  <c r="P5" i="1"/>
  <c r="Q5" i="1" s="1"/>
  <c r="P4" i="1"/>
  <c r="Q4" i="1" s="1"/>
  <c r="P3" i="1"/>
  <c r="Q3" i="1" s="1"/>
  <c r="P2" i="1"/>
  <c r="P18" i="1" l="1"/>
  <c r="P20" i="1" s="1"/>
  <c r="S17" i="1"/>
  <c r="O25" i="1"/>
  <c r="S27" i="1" s="1"/>
  <c r="Q2" i="1"/>
  <c r="P15" i="1"/>
  <c r="M6" i="1"/>
  <c r="J6" i="1"/>
  <c r="K15" i="1" l="1"/>
  <c r="O17" i="1" s="1"/>
  <c r="L13" i="1"/>
  <c r="L11" i="1"/>
  <c r="L9" i="1"/>
  <c r="M9" i="1" s="1"/>
  <c r="L8" i="1"/>
  <c r="M8" i="1" s="1"/>
  <c r="L7" i="1"/>
  <c r="M7" i="1" s="1"/>
  <c r="L5" i="1"/>
  <c r="M5" i="1" s="1"/>
  <c r="L4" i="1"/>
  <c r="M4" i="1" s="1"/>
  <c r="L3" i="1"/>
  <c r="M3" i="1" s="1"/>
  <c r="L2" i="1"/>
  <c r="M2" i="1" s="1"/>
  <c r="O27" i="1" l="1"/>
  <c r="L18" i="1"/>
  <c r="L20" i="1" s="1"/>
  <c r="L15" i="1"/>
  <c r="I13" i="1" l="1"/>
  <c r="I11" i="1"/>
  <c r="I9" i="1"/>
  <c r="J9" i="1" s="1"/>
  <c r="I8" i="1"/>
  <c r="J8" i="1" s="1"/>
  <c r="I7" i="1"/>
  <c r="J7" i="1" s="1"/>
  <c r="I5" i="1"/>
  <c r="J5" i="1" s="1"/>
  <c r="I4" i="1"/>
  <c r="J4" i="1" s="1"/>
  <c r="I3" i="1"/>
  <c r="J3" i="1" s="1"/>
  <c r="I2" i="1"/>
  <c r="J2" i="1" s="1"/>
  <c r="H15" i="1"/>
  <c r="I18" i="1" l="1"/>
  <c r="I20" i="1" s="1"/>
  <c r="K17" i="1"/>
  <c r="I15" i="1"/>
  <c r="L15" i="2"/>
  <c r="G20" i="2"/>
  <c r="B22" i="2"/>
  <c r="A22" i="2"/>
  <c r="B13" i="2"/>
  <c r="A15" i="2" s="1"/>
  <c r="D23" i="2" s="1"/>
  <c r="A13" i="2"/>
  <c r="A24" i="2" l="1"/>
  <c r="F3" i="1"/>
  <c r="F4" i="1"/>
  <c r="F5" i="1"/>
  <c r="F7" i="1"/>
  <c r="F8" i="1"/>
  <c r="F9" i="1"/>
  <c r="F13" i="1"/>
  <c r="F2" i="1"/>
  <c r="F18" i="1" s="1"/>
  <c r="F20" i="1" s="1"/>
  <c r="C3" i="1"/>
  <c r="C4" i="1"/>
  <c r="C5" i="1"/>
  <c r="C7" i="1"/>
  <c r="C8" i="1"/>
  <c r="C9" i="1"/>
  <c r="C13" i="1"/>
  <c r="C2" i="1"/>
  <c r="E11" i="1"/>
  <c r="F11" i="1" s="1"/>
  <c r="B11" i="1"/>
  <c r="C11" i="1" s="1"/>
  <c r="B15" i="1" l="1"/>
  <c r="B17" i="1" s="1"/>
  <c r="C18" i="1"/>
  <c r="C20" i="1" s="1"/>
  <c r="E15" i="1"/>
  <c r="F15" i="1" s="1"/>
  <c r="C15" i="1"/>
  <c r="E17" i="1" l="1"/>
  <c r="H17" i="1"/>
</calcChain>
</file>

<file path=xl/sharedStrings.xml><?xml version="1.0" encoding="utf-8"?>
<sst xmlns="http://schemas.openxmlformats.org/spreadsheetml/2006/main" count="37" uniqueCount="21">
  <si>
    <t>basic</t>
  </si>
  <si>
    <t>HRA</t>
  </si>
  <si>
    <t>other allowances</t>
  </si>
  <si>
    <t>personal</t>
  </si>
  <si>
    <t>CCPF</t>
  </si>
  <si>
    <t>Gratuity</t>
  </si>
  <si>
    <t>ASB</t>
  </si>
  <si>
    <t>total fixed</t>
  </si>
  <si>
    <t>Medical</t>
  </si>
  <si>
    <t>yearly</t>
  </si>
  <si>
    <t>Monthly</t>
  </si>
  <si>
    <t>Increment</t>
  </si>
  <si>
    <t>basic+HRA+OA+P+ASB-CCPF</t>
  </si>
  <si>
    <t>Professinal tax</t>
  </si>
  <si>
    <t>Details</t>
  </si>
  <si>
    <t>Total</t>
  </si>
  <si>
    <t>variable</t>
  </si>
  <si>
    <t>0-2.5</t>
  </si>
  <si>
    <t>2.5-5</t>
  </si>
  <si>
    <t>5 to 10</t>
  </si>
  <si>
    <t>paid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</si>
</sst>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/>
    <xf numFmtId="0" fontId="0" fillId="2" borderId="1" xfId="0" applyFill="1" applyBorder="1"/>
    <xf numFmtId="0" fontId="0" fillId="2" borderId="0" xfId="0" applyFill="1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13" workbookViewId="0">
      <pane xSplit="9" topLeftCell="T1" activePane="topRight" state="frozen"/>
      <selection pane="topRight" activeCell="AE25" sqref="AE25"/>
    </sheetView>
  </sheetViews>
  <sheetFormatPr defaultRowHeight="14.5" x14ac:dyDescent="0.35"/>
  <cols>
    <col min="1" max="1" width="26.1796875" bestFit="1" customWidth="1"/>
    <col min="2" max="2" width="0" hidden="1" customWidth="1"/>
    <col min="3" max="3" width="10.453125" hidden="1" customWidth="1"/>
    <col min="4" max="9" width="0" hidden="1" customWidth="1"/>
    <col min="11" max="12" width="8.7265625" customWidth="1"/>
    <col min="13" max="13" width="10.54296875" customWidth="1"/>
    <col min="14" max="20" width="8.7265625" customWidth="1"/>
    <col min="31" max="31" width="9.81640625" bestFit="1" customWidth="1"/>
  </cols>
  <sheetData>
    <row r="1" spans="1:33" x14ac:dyDescent="0.35">
      <c r="A1" s="5" t="s">
        <v>14</v>
      </c>
      <c r="B1" s="5" t="s">
        <v>9</v>
      </c>
      <c r="C1" s="5" t="s">
        <v>10</v>
      </c>
      <c r="D1" s="5"/>
      <c r="E1" s="5" t="s">
        <v>9</v>
      </c>
      <c r="F1" s="5" t="s">
        <v>10</v>
      </c>
      <c r="G1" s="5"/>
      <c r="H1" s="5" t="s">
        <v>9</v>
      </c>
      <c r="I1" s="5" t="s">
        <v>10</v>
      </c>
      <c r="J1" s="6"/>
      <c r="K1" s="5" t="s">
        <v>9</v>
      </c>
      <c r="L1" s="5" t="s">
        <v>10</v>
      </c>
      <c r="O1" s="5" t="s">
        <v>9</v>
      </c>
      <c r="P1" s="5" t="s">
        <v>10</v>
      </c>
      <c r="S1" s="5" t="s">
        <v>9</v>
      </c>
      <c r="T1" s="5" t="s">
        <v>10</v>
      </c>
      <c r="W1" s="5" t="s">
        <v>9</v>
      </c>
      <c r="X1" s="5" t="s">
        <v>10</v>
      </c>
      <c r="AA1" s="5" t="s">
        <v>9</v>
      </c>
      <c r="AB1" s="5" t="s">
        <v>10</v>
      </c>
      <c r="AE1" s="5" t="s">
        <v>9</v>
      </c>
      <c r="AF1" s="5" t="s">
        <v>10</v>
      </c>
    </row>
    <row r="2" spans="1:33" x14ac:dyDescent="0.35">
      <c r="A2" s="2" t="s">
        <v>0</v>
      </c>
      <c r="B2" s="2">
        <v>167000</v>
      </c>
      <c r="C2" s="3">
        <f>B2/12</f>
        <v>13916.666666666666</v>
      </c>
      <c r="D2" s="2"/>
      <c r="E2" s="2">
        <v>187050</v>
      </c>
      <c r="F2" s="4">
        <f>E2/12</f>
        <v>15587.5</v>
      </c>
      <c r="G2" s="4"/>
      <c r="H2" s="4">
        <v>202010</v>
      </c>
      <c r="I2" s="4">
        <f>H2/12</f>
        <v>16834.166666666668</v>
      </c>
      <c r="J2" s="1">
        <f>I2/31</f>
        <v>543.03763440860223</v>
      </c>
      <c r="K2" s="4">
        <v>239170</v>
      </c>
      <c r="L2" s="4">
        <f>K2/12</f>
        <v>19930.833333333332</v>
      </c>
      <c r="M2" s="1">
        <f>L2/31</f>
        <v>642.93010752688167</v>
      </c>
      <c r="O2">
        <v>264467</v>
      </c>
      <c r="P2" s="4">
        <f>O2/12</f>
        <v>22038.916666666668</v>
      </c>
      <c r="Q2" s="1">
        <f>P2/31</f>
        <v>710.93279569892479</v>
      </c>
      <c r="R2" s="1"/>
      <c r="S2">
        <v>320886</v>
      </c>
      <c r="T2" s="4">
        <f>S2/12</f>
        <v>26740.5</v>
      </c>
      <c r="U2" s="1">
        <f>T2/31</f>
        <v>862.59677419354841</v>
      </c>
      <c r="W2">
        <v>365460</v>
      </c>
      <c r="X2" s="4">
        <f>W2/12</f>
        <v>30455</v>
      </c>
      <c r="Y2" s="1">
        <f>X2/31</f>
        <v>982.41935483870964</v>
      </c>
      <c r="AA2">
        <v>377520</v>
      </c>
      <c r="AB2" s="4">
        <f>AA2/12</f>
        <v>31460</v>
      </c>
      <c r="AC2" s="1">
        <f>AB2/31</f>
        <v>1014.8387096774194</v>
      </c>
      <c r="AE2">
        <v>464350</v>
      </c>
      <c r="AF2" s="4">
        <f>AE2/12</f>
        <v>38695.833333333336</v>
      </c>
      <c r="AG2" s="1">
        <f>AF2/31</f>
        <v>1248.252688172043</v>
      </c>
    </row>
    <row r="3" spans="1:33" x14ac:dyDescent="0.35">
      <c r="A3" s="2" t="s">
        <v>1</v>
      </c>
      <c r="B3" s="2">
        <v>83500</v>
      </c>
      <c r="C3" s="3">
        <f t="shared" ref="C3:C15" si="0">B3/12</f>
        <v>6958.333333333333</v>
      </c>
      <c r="D3" s="2"/>
      <c r="E3" s="2">
        <v>93525</v>
      </c>
      <c r="F3" s="4">
        <f t="shared" ref="F3:F15" si="1">E3/12</f>
        <v>7793.75</v>
      </c>
      <c r="G3" s="4"/>
      <c r="H3" s="4">
        <v>101005</v>
      </c>
      <c r="I3" s="4">
        <f t="shared" ref="I3:I13" si="2">H3/12</f>
        <v>8417.0833333333339</v>
      </c>
      <c r="J3" s="1">
        <f t="shared" ref="J3:J9" si="3">I3/31</f>
        <v>271.51881720430111</v>
      </c>
      <c r="K3" s="4">
        <v>143502</v>
      </c>
      <c r="L3" s="4">
        <f t="shared" ref="L3:L5" si="4">K3/12</f>
        <v>11958.5</v>
      </c>
      <c r="M3" s="1">
        <f t="shared" ref="M3:M9" si="5">L3/31</f>
        <v>385.75806451612902</v>
      </c>
      <c r="O3">
        <v>158680</v>
      </c>
      <c r="P3" s="4">
        <f t="shared" ref="P3:P5" si="6">O3/12</f>
        <v>13223.333333333334</v>
      </c>
      <c r="Q3" s="1">
        <f t="shared" ref="Q3:Q9" si="7">P3/31</f>
        <v>426.55913978494624</v>
      </c>
      <c r="R3" s="1"/>
      <c r="S3">
        <v>192532</v>
      </c>
      <c r="T3" s="4">
        <f t="shared" ref="T3:T5" si="8">S3/12</f>
        <v>16044.333333333334</v>
      </c>
      <c r="U3" s="1">
        <f t="shared" ref="U3:U9" si="9">T3/31</f>
        <v>517.5591397849463</v>
      </c>
      <c r="W3">
        <v>219276</v>
      </c>
      <c r="X3" s="4">
        <f t="shared" ref="X3:X5" si="10">W3/12</f>
        <v>18273</v>
      </c>
      <c r="Y3" s="1">
        <f t="shared" ref="Y3:Y9" si="11">X3/31</f>
        <v>589.45161290322585</v>
      </c>
      <c r="AA3">
        <v>226512</v>
      </c>
      <c r="AB3" s="4">
        <f t="shared" ref="AB3:AB5" si="12">AA3/12</f>
        <v>18876</v>
      </c>
      <c r="AC3" s="1">
        <f t="shared" ref="AC3:AC9" si="13">AB3/31</f>
        <v>608.90322580645159</v>
      </c>
      <c r="AE3">
        <v>278610</v>
      </c>
      <c r="AF3" s="4">
        <f t="shared" ref="AF3:AF5" si="14">AE3/12</f>
        <v>23217.5</v>
      </c>
      <c r="AG3" s="1">
        <f t="shared" ref="AG3:AG9" si="15">AF3/31</f>
        <v>748.95161290322585</v>
      </c>
    </row>
    <row r="4" spans="1:33" x14ac:dyDescent="0.35">
      <c r="A4" s="2" t="s">
        <v>2</v>
      </c>
      <c r="B4" s="2">
        <v>125400</v>
      </c>
      <c r="C4" s="3">
        <f t="shared" si="0"/>
        <v>10450</v>
      </c>
      <c r="D4" s="2"/>
      <c r="E4" s="2">
        <v>159600</v>
      </c>
      <c r="F4" s="4">
        <f t="shared" si="1"/>
        <v>13300</v>
      </c>
      <c r="G4" s="4"/>
      <c r="H4" s="4">
        <v>159600</v>
      </c>
      <c r="I4" s="4">
        <f t="shared" si="2"/>
        <v>13300</v>
      </c>
      <c r="J4" s="1">
        <f t="shared" si="3"/>
        <v>429.03225806451616</v>
      </c>
      <c r="K4" s="4">
        <v>125930</v>
      </c>
      <c r="L4" s="4">
        <f t="shared" si="4"/>
        <v>10494.166666666666</v>
      </c>
      <c r="M4" s="1">
        <f t="shared" si="5"/>
        <v>338.52150537634407</v>
      </c>
      <c r="O4">
        <v>181033</v>
      </c>
      <c r="P4" s="4">
        <f t="shared" si="6"/>
        <v>15086.083333333334</v>
      </c>
      <c r="Q4" s="1">
        <f t="shared" si="7"/>
        <v>486.64784946236563</v>
      </c>
      <c r="R4" s="1"/>
      <c r="S4">
        <v>219653</v>
      </c>
      <c r="T4" s="4">
        <f t="shared" si="8"/>
        <v>18304.416666666668</v>
      </c>
      <c r="U4" s="1">
        <f t="shared" si="9"/>
        <v>590.46505376344089</v>
      </c>
      <c r="W4">
        <v>250166</v>
      </c>
      <c r="X4" s="4">
        <f t="shared" si="10"/>
        <v>20847.166666666668</v>
      </c>
      <c r="Y4" s="1">
        <f t="shared" si="11"/>
        <v>672.48924731182797</v>
      </c>
      <c r="AA4">
        <v>258421</v>
      </c>
      <c r="AB4" s="4">
        <f t="shared" si="12"/>
        <v>21535.083333333332</v>
      </c>
      <c r="AC4" s="1">
        <f t="shared" si="13"/>
        <v>694.68010752688167</v>
      </c>
      <c r="AE4">
        <v>317858</v>
      </c>
      <c r="AF4" s="4">
        <f t="shared" si="14"/>
        <v>26488.166666666668</v>
      </c>
      <c r="AG4" s="1">
        <f t="shared" si="15"/>
        <v>854.45698924731187</v>
      </c>
    </row>
    <row r="5" spans="1:33" x14ac:dyDescent="0.35">
      <c r="A5" s="2" t="s">
        <v>3</v>
      </c>
      <c r="B5" s="2">
        <v>35864</v>
      </c>
      <c r="C5" s="3">
        <f t="shared" si="0"/>
        <v>2988.6666666666665</v>
      </c>
      <c r="D5" s="2"/>
      <c r="E5" s="2">
        <v>27038</v>
      </c>
      <c r="F5" s="4">
        <f t="shared" si="1"/>
        <v>2253.1666666666665</v>
      </c>
      <c r="G5" s="4"/>
      <c r="H5" s="4">
        <v>43835</v>
      </c>
      <c r="I5" s="4">
        <f t="shared" si="2"/>
        <v>3652.9166666666665</v>
      </c>
      <c r="J5" s="1">
        <f t="shared" si="3"/>
        <v>117.83602150537634</v>
      </c>
      <c r="K5" s="4">
        <v>96749</v>
      </c>
      <c r="L5" s="4">
        <f t="shared" si="4"/>
        <v>8062.416666666667</v>
      </c>
      <c r="M5" s="1">
        <f t="shared" si="5"/>
        <v>260.0779569892473</v>
      </c>
      <c r="O5">
        <v>106982</v>
      </c>
      <c r="P5" s="4">
        <f t="shared" si="6"/>
        <v>8915.1666666666661</v>
      </c>
      <c r="Q5" s="1">
        <f t="shared" si="7"/>
        <v>287.58602150537632</v>
      </c>
      <c r="R5" s="1"/>
      <c r="S5">
        <v>129805</v>
      </c>
      <c r="T5" s="4">
        <f t="shared" si="8"/>
        <v>10817.083333333334</v>
      </c>
      <c r="U5" s="1">
        <f t="shared" si="9"/>
        <v>348.93817204301075</v>
      </c>
      <c r="W5">
        <v>147836</v>
      </c>
      <c r="X5" s="4">
        <f t="shared" si="10"/>
        <v>12319.666666666666</v>
      </c>
      <c r="Y5" s="1">
        <f t="shared" si="11"/>
        <v>397.4086021505376</v>
      </c>
      <c r="AA5">
        <v>152715</v>
      </c>
      <c r="AB5" s="4">
        <f t="shared" si="12"/>
        <v>12726.25</v>
      </c>
      <c r="AC5" s="1">
        <f t="shared" si="13"/>
        <v>410.52419354838707</v>
      </c>
      <c r="AE5">
        <v>187839</v>
      </c>
      <c r="AF5" s="4">
        <f t="shared" si="14"/>
        <v>15653.25</v>
      </c>
      <c r="AG5" s="1">
        <f t="shared" si="15"/>
        <v>504.94354838709677</v>
      </c>
    </row>
    <row r="6" spans="1:33" x14ac:dyDescent="0.35">
      <c r="A6" s="2"/>
      <c r="B6" s="2"/>
      <c r="C6" s="3"/>
      <c r="D6" s="2"/>
      <c r="E6" s="2"/>
      <c r="F6" s="4"/>
      <c r="G6" s="4"/>
      <c r="H6" s="4"/>
      <c r="I6" s="4"/>
      <c r="J6" s="1">
        <f t="shared" si="3"/>
        <v>0</v>
      </c>
      <c r="K6" s="4"/>
      <c r="L6" s="4"/>
      <c r="M6" s="1">
        <f t="shared" si="5"/>
        <v>0</v>
      </c>
      <c r="O6" s="4"/>
      <c r="P6" s="4"/>
      <c r="Q6" s="1">
        <f t="shared" si="7"/>
        <v>0</v>
      </c>
      <c r="R6" s="1"/>
      <c r="S6" s="4"/>
      <c r="T6" s="4"/>
      <c r="U6" s="1">
        <f t="shared" si="9"/>
        <v>0</v>
      </c>
      <c r="W6" s="4"/>
      <c r="X6" s="4"/>
      <c r="Y6" s="1">
        <f t="shared" si="11"/>
        <v>0</v>
      </c>
      <c r="AA6" s="4"/>
      <c r="AB6" s="4"/>
      <c r="AC6" s="1">
        <f t="shared" si="13"/>
        <v>0</v>
      </c>
      <c r="AE6" s="4"/>
      <c r="AF6" s="4"/>
      <c r="AG6" s="1">
        <f t="shared" si="15"/>
        <v>0</v>
      </c>
    </row>
    <row r="7" spans="1:33" x14ac:dyDescent="0.35">
      <c r="A7" s="2" t="s">
        <v>4</v>
      </c>
      <c r="B7" s="2">
        <v>21600</v>
      </c>
      <c r="C7" s="3">
        <f t="shared" si="0"/>
        <v>1800</v>
      </c>
      <c r="D7" s="2"/>
      <c r="E7" s="2">
        <v>22446</v>
      </c>
      <c r="F7" s="4">
        <f t="shared" si="1"/>
        <v>1870.5</v>
      </c>
      <c r="G7" s="4"/>
      <c r="H7" s="4">
        <v>24241</v>
      </c>
      <c r="I7" s="4">
        <f t="shared" si="2"/>
        <v>2020.0833333333333</v>
      </c>
      <c r="J7" s="1">
        <f t="shared" si="3"/>
        <v>65.163978494623649</v>
      </c>
      <c r="K7" s="4">
        <v>28700</v>
      </c>
      <c r="L7" s="4">
        <f t="shared" ref="L7:L9" si="16">K7/12</f>
        <v>2391.6666666666665</v>
      </c>
      <c r="M7" s="1">
        <f t="shared" si="5"/>
        <v>77.150537634408593</v>
      </c>
      <c r="O7">
        <v>31736</v>
      </c>
      <c r="P7" s="4">
        <f t="shared" ref="P7:P9" si="17">O7/12</f>
        <v>2644.6666666666665</v>
      </c>
      <c r="Q7" s="1">
        <f t="shared" si="7"/>
        <v>85.311827956989248</v>
      </c>
      <c r="R7" s="1"/>
      <c r="S7">
        <v>38506</v>
      </c>
      <c r="T7" s="4">
        <f t="shared" ref="T7:T9" si="18">S7/12</f>
        <v>3208.8333333333335</v>
      </c>
      <c r="U7" s="1">
        <f t="shared" si="9"/>
        <v>103.51075268817205</v>
      </c>
      <c r="W7">
        <v>43855</v>
      </c>
      <c r="X7" s="4">
        <f t="shared" ref="X7:X9" si="19">W7/12</f>
        <v>3654.5833333333335</v>
      </c>
      <c r="Y7" s="1">
        <f t="shared" si="11"/>
        <v>117.88978494623656</v>
      </c>
      <c r="AA7">
        <v>45302</v>
      </c>
      <c r="AB7" s="4">
        <f t="shared" ref="AB7:AB9" si="20">AA7/12</f>
        <v>3775.1666666666665</v>
      </c>
      <c r="AC7" s="1">
        <f t="shared" si="13"/>
        <v>121.77956989247312</v>
      </c>
      <c r="AE7">
        <v>55722</v>
      </c>
      <c r="AF7" s="4">
        <f t="shared" ref="AF7:AF9" si="21">AE7/12</f>
        <v>4643.5</v>
      </c>
      <c r="AG7" s="1">
        <f t="shared" si="15"/>
        <v>149.79032258064515</v>
      </c>
    </row>
    <row r="8" spans="1:33" x14ac:dyDescent="0.35">
      <c r="A8" s="2" t="s">
        <v>5</v>
      </c>
      <c r="B8" s="2">
        <v>8033</v>
      </c>
      <c r="C8" s="3">
        <f t="shared" si="0"/>
        <v>669.41666666666663</v>
      </c>
      <c r="D8" s="2"/>
      <c r="E8" s="2">
        <v>8997</v>
      </c>
      <c r="F8" s="4">
        <f t="shared" si="1"/>
        <v>749.75</v>
      </c>
      <c r="G8" s="4"/>
      <c r="H8" s="4">
        <v>9717</v>
      </c>
      <c r="I8" s="4">
        <f t="shared" si="2"/>
        <v>809.75</v>
      </c>
      <c r="J8" s="1">
        <f t="shared" si="3"/>
        <v>26.120967741935484</v>
      </c>
      <c r="K8" s="4">
        <v>11504</v>
      </c>
      <c r="L8" s="4">
        <f t="shared" si="16"/>
        <v>958.66666666666663</v>
      </c>
      <c r="M8" s="1">
        <f t="shared" si="5"/>
        <v>30.924731182795696</v>
      </c>
      <c r="O8">
        <v>12721</v>
      </c>
      <c r="P8" s="4">
        <f t="shared" si="17"/>
        <v>1060.0833333333333</v>
      </c>
      <c r="Q8" s="1">
        <f t="shared" si="7"/>
        <v>34.196236559139784</v>
      </c>
      <c r="R8" s="1"/>
      <c r="S8">
        <v>15435</v>
      </c>
      <c r="T8" s="4">
        <f t="shared" si="18"/>
        <v>1286.25</v>
      </c>
      <c r="U8" s="1">
        <f t="shared" si="9"/>
        <v>41.491935483870968</v>
      </c>
      <c r="W8">
        <v>17579</v>
      </c>
      <c r="X8" s="4">
        <f t="shared" si="19"/>
        <v>1464.9166666666667</v>
      </c>
      <c r="Y8" s="1">
        <f t="shared" si="11"/>
        <v>47.255376344086024</v>
      </c>
      <c r="AA8">
        <v>18159</v>
      </c>
      <c r="AB8" s="4">
        <f t="shared" si="20"/>
        <v>1513.25</v>
      </c>
      <c r="AC8" s="1">
        <f t="shared" si="13"/>
        <v>48.814516129032256</v>
      </c>
      <c r="AE8">
        <v>22335</v>
      </c>
      <c r="AF8" s="4">
        <f t="shared" si="21"/>
        <v>1861.25</v>
      </c>
      <c r="AG8" s="1">
        <f t="shared" si="15"/>
        <v>60.04032258064516</v>
      </c>
    </row>
    <row r="9" spans="1:33" x14ac:dyDescent="0.35">
      <c r="A9" s="2" t="s">
        <v>6</v>
      </c>
      <c r="B9" s="2">
        <v>35760</v>
      </c>
      <c r="C9" s="3">
        <f t="shared" si="0"/>
        <v>2980</v>
      </c>
      <c r="D9" s="2"/>
      <c r="E9" s="2">
        <v>35760</v>
      </c>
      <c r="F9" s="4">
        <f t="shared" si="1"/>
        <v>2980</v>
      </c>
      <c r="G9" s="4"/>
      <c r="H9" s="4">
        <v>36761</v>
      </c>
      <c r="I9" s="4">
        <f t="shared" si="2"/>
        <v>3063.4166666666665</v>
      </c>
      <c r="J9" s="1">
        <f t="shared" si="3"/>
        <v>98.819892473118273</v>
      </c>
      <c r="K9" s="4">
        <v>37788</v>
      </c>
      <c r="L9" s="4">
        <f t="shared" si="16"/>
        <v>3149</v>
      </c>
      <c r="M9" s="1">
        <f t="shared" si="5"/>
        <v>101.58064516129032</v>
      </c>
      <c r="O9" s="4"/>
      <c r="P9" s="4">
        <f t="shared" si="17"/>
        <v>0</v>
      </c>
      <c r="Q9" s="1">
        <f t="shared" si="7"/>
        <v>0</v>
      </c>
      <c r="R9" s="1"/>
      <c r="S9" s="4"/>
      <c r="T9" s="4">
        <f t="shared" si="18"/>
        <v>0</v>
      </c>
      <c r="U9" s="1">
        <f t="shared" si="9"/>
        <v>0</v>
      </c>
      <c r="W9" s="4"/>
      <c r="X9" s="4">
        <f t="shared" si="19"/>
        <v>0</v>
      </c>
      <c r="Y9" s="1">
        <f t="shared" si="11"/>
        <v>0</v>
      </c>
      <c r="AA9" s="4"/>
      <c r="AB9" s="4">
        <f t="shared" si="20"/>
        <v>0</v>
      </c>
      <c r="AC9" s="1">
        <f t="shared" si="13"/>
        <v>0</v>
      </c>
      <c r="AE9" s="4"/>
      <c r="AF9" s="4">
        <f t="shared" si="21"/>
        <v>0</v>
      </c>
      <c r="AG9" s="1">
        <f t="shared" si="15"/>
        <v>0</v>
      </c>
    </row>
    <row r="10" spans="1:33" x14ac:dyDescent="0.35">
      <c r="A10" s="2"/>
      <c r="B10" s="2"/>
      <c r="C10" s="3"/>
      <c r="D10" s="2"/>
      <c r="E10" s="2"/>
      <c r="F10" s="4"/>
      <c r="G10" s="4"/>
      <c r="H10" s="4"/>
      <c r="I10" s="4"/>
      <c r="J10" s="1"/>
      <c r="K10" s="4"/>
      <c r="L10" s="4"/>
      <c r="O10" s="4"/>
      <c r="P10" s="4"/>
      <c r="S10" s="4"/>
      <c r="T10" s="4"/>
      <c r="W10" s="4"/>
      <c r="X10" s="4"/>
      <c r="AA10" s="4"/>
      <c r="AB10" s="4"/>
      <c r="AE10" s="4"/>
      <c r="AF10" s="4"/>
    </row>
    <row r="11" spans="1:33" x14ac:dyDescent="0.35">
      <c r="A11" s="2" t="s">
        <v>7</v>
      </c>
      <c r="B11" s="2">
        <f>SUM(B2:B9)</f>
        <v>477157</v>
      </c>
      <c r="C11" s="3">
        <f t="shared" si="0"/>
        <v>39763.083333333336</v>
      </c>
      <c r="D11" s="2"/>
      <c r="E11" s="2">
        <f>SUM(E2:E9)</f>
        <v>534416</v>
      </c>
      <c r="F11" s="4">
        <f t="shared" si="1"/>
        <v>44534.666666666664</v>
      </c>
      <c r="G11" s="4"/>
      <c r="H11" s="4">
        <v>577169</v>
      </c>
      <c r="I11" s="4">
        <f t="shared" si="2"/>
        <v>48097.416666666664</v>
      </c>
      <c r="J11" s="1"/>
      <c r="K11" s="4">
        <v>683343</v>
      </c>
      <c r="L11" s="4">
        <f t="shared" ref="L11" si="22">K11/12</f>
        <v>56945.25</v>
      </c>
      <c r="O11">
        <v>755619</v>
      </c>
      <c r="P11" s="4">
        <f t="shared" ref="P11" si="23">O11/12</f>
        <v>62968.25</v>
      </c>
      <c r="S11">
        <v>916817</v>
      </c>
      <c r="T11" s="4">
        <f t="shared" ref="T11" si="24">S11/12</f>
        <v>76401.416666666672</v>
      </c>
      <c r="W11">
        <v>1044172</v>
      </c>
      <c r="X11" s="4">
        <f t="shared" ref="X11" si="25">W11/12</f>
        <v>87014.333333333328</v>
      </c>
      <c r="Y11" s="1">
        <f>SUM(X2:X5)</f>
        <v>81894.833333333343</v>
      </c>
      <c r="AA11">
        <v>1078629</v>
      </c>
      <c r="AB11" s="4">
        <f>AA11/12</f>
        <v>89885.75</v>
      </c>
      <c r="AC11" s="1">
        <f>SUM(AB2:AB5)</f>
        <v>84597.333333333328</v>
      </c>
      <c r="AE11">
        <v>1326714</v>
      </c>
      <c r="AF11" s="4">
        <f>AE11/12</f>
        <v>110559.5</v>
      </c>
      <c r="AG11" s="1">
        <f>SUM(AF2:AF5)</f>
        <v>104054.75</v>
      </c>
    </row>
    <row r="12" spans="1:33" x14ac:dyDescent="0.35">
      <c r="A12" s="2"/>
      <c r="B12" s="2"/>
      <c r="C12" s="3"/>
      <c r="D12" s="2"/>
      <c r="E12" s="2"/>
      <c r="F12" s="4"/>
      <c r="G12" s="4"/>
      <c r="H12" s="4"/>
      <c r="I12" s="4"/>
      <c r="J12" s="1"/>
      <c r="K12" s="4"/>
      <c r="L12" s="4"/>
      <c r="O12" s="4"/>
      <c r="P12" s="4"/>
      <c r="S12" s="4"/>
      <c r="T12" s="4"/>
      <c r="W12" s="4"/>
      <c r="X12" s="4"/>
      <c r="Y12" s="1">
        <f>Y11-X7</f>
        <v>78240.250000000015</v>
      </c>
      <c r="AA12" s="4"/>
      <c r="AB12" s="4"/>
      <c r="AC12" s="1">
        <f>AC11-AB7</f>
        <v>80822.166666666657</v>
      </c>
      <c r="AE12" s="4"/>
      <c r="AF12" s="4"/>
      <c r="AG12" s="1">
        <f>AG11-AF7</f>
        <v>99411.25</v>
      </c>
    </row>
    <row r="13" spans="1:33" x14ac:dyDescent="0.35">
      <c r="A13" s="2" t="s">
        <v>8</v>
      </c>
      <c r="B13" s="2">
        <v>7215</v>
      </c>
      <c r="C13" s="3">
        <f t="shared" si="0"/>
        <v>601.25</v>
      </c>
      <c r="D13" s="2"/>
      <c r="E13" s="2">
        <v>7215</v>
      </c>
      <c r="F13" s="4">
        <f t="shared" si="1"/>
        <v>601.25</v>
      </c>
      <c r="G13" s="4"/>
      <c r="H13" s="4">
        <v>7802</v>
      </c>
      <c r="I13" s="4">
        <f t="shared" si="2"/>
        <v>650.16666666666663</v>
      </c>
      <c r="J13" s="1"/>
      <c r="K13" s="4">
        <v>7802</v>
      </c>
      <c r="L13" s="4">
        <f t="shared" ref="L13" si="26">K13/12</f>
        <v>650.16666666666663</v>
      </c>
      <c r="O13">
        <v>11210</v>
      </c>
      <c r="P13" s="4">
        <f t="shared" ref="P13" si="27">O13/12</f>
        <v>934.16666666666663</v>
      </c>
      <c r="S13">
        <v>11210</v>
      </c>
      <c r="T13" s="4">
        <f t="shared" ref="T13" si="28">S13/12</f>
        <v>934.16666666666663</v>
      </c>
      <c r="W13">
        <v>11210</v>
      </c>
      <c r="X13" s="4">
        <f t="shared" ref="X13" si="29">W13/12</f>
        <v>934.16666666666663</v>
      </c>
      <c r="AA13">
        <v>12820</v>
      </c>
      <c r="AB13" s="4">
        <f>AA13/12</f>
        <v>1068.3333333333333</v>
      </c>
      <c r="AE13">
        <v>13350</v>
      </c>
      <c r="AF13" s="4">
        <f>AE13/12</f>
        <v>1112.5</v>
      </c>
    </row>
    <row r="14" spans="1:33" x14ac:dyDescent="0.35">
      <c r="A14" s="2"/>
      <c r="B14" s="2"/>
      <c r="C14" s="3"/>
      <c r="D14" s="2"/>
      <c r="E14" s="2"/>
      <c r="F14" s="4"/>
      <c r="G14" s="4"/>
      <c r="H14" s="4"/>
      <c r="I14" s="4"/>
      <c r="J14" s="1"/>
      <c r="K14" s="4"/>
      <c r="L14" s="4"/>
      <c r="O14" s="4"/>
      <c r="P14" s="4"/>
      <c r="S14" s="4"/>
      <c r="T14" s="4"/>
      <c r="W14" s="4"/>
      <c r="X14" s="4"/>
      <c r="AA14" s="4"/>
      <c r="AB14" s="4"/>
      <c r="AE14" s="4"/>
      <c r="AF14" s="4"/>
    </row>
    <row r="15" spans="1:33" x14ac:dyDescent="0.35">
      <c r="A15" s="2" t="s">
        <v>15</v>
      </c>
      <c r="B15" s="2">
        <f>SUM(B11:B13)</f>
        <v>484372</v>
      </c>
      <c r="C15" s="3">
        <f t="shared" si="0"/>
        <v>40364.333333333336</v>
      </c>
      <c r="D15" s="2"/>
      <c r="E15" s="2">
        <f>SUM(E11:E13)</f>
        <v>541631</v>
      </c>
      <c r="F15" s="4">
        <f t="shared" si="1"/>
        <v>45135.916666666664</v>
      </c>
      <c r="G15" s="4"/>
      <c r="H15" s="2">
        <f>SUM(H11:H13)</f>
        <v>584971</v>
      </c>
      <c r="I15" s="4">
        <f t="shared" ref="I15" si="30">H15/12</f>
        <v>48747.583333333336</v>
      </c>
      <c r="J15" s="1"/>
      <c r="K15" s="2">
        <f>SUM(K11:K13)</f>
        <v>691145</v>
      </c>
      <c r="L15" s="4">
        <f t="shared" ref="L15" si="31">K15/12</f>
        <v>57595.416666666664</v>
      </c>
      <c r="O15" s="2">
        <f>SUM(O11:O13)</f>
        <v>766829</v>
      </c>
      <c r="P15" s="4">
        <f t="shared" ref="P15" si="32">O15/12</f>
        <v>63902.416666666664</v>
      </c>
      <c r="S15" s="2">
        <f>SUM(S11:S13)</f>
        <v>928027</v>
      </c>
      <c r="T15" s="4">
        <f t="shared" ref="T15" si="33">S15/12</f>
        <v>77335.583333333328</v>
      </c>
      <c r="W15" s="2">
        <f>SUM(W11:W13)</f>
        <v>1055382</v>
      </c>
      <c r="X15" s="4">
        <f t="shared" ref="X15" si="34">W15/12</f>
        <v>87948.5</v>
      </c>
      <c r="AA15" s="2">
        <f>SUM(AA11:AA13)</f>
        <v>1091449</v>
      </c>
      <c r="AB15" s="4">
        <f>AA15/12</f>
        <v>90954.083333333328</v>
      </c>
      <c r="AE15" s="2">
        <f>SUM(AE11:AE13)</f>
        <v>1340064</v>
      </c>
      <c r="AF15" s="4">
        <f>AE15/12</f>
        <v>111672</v>
      </c>
    </row>
    <row r="16" spans="1:33" x14ac:dyDescent="0.35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O16" s="2"/>
      <c r="P16" s="2"/>
      <c r="S16" s="2"/>
      <c r="T16" s="2"/>
      <c r="W16" s="2"/>
      <c r="X16" s="2"/>
      <c r="AA16" s="2"/>
      <c r="AB16" s="2"/>
      <c r="AE16" s="2"/>
      <c r="AF16" s="2"/>
    </row>
    <row r="17" spans="1:32" x14ac:dyDescent="0.35">
      <c r="A17" s="2" t="s">
        <v>11</v>
      </c>
      <c r="B17" s="2" t="e">
        <f>(B15-#REF!)/#REF!*100</f>
        <v>#REF!</v>
      </c>
      <c r="C17" s="2"/>
      <c r="D17" s="2"/>
      <c r="E17" s="2">
        <f>(E15-B15)/B15*100</f>
        <v>11.821286118933381</v>
      </c>
      <c r="F17" s="2"/>
      <c r="G17" s="2"/>
      <c r="H17" s="2">
        <f>(H15-E15)/E15*100</f>
        <v>8.0017576541963074</v>
      </c>
      <c r="I17" s="2"/>
      <c r="K17" s="2">
        <f>(K15-H15)/H15*100</f>
        <v>18.150301467936018</v>
      </c>
      <c r="L17" s="2"/>
      <c r="O17" s="2">
        <f>(O15-K15)/K15*100</f>
        <v>10.950524130247633</v>
      </c>
      <c r="P17" s="2"/>
      <c r="S17" s="2">
        <f>(S15-O15)/O15*100</f>
        <v>21.021375039285157</v>
      </c>
      <c r="T17" s="2"/>
      <c r="W17" s="2">
        <f>(W15-S15)/S15*100</f>
        <v>13.723199863797067</v>
      </c>
      <c r="X17" s="2"/>
      <c r="AA17" s="2">
        <f>(AA15-W15)/W15*100</f>
        <v>3.4174355825663123</v>
      </c>
      <c r="AB17" s="2"/>
      <c r="AE17" s="2">
        <f>(AE15-AA15)/AA15*100</f>
        <v>22.778434906257644</v>
      </c>
      <c r="AF17" s="2"/>
    </row>
    <row r="18" spans="1:32" x14ac:dyDescent="0.35">
      <c r="A18" s="2" t="s">
        <v>12</v>
      </c>
      <c r="B18" s="2"/>
      <c r="C18" s="4">
        <f>C2+C3+C4+C5+C9-C7</f>
        <v>35493.666666666664</v>
      </c>
      <c r="D18" s="2"/>
      <c r="E18" s="2"/>
      <c r="F18" s="4">
        <f>F2+F3+F4+F5+F9-F7</f>
        <v>40043.916666666664</v>
      </c>
      <c r="G18" s="4"/>
      <c r="H18" s="2"/>
      <c r="I18" s="4">
        <f>I2+I3+I4+I5+I9-I7</f>
        <v>43247.499999999993</v>
      </c>
      <c r="J18" s="1"/>
      <c r="K18" s="2"/>
      <c r="L18" s="4">
        <f>L2+L3+L4+L5+L9-L7</f>
        <v>51203.25</v>
      </c>
      <c r="O18" s="2"/>
      <c r="P18" s="4">
        <f>P2+P3+P4+P5+P9-P7</f>
        <v>56618.833333333336</v>
      </c>
      <c r="S18" s="2"/>
      <c r="T18" s="4">
        <f>T2+T3+T4+T5+T9-T7</f>
        <v>68697.5</v>
      </c>
      <c r="W18" s="2"/>
      <c r="X18" s="4">
        <f>X2+X3+X4+X5+X9-X7</f>
        <v>78240.250000000015</v>
      </c>
      <c r="AA18" s="2"/>
      <c r="AB18" s="4">
        <f>AB2+AB3+AB4+AB5+AB9-AB7</f>
        <v>80822.166666666657</v>
      </c>
      <c r="AE18" s="2"/>
      <c r="AF18" s="4">
        <f>AF2+AF3+AF4+AF5+AF9-AF7</f>
        <v>99411.25</v>
      </c>
    </row>
    <row r="19" spans="1:32" x14ac:dyDescent="0.35">
      <c r="A19" s="2" t="s">
        <v>13</v>
      </c>
      <c r="B19" s="2"/>
      <c r="C19" s="2">
        <v>200</v>
      </c>
      <c r="D19" s="2"/>
      <c r="E19" s="2"/>
      <c r="F19" s="2">
        <v>200</v>
      </c>
      <c r="G19" s="2"/>
      <c r="H19" s="2"/>
      <c r="I19" s="2">
        <v>200</v>
      </c>
      <c r="K19" s="2"/>
      <c r="L19" s="2">
        <v>200</v>
      </c>
      <c r="O19" s="2"/>
      <c r="P19" s="2">
        <v>200</v>
      </c>
      <c r="S19" s="2"/>
      <c r="T19" s="2">
        <v>200</v>
      </c>
      <c r="W19" s="2"/>
      <c r="X19" s="2">
        <v>200</v>
      </c>
      <c r="AA19" s="2"/>
      <c r="AB19" s="2">
        <v>200</v>
      </c>
      <c r="AE19" s="2"/>
      <c r="AF19" s="2">
        <v>200</v>
      </c>
    </row>
    <row r="20" spans="1:32" x14ac:dyDescent="0.35">
      <c r="A20" s="2"/>
      <c r="B20" s="2"/>
      <c r="C20" s="4">
        <f>C18-C19</f>
        <v>35293.666666666664</v>
      </c>
      <c r="D20" s="2"/>
      <c r="E20" s="2"/>
      <c r="F20" s="4">
        <f>F18-F19-1</f>
        <v>39842.916666666664</v>
      </c>
      <c r="G20" s="4"/>
      <c r="H20" s="2"/>
      <c r="I20" s="4">
        <f>I18-I19-1</f>
        <v>43046.499999999993</v>
      </c>
      <c r="J20" s="1"/>
      <c r="K20" s="2"/>
      <c r="L20" s="4">
        <f>L18-L19-1</f>
        <v>51002.25</v>
      </c>
      <c r="O20" s="2"/>
      <c r="P20" s="4">
        <f>P18-P19-1</f>
        <v>56417.833333333336</v>
      </c>
      <c r="S20" s="2"/>
      <c r="T20" s="4">
        <f>T18-T19-1</f>
        <v>68496.5</v>
      </c>
      <c r="W20" s="2"/>
      <c r="X20" s="4">
        <f>X18-X19-1</f>
        <v>78039.250000000015</v>
      </c>
      <c r="AA20" s="2"/>
      <c r="AB20" s="4">
        <f>AB18-AB19-1</f>
        <v>80621.166666666657</v>
      </c>
      <c r="AE20" s="2"/>
      <c r="AF20" s="4">
        <f>AF18-AF19-1</f>
        <v>99210.25</v>
      </c>
    </row>
    <row r="22" spans="1:32" x14ac:dyDescent="0.35">
      <c r="E22" s="1"/>
    </row>
    <row r="23" spans="1:32" x14ac:dyDescent="0.35">
      <c r="N23" t="s">
        <v>16</v>
      </c>
      <c r="O23">
        <v>30225</v>
      </c>
      <c r="S23">
        <v>73346</v>
      </c>
      <c r="W23">
        <v>104417</v>
      </c>
      <c r="AA23">
        <v>107863</v>
      </c>
      <c r="AE23">
        <v>132671</v>
      </c>
    </row>
    <row r="25" spans="1:32" x14ac:dyDescent="0.35">
      <c r="O25" s="7">
        <f>O15+O23</f>
        <v>797054</v>
      </c>
      <c r="S25" s="7">
        <f>S15+S23</f>
        <v>1001373</v>
      </c>
      <c r="W25" s="7">
        <f>W15+W23</f>
        <v>1159799</v>
      </c>
      <c r="AA25" s="7">
        <f>AA15+AA23</f>
        <v>1199312</v>
      </c>
      <c r="AB25">
        <f>AA25-W25</f>
        <v>39513</v>
      </c>
      <c r="AE25" s="7">
        <f>AE15+AE23</f>
        <v>1472735</v>
      </c>
      <c r="AF25">
        <f>AE25-AA25</f>
        <v>273423</v>
      </c>
    </row>
    <row r="27" spans="1:32" x14ac:dyDescent="0.35">
      <c r="O27">
        <f>(O25-K15)/K15*100</f>
        <v>15.323701972813231</v>
      </c>
      <c r="S27">
        <f>(S25-O25)/O25*100</f>
        <v>25.634273211099874</v>
      </c>
      <c r="W27">
        <f>(W25-S25)/S25*100</f>
        <v>15.820877934595801</v>
      </c>
      <c r="AA27">
        <f>(AA25-W25)/W25*100</f>
        <v>3.4068834341122898</v>
      </c>
      <c r="AE27">
        <f>(AE25-AA25)/AA25*100</f>
        <v>22.798321037394771</v>
      </c>
    </row>
    <row r="30" spans="1:32" x14ac:dyDescent="0.35">
      <c r="V30" t="s">
        <v>20</v>
      </c>
      <c r="W30">
        <v>58053</v>
      </c>
    </row>
    <row r="32" spans="1:32" x14ac:dyDescent="0.35">
      <c r="W32">
        <f>W23-W30</f>
        <v>46364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opLeftCell="A6" workbookViewId="0">
      <selection activeCell="M17" sqref="M17"/>
    </sheetView>
  </sheetViews>
  <sheetFormatPr defaultRowHeight="14.5" x14ac:dyDescent="0.35"/>
  <sheetData>
    <row r="1" spans="1:12" x14ac:dyDescent="0.35">
      <c r="A1">
        <v>1802</v>
      </c>
      <c r="B1">
        <v>654</v>
      </c>
    </row>
    <row r="2" spans="1:12" x14ac:dyDescent="0.35">
      <c r="A2">
        <v>12.52</v>
      </c>
      <c r="B2">
        <v>654</v>
      </c>
    </row>
    <row r="3" spans="1:12" x14ac:dyDescent="0.35">
      <c r="A3">
        <v>2969</v>
      </c>
      <c r="B3">
        <v>24.78</v>
      </c>
    </row>
    <row r="4" spans="1:12" x14ac:dyDescent="0.35">
      <c r="A4">
        <v>5656</v>
      </c>
      <c r="B4">
        <v>5.07</v>
      </c>
    </row>
    <row r="5" spans="1:12" x14ac:dyDescent="0.35">
      <c r="A5">
        <v>658</v>
      </c>
    </row>
    <row r="6" spans="1:12" x14ac:dyDescent="0.35">
      <c r="A6">
        <v>2124</v>
      </c>
    </row>
    <row r="7" spans="1:12" x14ac:dyDescent="0.35">
      <c r="A7">
        <v>1900</v>
      </c>
    </row>
    <row r="8" spans="1:12" x14ac:dyDescent="0.35">
      <c r="A8">
        <v>1900</v>
      </c>
    </row>
    <row r="9" spans="1:12" x14ac:dyDescent="0.35">
      <c r="A9">
        <v>100</v>
      </c>
    </row>
    <row r="10" spans="1:12" x14ac:dyDescent="0.35">
      <c r="A10">
        <v>2010</v>
      </c>
    </row>
    <row r="11" spans="1:12" x14ac:dyDescent="0.35">
      <c r="A11">
        <v>2200</v>
      </c>
      <c r="L11">
        <v>20506.25</v>
      </c>
    </row>
    <row r="12" spans="1:12" x14ac:dyDescent="0.35">
      <c r="A12">
        <v>511.8</v>
      </c>
      <c r="L12">
        <v>6369</v>
      </c>
    </row>
    <row r="13" spans="1:12" x14ac:dyDescent="0.35">
      <c r="A13">
        <f>SUM(A1:A12)</f>
        <v>21843.32</v>
      </c>
      <c r="B13">
        <f>SUM(B1:B12)</f>
        <v>1337.85</v>
      </c>
      <c r="L13">
        <v>1002</v>
      </c>
    </row>
    <row r="14" spans="1:12" x14ac:dyDescent="0.35">
      <c r="L14">
        <v>4496</v>
      </c>
    </row>
    <row r="15" spans="1:12" x14ac:dyDescent="0.35">
      <c r="A15">
        <f>A13-B13</f>
        <v>20505.47</v>
      </c>
      <c r="B15">
        <v>472</v>
      </c>
      <c r="L15">
        <f>SUM(L11:L14)</f>
        <v>32373.25</v>
      </c>
    </row>
    <row r="16" spans="1:12" x14ac:dyDescent="0.35">
      <c r="B16">
        <v>911</v>
      </c>
    </row>
    <row r="17" spans="1:7" x14ac:dyDescent="0.35">
      <c r="A17">
        <v>1335</v>
      </c>
    </row>
    <row r="18" spans="1:7" x14ac:dyDescent="0.35">
      <c r="A18">
        <v>5585</v>
      </c>
    </row>
    <row r="19" spans="1:7" x14ac:dyDescent="0.35">
      <c r="A19">
        <v>2500</v>
      </c>
    </row>
    <row r="20" spans="1:7" x14ac:dyDescent="0.35">
      <c r="A20">
        <v>252</v>
      </c>
      <c r="G20">
        <f>28795.25-20506.25</f>
        <v>8289</v>
      </c>
    </row>
    <row r="22" spans="1:7" x14ac:dyDescent="0.35">
      <c r="A22">
        <f>SUM(A17:A20)</f>
        <v>9672</v>
      </c>
      <c r="B22">
        <f>SUM(B15:B16)</f>
        <v>1383</v>
      </c>
    </row>
    <row r="23" spans="1:7" x14ac:dyDescent="0.35">
      <c r="D23">
        <f>A15-B22</f>
        <v>19122.47</v>
      </c>
    </row>
    <row r="24" spans="1:7" x14ac:dyDescent="0.35">
      <c r="A24">
        <f>A22+A15-B22</f>
        <v>28794.47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E640-B3C0-499F-9727-9822CE06FDF5}">
  <dimension ref="A1:G11"/>
  <sheetViews>
    <sheetView workbookViewId="0">
      <selection activeCell="F5" sqref="F5"/>
    </sheetView>
  </sheetViews>
  <sheetFormatPr defaultRowHeight="14.5" x14ac:dyDescent="0.35"/>
  <sheetData>
    <row r="1" spans="1:7" x14ac:dyDescent="0.35">
      <c r="A1">
        <v>982738</v>
      </c>
      <c r="C1" s="8">
        <v>200000</v>
      </c>
      <c r="E1" s="8">
        <v>874672</v>
      </c>
      <c r="G1" s="8">
        <f>A1-E1</f>
        <v>108066</v>
      </c>
    </row>
    <row r="2" spans="1:7" x14ac:dyDescent="0.35">
      <c r="C2" s="8">
        <v>52500</v>
      </c>
    </row>
    <row r="4" spans="1:7" x14ac:dyDescent="0.35">
      <c r="C4" s="8">
        <f>A1-C1-C2</f>
        <v>730238</v>
      </c>
    </row>
    <row r="6" spans="1:7" x14ac:dyDescent="0.35">
      <c r="A6" t="s">
        <v>17</v>
      </c>
      <c r="B6">
        <v>0</v>
      </c>
      <c r="C6">
        <v>250000</v>
      </c>
      <c r="D6">
        <v>0</v>
      </c>
    </row>
    <row r="7" spans="1:7" x14ac:dyDescent="0.35">
      <c r="A7" t="s">
        <v>18</v>
      </c>
      <c r="B7">
        <v>5</v>
      </c>
      <c r="C7">
        <v>250000</v>
      </c>
      <c r="D7">
        <f>C7*0.05</f>
        <v>12500</v>
      </c>
    </row>
    <row r="8" spans="1:7" x14ac:dyDescent="0.35">
      <c r="A8" t="s">
        <v>19</v>
      </c>
      <c r="B8">
        <v>20</v>
      </c>
      <c r="C8" s="8">
        <f>C4-C6-C7</f>
        <v>230238</v>
      </c>
      <c r="D8" s="1">
        <f>C8*0.2</f>
        <v>46047.600000000006</v>
      </c>
    </row>
    <row r="11" spans="1:7" x14ac:dyDescent="0.35">
      <c r="D11">
        <f>SUM(D6:D8)</f>
        <v>58547.600000000006</v>
      </c>
      <c r="E11" s="1">
        <f>D11/12</f>
        <v>4878.9666666666672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8</dc:creator>
  <cp:lastModifiedBy>R, Rakesh</cp:lastModifiedBy>
  <dcterms:created xsi:type="dcterms:W3CDTF">2019-08-01T10:43:25Z</dcterms:created>
  <dcterms:modified xsi:type="dcterms:W3CDTF">2025-03-31T07:06:25Z</dcterms:modified>
</cp:coreProperties>
</file>